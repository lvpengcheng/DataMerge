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1\AppData\Local\Temp\2\tmpoa9oa0n7\"/>
    </mc:Choice>
  </mc:AlternateContent>
  <xr:revisionPtr revIDLastSave="0" documentId="8_{97F04B5C-240E-4F48-9282-FECD22941D68}" xr6:coauthVersionLast="47" xr6:coauthVersionMax="47" xr10:uidLastSave="{00000000-0000-0000-0000-000000000000}"/>
  <bookViews>
    <workbookView xWindow="1125" yWindow="1125" windowWidth="21600" windowHeight="11295" xr2:uid="{00000000-000D-0000-FFFF-FFFF00000000}"/>
  </bookViews>
  <sheets>
    <sheet name="结果报表" sheetId="1" r:id="rId1"/>
    <sheet name="源_10人员剔除表_Sheet1" sheetId="2" r:id="rId2"/>
    <sheet name="源_11产假政策_Sheet1" sheetId="3" r:id="rId3"/>
    <sheet name="源_12计提残保金规则_Sheet1" sheetId="4" r:id="rId4"/>
    <sheet name="源_13残疾人信息_残疾人信息" sheetId="5" r:id="rId5"/>
    <sheet name="源_13残疾人信息_备份表全量信息" sheetId="6" r:id="rId6"/>
    <sheet name="源_14最低工资_Sheet1" sheetId="7" r:id="rId7"/>
    <sheet name="源_1薪资备份表_Sheet1" sheetId="8" r:id="rId8"/>
    <sheet name="源_2客户代码匹配表_Sheet1" sheetId="9" r:id="rId9"/>
    <sheet name="源_3考勤报表_考勤表" sheetId="10" r:id="rId10"/>
    <sheet name="源_4奖金汇总表_Sheet1" sheetId="11" r:id="rId11"/>
    <sheet name="源_4奖金汇总表_拆分手工算" sheetId="12" r:id="rId12"/>
    <sheet name="源_5薪资备忘录_工资调整项" sheetId="13" r:id="rId13"/>
    <sheet name="源_6社保表_Sheet1" sheetId="14" r:id="rId14"/>
    <sheet name="源_7银行卡表_Sheet1" sheetId="15" r:id="rId15"/>
    <sheet name="源_8补工时表_补当月工时" sheetId="16" r:id="rId16"/>
    <sheet name="源_9年终奖表_Sheet1" sheetId="17" r:id="rId17"/>
    <sheet name="参数"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E104" i="1" l="1"/>
  <c r="DD104" i="1"/>
  <c r="DC104" i="1"/>
  <c r="CZ104" i="1"/>
  <c r="CY104" i="1"/>
  <c r="CX104" i="1"/>
  <c r="CW104" i="1"/>
  <c r="CV104" i="1"/>
  <c r="CU104" i="1"/>
  <c r="CT104" i="1"/>
  <c r="CS104" i="1"/>
  <c r="CR104" i="1"/>
  <c r="CQ104" i="1"/>
  <c r="CM104" i="1"/>
  <c r="CL104" i="1"/>
  <c r="CK104" i="1"/>
  <c r="CJ104" i="1"/>
  <c r="CI104" i="1"/>
  <c r="CH104" i="1"/>
  <c r="CG104" i="1"/>
  <c r="CF104" i="1"/>
  <c r="CE104" i="1"/>
  <c r="CD104" i="1"/>
  <c r="CC104" i="1"/>
  <c r="CB104" i="1"/>
  <c r="CA104" i="1"/>
  <c r="BZ104" i="1"/>
  <c r="BX104" i="1"/>
  <c r="BS104" i="1"/>
  <c r="BR104" i="1"/>
  <c r="BQ104" i="1"/>
  <c r="BP104" i="1"/>
  <c r="BO104" i="1"/>
  <c r="BN104" i="1"/>
  <c r="BM104" i="1"/>
  <c r="BL104" i="1"/>
  <c r="BK104" i="1"/>
  <c r="BJ104" i="1"/>
  <c r="BH104" i="1"/>
  <c r="BG104" i="1"/>
  <c r="BC104" i="1"/>
  <c r="AW104" i="1"/>
  <c r="AV104" i="1"/>
  <c r="AU104" i="1"/>
  <c r="AT104" i="1"/>
  <c r="AS104" i="1"/>
  <c r="AR104" i="1"/>
  <c r="AQ104" i="1"/>
  <c r="AO104" i="1"/>
  <c r="AN104" i="1"/>
  <c r="AM104" i="1"/>
  <c r="AL104" i="1"/>
  <c r="AK104" i="1"/>
  <c r="AJ104" i="1"/>
  <c r="AI104" i="1"/>
  <c r="AH104" i="1"/>
  <c r="AG104" i="1"/>
  <c r="AE104" i="1"/>
  <c r="AF104" i="1" s="1"/>
  <c r="AC104" i="1"/>
  <c r="AA104" i="1"/>
  <c r="Z104" i="1"/>
  <c r="Y104" i="1"/>
  <c r="X104" i="1"/>
  <c r="W104" i="1" s="1"/>
  <c r="Q104" i="1"/>
  <c r="AX104" i="1" s="1"/>
  <c r="F104" i="1"/>
  <c r="B104" i="1"/>
  <c r="A104" i="1"/>
  <c r="DE103" i="1"/>
  <c r="DD103" i="1"/>
  <c r="DC103" i="1"/>
  <c r="CZ103" i="1"/>
  <c r="CY103" i="1"/>
  <c r="CX103" i="1"/>
  <c r="CW103" i="1"/>
  <c r="CV103" i="1"/>
  <c r="CU103" i="1"/>
  <c r="CT103" i="1"/>
  <c r="CS103" i="1"/>
  <c r="CR103" i="1"/>
  <c r="CQ103" i="1"/>
  <c r="CM103" i="1"/>
  <c r="CL103" i="1"/>
  <c r="CK103" i="1"/>
  <c r="CJ103" i="1"/>
  <c r="CI103" i="1"/>
  <c r="CH103" i="1"/>
  <c r="CG103" i="1"/>
  <c r="CF103" i="1"/>
  <c r="CE103" i="1"/>
  <c r="CD103" i="1"/>
  <c r="CC103" i="1"/>
  <c r="CB103" i="1"/>
  <c r="CA103" i="1"/>
  <c r="BZ103" i="1"/>
  <c r="BX103" i="1"/>
  <c r="BS103" i="1"/>
  <c r="BR103" i="1"/>
  <c r="BQ103" i="1"/>
  <c r="BP103" i="1"/>
  <c r="BO103" i="1"/>
  <c r="BN103" i="1"/>
  <c r="BM103" i="1"/>
  <c r="BL103" i="1"/>
  <c r="BK103" i="1"/>
  <c r="BJ103" i="1"/>
  <c r="BH103" i="1"/>
  <c r="BG103" i="1"/>
  <c r="BC103" i="1"/>
  <c r="AW103" i="1"/>
  <c r="AV103" i="1"/>
  <c r="AU103" i="1"/>
  <c r="AT103" i="1"/>
  <c r="AS103" i="1"/>
  <c r="AR103" i="1"/>
  <c r="AQ103" i="1"/>
  <c r="AO103" i="1"/>
  <c r="AN103" i="1"/>
  <c r="AM103" i="1"/>
  <c r="AL103" i="1"/>
  <c r="AK103" i="1"/>
  <c r="AJ103" i="1"/>
  <c r="AI103" i="1"/>
  <c r="AH103" i="1"/>
  <c r="AG103" i="1"/>
  <c r="AE103" i="1"/>
  <c r="AF103" i="1" s="1"/>
  <c r="AC103" i="1"/>
  <c r="AA103" i="1"/>
  <c r="Z103" i="1"/>
  <c r="Y103" i="1"/>
  <c r="X103" i="1"/>
  <c r="Q103" i="1"/>
  <c r="AX103" i="1" s="1"/>
  <c r="F103" i="1"/>
  <c r="B103" i="1"/>
  <c r="A103" i="1"/>
  <c r="DE102" i="1"/>
  <c r="DD102" i="1"/>
  <c r="DC102" i="1"/>
  <c r="CZ102" i="1"/>
  <c r="CY102" i="1"/>
  <c r="CX102" i="1"/>
  <c r="CW102" i="1"/>
  <c r="CV102" i="1"/>
  <c r="CU102" i="1"/>
  <c r="CT102" i="1"/>
  <c r="CS102" i="1"/>
  <c r="CR102" i="1"/>
  <c r="CQ102" i="1"/>
  <c r="CM102" i="1"/>
  <c r="CL102" i="1"/>
  <c r="CK102" i="1"/>
  <c r="CJ102" i="1"/>
  <c r="CI102" i="1"/>
  <c r="CH102" i="1"/>
  <c r="CG102" i="1"/>
  <c r="CF102" i="1"/>
  <c r="CE102" i="1"/>
  <c r="CD102" i="1"/>
  <c r="CC102" i="1"/>
  <c r="CB102" i="1"/>
  <c r="CA102" i="1"/>
  <c r="BZ102" i="1"/>
  <c r="BX102" i="1"/>
  <c r="BS102" i="1"/>
  <c r="BR102" i="1"/>
  <c r="BQ102" i="1"/>
  <c r="BP102" i="1"/>
  <c r="BO102" i="1"/>
  <c r="BN102" i="1"/>
  <c r="BM102" i="1"/>
  <c r="BL102" i="1"/>
  <c r="BK102" i="1"/>
  <c r="BJ102" i="1"/>
  <c r="BH102" i="1"/>
  <c r="BG102" i="1"/>
  <c r="BC102" i="1"/>
  <c r="AW102" i="1"/>
  <c r="AV102" i="1"/>
  <c r="AU102" i="1"/>
  <c r="AT102" i="1"/>
  <c r="AS102" i="1"/>
  <c r="AR102" i="1"/>
  <c r="AQ102" i="1"/>
  <c r="AO102" i="1"/>
  <c r="AN102" i="1"/>
  <c r="AM102" i="1"/>
  <c r="AL102" i="1"/>
  <c r="AK102" i="1"/>
  <c r="AJ102" i="1"/>
  <c r="AI102" i="1"/>
  <c r="AH102" i="1"/>
  <c r="AG102" i="1"/>
  <c r="AE102" i="1"/>
  <c r="AF102" i="1" s="1"/>
  <c r="AB102" i="1" s="1"/>
  <c r="AC102" i="1"/>
  <c r="AA102" i="1"/>
  <c r="Z102" i="1"/>
  <c r="Y102" i="1"/>
  <c r="X102" i="1"/>
  <c r="Q102" i="1"/>
  <c r="T102" i="1" s="1"/>
  <c r="F102" i="1"/>
  <c r="B102" i="1"/>
  <c r="A102" i="1"/>
  <c r="DE101" i="1"/>
  <c r="DD101" i="1"/>
  <c r="DC101" i="1"/>
  <c r="CZ101" i="1"/>
  <c r="CY101" i="1"/>
  <c r="CX101" i="1"/>
  <c r="CW101" i="1"/>
  <c r="CV101" i="1"/>
  <c r="CU101" i="1"/>
  <c r="CT101" i="1"/>
  <c r="CS101" i="1"/>
  <c r="CR101" i="1"/>
  <c r="CQ101" i="1"/>
  <c r="CM101" i="1"/>
  <c r="CL101" i="1"/>
  <c r="CK101" i="1"/>
  <c r="CJ101" i="1"/>
  <c r="CI101" i="1"/>
  <c r="CH101" i="1"/>
  <c r="CG101" i="1"/>
  <c r="CF101" i="1"/>
  <c r="CE101" i="1"/>
  <c r="CD101" i="1"/>
  <c r="CC101" i="1"/>
  <c r="CB101" i="1"/>
  <c r="CA101" i="1"/>
  <c r="BZ101" i="1"/>
  <c r="BX101" i="1"/>
  <c r="BS101" i="1"/>
  <c r="BR101" i="1"/>
  <c r="BQ101" i="1"/>
  <c r="BP101" i="1"/>
  <c r="BO101" i="1"/>
  <c r="BN101" i="1"/>
  <c r="BM101" i="1"/>
  <c r="BL101" i="1"/>
  <c r="BK101" i="1"/>
  <c r="BJ101" i="1"/>
  <c r="BH101" i="1"/>
  <c r="BG101" i="1"/>
  <c r="BC101" i="1"/>
  <c r="AW101" i="1"/>
  <c r="AV101" i="1"/>
  <c r="AU101" i="1"/>
  <c r="AT101" i="1"/>
  <c r="AS101" i="1"/>
  <c r="AR101" i="1"/>
  <c r="AQ101" i="1"/>
  <c r="AO101" i="1"/>
  <c r="AN101" i="1"/>
  <c r="AM101" i="1"/>
  <c r="AL101" i="1"/>
  <c r="AK101" i="1"/>
  <c r="AJ101" i="1"/>
  <c r="AI101" i="1"/>
  <c r="AH101" i="1"/>
  <c r="AG101" i="1"/>
  <c r="AE101" i="1"/>
  <c r="AF101" i="1" s="1"/>
  <c r="AC101" i="1"/>
  <c r="AA101" i="1"/>
  <c r="Z101" i="1"/>
  <c r="Y101" i="1"/>
  <c r="X101" i="1"/>
  <c r="W101" i="1"/>
  <c r="Q101" i="1"/>
  <c r="AX101" i="1" s="1"/>
  <c r="F101" i="1"/>
  <c r="B101" i="1"/>
  <c r="A101" i="1"/>
  <c r="DE100" i="1"/>
  <c r="DD100" i="1"/>
  <c r="DC100" i="1"/>
  <c r="CZ100" i="1"/>
  <c r="CY100" i="1"/>
  <c r="CX100" i="1"/>
  <c r="CW100" i="1"/>
  <c r="CV100" i="1"/>
  <c r="CU100" i="1"/>
  <c r="CT100" i="1"/>
  <c r="CS100" i="1"/>
  <c r="CR100" i="1"/>
  <c r="CQ100" i="1"/>
  <c r="CM100" i="1"/>
  <c r="CL100" i="1"/>
  <c r="CK100" i="1"/>
  <c r="CJ100" i="1"/>
  <c r="CI100" i="1"/>
  <c r="CH100" i="1"/>
  <c r="CG100" i="1"/>
  <c r="CF100" i="1"/>
  <c r="CE100" i="1"/>
  <c r="CD100" i="1"/>
  <c r="CC100" i="1"/>
  <c r="CB100" i="1"/>
  <c r="CA100" i="1"/>
  <c r="BZ100" i="1"/>
  <c r="BX100" i="1"/>
  <c r="BT100" i="1"/>
  <c r="BS100" i="1"/>
  <c r="BR100" i="1"/>
  <c r="BQ100" i="1"/>
  <c r="BP100" i="1"/>
  <c r="BO100" i="1"/>
  <c r="BN100" i="1"/>
  <c r="BM100" i="1"/>
  <c r="BL100" i="1"/>
  <c r="BK100" i="1"/>
  <c r="BJ100" i="1"/>
  <c r="BH100" i="1"/>
  <c r="BG100" i="1"/>
  <c r="BC100" i="1"/>
  <c r="AW100" i="1"/>
  <c r="AV100" i="1"/>
  <c r="AU100" i="1"/>
  <c r="AT100" i="1"/>
  <c r="AS100" i="1"/>
  <c r="AR100" i="1"/>
  <c r="AQ100" i="1"/>
  <c r="AO100" i="1"/>
  <c r="AN100" i="1"/>
  <c r="AM100" i="1"/>
  <c r="AL100" i="1"/>
  <c r="AK100" i="1"/>
  <c r="AJ100" i="1"/>
  <c r="AI100" i="1"/>
  <c r="AH100" i="1"/>
  <c r="AG100" i="1"/>
  <c r="AE100" i="1"/>
  <c r="AF100" i="1" s="1"/>
  <c r="AB100" i="1" s="1"/>
  <c r="AC100" i="1"/>
  <c r="AA100" i="1"/>
  <c r="Z100" i="1"/>
  <c r="Y100" i="1"/>
  <c r="X100" i="1"/>
  <c r="W100" i="1" s="1"/>
  <c r="T100" i="1"/>
  <c r="Q100" i="1"/>
  <c r="AX100" i="1" s="1"/>
  <c r="F100" i="1"/>
  <c r="B100" i="1"/>
  <c r="A100" i="1"/>
  <c r="DE99" i="1"/>
  <c r="DD99" i="1"/>
  <c r="DC99" i="1"/>
  <c r="CZ99" i="1"/>
  <c r="CY99" i="1"/>
  <c r="CX99" i="1"/>
  <c r="CW99" i="1"/>
  <c r="CV99" i="1"/>
  <c r="CU99" i="1"/>
  <c r="CT99" i="1"/>
  <c r="CS99" i="1"/>
  <c r="CR99" i="1"/>
  <c r="CQ99" i="1"/>
  <c r="CM99" i="1"/>
  <c r="CL99" i="1"/>
  <c r="CK99" i="1"/>
  <c r="CJ99" i="1"/>
  <c r="CI99" i="1"/>
  <c r="CH99" i="1"/>
  <c r="CG99" i="1"/>
  <c r="CF99" i="1"/>
  <c r="CE99" i="1"/>
  <c r="CD99" i="1"/>
  <c r="CC99" i="1"/>
  <c r="CB99" i="1"/>
  <c r="CA99" i="1"/>
  <c r="BZ99" i="1"/>
  <c r="BX99" i="1"/>
  <c r="BS99" i="1"/>
  <c r="BR99" i="1"/>
  <c r="BQ99" i="1"/>
  <c r="BP99" i="1"/>
  <c r="BO99" i="1"/>
  <c r="BN99" i="1"/>
  <c r="BM99" i="1"/>
  <c r="BL99" i="1"/>
  <c r="BK99" i="1"/>
  <c r="BJ99" i="1"/>
  <c r="BT99" i="1" s="1"/>
  <c r="BH99" i="1"/>
  <c r="BG99" i="1"/>
  <c r="BC99" i="1"/>
  <c r="AW99" i="1"/>
  <c r="AV99" i="1"/>
  <c r="AU99" i="1"/>
  <c r="AT99" i="1"/>
  <c r="AS99" i="1"/>
  <c r="AR99" i="1"/>
  <c r="AQ99" i="1"/>
  <c r="AO99" i="1"/>
  <c r="AN99" i="1"/>
  <c r="AM99" i="1"/>
  <c r="AL99" i="1"/>
  <c r="AK99" i="1"/>
  <c r="AJ99" i="1"/>
  <c r="AI99" i="1"/>
  <c r="AH99" i="1"/>
  <c r="AG99" i="1"/>
  <c r="AE99" i="1"/>
  <c r="AF99" i="1" s="1"/>
  <c r="AB99" i="1" s="1"/>
  <c r="AC99" i="1"/>
  <c r="AA99" i="1"/>
  <c r="Z99" i="1"/>
  <c r="Y99" i="1"/>
  <c r="W99" i="1" s="1"/>
  <c r="X99" i="1"/>
  <c r="Q99" i="1"/>
  <c r="AX99" i="1" s="1"/>
  <c r="F99" i="1"/>
  <c r="B99" i="1"/>
  <c r="A99" i="1"/>
  <c r="DE98" i="1"/>
  <c r="DD98" i="1"/>
  <c r="DC98" i="1"/>
  <c r="CZ98" i="1"/>
  <c r="CY98" i="1"/>
  <c r="CX98" i="1"/>
  <c r="CW98" i="1"/>
  <c r="CV98" i="1"/>
  <c r="CU98" i="1"/>
  <c r="CT98" i="1"/>
  <c r="CS98" i="1"/>
  <c r="CR98" i="1"/>
  <c r="CQ98" i="1"/>
  <c r="CM98" i="1"/>
  <c r="CL98" i="1"/>
  <c r="CK98" i="1"/>
  <c r="CJ98" i="1"/>
  <c r="CI98" i="1"/>
  <c r="CH98" i="1"/>
  <c r="CG98" i="1"/>
  <c r="CF98" i="1"/>
  <c r="CE98" i="1"/>
  <c r="CD98" i="1"/>
  <c r="CC98" i="1"/>
  <c r="CB98" i="1"/>
  <c r="CA98" i="1"/>
  <c r="BZ98" i="1"/>
  <c r="BX98" i="1"/>
  <c r="BS98" i="1"/>
  <c r="BR98" i="1"/>
  <c r="BQ98" i="1"/>
  <c r="BP98" i="1"/>
  <c r="BO98" i="1"/>
  <c r="BN98" i="1"/>
  <c r="BM98" i="1"/>
  <c r="BL98" i="1"/>
  <c r="BK98" i="1"/>
  <c r="BJ98" i="1"/>
  <c r="BH98" i="1"/>
  <c r="BG98" i="1"/>
  <c r="BC98" i="1"/>
  <c r="AW98" i="1"/>
  <c r="AV98" i="1"/>
  <c r="AU98" i="1"/>
  <c r="AT98" i="1"/>
  <c r="AS98" i="1"/>
  <c r="AR98" i="1"/>
  <c r="AQ98" i="1"/>
  <c r="AO98" i="1"/>
  <c r="AN98" i="1"/>
  <c r="AM98" i="1"/>
  <c r="AL98" i="1"/>
  <c r="AK98" i="1"/>
  <c r="AJ98" i="1"/>
  <c r="AI98" i="1"/>
  <c r="AH98" i="1"/>
  <c r="AG98" i="1"/>
  <c r="AE98" i="1"/>
  <c r="AF98" i="1" s="1"/>
  <c r="AC98" i="1"/>
  <c r="AA98" i="1"/>
  <c r="Z98" i="1"/>
  <c r="Y98" i="1"/>
  <c r="X98" i="1"/>
  <c r="W98" i="1"/>
  <c r="Q98" i="1"/>
  <c r="AX98" i="1" s="1"/>
  <c r="F98" i="1"/>
  <c r="B98" i="1"/>
  <c r="A98" i="1"/>
  <c r="DE97" i="1"/>
  <c r="DD97" i="1"/>
  <c r="DC97" i="1"/>
  <c r="CZ97" i="1"/>
  <c r="CY97" i="1"/>
  <c r="CX97" i="1"/>
  <c r="CW97" i="1"/>
  <c r="CV97" i="1"/>
  <c r="CU97" i="1"/>
  <c r="CT97" i="1"/>
  <c r="CS97" i="1"/>
  <c r="CR97" i="1"/>
  <c r="CQ97" i="1"/>
  <c r="CM97" i="1"/>
  <c r="CL97" i="1"/>
  <c r="CK97" i="1"/>
  <c r="CJ97" i="1"/>
  <c r="CI97" i="1"/>
  <c r="CH97" i="1"/>
  <c r="CG97" i="1"/>
  <c r="CF97" i="1"/>
  <c r="CE97" i="1"/>
  <c r="CD97" i="1"/>
  <c r="CC97" i="1"/>
  <c r="CB97" i="1"/>
  <c r="CA97" i="1"/>
  <c r="BZ97" i="1"/>
  <c r="BX97" i="1"/>
  <c r="BS97" i="1"/>
  <c r="BR97" i="1"/>
  <c r="BQ97" i="1"/>
  <c r="BP97" i="1"/>
  <c r="BO97" i="1"/>
  <c r="BN97" i="1"/>
  <c r="BM97" i="1"/>
  <c r="BL97" i="1"/>
  <c r="BK97" i="1"/>
  <c r="BJ97" i="1"/>
  <c r="BH97" i="1"/>
  <c r="BG97" i="1"/>
  <c r="BC97" i="1"/>
  <c r="AW97" i="1"/>
  <c r="AV97" i="1"/>
  <c r="AU97" i="1"/>
  <c r="AT97" i="1"/>
  <c r="AS97" i="1"/>
  <c r="AR97" i="1"/>
  <c r="AQ97" i="1"/>
  <c r="AO97" i="1"/>
  <c r="AN97" i="1"/>
  <c r="AM97" i="1"/>
  <c r="AL97" i="1"/>
  <c r="AK97" i="1"/>
  <c r="AJ97" i="1"/>
  <c r="AI97" i="1"/>
  <c r="AH97" i="1"/>
  <c r="AG97" i="1"/>
  <c r="AF97" i="1"/>
  <c r="AE97" i="1"/>
  <c r="AC97" i="1"/>
  <c r="AA97" i="1"/>
  <c r="Z97" i="1"/>
  <c r="Y97" i="1"/>
  <c r="X97" i="1"/>
  <c r="W97" i="1" s="1"/>
  <c r="Q97" i="1"/>
  <c r="AX97" i="1" s="1"/>
  <c r="F97" i="1"/>
  <c r="B97" i="1"/>
  <c r="A97" i="1"/>
  <c r="DE96" i="1"/>
  <c r="DD96" i="1"/>
  <c r="DC96" i="1"/>
  <c r="CZ96" i="1"/>
  <c r="CY96" i="1"/>
  <c r="CX96" i="1"/>
  <c r="CW96" i="1"/>
  <c r="CV96" i="1"/>
  <c r="CU96" i="1"/>
  <c r="CT96" i="1"/>
  <c r="CS96" i="1"/>
  <c r="CR96" i="1"/>
  <c r="CQ96" i="1"/>
  <c r="CM96" i="1"/>
  <c r="CL96" i="1"/>
  <c r="CK96" i="1"/>
  <c r="CJ96" i="1"/>
  <c r="CI96" i="1"/>
  <c r="CH96" i="1"/>
  <c r="CG96" i="1"/>
  <c r="CF96" i="1"/>
  <c r="CE96" i="1"/>
  <c r="CD96" i="1"/>
  <c r="CC96" i="1"/>
  <c r="CB96" i="1"/>
  <c r="CA96" i="1"/>
  <c r="BZ96" i="1"/>
  <c r="BX96" i="1"/>
  <c r="BS96" i="1"/>
  <c r="BR96" i="1"/>
  <c r="BQ96" i="1"/>
  <c r="BP96" i="1"/>
  <c r="BO96" i="1"/>
  <c r="BN96" i="1"/>
  <c r="BM96" i="1"/>
  <c r="BL96" i="1"/>
  <c r="BK96" i="1"/>
  <c r="BJ96" i="1"/>
  <c r="BH96" i="1"/>
  <c r="BG96" i="1"/>
  <c r="BC96" i="1"/>
  <c r="AW96" i="1"/>
  <c r="AV96" i="1"/>
  <c r="AU96" i="1"/>
  <c r="AT96" i="1"/>
  <c r="AS96" i="1"/>
  <c r="AR96" i="1"/>
  <c r="AQ96" i="1"/>
  <c r="AO96" i="1"/>
  <c r="AN96" i="1"/>
  <c r="AM96" i="1"/>
  <c r="AL96" i="1"/>
  <c r="AK96" i="1"/>
  <c r="AJ96" i="1"/>
  <c r="AI96" i="1"/>
  <c r="AH96" i="1"/>
  <c r="AG96" i="1"/>
  <c r="AE96" i="1"/>
  <c r="AF96" i="1" s="1"/>
  <c r="AC96" i="1"/>
  <c r="AB96" i="1" s="1"/>
  <c r="AA96" i="1"/>
  <c r="Z96" i="1"/>
  <c r="Y96" i="1"/>
  <c r="W96" i="1" s="1"/>
  <c r="X96" i="1"/>
  <c r="Q96" i="1"/>
  <c r="AX96" i="1" s="1"/>
  <c r="F96" i="1"/>
  <c r="B96" i="1"/>
  <c r="A96" i="1"/>
  <c r="DE95" i="1"/>
  <c r="DD95" i="1"/>
  <c r="DC95" i="1"/>
  <c r="CZ95" i="1"/>
  <c r="CY95" i="1"/>
  <c r="CX95" i="1"/>
  <c r="CW95" i="1"/>
  <c r="CV95" i="1"/>
  <c r="CU95" i="1"/>
  <c r="CT95" i="1"/>
  <c r="CS95" i="1"/>
  <c r="CR95" i="1"/>
  <c r="CQ95" i="1"/>
  <c r="CM95" i="1"/>
  <c r="CL95" i="1"/>
  <c r="CK95" i="1"/>
  <c r="CJ95" i="1"/>
  <c r="CI95" i="1"/>
  <c r="CH95" i="1"/>
  <c r="CG95" i="1"/>
  <c r="CF95" i="1"/>
  <c r="CE95" i="1"/>
  <c r="CD95" i="1"/>
  <c r="CC95" i="1"/>
  <c r="CB95" i="1"/>
  <c r="CA95" i="1"/>
  <c r="BZ95" i="1"/>
  <c r="BX95" i="1"/>
  <c r="BS95" i="1"/>
  <c r="BR95" i="1"/>
  <c r="BQ95" i="1"/>
  <c r="BP95" i="1"/>
  <c r="BO95" i="1"/>
  <c r="BN95" i="1"/>
  <c r="BM95" i="1"/>
  <c r="BL95" i="1"/>
  <c r="BK95" i="1"/>
  <c r="BJ95" i="1"/>
  <c r="BH95" i="1"/>
  <c r="BG95" i="1"/>
  <c r="BC95" i="1"/>
  <c r="AW95" i="1"/>
  <c r="AV95" i="1"/>
  <c r="AU95" i="1"/>
  <c r="AT95" i="1"/>
  <c r="AS95" i="1"/>
  <c r="AR95" i="1"/>
  <c r="AQ95" i="1"/>
  <c r="AO95" i="1"/>
  <c r="AN95" i="1"/>
  <c r="AM95" i="1"/>
  <c r="AL95" i="1"/>
  <c r="AK95" i="1"/>
  <c r="AJ95" i="1"/>
  <c r="AI95" i="1"/>
  <c r="AH95" i="1"/>
  <c r="AG95" i="1"/>
  <c r="AE95" i="1"/>
  <c r="AF95" i="1" s="1"/>
  <c r="AC95" i="1"/>
  <c r="AB95" i="1" s="1"/>
  <c r="AA95" i="1"/>
  <c r="Z95" i="1"/>
  <c r="Y95" i="1"/>
  <c r="X95" i="1"/>
  <c r="W95" i="1" s="1"/>
  <c r="Q95" i="1"/>
  <c r="AX95" i="1" s="1"/>
  <c r="F95" i="1"/>
  <c r="B95" i="1"/>
  <c r="A95" i="1"/>
  <c r="DE94" i="1"/>
  <c r="DD94" i="1"/>
  <c r="DC94" i="1"/>
  <c r="CZ94" i="1"/>
  <c r="CY94" i="1"/>
  <c r="CX94" i="1"/>
  <c r="CW94" i="1"/>
  <c r="CV94" i="1"/>
  <c r="CU94" i="1"/>
  <c r="CT94" i="1"/>
  <c r="CS94" i="1"/>
  <c r="CR94" i="1"/>
  <c r="CQ94" i="1"/>
  <c r="CM94" i="1"/>
  <c r="CL94" i="1"/>
  <c r="CK94" i="1"/>
  <c r="CJ94" i="1"/>
  <c r="CI94" i="1"/>
  <c r="CH94" i="1"/>
  <c r="CG94" i="1"/>
  <c r="CF94" i="1"/>
  <c r="CE94" i="1"/>
  <c r="CD94" i="1"/>
  <c r="CC94" i="1"/>
  <c r="CB94" i="1"/>
  <c r="CA94" i="1"/>
  <c r="CN94" i="1" s="1"/>
  <c r="BZ94" i="1"/>
  <c r="BX94" i="1"/>
  <c r="BS94" i="1"/>
  <c r="BR94" i="1"/>
  <c r="BQ94" i="1"/>
  <c r="BP94" i="1"/>
  <c r="BO94" i="1"/>
  <c r="BN94" i="1"/>
  <c r="BM94" i="1"/>
  <c r="BL94" i="1"/>
  <c r="BK94" i="1"/>
  <c r="BJ94" i="1"/>
  <c r="BH94" i="1"/>
  <c r="BG94" i="1"/>
  <c r="BC94" i="1"/>
  <c r="AW94" i="1"/>
  <c r="AV94" i="1"/>
  <c r="AU94" i="1"/>
  <c r="AT94" i="1"/>
  <c r="AS94" i="1"/>
  <c r="AR94" i="1"/>
  <c r="AQ94" i="1"/>
  <c r="AO94" i="1"/>
  <c r="AN94" i="1"/>
  <c r="AM94" i="1"/>
  <c r="AL94" i="1"/>
  <c r="AK94" i="1"/>
  <c r="AJ94" i="1"/>
  <c r="AI94" i="1"/>
  <c r="AH94" i="1"/>
  <c r="AG94" i="1"/>
  <c r="AE94" i="1"/>
  <c r="AF94" i="1" s="1"/>
  <c r="AC94" i="1"/>
  <c r="AB94" i="1" s="1"/>
  <c r="AA94" i="1"/>
  <c r="Z94" i="1"/>
  <c r="Y94" i="1"/>
  <c r="X94" i="1"/>
  <c r="Q94" i="1"/>
  <c r="AX94" i="1" s="1"/>
  <c r="F94" i="1"/>
  <c r="B94" i="1"/>
  <c r="A94" i="1"/>
  <c r="DE93" i="1"/>
  <c r="DD93" i="1"/>
  <c r="DC93" i="1"/>
  <c r="CZ93" i="1"/>
  <c r="CY93" i="1"/>
  <c r="CX93" i="1"/>
  <c r="CW93" i="1"/>
  <c r="CV93" i="1"/>
  <c r="CU93" i="1"/>
  <c r="CT93" i="1"/>
  <c r="CS93" i="1"/>
  <c r="CR93" i="1"/>
  <c r="CQ93" i="1"/>
  <c r="CM93" i="1"/>
  <c r="CL93" i="1"/>
  <c r="CK93" i="1"/>
  <c r="CJ93" i="1"/>
  <c r="CI93" i="1"/>
  <c r="CH93" i="1"/>
  <c r="CG93" i="1"/>
  <c r="CF93" i="1"/>
  <c r="CE93" i="1"/>
  <c r="CD93" i="1"/>
  <c r="CC93" i="1"/>
  <c r="CB93" i="1"/>
  <c r="CA93" i="1"/>
  <c r="BZ93" i="1"/>
  <c r="BX93" i="1"/>
  <c r="BS93" i="1"/>
  <c r="BR93" i="1"/>
  <c r="BQ93" i="1"/>
  <c r="BP93" i="1"/>
  <c r="BO93" i="1"/>
  <c r="BN93" i="1"/>
  <c r="BT93" i="1" s="1"/>
  <c r="BM93" i="1"/>
  <c r="BL93" i="1"/>
  <c r="BK93" i="1"/>
  <c r="BJ93" i="1"/>
  <c r="BH93" i="1"/>
  <c r="BG93" i="1"/>
  <c r="BC93" i="1"/>
  <c r="AW93" i="1"/>
  <c r="AV93" i="1"/>
  <c r="AU93" i="1"/>
  <c r="AT93" i="1"/>
  <c r="AS93" i="1"/>
  <c r="AR93" i="1"/>
  <c r="AQ93" i="1"/>
  <c r="AO93" i="1"/>
  <c r="AN93" i="1"/>
  <c r="AM93" i="1"/>
  <c r="AL93" i="1"/>
  <c r="AK93" i="1"/>
  <c r="AJ93" i="1"/>
  <c r="AI93" i="1"/>
  <c r="AH93" i="1"/>
  <c r="AG93" i="1"/>
  <c r="AE93" i="1"/>
  <c r="AF93" i="1" s="1"/>
  <c r="AC93" i="1"/>
  <c r="AB93" i="1" s="1"/>
  <c r="AA93" i="1"/>
  <c r="Z93" i="1"/>
  <c r="Y93" i="1"/>
  <c r="W93" i="1" s="1"/>
  <c r="X93" i="1"/>
  <c r="Q93" i="1"/>
  <c r="AX93" i="1" s="1"/>
  <c r="F93" i="1"/>
  <c r="B93" i="1"/>
  <c r="A93" i="1"/>
  <c r="DE92" i="1"/>
  <c r="DD92" i="1"/>
  <c r="DC92" i="1"/>
  <c r="CZ92" i="1"/>
  <c r="CY92" i="1"/>
  <c r="CX92" i="1"/>
  <c r="CW92" i="1"/>
  <c r="CV92" i="1"/>
  <c r="CU92" i="1"/>
  <c r="CT92" i="1"/>
  <c r="CS92" i="1"/>
  <c r="CR92" i="1"/>
  <c r="CQ92" i="1"/>
  <c r="CM92" i="1"/>
  <c r="CL92" i="1"/>
  <c r="CK92" i="1"/>
  <c r="CJ92" i="1"/>
  <c r="CI92" i="1"/>
  <c r="CH92" i="1"/>
  <c r="CG92" i="1"/>
  <c r="CF92" i="1"/>
  <c r="CE92" i="1"/>
  <c r="CD92" i="1"/>
  <c r="CC92" i="1"/>
  <c r="CB92" i="1"/>
  <c r="CA92" i="1"/>
  <c r="BZ92" i="1"/>
  <c r="BX92" i="1"/>
  <c r="BS92" i="1"/>
  <c r="BR92" i="1"/>
  <c r="BQ92" i="1"/>
  <c r="BP92" i="1"/>
  <c r="BO92" i="1"/>
  <c r="BN92" i="1"/>
  <c r="BM92" i="1"/>
  <c r="BL92" i="1"/>
  <c r="BK92" i="1"/>
  <c r="BJ92" i="1"/>
  <c r="BH92" i="1"/>
  <c r="BG92" i="1"/>
  <c r="BC92" i="1"/>
  <c r="AW92" i="1"/>
  <c r="AV92" i="1"/>
  <c r="AU92" i="1"/>
  <c r="AT92" i="1"/>
  <c r="AS92" i="1"/>
  <c r="AR92" i="1"/>
  <c r="AQ92" i="1"/>
  <c r="AO92" i="1"/>
  <c r="AN92" i="1"/>
  <c r="AM92" i="1"/>
  <c r="AL92" i="1"/>
  <c r="AK92" i="1"/>
  <c r="AJ92" i="1"/>
  <c r="AI92" i="1"/>
  <c r="AH92" i="1"/>
  <c r="AG92" i="1"/>
  <c r="AE92" i="1"/>
  <c r="AF92" i="1" s="1"/>
  <c r="AC92" i="1"/>
  <c r="AA92" i="1"/>
  <c r="Z92" i="1"/>
  <c r="Y92" i="1"/>
  <c r="X92" i="1"/>
  <c r="Q92" i="1"/>
  <c r="AX92" i="1" s="1"/>
  <c r="F92" i="1"/>
  <c r="B92" i="1"/>
  <c r="A92" i="1"/>
  <c r="DE91" i="1"/>
  <c r="DD91" i="1"/>
  <c r="DC91" i="1"/>
  <c r="CZ91" i="1"/>
  <c r="CY91" i="1"/>
  <c r="CX91" i="1"/>
  <c r="CW91" i="1"/>
  <c r="CV91" i="1"/>
  <c r="CU91" i="1"/>
  <c r="CT91" i="1"/>
  <c r="CS91" i="1"/>
  <c r="CR91" i="1"/>
  <c r="CQ91" i="1"/>
  <c r="CM91" i="1"/>
  <c r="CL91" i="1"/>
  <c r="CK91" i="1"/>
  <c r="CJ91" i="1"/>
  <c r="CI91" i="1"/>
  <c r="CH91" i="1"/>
  <c r="CG91" i="1"/>
  <c r="CF91" i="1"/>
  <c r="CE91" i="1"/>
  <c r="CD91" i="1"/>
  <c r="CC91" i="1"/>
  <c r="CB91" i="1"/>
  <c r="CA91" i="1"/>
  <c r="BZ91" i="1"/>
  <c r="BX91" i="1"/>
  <c r="BS91" i="1"/>
  <c r="BR91" i="1"/>
  <c r="BQ91" i="1"/>
  <c r="BP91" i="1"/>
  <c r="BO91" i="1"/>
  <c r="BN91" i="1"/>
  <c r="BM91" i="1"/>
  <c r="BL91" i="1"/>
  <c r="BK91" i="1"/>
  <c r="BJ91" i="1"/>
  <c r="BH91" i="1"/>
  <c r="BG91" i="1"/>
  <c r="BC91" i="1"/>
  <c r="AW91" i="1"/>
  <c r="AV91" i="1"/>
  <c r="AU91" i="1"/>
  <c r="AT91" i="1"/>
  <c r="AS91" i="1"/>
  <c r="AR91" i="1"/>
  <c r="AQ91" i="1"/>
  <c r="AO91" i="1"/>
  <c r="AN91" i="1"/>
  <c r="AM91" i="1"/>
  <c r="AL91" i="1"/>
  <c r="AK91" i="1"/>
  <c r="AJ91" i="1"/>
  <c r="AI91" i="1"/>
  <c r="AH91" i="1"/>
  <c r="AG91" i="1"/>
  <c r="AF91" i="1"/>
  <c r="AE91" i="1"/>
  <c r="AC91" i="1"/>
  <c r="AB91" i="1" s="1"/>
  <c r="AA91" i="1"/>
  <c r="Z91" i="1"/>
  <c r="Y91" i="1"/>
  <c r="X91" i="1"/>
  <c r="T91" i="1"/>
  <c r="Q91" i="1"/>
  <c r="AX91" i="1" s="1"/>
  <c r="F91" i="1"/>
  <c r="B91" i="1"/>
  <c r="A91" i="1"/>
  <c r="DE90" i="1"/>
  <c r="DD90" i="1"/>
  <c r="DC90" i="1"/>
  <c r="CZ90" i="1"/>
  <c r="CY90" i="1"/>
  <c r="CX90" i="1"/>
  <c r="CW90" i="1"/>
  <c r="CV90" i="1"/>
  <c r="CU90" i="1"/>
  <c r="CT90" i="1"/>
  <c r="CS90" i="1"/>
  <c r="CR90" i="1"/>
  <c r="CQ90" i="1"/>
  <c r="CM90" i="1"/>
  <c r="CL90" i="1"/>
  <c r="CK90" i="1"/>
  <c r="CJ90" i="1"/>
  <c r="CI90" i="1"/>
  <c r="CH90" i="1"/>
  <c r="CG90" i="1"/>
  <c r="CF90" i="1"/>
  <c r="CE90" i="1"/>
  <c r="CD90" i="1"/>
  <c r="CC90" i="1"/>
  <c r="CB90" i="1"/>
  <c r="CA90" i="1"/>
  <c r="BZ90" i="1"/>
  <c r="BX90" i="1"/>
  <c r="BS90" i="1"/>
  <c r="BR90" i="1"/>
  <c r="BQ90" i="1"/>
  <c r="BP90" i="1"/>
  <c r="BO90" i="1"/>
  <c r="BN90" i="1"/>
  <c r="BM90" i="1"/>
  <c r="BL90" i="1"/>
  <c r="BK90" i="1"/>
  <c r="BJ90" i="1"/>
  <c r="BH90" i="1"/>
  <c r="BG90" i="1"/>
  <c r="BC90" i="1"/>
  <c r="AW90" i="1"/>
  <c r="AV90" i="1"/>
  <c r="AU90" i="1"/>
  <c r="AT90" i="1"/>
  <c r="AS90" i="1"/>
  <c r="AR90" i="1"/>
  <c r="AQ90" i="1"/>
  <c r="AO90" i="1"/>
  <c r="AN90" i="1"/>
  <c r="AM90" i="1"/>
  <c r="AL90" i="1"/>
  <c r="AK90" i="1"/>
  <c r="AJ90" i="1"/>
  <c r="AI90" i="1"/>
  <c r="AH90" i="1"/>
  <c r="AG90" i="1"/>
  <c r="AE90" i="1"/>
  <c r="AF90" i="1" s="1"/>
  <c r="AC90" i="1"/>
  <c r="AA90" i="1"/>
  <c r="Z90" i="1"/>
  <c r="Y90" i="1"/>
  <c r="X90" i="1"/>
  <c r="T90" i="1"/>
  <c r="Q90" i="1"/>
  <c r="AX90" i="1" s="1"/>
  <c r="F90" i="1"/>
  <c r="B90" i="1"/>
  <c r="A90" i="1"/>
  <c r="DE89" i="1"/>
  <c r="DD89" i="1"/>
  <c r="DC89" i="1"/>
  <c r="CZ89" i="1"/>
  <c r="CY89" i="1"/>
  <c r="CX89" i="1"/>
  <c r="CW89" i="1"/>
  <c r="CV89" i="1"/>
  <c r="CU89" i="1"/>
  <c r="CT89" i="1"/>
  <c r="CS89" i="1"/>
  <c r="CR89" i="1"/>
  <c r="CQ89" i="1"/>
  <c r="CM89" i="1"/>
  <c r="CL89" i="1"/>
  <c r="CK89" i="1"/>
  <c r="CJ89" i="1"/>
  <c r="CI89" i="1"/>
  <c r="CH89" i="1"/>
  <c r="CG89" i="1"/>
  <c r="CF89" i="1"/>
  <c r="CE89" i="1"/>
  <c r="CD89" i="1"/>
  <c r="CC89" i="1"/>
  <c r="CB89" i="1"/>
  <c r="CA89" i="1"/>
  <c r="BZ89" i="1"/>
  <c r="BX89" i="1"/>
  <c r="BS89" i="1"/>
  <c r="BR89" i="1"/>
  <c r="BQ89" i="1"/>
  <c r="BP89" i="1"/>
  <c r="BO89" i="1"/>
  <c r="BN89" i="1"/>
  <c r="BM89" i="1"/>
  <c r="BL89" i="1"/>
  <c r="BK89" i="1"/>
  <c r="BJ89" i="1"/>
  <c r="BH89" i="1"/>
  <c r="BG89" i="1"/>
  <c r="BC89" i="1"/>
  <c r="AW89" i="1"/>
  <c r="AV89" i="1"/>
  <c r="AU89" i="1"/>
  <c r="AT89" i="1"/>
  <c r="AS89" i="1"/>
  <c r="AR89" i="1"/>
  <c r="AQ89" i="1"/>
  <c r="AO89" i="1"/>
  <c r="AN89" i="1"/>
  <c r="AM89" i="1"/>
  <c r="AL89" i="1"/>
  <c r="AK89" i="1"/>
  <c r="AJ89" i="1"/>
  <c r="AI89" i="1"/>
  <c r="AH89" i="1"/>
  <c r="AG89" i="1"/>
  <c r="AE89" i="1"/>
  <c r="AF89" i="1" s="1"/>
  <c r="AC89" i="1"/>
  <c r="AA89" i="1"/>
  <c r="Z89" i="1"/>
  <c r="Y89" i="1"/>
  <c r="X89" i="1"/>
  <c r="T89" i="1"/>
  <c r="Q89" i="1"/>
  <c r="AX89" i="1" s="1"/>
  <c r="F89" i="1"/>
  <c r="B89" i="1"/>
  <c r="A89" i="1"/>
  <c r="DE88" i="1"/>
  <c r="DD88" i="1"/>
  <c r="DC88" i="1"/>
  <c r="CZ88" i="1"/>
  <c r="CY88" i="1"/>
  <c r="CX88" i="1"/>
  <c r="CW88" i="1"/>
  <c r="CV88" i="1"/>
  <c r="CU88" i="1"/>
  <c r="CT88" i="1"/>
  <c r="CS88" i="1"/>
  <c r="CR88" i="1"/>
  <c r="CQ88" i="1"/>
  <c r="CM88" i="1"/>
  <c r="CL88" i="1"/>
  <c r="CK88" i="1"/>
  <c r="CJ88" i="1"/>
  <c r="CI88" i="1"/>
  <c r="CH88" i="1"/>
  <c r="CG88" i="1"/>
  <c r="CF88" i="1"/>
  <c r="CE88" i="1"/>
  <c r="CD88" i="1"/>
  <c r="CC88" i="1"/>
  <c r="CB88" i="1"/>
  <c r="CA88" i="1"/>
  <c r="BZ88" i="1"/>
  <c r="BX88" i="1"/>
  <c r="BS88" i="1"/>
  <c r="BR88" i="1"/>
  <c r="BQ88" i="1"/>
  <c r="BP88" i="1"/>
  <c r="BO88" i="1"/>
  <c r="BN88" i="1"/>
  <c r="BM88" i="1"/>
  <c r="BL88" i="1"/>
  <c r="BK88" i="1"/>
  <c r="BJ88" i="1"/>
  <c r="BH88" i="1"/>
  <c r="BG88" i="1"/>
  <c r="BC88" i="1"/>
  <c r="AW88" i="1"/>
  <c r="AV88" i="1"/>
  <c r="AU88" i="1"/>
  <c r="AT88" i="1"/>
  <c r="AS88" i="1"/>
  <c r="AR88" i="1"/>
  <c r="AQ88" i="1"/>
  <c r="AO88" i="1"/>
  <c r="AN88" i="1"/>
  <c r="AM88" i="1"/>
  <c r="AL88" i="1"/>
  <c r="AK88" i="1"/>
  <c r="AJ88" i="1"/>
  <c r="AI88" i="1"/>
  <c r="AH88" i="1"/>
  <c r="AG88" i="1"/>
  <c r="AE88" i="1"/>
  <c r="AF88" i="1" s="1"/>
  <c r="AC88" i="1"/>
  <c r="AB88" i="1" s="1"/>
  <c r="AA88" i="1"/>
  <c r="Z88" i="1"/>
  <c r="Y88" i="1"/>
  <c r="X88" i="1"/>
  <c r="T88" i="1"/>
  <c r="Q88" i="1"/>
  <c r="AX88" i="1" s="1"/>
  <c r="F88" i="1"/>
  <c r="B88" i="1"/>
  <c r="A88" i="1"/>
  <c r="DE87" i="1"/>
  <c r="DD87" i="1"/>
  <c r="DC87" i="1"/>
  <c r="CZ87" i="1"/>
  <c r="CY87" i="1"/>
  <c r="CX87" i="1"/>
  <c r="CW87" i="1"/>
  <c r="CV87" i="1"/>
  <c r="CU87" i="1"/>
  <c r="CT87" i="1"/>
  <c r="CS87" i="1"/>
  <c r="CR87" i="1"/>
  <c r="CQ87" i="1"/>
  <c r="CM87" i="1"/>
  <c r="CL87" i="1"/>
  <c r="CK87" i="1"/>
  <c r="CJ87" i="1"/>
  <c r="CI87" i="1"/>
  <c r="CH87" i="1"/>
  <c r="CG87" i="1"/>
  <c r="CF87" i="1"/>
  <c r="CE87" i="1"/>
  <c r="CD87" i="1"/>
  <c r="CC87" i="1"/>
  <c r="CB87" i="1"/>
  <c r="CA87" i="1"/>
  <c r="BZ87" i="1"/>
  <c r="BX87" i="1"/>
  <c r="BS87" i="1"/>
  <c r="BR87" i="1"/>
  <c r="BQ87" i="1"/>
  <c r="BP87" i="1"/>
  <c r="BO87" i="1"/>
  <c r="BN87" i="1"/>
  <c r="BM87" i="1"/>
  <c r="BL87" i="1"/>
  <c r="BK87" i="1"/>
  <c r="BJ87" i="1"/>
  <c r="BH87" i="1"/>
  <c r="BG87" i="1"/>
  <c r="BC87" i="1"/>
  <c r="AW87" i="1"/>
  <c r="AV87" i="1"/>
  <c r="AU87" i="1"/>
  <c r="AT87" i="1"/>
  <c r="AS87" i="1"/>
  <c r="AR87" i="1"/>
  <c r="AQ87" i="1"/>
  <c r="AO87" i="1"/>
  <c r="AN87" i="1"/>
  <c r="AM87" i="1"/>
  <c r="AL87" i="1"/>
  <c r="AK87" i="1"/>
  <c r="AJ87" i="1"/>
  <c r="AI87" i="1"/>
  <c r="AH87" i="1"/>
  <c r="AG87" i="1"/>
  <c r="AE87" i="1"/>
  <c r="AF87" i="1" s="1"/>
  <c r="AC87" i="1"/>
  <c r="AA87" i="1"/>
  <c r="Z87" i="1"/>
  <c r="Y87" i="1"/>
  <c r="X87" i="1"/>
  <c r="W87" i="1" s="1"/>
  <c r="Q87" i="1"/>
  <c r="AX87" i="1" s="1"/>
  <c r="F87" i="1"/>
  <c r="B87" i="1"/>
  <c r="A87" i="1"/>
  <c r="DE86" i="1"/>
  <c r="DD86" i="1"/>
  <c r="DC86" i="1"/>
  <c r="CZ86" i="1"/>
  <c r="CY86" i="1"/>
  <c r="CX86" i="1"/>
  <c r="CW86" i="1"/>
  <c r="CV86" i="1"/>
  <c r="CU86" i="1"/>
  <c r="CT86" i="1"/>
  <c r="CS86" i="1"/>
  <c r="CR86" i="1"/>
  <c r="CQ86" i="1"/>
  <c r="CM86" i="1"/>
  <c r="CL86" i="1"/>
  <c r="CK86" i="1"/>
  <c r="CJ86" i="1"/>
  <c r="CI86" i="1"/>
  <c r="CH86" i="1"/>
  <c r="CG86" i="1"/>
  <c r="CF86" i="1"/>
  <c r="CE86" i="1"/>
  <c r="CD86" i="1"/>
  <c r="CC86" i="1"/>
  <c r="CB86" i="1"/>
  <c r="CA86" i="1"/>
  <c r="BZ86" i="1"/>
  <c r="BX86" i="1"/>
  <c r="BS86" i="1"/>
  <c r="BR86" i="1"/>
  <c r="BQ86" i="1"/>
  <c r="BP86" i="1"/>
  <c r="BO86" i="1"/>
  <c r="BN86" i="1"/>
  <c r="BM86" i="1"/>
  <c r="BL86" i="1"/>
  <c r="BK86" i="1"/>
  <c r="BJ86" i="1"/>
  <c r="BT86" i="1" s="1"/>
  <c r="BH86" i="1"/>
  <c r="BG86" i="1"/>
  <c r="BC86" i="1"/>
  <c r="AW86" i="1"/>
  <c r="AV86" i="1"/>
  <c r="AU86" i="1"/>
  <c r="AT86" i="1"/>
  <c r="AS86" i="1"/>
  <c r="AR86" i="1"/>
  <c r="AQ86" i="1"/>
  <c r="AO86" i="1"/>
  <c r="AN86" i="1"/>
  <c r="AM86" i="1"/>
  <c r="AL86" i="1"/>
  <c r="AK86" i="1"/>
  <c r="AJ86" i="1"/>
  <c r="AI86" i="1"/>
  <c r="AH86" i="1"/>
  <c r="AG86" i="1"/>
  <c r="AE86" i="1"/>
  <c r="AF86" i="1" s="1"/>
  <c r="AC86" i="1"/>
  <c r="AA86" i="1"/>
  <c r="Z86" i="1"/>
  <c r="Y86" i="1"/>
  <c r="W86" i="1" s="1"/>
  <c r="X86" i="1"/>
  <c r="Q86" i="1"/>
  <c r="AX86" i="1" s="1"/>
  <c r="F86" i="1"/>
  <c r="B86" i="1"/>
  <c r="A86" i="1"/>
  <c r="DE85" i="1"/>
  <c r="DD85" i="1"/>
  <c r="DC85" i="1"/>
  <c r="CZ85" i="1"/>
  <c r="CY85" i="1"/>
  <c r="CX85" i="1"/>
  <c r="CW85" i="1"/>
  <c r="CV85" i="1"/>
  <c r="CU85" i="1"/>
  <c r="CT85" i="1"/>
  <c r="CS85" i="1"/>
  <c r="CR85" i="1"/>
  <c r="CQ85" i="1"/>
  <c r="CM85" i="1"/>
  <c r="CL85" i="1"/>
  <c r="CK85" i="1"/>
  <c r="CJ85" i="1"/>
  <c r="CI85" i="1"/>
  <c r="CH85" i="1"/>
  <c r="CG85" i="1"/>
  <c r="CF85" i="1"/>
  <c r="CE85" i="1"/>
  <c r="CD85" i="1"/>
  <c r="CC85" i="1"/>
  <c r="CB85" i="1"/>
  <c r="CA85" i="1"/>
  <c r="BZ85" i="1"/>
  <c r="BX85" i="1"/>
  <c r="BS85" i="1"/>
  <c r="BR85" i="1"/>
  <c r="BQ85" i="1"/>
  <c r="BP85" i="1"/>
  <c r="BO85" i="1"/>
  <c r="BN85" i="1"/>
  <c r="BM85" i="1"/>
  <c r="BL85" i="1"/>
  <c r="BK85" i="1"/>
  <c r="BJ85" i="1"/>
  <c r="BH85" i="1"/>
  <c r="BG85" i="1"/>
  <c r="BC85" i="1"/>
  <c r="AW85" i="1"/>
  <c r="AV85" i="1"/>
  <c r="AU85" i="1"/>
  <c r="AT85" i="1"/>
  <c r="AS85" i="1"/>
  <c r="AR85" i="1"/>
  <c r="AQ85" i="1"/>
  <c r="AO85" i="1"/>
  <c r="AN85" i="1"/>
  <c r="AM85" i="1"/>
  <c r="AL85" i="1"/>
  <c r="AK85" i="1"/>
  <c r="AJ85" i="1"/>
  <c r="AI85" i="1"/>
  <c r="AH85" i="1"/>
  <c r="AG85" i="1"/>
  <c r="AE85" i="1"/>
  <c r="AF85" i="1" s="1"/>
  <c r="AC85" i="1"/>
  <c r="AA85" i="1"/>
  <c r="Z85" i="1"/>
  <c r="W85" i="1" s="1"/>
  <c r="Y85" i="1"/>
  <c r="X85" i="1"/>
  <c r="T85" i="1"/>
  <c r="Q85" i="1"/>
  <c r="AX85" i="1" s="1"/>
  <c r="F85" i="1"/>
  <c r="B85" i="1"/>
  <c r="A85" i="1"/>
  <c r="DE84" i="1"/>
  <c r="DD84" i="1"/>
  <c r="DC84" i="1"/>
  <c r="CZ84" i="1"/>
  <c r="CY84" i="1"/>
  <c r="CX84" i="1"/>
  <c r="CW84" i="1"/>
  <c r="CV84" i="1"/>
  <c r="CU84" i="1"/>
  <c r="CT84" i="1"/>
  <c r="CS84" i="1"/>
  <c r="CR84" i="1"/>
  <c r="CQ84" i="1"/>
  <c r="CM84" i="1"/>
  <c r="CL84" i="1"/>
  <c r="CK84" i="1"/>
  <c r="CJ84" i="1"/>
  <c r="CI84" i="1"/>
  <c r="CH84" i="1"/>
  <c r="CG84" i="1"/>
  <c r="CF84" i="1"/>
  <c r="CE84" i="1"/>
  <c r="CD84" i="1"/>
  <c r="CC84" i="1"/>
  <c r="CB84" i="1"/>
  <c r="CA84" i="1"/>
  <c r="BZ84" i="1"/>
  <c r="BX84" i="1"/>
  <c r="BS84" i="1"/>
  <c r="BR84" i="1"/>
  <c r="BQ84" i="1"/>
  <c r="BP84" i="1"/>
  <c r="BO84" i="1"/>
  <c r="BN84" i="1"/>
  <c r="BM84" i="1"/>
  <c r="BL84" i="1"/>
  <c r="BK84" i="1"/>
  <c r="BJ84" i="1"/>
  <c r="BH84" i="1"/>
  <c r="BG84" i="1"/>
  <c r="BC84" i="1"/>
  <c r="AW84" i="1"/>
  <c r="AV84" i="1"/>
  <c r="AU84" i="1"/>
  <c r="AT84" i="1"/>
  <c r="AS84" i="1"/>
  <c r="AR84" i="1"/>
  <c r="AQ84" i="1"/>
  <c r="AO84" i="1"/>
  <c r="AN84" i="1"/>
  <c r="AM84" i="1"/>
  <c r="AL84" i="1"/>
  <c r="AK84" i="1"/>
  <c r="AJ84" i="1"/>
  <c r="AI84" i="1"/>
  <c r="AH84" i="1"/>
  <c r="AG84" i="1"/>
  <c r="AE84" i="1"/>
  <c r="AF84" i="1" s="1"/>
  <c r="AC84" i="1"/>
  <c r="AA84" i="1"/>
  <c r="Z84" i="1"/>
  <c r="Y84" i="1"/>
  <c r="X84" i="1"/>
  <c r="W84" i="1" s="1"/>
  <c r="Q84" i="1"/>
  <c r="AX84" i="1" s="1"/>
  <c r="F84" i="1"/>
  <c r="B84" i="1"/>
  <c r="A84" i="1"/>
  <c r="DE83" i="1"/>
  <c r="DD83" i="1"/>
  <c r="DC83" i="1"/>
  <c r="CZ83" i="1"/>
  <c r="CY83" i="1"/>
  <c r="CX83" i="1"/>
  <c r="CW83" i="1"/>
  <c r="CV83" i="1"/>
  <c r="CU83" i="1"/>
  <c r="CT83" i="1"/>
  <c r="CS83" i="1"/>
  <c r="CR83" i="1"/>
  <c r="CQ83" i="1"/>
  <c r="CM83" i="1"/>
  <c r="CL83" i="1"/>
  <c r="CK83" i="1"/>
  <c r="CJ83" i="1"/>
  <c r="CI83" i="1"/>
  <c r="CH83" i="1"/>
  <c r="CG83" i="1"/>
  <c r="CF83" i="1"/>
  <c r="CE83" i="1"/>
  <c r="CD83" i="1"/>
  <c r="CC83" i="1"/>
  <c r="CB83" i="1"/>
  <c r="CA83" i="1"/>
  <c r="BZ83" i="1"/>
  <c r="BX83" i="1"/>
  <c r="BS83" i="1"/>
  <c r="BR83" i="1"/>
  <c r="BQ83" i="1"/>
  <c r="BP83" i="1"/>
  <c r="BO83" i="1"/>
  <c r="BN83" i="1"/>
  <c r="BM83" i="1"/>
  <c r="BL83" i="1"/>
  <c r="BK83" i="1"/>
  <c r="BJ83" i="1"/>
  <c r="BH83" i="1"/>
  <c r="BG83" i="1"/>
  <c r="BC83" i="1"/>
  <c r="AW83" i="1"/>
  <c r="AV83" i="1"/>
  <c r="AU83" i="1"/>
  <c r="AT83" i="1"/>
  <c r="AS83" i="1"/>
  <c r="AR83" i="1"/>
  <c r="AQ83" i="1"/>
  <c r="AO83" i="1"/>
  <c r="AN83" i="1"/>
  <c r="AM83" i="1"/>
  <c r="AL83" i="1"/>
  <c r="AK83" i="1"/>
  <c r="AJ83" i="1"/>
  <c r="AI83" i="1"/>
  <c r="AH83" i="1"/>
  <c r="AG83" i="1"/>
  <c r="AE83" i="1"/>
  <c r="AF83" i="1" s="1"/>
  <c r="AC83" i="1"/>
  <c r="AA83" i="1"/>
  <c r="Z83" i="1"/>
  <c r="Y83" i="1"/>
  <c r="X83" i="1"/>
  <c r="W83" i="1" s="1"/>
  <c r="Q83" i="1"/>
  <c r="AX83" i="1" s="1"/>
  <c r="F83" i="1"/>
  <c r="B83" i="1"/>
  <c r="A83" i="1"/>
  <c r="DE82" i="1"/>
  <c r="DD82" i="1"/>
  <c r="DC82" i="1"/>
  <c r="CZ82" i="1"/>
  <c r="CY82" i="1"/>
  <c r="CX82" i="1"/>
  <c r="CW82" i="1"/>
  <c r="CV82" i="1"/>
  <c r="CU82" i="1"/>
  <c r="CT82" i="1"/>
  <c r="CS82" i="1"/>
  <c r="CR82" i="1"/>
  <c r="CQ82" i="1"/>
  <c r="CM82" i="1"/>
  <c r="CL82" i="1"/>
  <c r="CK82" i="1"/>
  <c r="CJ82" i="1"/>
  <c r="CI82" i="1"/>
  <c r="CH82" i="1"/>
  <c r="CG82" i="1"/>
  <c r="CF82" i="1"/>
  <c r="CE82" i="1"/>
  <c r="CD82" i="1"/>
  <c r="CC82" i="1"/>
  <c r="CB82" i="1"/>
  <c r="CA82" i="1"/>
  <c r="BZ82" i="1"/>
  <c r="BX82" i="1"/>
  <c r="BS82" i="1"/>
  <c r="BR82" i="1"/>
  <c r="BQ82" i="1"/>
  <c r="BP82" i="1"/>
  <c r="BO82" i="1"/>
  <c r="BN82" i="1"/>
  <c r="BM82" i="1"/>
  <c r="BL82" i="1"/>
  <c r="BK82" i="1"/>
  <c r="BJ82" i="1"/>
  <c r="BH82" i="1"/>
  <c r="BG82" i="1"/>
  <c r="BC82" i="1"/>
  <c r="AW82" i="1"/>
  <c r="AV82" i="1"/>
  <c r="AU82" i="1"/>
  <c r="AT82" i="1"/>
  <c r="AS82" i="1"/>
  <c r="AR82" i="1"/>
  <c r="AQ82" i="1"/>
  <c r="AO82" i="1"/>
  <c r="AN82" i="1"/>
  <c r="AM82" i="1"/>
  <c r="AL82" i="1"/>
  <c r="AK82" i="1"/>
  <c r="AJ82" i="1"/>
  <c r="AI82" i="1"/>
  <c r="AH82" i="1"/>
  <c r="AG82" i="1"/>
  <c r="AE82" i="1"/>
  <c r="AF82" i="1" s="1"/>
  <c r="AC82" i="1"/>
  <c r="AA82" i="1"/>
  <c r="W82" i="1" s="1"/>
  <c r="Z82" i="1"/>
  <c r="Y82" i="1"/>
  <c r="X82" i="1"/>
  <c r="Q82" i="1"/>
  <c r="AX82" i="1" s="1"/>
  <c r="F82" i="1"/>
  <c r="B82" i="1"/>
  <c r="A82" i="1"/>
  <c r="DE81" i="1"/>
  <c r="DD81" i="1"/>
  <c r="DC81" i="1"/>
  <c r="CZ81" i="1"/>
  <c r="CY81" i="1"/>
  <c r="CX81" i="1"/>
  <c r="CW81" i="1"/>
  <c r="CV81" i="1"/>
  <c r="CU81" i="1"/>
  <c r="CT81" i="1"/>
  <c r="CS81" i="1"/>
  <c r="CR81" i="1"/>
  <c r="CQ81" i="1"/>
  <c r="CM81" i="1"/>
  <c r="CL81" i="1"/>
  <c r="CK81" i="1"/>
  <c r="CJ81" i="1"/>
  <c r="CI81" i="1"/>
  <c r="CH81" i="1"/>
  <c r="CG81" i="1"/>
  <c r="CF81" i="1"/>
  <c r="CE81" i="1"/>
  <c r="CD81" i="1"/>
  <c r="CC81" i="1"/>
  <c r="CB81" i="1"/>
  <c r="CA81" i="1"/>
  <c r="BZ81" i="1"/>
  <c r="BX81" i="1"/>
  <c r="BS81" i="1"/>
  <c r="BR81" i="1"/>
  <c r="BQ81" i="1"/>
  <c r="BP81" i="1"/>
  <c r="BO81" i="1"/>
  <c r="BN81" i="1"/>
  <c r="BM81" i="1"/>
  <c r="BL81" i="1"/>
  <c r="BK81" i="1"/>
  <c r="BJ81" i="1"/>
  <c r="BH81" i="1"/>
  <c r="BG81" i="1"/>
  <c r="BC81" i="1"/>
  <c r="AW81" i="1"/>
  <c r="AV81" i="1"/>
  <c r="AU81" i="1"/>
  <c r="AT81" i="1"/>
  <c r="AS81" i="1"/>
  <c r="AR81" i="1"/>
  <c r="AQ81" i="1"/>
  <c r="AO81" i="1"/>
  <c r="AN81" i="1"/>
  <c r="AM81" i="1"/>
  <c r="AL81" i="1"/>
  <c r="AK81" i="1"/>
  <c r="AJ81" i="1"/>
  <c r="AI81" i="1"/>
  <c r="AH81" i="1"/>
  <c r="AG81" i="1"/>
  <c r="AE81" i="1"/>
  <c r="AF81" i="1" s="1"/>
  <c r="AC81" i="1"/>
  <c r="AB81" i="1" s="1"/>
  <c r="AA81" i="1"/>
  <c r="W81" i="1" s="1"/>
  <c r="Z81" i="1"/>
  <c r="Y81" i="1"/>
  <c r="X81" i="1"/>
  <c r="T81" i="1"/>
  <c r="Q81" i="1"/>
  <c r="AX81" i="1" s="1"/>
  <c r="F81" i="1"/>
  <c r="B81" i="1"/>
  <c r="A81" i="1"/>
  <c r="DE80" i="1"/>
  <c r="DD80" i="1"/>
  <c r="DC80" i="1"/>
  <c r="CZ80" i="1"/>
  <c r="CY80" i="1"/>
  <c r="CX80" i="1"/>
  <c r="CW80" i="1"/>
  <c r="CV80" i="1"/>
  <c r="CU80" i="1"/>
  <c r="CT80" i="1"/>
  <c r="CS80" i="1"/>
  <c r="CR80" i="1"/>
  <c r="CQ80" i="1"/>
  <c r="CM80" i="1"/>
  <c r="CL80" i="1"/>
  <c r="CK80" i="1"/>
  <c r="CJ80" i="1"/>
  <c r="CI80" i="1"/>
  <c r="CH80" i="1"/>
  <c r="CG80" i="1"/>
  <c r="CF80" i="1"/>
  <c r="CE80" i="1"/>
  <c r="CD80" i="1"/>
  <c r="CC80" i="1"/>
  <c r="CB80" i="1"/>
  <c r="CA80" i="1"/>
  <c r="BZ80" i="1"/>
  <c r="BX80" i="1"/>
  <c r="BS80" i="1"/>
  <c r="BR80" i="1"/>
  <c r="BQ80" i="1"/>
  <c r="BP80" i="1"/>
  <c r="BO80" i="1"/>
  <c r="BN80" i="1"/>
  <c r="BM80" i="1"/>
  <c r="BL80" i="1"/>
  <c r="BK80" i="1"/>
  <c r="BJ80" i="1"/>
  <c r="BH80" i="1"/>
  <c r="BG80" i="1"/>
  <c r="BC80" i="1"/>
  <c r="AW80" i="1"/>
  <c r="AV80" i="1"/>
  <c r="AU80" i="1"/>
  <c r="AT80" i="1"/>
  <c r="AS80" i="1"/>
  <c r="AR80" i="1"/>
  <c r="AQ80" i="1"/>
  <c r="AO80" i="1"/>
  <c r="AN80" i="1"/>
  <c r="AM80" i="1"/>
  <c r="AL80" i="1"/>
  <c r="AK80" i="1"/>
  <c r="AJ80" i="1"/>
  <c r="AI80" i="1"/>
  <c r="AH80" i="1"/>
  <c r="AG80" i="1"/>
  <c r="AE80" i="1"/>
  <c r="AF80" i="1" s="1"/>
  <c r="AB80" i="1" s="1"/>
  <c r="AC80" i="1"/>
  <c r="AA80" i="1"/>
  <c r="Z80" i="1"/>
  <c r="Y80" i="1"/>
  <c r="X80" i="1"/>
  <c r="W80" i="1" s="1"/>
  <c r="Q80" i="1"/>
  <c r="AX80" i="1" s="1"/>
  <c r="F80" i="1"/>
  <c r="B80" i="1"/>
  <c r="A80" i="1"/>
  <c r="DE79" i="1"/>
  <c r="DD79" i="1"/>
  <c r="DC79" i="1"/>
  <c r="CZ79" i="1"/>
  <c r="CY79" i="1"/>
  <c r="CX79" i="1"/>
  <c r="CW79" i="1"/>
  <c r="CV79" i="1"/>
  <c r="CU79" i="1"/>
  <c r="CT79" i="1"/>
  <c r="CS79" i="1"/>
  <c r="CR79" i="1"/>
  <c r="CQ79" i="1"/>
  <c r="CM79" i="1"/>
  <c r="CL79" i="1"/>
  <c r="CK79" i="1"/>
  <c r="CJ79" i="1"/>
  <c r="CI79" i="1"/>
  <c r="CH79" i="1"/>
  <c r="CG79" i="1"/>
  <c r="CF79" i="1"/>
  <c r="CE79" i="1"/>
  <c r="CD79" i="1"/>
  <c r="CC79" i="1"/>
  <c r="CB79" i="1"/>
  <c r="CA79" i="1"/>
  <c r="BZ79" i="1"/>
  <c r="CN79" i="1" s="1"/>
  <c r="BX79" i="1"/>
  <c r="BS79" i="1"/>
  <c r="BR79" i="1"/>
  <c r="BQ79" i="1"/>
  <c r="BP79" i="1"/>
  <c r="BO79" i="1"/>
  <c r="BT79" i="1" s="1"/>
  <c r="BN79" i="1"/>
  <c r="BM79" i="1"/>
  <c r="BL79" i="1"/>
  <c r="BK79" i="1"/>
  <c r="BJ79" i="1"/>
  <c r="BH79" i="1"/>
  <c r="BG79" i="1"/>
  <c r="BC79" i="1"/>
  <c r="AW79" i="1"/>
  <c r="AV79" i="1"/>
  <c r="AU79" i="1"/>
  <c r="AT79" i="1"/>
  <c r="AS79" i="1"/>
  <c r="AR79" i="1"/>
  <c r="AQ79" i="1"/>
  <c r="AO79" i="1"/>
  <c r="AN79" i="1"/>
  <c r="AM79" i="1"/>
  <c r="AL79" i="1"/>
  <c r="AK79" i="1"/>
  <c r="AJ79" i="1"/>
  <c r="AI79" i="1"/>
  <c r="AH79" i="1"/>
  <c r="AG79" i="1"/>
  <c r="AE79" i="1"/>
  <c r="AF79" i="1" s="1"/>
  <c r="AC79" i="1"/>
  <c r="AA79" i="1"/>
  <c r="Z79" i="1"/>
  <c r="W79" i="1" s="1"/>
  <c r="Y79" i="1"/>
  <c r="X79" i="1"/>
  <c r="Q79" i="1"/>
  <c r="AX79" i="1" s="1"/>
  <c r="F79" i="1"/>
  <c r="B79" i="1"/>
  <c r="A79" i="1"/>
  <c r="DE78" i="1"/>
  <c r="DD78" i="1"/>
  <c r="DC78" i="1"/>
  <c r="CZ78" i="1"/>
  <c r="CY78" i="1"/>
  <c r="CX78" i="1"/>
  <c r="CW78" i="1"/>
  <c r="CV78" i="1"/>
  <c r="CU78" i="1"/>
  <c r="CT78" i="1"/>
  <c r="CS78" i="1"/>
  <c r="CR78" i="1"/>
  <c r="CQ78" i="1"/>
  <c r="CM78" i="1"/>
  <c r="CL78" i="1"/>
  <c r="CK78" i="1"/>
  <c r="CJ78" i="1"/>
  <c r="CI78" i="1"/>
  <c r="CH78" i="1"/>
  <c r="CG78" i="1"/>
  <c r="CF78" i="1"/>
  <c r="CE78" i="1"/>
  <c r="CD78" i="1"/>
  <c r="CC78" i="1"/>
  <c r="CB78" i="1"/>
  <c r="CA78" i="1"/>
  <c r="BZ78" i="1"/>
  <c r="CN78" i="1" s="1"/>
  <c r="BX78" i="1"/>
  <c r="BS78" i="1"/>
  <c r="BR78" i="1"/>
  <c r="BQ78" i="1"/>
  <c r="BP78" i="1"/>
  <c r="BO78" i="1"/>
  <c r="BN78" i="1"/>
  <c r="BM78" i="1"/>
  <c r="BL78" i="1"/>
  <c r="BK78" i="1"/>
  <c r="BJ78" i="1"/>
  <c r="BT78" i="1" s="1"/>
  <c r="BH78" i="1"/>
  <c r="BG78" i="1"/>
  <c r="BC78" i="1"/>
  <c r="AW78" i="1"/>
  <c r="AV78" i="1"/>
  <c r="AU78" i="1"/>
  <c r="AT78" i="1"/>
  <c r="AS78" i="1"/>
  <c r="AR78" i="1"/>
  <c r="AQ78" i="1"/>
  <c r="AO78" i="1"/>
  <c r="AN78" i="1"/>
  <c r="AM78" i="1"/>
  <c r="AL78" i="1"/>
  <c r="AK78" i="1"/>
  <c r="AJ78" i="1"/>
  <c r="AI78" i="1"/>
  <c r="AH78" i="1"/>
  <c r="AG78" i="1"/>
  <c r="AE78" i="1"/>
  <c r="AF78" i="1" s="1"/>
  <c r="AC78" i="1"/>
  <c r="AB78" i="1" s="1"/>
  <c r="AA78" i="1"/>
  <c r="Z78" i="1"/>
  <c r="Y78" i="1"/>
  <c r="X78" i="1"/>
  <c r="W78" i="1" s="1"/>
  <c r="T78" i="1"/>
  <c r="Q78" i="1"/>
  <c r="AX78" i="1" s="1"/>
  <c r="F78" i="1"/>
  <c r="B78" i="1"/>
  <c r="A78" i="1"/>
  <c r="DE77" i="1"/>
  <c r="DD77" i="1"/>
  <c r="DC77" i="1"/>
  <c r="CZ77" i="1"/>
  <c r="CY77" i="1"/>
  <c r="CX77" i="1"/>
  <c r="CW77" i="1"/>
  <c r="CV77" i="1"/>
  <c r="CU77" i="1"/>
  <c r="CT77" i="1"/>
  <c r="CS77" i="1"/>
  <c r="CR77" i="1"/>
  <c r="CQ77" i="1"/>
  <c r="CM77" i="1"/>
  <c r="CL77" i="1"/>
  <c r="CK77" i="1"/>
  <c r="CJ77" i="1"/>
  <c r="CI77" i="1"/>
  <c r="CH77" i="1"/>
  <c r="CG77" i="1"/>
  <c r="CF77" i="1"/>
  <c r="CE77" i="1"/>
  <c r="CD77" i="1"/>
  <c r="CC77" i="1"/>
  <c r="CB77" i="1"/>
  <c r="CA77" i="1"/>
  <c r="BZ77" i="1"/>
  <c r="BX77" i="1"/>
  <c r="BS77" i="1"/>
  <c r="BR77" i="1"/>
  <c r="BQ77" i="1"/>
  <c r="BP77" i="1"/>
  <c r="BO77" i="1"/>
  <c r="BN77" i="1"/>
  <c r="BM77" i="1"/>
  <c r="BL77" i="1"/>
  <c r="BK77" i="1"/>
  <c r="BJ77" i="1"/>
  <c r="BH77" i="1"/>
  <c r="BG77" i="1"/>
  <c r="BC77" i="1"/>
  <c r="AW77" i="1"/>
  <c r="AV77" i="1"/>
  <c r="AU77" i="1"/>
  <c r="AT77" i="1"/>
  <c r="AS77" i="1"/>
  <c r="AR77" i="1"/>
  <c r="AQ77" i="1"/>
  <c r="AO77" i="1"/>
  <c r="AN77" i="1"/>
  <c r="AM77" i="1"/>
  <c r="AL77" i="1"/>
  <c r="AK77" i="1"/>
  <c r="AJ77" i="1"/>
  <c r="AI77" i="1"/>
  <c r="AH77" i="1"/>
  <c r="AG77" i="1"/>
  <c r="AE77" i="1"/>
  <c r="AF77" i="1" s="1"/>
  <c r="AC77" i="1"/>
  <c r="AA77" i="1"/>
  <c r="Z77" i="1"/>
  <c r="Y77" i="1"/>
  <c r="X77" i="1"/>
  <c r="T77" i="1"/>
  <c r="Q77" i="1"/>
  <c r="AX77" i="1" s="1"/>
  <c r="F77" i="1"/>
  <c r="B77" i="1"/>
  <c r="A77" i="1"/>
  <c r="DE76" i="1"/>
  <c r="DD76" i="1"/>
  <c r="DC76" i="1"/>
  <c r="CZ76" i="1"/>
  <c r="CY76" i="1"/>
  <c r="CX76" i="1"/>
  <c r="CW76" i="1"/>
  <c r="CV76" i="1"/>
  <c r="CU76" i="1"/>
  <c r="CT76" i="1"/>
  <c r="CS76" i="1"/>
  <c r="CR76" i="1"/>
  <c r="CQ76" i="1"/>
  <c r="CM76" i="1"/>
  <c r="CL76" i="1"/>
  <c r="CK76" i="1"/>
  <c r="CJ76" i="1"/>
  <c r="CI76" i="1"/>
  <c r="CH76" i="1"/>
  <c r="CG76" i="1"/>
  <c r="CF76" i="1"/>
  <c r="CE76" i="1"/>
  <c r="CD76" i="1"/>
  <c r="CC76" i="1"/>
  <c r="CB76" i="1"/>
  <c r="CA76" i="1"/>
  <c r="BZ76" i="1"/>
  <c r="BX76" i="1"/>
  <c r="BS76" i="1"/>
  <c r="BR76" i="1"/>
  <c r="BQ76" i="1"/>
  <c r="BP76" i="1"/>
  <c r="BO76" i="1"/>
  <c r="BN76" i="1"/>
  <c r="BM76" i="1"/>
  <c r="BL76" i="1"/>
  <c r="BK76" i="1"/>
  <c r="BJ76" i="1"/>
  <c r="BH76" i="1"/>
  <c r="BG76" i="1"/>
  <c r="BC76" i="1"/>
  <c r="AW76" i="1"/>
  <c r="AV76" i="1"/>
  <c r="AU76" i="1"/>
  <c r="AT76" i="1"/>
  <c r="AS76" i="1"/>
  <c r="AR76" i="1"/>
  <c r="AQ76" i="1"/>
  <c r="AO76" i="1"/>
  <c r="AN76" i="1"/>
  <c r="AM76" i="1"/>
  <c r="AL76" i="1"/>
  <c r="AK76" i="1"/>
  <c r="AJ76" i="1"/>
  <c r="AI76" i="1"/>
  <c r="AH76" i="1"/>
  <c r="AG76" i="1"/>
  <c r="AE76" i="1"/>
  <c r="AF76" i="1" s="1"/>
  <c r="AC76" i="1"/>
  <c r="AB76" i="1" s="1"/>
  <c r="AA76" i="1"/>
  <c r="Z76" i="1"/>
  <c r="Y76" i="1"/>
  <c r="X76" i="1"/>
  <c r="Q76" i="1"/>
  <c r="T76" i="1" s="1"/>
  <c r="F76" i="1"/>
  <c r="B76" i="1"/>
  <c r="A76" i="1"/>
  <c r="DE75" i="1"/>
  <c r="DD75" i="1"/>
  <c r="DC75" i="1"/>
  <c r="CZ75" i="1"/>
  <c r="CY75" i="1"/>
  <c r="CX75" i="1"/>
  <c r="CW75" i="1"/>
  <c r="CV75" i="1"/>
  <c r="CU75" i="1"/>
  <c r="CT75" i="1"/>
  <c r="CS75" i="1"/>
  <c r="CR75" i="1"/>
  <c r="CQ75" i="1"/>
  <c r="CM75" i="1"/>
  <c r="CL75" i="1"/>
  <c r="CK75" i="1"/>
  <c r="CJ75" i="1"/>
  <c r="CI75" i="1"/>
  <c r="CH75" i="1"/>
  <c r="CG75" i="1"/>
  <c r="CF75" i="1"/>
  <c r="CE75" i="1"/>
  <c r="CD75" i="1"/>
  <c r="CC75" i="1"/>
  <c r="CB75" i="1"/>
  <c r="CA75" i="1"/>
  <c r="BZ75" i="1"/>
  <c r="BX75" i="1"/>
  <c r="BS75" i="1"/>
  <c r="BR75" i="1"/>
  <c r="BQ75" i="1"/>
  <c r="BP75" i="1"/>
  <c r="BO75" i="1"/>
  <c r="BN75" i="1"/>
  <c r="BM75" i="1"/>
  <c r="BL75" i="1"/>
  <c r="BK75" i="1"/>
  <c r="BJ75" i="1"/>
  <c r="BT75" i="1" s="1"/>
  <c r="BH75" i="1"/>
  <c r="BG75" i="1"/>
  <c r="BC75" i="1"/>
  <c r="AW75" i="1"/>
  <c r="AV75" i="1"/>
  <c r="AU75" i="1"/>
  <c r="AT75" i="1"/>
  <c r="AS75" i="1"/>
  <c r="AR75" i="1"/>
  <c r="AQ75" i="1"/>
  <c r="AO75" i="1"/>
  <c r="AN75" i="1"/>
  <c r="AM75" i="1"/>
  <c r="AL75" i="1"/>
  <c r="AK75" i="1"/>
  <c r="AJ75" i="1"/>
  <c r="AI75" i="1"/>
  <c r="AH75" i="1"/>
  <c r="AG75" i="1"/>
  <c r="AE75" i="1"/>
  <c r="AF75" i="1" s="1"/>
  <c r="AC75" i="1"/>
  <c r="AA75" i="1"/>
  <c r="Z75" i="1"/>
  <c r="Y75" i="1"/>
  <c r="X75" i="1"/>
  <c r="Q75" i="1"/>
  <c r="T75" i="1" s="1"/>
  <c r="F75" i="1"/>
  <c r="B75" i="1"/>
  <c r="A75" i="1"/>
  <c r="DE74" i="1"/>
  <c r="DD74" i="1"/>
  <c r="DC74" i="1"/>
  <c r="CZ74" i="1"/>
  <c r="CY74" i="1"/>
  <c r="CX74" i="1"/>
  <c r="CW74" i="1"/>
  <c r="CV74" i="1"/>
  <c r="CU74" i="1"/>
  <c r="CT74" i="1"/>
  <c r="CS74" i="1"/>
  <c r="CR74" i="1"/>
  <c r="CQ74" i="1"/>
  <c r="CM74" i="1"/>
  <c r="CL74" i="1"/>
  <c r="CK74" i="1"/>
  <c r="CJ74" i="1"/>
  <c r="CI74" i="1"/>
  <c r="CH74" i="1"/>
  <c r="CG74" i="1"/>
  <c r="CF74" i="1"/>
  <c r="CE74" i="1"/>
  <c r="CD74" i="1"/>
  <c r="CC74" i="1"/>
  <c r="CB74" i="1"/>
  <c r="CA74" i="1"/>
  <c r="BZ74" i="1"/>
  <c r="BX74" i="1"/>
  <c r="BS74" i="1"/>
  <c r="BR74" i="1"/>
  <c r="BQ74" i="1"/>
  <c r="BP74" i="1"/>
  <c r="BO74" i="1"/>
  <c r="BN74" i="1"/>
  <c r="BM74" i="1"/>
  <c r="BL74" i="1"/>
  <c r="BK74" i="1"/>
  <c r="BJ74" i="1"/>
  <c r="BH74" i="1"/>
  <c r="BG74" i="1"/>
  <c r="BC74" i="1"/>
  <c r="AW74" i="1"/>
  <c r="AV74" i="1"/>
  <c r="AU74" i="1"/>
  <c r="AT74" i="1"/>
  <c r="AS74" i="1"/>
  <c r="AR74" i="1"/>
  <c r="AQ74" i="1"/>
  <c r="AO74" i="1"/>
  <c r="AN74" i="1"/>
  <c r="AM74" i="1"/>
  <c r="AL74" i="1"/>
  <c r="AK74" i="1"/>
  <c r="AJ74" i="1"/>
  <c r="AI74" i="1"/>
  <c r="AH74" i="1"/>
  <c r="AG74" i="1"/>
  <c r="AE74" i="1"/>
  <c r="AF74" i="1" s="1"/>
  <c r="AC74" i="1"/>
  <c r="AA74" i="1"/>
  <c r="Z74" i="1"/>
  <c r="Y74" i="1"/>
  <c r="X74" i="1"/>
  <c r="Q74" i="1"/>
  <c r="T74" i="1" s="1"/>
  <c r="F74" i="1"/>
  <c r="B74" i="1"/>
  <c r="A74" i="1"/>
  <c r="DE73" i="1"/>
  <c r="DD73" i="1"/>
  <c r="DC73" i="1"/>
  <c r="CZ73" i="1"/>
  <c r="CY73" i="1"/>
  <c r="CX73" i="1"/>
  <c r="CW73" i="1"/>
  <c r="CV73" i="1"/>
  <c r="CU73" i="1"/>
  <c r="CT73" i="1"/>
  <c r="CS73" i="1"/>
  <c r="CR73" i="1"/>
  <c r="CQ73" i="1"/>
  <c r="CP73" i="1"/>
  <c r="CM73" i="1"/>
  <c r="CL73" i="1"/>
  <c r="CK73" i="1"/>
  <c r="CJ73" i="1"/>
  <c r="CI73" i="1"/>
  <c r="CH73" i="1"/>
  <c r="CG73" i="1"/>
  <c r="CF73" i="1"/>
  <c r="CE73" i="1"/>
  <c r="CD73" i="1"/>
  <c r="CC73" i="1"/>
  <c r="CB73" i="1"/>
  <c r="CA73" i="1"/>
  <c r="BZ73" i="1"/>
  <c r="CN73" i="1" s="1"/>
  <c r="BX73" i="1"/>
  <c r="BS73" i="1"/>
  <c r="BR73" i="1"/>
  <c r="BQ73" i="1"/>
  <c r="BP73" i="1"/>
  <c r="BO73" i="1"/>
  <c r="BN73" i="1"/>
  <c r="BM73" i="1"/>
  <c r="BL73" i="1"/>
  <c r="BK73" i="1"/>
  <c r="BJ73" i="1"/>
  <c r="BH73" i="1"/>
  <c r="BG73" i="1"/>
  <c r="BC73" i="1"/>
  <c r="AW73" i="1"/>
  <c r="AV73" i="1"/>
  <c r="AU73" i="1"/>
  <c r="AT73" i="1"/>
  <c r="AS73" i="1"/>
  <c r="AR73" i="1"/>
  <c r="AQ73" i="1"/>
  <c r="AO73" i="1"/>
  <c r="AN73" i="1"/>
  <c r="AM73" i="1"/>
  <c r="AL73" i="1"/>
  <c r="AK73" i="1"/>
  <c r="AJ73" i="1"/>
  <c r="AI73" i="1"/>
  <c r="AH73" i="1"/>
  <c r="AG73" i="1"/>
  <c r="AE73" i="1"/>
  <c r="AF73" i="1" s="1"/>
  <c r="AB73" i="1" s="1"/>
  <c r="AC73" i="1"/>
  <c r="AA73" i="1"/>
  <c r="Z73" i="1"/>
  <c r="Y73" i="1"/>
  <c r="X73" i="1"/>
  <c r="Q73" i="1"/>
  <c r="T73" i="1" s="1"/>
  <c r="F73" i="1"/>
  <c r="B73" i="1"/>
  <c r="A73" i="1"/>
  <c r="DE72" i="1"/>
  <c r="DD72" i="1"/>
  <c r="DC72" i="1"/>
  <c r="CZ72" i="1"/>
  <c r="CY72" i="1"/>
  <c r="CX72" i="1"/>
  <c r="CW72" i="1"/>
  <c r="CV72" i="1"/>
  <c r="CU72" i="1"/>
  <c r="CT72" i="1"/>
  <c r="CS72" i="1"/>
  <c r="CR72" i="1"/>
  <c r="CQ72" i="1"/>
  <c r="CM72" i="1"/>
  <c r="CL72" i="1"/>
  <c r="CK72" i="1"/>
  <c r="CJ72" i="1"/>
  <c r="CI72" i="1"/>
  <c r="CH72" i="1"/>
  <c r="CG72" i="1"/>
  <c r="CF72" i="1"/>
  <c r="CE72" i="1"/>
  <c r="CD72" i="1"/>
  <c r="CC72" i="1"/>
  <c r="CB72" i="1"/>
  <c r="CA72" i="1"/>
  <c r="BZ72" i="1"/>
  <c r="BX72" i="1"/>
  <c r="BS72" i="1"/>
  <c r="BR72" i="1"/>
  <c r="BQ72" i="1"/>
  <c r="BP72" i="1"/>
  <c r="BO72" i="1"/>
  <c r="BN72" i="1"/>
  <c r="BM72" i="1"/>
  <c r="BL72" i="1"/>
  <c r="BK72" i="1"/>
  <c r="BJ72" i="1"/>
  <c r="BT72" i="1" s="1"/>
  <c r="BH72" i="1"/>
  <c r="BG72" i="1"/>
  <c r="BC72" i="1"/>
  <c r="AX72" i="1"/>
  <c r="AW72" i="1"/>
  <c r="AV72" i="1"/>
  <c r="AU72" i="1"/>
  <c r="AT72" i="1"/>
  <c r="AS72" i="1"/>
  <c r="AR72" i="1"/>
  <c r="AQ72" i="1"/>
  <c r="AO72" i="1"/>
  <c r="AN72" i="1"/>
  <c r="AM72" i="1"/>
  <c r="AL72" i="1"/>
  <c r="AK72" i="1"/>
  <c r="AJ72" i="1"/>
  <c r="AI72" i="1"/>
  <c r="AH72" i="1"/>
  <c r="AG72" i="1"/>
  <c r="AE72" i="1"/>
  <c r="AF72" i="1" s="1"/>
  <c r="AC72" i="1"/>
  <c r="AA72" i="1"/>
  <c r="Z72" i="1"/>
  <c r="Y72" i="1"/>
  <c r="X72" i="1"/>
  <c r="Q72" i="1"/>
  <c r="T72" i="1" s="1"/>
  <c r="F72" i="1"/>
  <c r="B72" i="1"/>
  <c r="A72" i="1"/>
  <c r="DE71" i="1"/>
  <c r="DD71" i="1"/>
  <c r="DC71" i="1"/>
  <c r="CZ71" i="1"/>
  <c r="CY71" i="1"/>
  <c r="CX71" i="1"/>
  <c r="CW71" i="1"/>
  <c r="CV71" i="1"/>
  <c r="CU71" i="1"/>
  <c r="CT71" i="1"/>
  <c r="CS71" i="1"/>
  <c r="CR71" i="1"/>
  <c r="CQ71" i="1"/>
  <c r="CP71" i="1"/>
  <c r="CM71" i="1"/>
  <c r="CL71" i="1"/>
  <c r="CK71" i="1"/>
  <c r="CJ71" i="1"/>
  <c r="CI71" i="1"/>
  <c r="CH71" i="1"/>
  <c r="CG71" i="1"/>
  <c r="CF71" i="1"/>
  <c r="CE71" i="1"/>
  <c r="CD71" i="1"/>
  <c r="CC71" i="1"/>
  <c r="CB71" i="1"/>
  <c r="CA71" i="1"/>
  <c r="BZ71" i="1"/>
  <c r="BX71" i="1"/>
  <c r="BS71" i="1"/>
  <c r="BR71" i="1"/>
  <c r="BQ71" i="1"/>
  <c r="BP71" i="1"/>
  <c r="BO71" i="1"/>
  <c r="BN71" i="1"/>
  <c r="BM71" i="1"/>
  <c r="BL71" i="1"/>
  <c r="BK71" i="1"/>
  <c r="BJ71" i="1"/>
  <c r="BH71" i="1"/>
  <c r="BG71" i="1"/>
  <c r="BC71" i="1"/>
  <c r="AX71" i="1"/>
  <c r="AW71" i="1"/>
  <c r="AV71" i="1"/>
  <c r="AU71" i="1"/>
  <c r="AT71" i="1"/>
  <c r="AS71" i="1"/>
  <c r="AR71" i="1"/>
  <c r="AQ71" i="1"/>
  <c r="AO71" i="1"/>
  <c r="AN71" i="1"/>
  <c r="AM71" i="1"/>
  <c r="AL71" i="1"/>
  <c r="AK71" i="1"/>
  <c r="AJ71" i="1"/>
  <c r="AI71" i="1"/>
  <c r="AH71" i="1"/>
  <c r="AG71" i="1"/>
  <c r="AE71" i="1"/>
  <c r="AF71" i="1" s="1"/>
  <c r="AC71" i="1"/>
  <c r="AB71" i="1" s="1"/>
  <c r="AA71" i="1"/>
  <c r="Z71" i="1"/>
  <c r="Y71" i="1"/>
  <c r="X71" i="1"/>
  <c r="T71" i="1"/>
  <c r="Q71" i="1"/>
  <c r="F71" i="1"/>
  <c r="B71" i="1"/>
  <c r="A71" i="1"/>
  <c r="DE70" i="1"/>
  <c r="DD70" i="1"/>
  <c r="DC70" i="1"/>
  <c r="CZ70" i="1"/>
  <c r="CY70" i="1"/>
  <c r="CX70" i="1"/>
  <c r="CW70" i="1"/>
  <c r="CV70" i="1"/>
  <c r="CU70" i="1"/>
  <c r="CT70" i="1"/>
  <c r="CS70" i="1"/>
  <c r="CR70" i="1"/>
  <c r="CQ70" i="1"/>
  <c r="CM70" i="1"/>
  <c r="CL70" i="1"/>
  <c r="CK70" i="1"/>
  <c r="CJ70" i="1"/>
  <c r="CI70" i="1"/>
  <c r="CH70" i="1"/>
  <c r="CG70" i="1"/>
  <c r="CF70" i="1"/>
  <c r="CE70" i="1"/>
  <c r="CD70" i="1"/>
  <c r="CC70" i="1"/>
  <c r="CB70" i="1"/>
  <c r="CA70" i="1"/>
  <c r="BZ70" i="1"/>
  <c r="BX70" i="1"/>
  <c r="BS70" i="1"/>
  <c r="BR70" i="1"/>
  <c r="BQ70" i="1"/>
  <c r="BP70" i="1"/>
  <c r="BO70" i="1"/>
  <c r="BN70" i="1"/>
  <c r="BM70" i="1"/>
  <c r="BL70" i="1"/>
  <c r="BK70" i="1"/>
  <c r="BJ70" i="1"/>
  <c r="BT70" i="1" s="1"/>
  <c r="BH70" i="1"/>
  <c r="BG70" i="1"/>
  <c r="BC70" i="1"/>
  <c r="AX70" i="1"/>
  <c r="AW70" i="1"/>
  <c r="AV70" i="1"/>
  <c r="AU70" i="1"/>
  <c r="AT70" i="1"/>
  <c r="AS70" i="1"/>
  <c r="AR70" i="1"/>
  <c r="AQ70" i="1"/>
  <c r="AO70" i="1"/>
  <c r="AN70" i="1"/>
  <c r="AM70" i="1"/>
  <c r="AL70" i="1"/>
  <c r="AK70" i="1"/>
  <c r="AJ70" i="1"/>
  <c r="AI70" i="1"/>
  <c r="AH70" i="1"/>
  <c r="AG70" i="1"/>
  <c r="AE70" i="1"/>
  <c r="AF70" i="1" s="1"/>
  <c r="AC70" i="1"/>
  <c r="AA70" i="1"/>
  <c r="Z70" i="1"/>
  <c r="Y70" i="1"/>
  <c r="X70" i="1"/>
  <c r="Q70" i="1"/>
  <c r="T70" i="1" s="1"/>
  <c r="F70" i="1"/>
  <c r="B70" i="1"/>
  <c r="A70" i="1"/>
  <c r="DE69" i="1"/>
  <c r="DD69" i="1"/>
  <c r="DC69" i="1"/>
  <c r="CZ69" i="1"/>
  <c r="CY69" i="1"/>
  <c r="CX69" i="1"/>
  <c r="CW69" i="1"/>
  <c r="CV69" i="1"/>
  <c r="CU69" i="1"/>
  <c r="CT69" i="1"/>
  <c r="CS69" i="1"/>
  <c r="CR69" i="1"/>
  <c r="CQ69" i="1"/>
  <c r="CM69" i="1"/>
  <c r="CL69" i="1"/>
  <c r="CK69" i="1"/>
  <c r="CJ69" i="1"/>
  <c r="CI69" i="1"/>
  <c r="CH69" i="1"/>
  <c r="CG69" i="1"/>
  <c r="CF69" i="1"/>
  <c r="CE69" i="1"/>
  <c r="CD69" i="1"/>
  <c r="CC69" i="1"/>
  <c r="CB69" i="1"/>
  <c r="CA69" i="1"/>
  <c r="BZ69" i="1"/>
  <c r="BX69" i="1"/>
  <c r="BS69" i="1"/>
  <c r="BR69" i="1"/>
  <c r="BQ69" i="1"/>
  <c r="BP69" i="1"/>
  <c r="BO69" i="1"/>
  <c r="BN69" i="1"/>
  <c r="BM69" i="1"/>
  <c r="BL69" i="1"/>
  <c r="BK69" i="1"/>
  <c r="BJ69" i="1"/>
  <c r="BH69" i="1"/>
  <c r="BG69" i="1"/>
  <c r="BC69" i="1"/>
  <c r="AW69" i="1"/>
  <c r="AV69" i="1"/>
  <c r="AU69" i="1"/>
  <c r="AT69" i="1"/>
  <c r="AS69" i="1"/>
  <c r="AR69" i="1"/>
  <c r="AQ69" i="1"/>
  <c r="AO69" i="1"/>
  <c r="AN69" i="1"/>
  <c r="AM69" i="1"/>
  <c r="AL69" i="1"/>
  <c r="AK69" i="1"/>
  <c r="AJ69" i="1"/>
  <c r="AI69" i="1"/>
  <c r="AH69" i="1"/>
  <c r="AG69" i="1"/>
  <c r="AE69" i="1"/>
  <c r="AF69" i="1" s="1"/>
  <c r="AC69" i="1"/>
  <c r="AB69" i="1" s="1"/>
  <c r="AA69" i="1"/>
  <c r="Z69" i="1"/>
  <c r="Y69" i="1"/>
  <c r="X69" i="1"/>
  <c r="Q69" i="1"/>
  <c r="AX69" i="1" s="1"/>
  <c r="F69" i="1"/>
  <c r="B69" i="1"/>
  <c r="A69" i="1"/>
  <c r="DE68" i="1"/>
  <c r="DD68" i="1"/>
  <c r="DC68" i="1"/>
  <c r="CZ68" i="1"/>
  <c r="CY68" i="1"/>
  <c r="CX68" i="1"/>
  <c r="CW68" i="1"/>
  <c r="CV68" i="1"/>
  <c r="CU68" i="1"/>
  <c r="CT68" i="1"/>
  <c r="CS68" i="1"/>
  <c r="CR68" i="1"/>
  <c r="CQ68" i="1"/>
  <c r="CM68" i="1"/>
  <c r="CL68" i="1"/>
  <c r="CK68" i="1"/>
  <c r="CJ68" i="1"/>
  <c r="CI68" i="1"/>
  <c r="CH68" i="1"/>
  <c r="CG68" i="1"/>
  <c r="CF68" i="1"/>
  <c r="CE68" i="1"/>
  <c r="CD68" i="1"/>
  <c r="CC68" i="1"/>
  <c r="CB68" i="1"/>
  <c r="CA68" i="1"/>
  <c r="BZ68" i="1"/>
  <c r="BX68" i="1"/>
  <c r="BS68" i="1"/>
  <c r="BR68" i="1"/>
  <c r="BQ68" i="1"/>
  <c r="BP68" i="1"/>
  <c r="BO68" i="1"/>
  <c r="BN68" i="1"/>
  <c r="BM68" i="1"/>
  <c r="BL68" i="1"/>
  <c r="BK68" i="1"/>
  <c r="BJ68" i="1"/>
  <c r="BH68" i="1"/>
  <c r="BG68" i="1"/>
  <c r="BC68" i="1"/>
  <c r="AW68" i="1"/>
  <c r="AV68" i="1"/>
  <c r="AU68" i="1"/>
  <c r="AT68" i="1"/>
  <c r="AS68" i="1"/>
  <c r="AR68" i="1"/>
  <c r="AQ68" i="1"/>
  <c r="AO68" i="1"/>
  <c r="AN68" i="1"/>
  <c r="AM68" i="1"/>
  <c r="AL68" i="1"/>
  <c r="AK68" i="1"/>
  <c r="AJ68" i="1"/>
  <c r="AI68" i="1"/>
  <c r="AH68" i="1"/>
  <c r="AG68" i="1"/>
  <c r="AE68" i="1"/>
  <c r="AF68" i="1" s="1"/>
  <c r="AC68" i="1"/>
  <c r="AB68" i="1"/>
  <c r="AA68" i="1"/>
  <c r="Z68" i="1"/>
  <c r="Y68" i="1"/>
  <c r="X68" i="1"/>
  <c r="Q68" i="1"/>
  <c r="T68" i="1" s="1"/>
  <c r="F68" i="1"/>
  <c r="B68" i="1"/>
  <c r="A68" i="1"/>
  <c r="DE67" i="1"/>
  <c r="DD67" i="1"/>
  <c r="DC67" i="1"/>
  <c r="CZ67" i="1"/>
  <c r="CY67" i="1"/>
  <c r="CX67" i="1"/>
  <c r="CW67" i="1"/>
  <c r="CV67" i="1"/>
  <c r="CU67" i="1"/>
  <c r="CT67" i="1"/>
  <c r="CS67" i="1"/>
  <c r="CR67" i="1"/>
  <c r="CQ67" i="1"/>
  <c r="CM67" i="1"/>
  <c r="CL67" i="1"/>
  <c r="CK67" i="1"/>
  <c r="CJ67" i="1"/>
  <c r="CI67" i="1"/>
  <c r="CH67" i="1"/>
  <c r="CG67" i="1"/>
  <c r="CF67" i="1"/>
  <c r="CE67" i="1"/>
  <c r="CD67" i="1"/>
  <c r="CC67" i="1"/>
  <c r="CB67" i="1"/>
  <c r="CA67" i="1"/>
  <c r="BZ67" i="1"/>
  <c r="BX67" i="1"/>
  <c r="BS67" i="1"/>
  <c r="BR67" i="1"/>
  <c r="BQ67" i="1"/>
  <c r="BP67" i="1"/>
  <c r="BO67" i="1"/>
  <c r="BN67" i="1"/>
  <c r="BM67" i="1"/>
  <c r="BL67" i="1"/>
  <c r="BT67" i="1" s="1"/>
  <c r="BK67" i="1"/>
  <c r="BJ67" i="1"/>
  <c r="BH67" i="1"/>
  <c r="BG67" i="1"/>
  <c r="BC67" i="1"/>
  <c r="AW67" i="1"/>
  <c r="AV67" i="1"/>
  <c r="AU67" i="1"/>
  <c r="AT67" i="1"/>
  <c r="AS67" i="1"/>
  <c r="AR67" i="1"/>
  <c r="AQ67" i="1"/>
  <c r="AO67" i="1"/>
  <c r="AN67" i="1"/>
  <c r="AM67" i="1"/>
  <c r="AL67" i="1"/>
  <c r="AK67" i="1"/>
  <c r="AJ67" i="1"/>
  <c r="AI67" i="1"/>
  <c r="AH67" i="1"/>
  <c r="AG67" i="1"/>
  <c r="AE67" i="1"/>
  <c r="AF67" i="1" s="1"/>
  <c r="AC67" i="1"/>
  <c r="AB67" i="1" s="1"/>
  <c r="AA67" i="1"/>
  <c r="Z67" i="1"/>
  <c r="Y67" i="1"/>
  <c r="X67" i="1"/>
  <c r="W67" i="1" s="1"/>
  <c r="T67" i="1"/>
  <c r="Q67" i="1"/>
  <c r="AX67" i="1" s="1"/>
  <c r="F67" i="1"/>
  <c r="B67" i="1"/>
  <c r="A67" i="1"/>
  <c r="DE66" i="1"/>
  <c r="DD66" i="1"/>
  <c r="DC66" i="1"/>
  <c r="CZ66" i="1"/>
  <c r="CY66" i="1"/>
  <c r="CX66" i="1"/>
  <c r="CW66" i="1"/>
  <c r="CV66" i="1"/>
  <c r="CU66" i="1"/>
  <c r="CT66" i="1"/>
  <c r="CS66" i="1"/>
  <c r="CR66" i="1"/>
  <c r="CQ66" i="1"/>
  <c r="CM66" i="1"/>
  <c r="CL66" i="1"/>
  <c r="CK66" i="1"/>
  <c r="CJ66" i="1"/>
  <c r="CI66" i="1"/>
  <c r="CH66" i="1"/>
  <c r="CG66" i="1"/>
  <c r="CF66" i="1"/>
  <c r="CE66" i="1"/>
  <c r="CD66" i="1"/>
  <c r="CC66" i="1"/>
  <c r="CB66" i="1"/>
  <c r="CA66" i="1"/>
  <c r="BZ66" i="1"/>
  <c r="BX66" i="1"/>
  <c r="BS66" i="1"/>
  <c r="BR66" i="1"/>
  <c r="BQ66" i="1"/>
  <c r="BP66" i="1"/>
  <c r="BO66" i="1"/>
  <c r="BN66" i="1"/>
  <c r="BM66" i="1"/>
  <c r="BL66" i="1"/>
  <c r="BK66" i="1"/>
  <c r="BJ66" i="1"/>
  <c r="BH66" i="1"/>
  <c r="BG66" i="1"/>
  <c r="BC66" i="1"/>
  <c r="AX66" i="1"/>
  <c r="AW66" i="1"/>
  <c r="AV66" i="1"/>
  <c r="AU66" i="1"/>
  <c r="AT66" i="1"/>
  <c r="AS66" i="1"/>
  <c r="AR66" i="1"/>
  <c r="AQ66" i="1"/>
  <c r="AO66" i="1"/>
  <c r="AN66" i="1"/>
  <c r="AM66" i="1"/>
  <c r="AL66" i="1"/>
  <c r="AK66" i="1"/>
  <c r="AJ66" i="1"/>
  <c r="AI66" i="1"/>
  <c r="AH66" i="1"/>
  <c r="AG66" i="1"/>
  <c r="AE66" i="1"/>
  <c r="AF66" i="1" s="1"/>
  <c r="AC66" i="1"/>
  <c r="AA66" i="1"/>
  <c r="Z66" i="1"/>
  <c r="Y66" i="1"/>
  <c r="W66" i="1" s="1"/>
  <c r="X66" i="1"/>
  <c r="T66" i="1"/>
  <c r="Q66" i="1"/>
  <c r="F66" i="1"/>
  <c r="B66" i="1"/>
  <c r="A66" i="1"/>
  <c r="DE65" i="1"/>
  <c r="DD65" i="1"/>
  <c r="DC65" i="1"/>
  <c r="CZ65" i="1"/>
  <c r="CY65" i="1"/>
  <c r="CX65" i="1"/>
  <c r="CW65" i="1"/>
  <c r="CV65" i="1"/>
  <c r="CU65" i="1"/>
  <c r="CT65" i="1"/>
  <c r="CS65" i="1"/>
  <c r="CR65" i="1"/>
  <c r="CQ65" i="1"/>
  <c r="CP65" i="1"/>
  <c r="CM65" i="1"/>
  <c r="CL65" i="1"/>
  <c r="CK65" i="1"/>
  <c r="CJ65" i="1"/>
  <c r="CI65" i="1"/>
  <c r="CH65" i="1"/>
  <c r="CG65" i="1"/>
  <c r="CF65" i="1"/>
  <c r="CE65" i="1"/>
  <c r="CD65" i="1"/>
  <c r="CC65" i="1"/>
  <c r="CB65" i="1"/>
  <c r="CA65" i="1"/>
  <c r="BZ65" i="1"/>
  <c r="BX65" i="1"/>
  <c r="BS65" i="1"/>
  <c r="BR65" i="1"/>
  <c r="BQ65" i="1"/>
  <c r="BP65" i="1"/>
  <c r="BO65" i="1"/>
  <c r="BT65" i="1" s="1"/>
  <c r="BN65" i="1"/>
  <c r="BM65" i="1"/>
  <c r="BL65" i="1"/>
  <c r="BK65" i="1"/>
  <c r="BJ65" i="1"/>
  <c r="BH65" i="1"/>
  <c r="BG65" i="1"/>
  <c r="BC65" i="1"/>
  <c r="AW65" i="1"/>
  <c r="AV65" i="1"/>
  <c r="AU65" i="1"/>
  <c r="AT65" i="1"/>
  <c r="AS65" i="1"/>
  <c r="AR65" i="1"/>
  <c r="AQ65" i="1"/>
  <c r="AO65" i="1"/>
  <c r="AN65" i="1"/>
  <c r="AM65" i="1"/>
  <c r="AL65" i="1"/>
  <c r="AK65" i="1"/>
  <c r="AJ65" i="1"/>
  <c r="AI65" i="1"/>
  <c r="AH65" i="1"/>
  <c r="AG65" i="1"/>
  <c r="AE65" i="1"/>
  <c r="AF65" i="1" s="1"/>
  <c r="AC65" i="1"/>
  <c r="AA65" i="1"/>
  <c r="Z65" i="1"/>
  <c r="Y65" i="1"/>
  <c r="X65" i="1"/>
  <c r="Q65" i="1"/>
  <c r="T65" i="1" s="1"/>
  <c r="F65" i="1"/>
  <c r="B65" i="1"/>
  <c r="A65" i="1"/>
  <c r="DE64" i="1"/>
  <c r="DD64" i="1"/>
  <c r="DC64" i="1"/>
  <c r="CZ64" i="1"/>
  <c r="CY64" i="1"/>
  <c r="CX64" i="1"/>
  <c r="CW64" i="1"/>
  <c r="CV64" i="1"/>
  <c r="CU64" i="1"/>
  <c r="CT64" i="1"/>
  <c r="CS64" i="1"/>
  <c r="CR64" i="1"/>
  <c r="CQ64" i="1"/>
  <c r="CM64" i="1"/>
  <c r="CL64" i="1"/>
  <c r="CK64" i="1"/>
  <c r="CJ64" i="1"/>
  <c r="CI64" i="1"/>
  <c r="CH64" i="1"/>
  <c r="CG64" i="1"/>
  <c r="CF64" i="1"/>
  <c r="CE64" i="1"/>
  <c r="CD64" i="1"/>
  <c r="CC64" i="1"/>
  <c r="CB64" i="1"/>
  <c r="CA64" i="1"/>
  <c r="BZ64" i="1"/>
  <c r="BX64" i="1"/>
  <c r="BS64" i="1"/>
  <c r="BR64" i="1"/>
  <c r="BQ64" i="1"/>
  <c r="BP64" i="1"/>
  <c r="BO64" i="1"/>
  <c r="BN64" i="1"/>
  <c r="BM64" i="1"/>
  <c r="BL64" i="1"/>
  <c r="BK64" i="1"/>
  <c r="BJ64" i="1"/>
  <c r="BH64" i="1"/>
  <c r="BG64" i="1"/>
  <c r="BC64" i="1"/>
  <c r="AW64" i="1"/>
  <c r="AV64" i="1"/>
  <c r="AU64" i="1"/>
  <c r="AT64" i="1"/>
  <c r="AS64" i="1"/>
  <c r="AR64" i="1"/>
  <c r="AQ64" i="1"/>
  <c r="AO64" i="1"/>
  <c r="AN64" i="1"/>
  <c r="AM64" i="1"/>
  <c r="AL64" i="1"/>
  <c r="AK64" i="1"/>
  <c r="AJ64" i="1"/>
  <c r="AI64" i="1"/>
  <c r="AH64" i="1"/>
  <c r="AG64" i="1"/>
  <c r="AE64" i="1"/>
  <c r="AF64" i="1" s="1"/>
  <c r="AC64" i="1"/>
  <c r="AA64" i="1"/>
  <c r="Z64" i="1"/>
  <c r="Y64" i="1"/>
  <c r="X64" i="1"/>
  <c r="Q64" i="1"/>
  <c r="T64" i="1" s="1"/>
  <c r="F64" i="1"/>
  <c r="B64" i="1"/>
  <c r="A64" i="1"/>
  <c r="DE63" i="1"/>
  <c r="DD63" i="1"/>
  <c r="DC63" i="1"/>
  <c r="CZ63" i="1"/>
  <c r="CY63" i="1"/>
  <c r="CX63" i="1"/>
  <c r="CW63" i="1"/>
  <c r="CV63" i="1"/>
  <c r="CU63" i="1"/>
  <c r="CT63" i="1"/>
  <c r="CS63" i="1"/>
  <c r="CR63" i="1"/>
  <c r="CQ63" i="1"/>
  <c r="CM63" i="1"/>
  <c r="CL63" i="1"/>
  <c r="CK63" i="1"/>
  <c r="CJ63" i="1"/>
  <c r="CI63" i="1"/>
  <c r="CH63" i="1"/>
  <c r="CG63" i="1"/>
  <c r="CF63" i="1"/>
  <c r="CE63" i="1"/>
  <c r="CD63" i="1"/>
  <c r="CC63" i="1"/>
  <c r="CB63" i="1"/>
  <c r="CA63" i="1"/>
  <c r="BZ63" i="1"/>
  <c r="BX63" i="1"/>
  <c r="BS63" i="1"/>
  <c r="BR63" i="1"/>
  <c r="BQ63" i="1"/>
  <c r="BP63" i="1"/>
  <c r="BO63" i="1"/>
  <c r="BN63" i="1"/>
  <c r="BM63" i="1"/>
  <c r="BL63" i="1"/>
  <c r="BK63" i="1"/>
  <c r="BJ63" i="1"/>
  <c r="BH63" i="1"/>
  <c r="BG63" i="1"/>
  <c r="BC63" i="1"/>
  <c r="AX63" i="1"/>
  <c r="AW63" i="1"/>
  <c r="AV63" i="1"/>
  <c r="AU63" i="1"/>
  <c r="AT63" i="1"/>
  <c r="AS63" i="1"/>
  <c r="AR63" i="1"/>
  <c r="AQ63" i="1"/>
  <c r="AO63" i="1"/>
  <c r="AN63" i="1"/>
  <c r="AM63" i="1"/>
  <c r="AL63" i="1"/>
  <c r="AK63" i="1"/>
  <c r="AJ63" i="1"/>
  <c r="AI63" i="1"/>
  <c r="AH63" i="1"/>
  <c r="AG63" i="1"/>
  <c r="AE63" i="1"/>
  <c r="AF63" i="1" s="1"/>
  <c r="AC63" i="1"/>
  <c r="AA63" i="1"/>
  <c r="Z63" i="1"/>
  <c r="Y63" i="1"/>
  <c r="W63" i="1" s="1"/>
  <c r="X63" i="1"/>
  <c r="Q63" i="1"/>
  <c r="T63" i="1" s="1"/>
  <c r="F63" i="1"/>
  <c r="B63" i="1"/>
  <c r="A63" i="1"/>
  <c r="DE62" i="1"/>
  <c r="DD62" i="1"/>
  <c r="DC62" i="1"/>
  <c r="CZ62" i="1"/>
  <c r="CY62" i="1"/>
  <c r="CX62" i="1"/>
  <c r="CW62" i="1"/>
  <c r="CV62" i="1"/>
  <c r="CU62" i="1"/>
  <c r="CT62" i="1"/>
  <c r="CS62" i="1"/>
  <c r="CR62" i="1"/>
  <c r="CQ62" i="1"/>
  <c r="CM62" i="1"/>
  <c r="CL62" i="1"/>
  <c r="CK62" i="1"/>
  <c r="CJ62" i="1"/>
  <c r="CI62" i="1"/>
  <c r="CH62" i="1"/>
  <c r="CG62" i="1"/>
  <c r="CF62" i="1"/>
  <c r="CE62" i="1"/>
  <c r="CD62" i="1"/>
  <c r="CC62" i="1"/>
  <c r="CB62" i="1"/>
  <c r="CA62" i="1"/>
  <c r="BZ62" i="1"/>
  <c r="BX62" i="1"/>
  <c r="BS62" i="1"/>
  <c r="BR62" i="1"/>
  <c r="BQ62" i="1"/>
  <c r="BP62" i="1"/>
  <c r="BO62" i="1"/>
  <c r="BN62" i="1"/>
  <c r="BM62" i="1"/>
  <c r="BL62" i="1"/>
  <c r="BK62" i="1"/>
  <c r="BJ62" i="1"/>
  <c r="BH62" i="1"/>
  <c r="BG62" i="1"/>
  <c r="BC62" i="1"/>
  <c r="AW62" i="1"/>
  <c r="AV62" i="1"/>
  <c r="AU62" i="1"/>
  <c r="AT62" i="1"/>
  <c r="AS62" i="1"/>
  <c r="AR62" i="1"/>
  <c r="AQ62" i="1"/>
  <c r="AO62" i="1"/>
  <c r="AN62" i="1"/>
  <c r="AM62" i="1"/>
  <c r="AL62" i="1"/>
  <c r="AK62" i="1"/>
  <c r="AJ62" i="1"/>
  <c r="AI62" i="1"/>
  <c r="AH62" i="1"/>
  <c r="AG62" i="1"/>
  <c r="AE62" i="1"/>
  <c r="AF62" i="1" s="1"/>
  <c r="AC62" i="1"/>
  <c r="AA62" i="1"/>
  <c r="Z62" i="1"/>
  <c r="Y62" i="1"/>
  <c r="X62" i="1"/>
  <c r="Q62" i="1"/>
  <c r="T62" i="1" s="1"/>
  <c r="F62" i="1"/>
  <c r="B62" i="1"/>
  <c r="A62" i="1"/>
  <c r="DE61" i="1"/>
  <c r="DD61" i="1"/>
  <c r="DC61" i="1"/>
  <c r="CZ61" i="1"/>
  <c r="CY61" i="1"/>
  <c r="CX61" i="1"/>
  <c r="CW61" i="1"/>
  <c r="CV61" i="1"/>
  <c r="CU61" i="1"/>
  <c r="CT61" i="1"/>
  <c r="CS61" i="1"/>
  <c r="CR61" i="1"/>
  <c r="CQ61" i="1"/>
  <c r="CM61" i="1"/>
  <c r="CL61" i="1"/>
  <c r="CK61" i="1"/>
  <c r="CJ61" i="1"/>
  <c r="CI61" i="1"/>
  <c r="CH61" i="1"/>
  <c r="CG61" i="1"/>
  <c r="CF61" i="1"/>
  <c r="CE61" i="1"/>
  <c r="CD61" i="1"/>
  <c r="CC61" i="1"/>
  <c r="CB61" i="1"/>
  <c r="CA61" i="1"/>
  <c r="BZ61" i="1"/>
  <c r="BX61" i="1"/>
  <c r="BS61" i="1"/>
  <c r="BR61" i="1"/>
  <c r="BQ61" i="1"/>
  <c r="BP61" i="1"/>
  <c r="BO61" i="1"/>
  <c r="BN61" i="1"/>
  <c r="BM61" i="1"/>
  <c r="BL61" i="1"/>
  <c r="BK61" i="1"/>
  <c r="BJ61" i="1"/>
  <c r="BH61" i="1"/>
  <c r="BG61" i="1"/>
  <c r="BC61" i="1"/>
  <c r="AX61" i="1"/>
  <c r="AW61" i="1"/>
  <c r="AV61" i="1"/>
  <c r="AU61" i="1"/>
  <c r="AT61" i="1"/>
  <c r="AS61" i="1"/>
  <c r="AR61" i="1"/>
  <c r="AQ61" i="1"/>
  <c r="AO61" i="1"/>
  <c r="AN61" i="1"/>
  <c r="AM61" i="1"/>
  <c r="AL61" i="1"/>
  <c r="AK61" i="1"/>
  <c r="AJ61" i="1"/>
  <c r="AI61" i="1"/>
  <c r="AH61" i="1"/>
  <c r="AG61" i="1"/>
  <c r="AE61" i="1"/>
  <c r="AF61" i="1" s="1"/>
  <c r="AC61" i="1"/>
  <c r="AA61" i="1"/>
  <c r="Z61" i="1"/>
  <c r="Y61" i="1"/>
  <c r="X61" i="1"/>
  <c r="Q61" i="1"/>
  <c r="T61" i="1" s="1"/>
  <c r="F61" i="1"/>
  <c r="B61" i="1"/>
  <c r="A61" i="1"/>
  <c r="DE60" i="1"/>
  <c r="DD60" i="1"/>
  <c r="DC60" i="1"/>
  <c r="CZ60" i="1"/>
  <c r="CY60" i="1"/>
  <c r="CX60" i="1"/>
  <c r="CW60" i="1"/>
  <c r="CV60" i="1"/>
  <c r="CU60" i="1"/>
  <c r="CT60" i="1"/>
  <c r="CS60" i="1"/>
  <c r="CR60" i="1"/>
  <c r="CQ60" i="1"/>
  <c r="CM60" i="1"/>
  <c r="CL60" i="1"/>
  <c r="CK60" i="1"/>
  <c r="CJ60" i="1"/>
  <c r="CI60" i="1"/>
  <c r="CH60" i="1"/>
  <c r="CG60" i="1"/>
  <c r="CF60" i="1"/>
  <c r="CE60" i="1"/>
  <c r="CD60" i="1"/>
  <c r="CC60" i="1"/>
  <c r="CB60" i="1"/>
  <c r="CA60" i="1"/>
  <c r="BZ60" i="1"/>
  <c r="BX60" i="1"/>
  <c r="BS60" i="1"/>
  <c r="BR60" i="1"/>
  <c r="BQ60" i="1"/>
  <c r="BP60" i="1"/>
  <c r="BO60" i="1"/>
  <c r="BN60" i="1"/>
  <c r="BM60" i="1"/>
  <c r="BL60" i="1"/>
  <c r="BK60" i="1"/>
  <c r="BJ60" i="1"/>
  <c r="BH60" i="1"/>
  <c r="BG60" i="1"/>
  <c r="BC60" i="1"/>
  <c r="AW60" i="1"/>
  <c r="AV60" i="1"/>
  <c r="AU60" i="1"/>
  <c r="AT60" i="1"/>
  <c r="AS60" i="1"/>
  <c r="AR60" i="1"/>
  <c r="AQ60" i="1"/>
  <c r="AO60" i="1"/>
  <c r="AN60" i="1"/>
  <c r="AM60" i="1"/>
  <c r="AL60" i="1"/>
  <c r="AK60" i="1"/>
  <c r="AJ60" i="1"/>
  <c r="AI60" i="1"/>
  <c r="AH60" i="1"/>
  <c r="AG60" i="1"/>
  <c r="AE60" i="1"/>
  <c r="AF60" i="1" s="1"/>
  <c r="AC60" i="1"/>
  <c r="AA60" i="1"/>
  <c r="Z60" i="1"/>
  <c r="Y60" i="1"/>
  <c r="X60" i="1"/>
  <c r="Q60" i="1"/>
  <c r="T60" i="1" s="1"/>
  <c r="F60" i="1"/>
  <c r="B60" i="1"/>
  <c r="A60" i="1"/>
  <c r="DE59" i="1"/>
  <c r="DD59" i="1"/>
  <c r="DC59" i="1"/>
  <c r="CZ59" i="1"/>
  <c r="CY59" i="1"/>
  <c r="CX59" i="1"/>
  <c r="CW59" i="1"/>
  <c r="CV59" i="1"/>
  <c r="CU59" i="1"/>
  <c r="CT59" i="1"/>
  <c r="CS59" i="1"/>
  <c r="CR59" i="1"/>
  <c r="CQ59" i="1"/>
  <c r="CM59" i="1"/>
  <c r="CL59" i="1"/>
  <c r="CK59" i="1"/>
  <c r="CJ59" i="1"/>
  <c r="CI59" i="1"/>
  <c r="CH59" i="1"/>
  <c r="CG59" i="1"/>
  <c r="CF59" i="1"/>
  <c r="CE59" i="1"/>
  <c r="CD59" i="1"/>
  <c r="CC59" i="1"/>
  <c r="CB59" i="1"/>
  <c r="CA59" i="1"/>
  <c r="BZ59" i="1"/>
  <c r="BX59" i="1"/>
  <c r="BS59" i="1"/>
  <c r="BR59" i="1"/>
  <c r="BQ59" i="1"/>
  <c r="BP59" i="1"/>
  <c r="BO59" i="1"/>
  <c r="BN59" i="1"/>
  <c r="BM59" i="1"/>
  <c r="BL59" i="1"/>
  <c r="BK59" i="1"/>
  <c r="BJ59" i="1"/>
  <c r="BT59" i="1" s="1"/>
  <c r="BH59" i="1"/>
  <c r="BG59" i="1"/>
  <c r="BC59" i="1"/>
  <c r="AW59" i="1"/>
  <c r="AV59" i="1"/>
  <c r="AU59" i="1"/>
  <c r="AT59" i="1"/>
  <c r="AS59" i="1"/>
  <c r="AR59" i="1"/>
  <c r="AQ59" i="1"/>
  <c r="AO59" i="1"/>
  <c r="AN59" i="1"/>
  <c r="AM59" i="1"/>
  <c r="AL59" i="1"/>
  <c r="AK59" i="1"/>
  <c r="AJ59" i="1"/>
  <c r="AI59" i="1"/>
  <c r="AH59" i="1"/>
  <c r="AG59" i="1"/>
  <c r="AE59" i="1"/>
  <c r="AF59" i="1" s="1"/>
  <c r="AC59" i="1"/>
  <c r="AA59" i="1"/>
  <c r="Z59" i="1"/>
  <c r="Y59" i="1"/>
  <c r="X59" i="1"/>
  <c r="Q59" i="1"/>
  <c r="T59" i="1" s="1"/>
  <c r="F59" i="1"/>
  <c r="B59" i="1"/>
  <c r="A59" i="1"/>
  <c r="DE58" i="1"/>
  <c r="DD58" i="1"/>
  <c r="DC58" i="1"/>
  <c r="CZ58" i="1"/>
  <c r="CY58" i="1"/>
  <c r="CX58" i="1"/>
  <c r="CW58" i="1"/>
  <c r="CV58" i="1"/>
  <c r="CU58" i="1"/>
  <c r="CT58" i="1"/>
  <c r="CS58" i="1"/>
  <c r="CR58" i="1"/>
  <c r="CQ58" i="1"/>
  <c r="CM58" i="1"/>
  <c r="CL58" i="1"/>
  <c r="CK58" i="1"/>
  <c r="CJ58" i="1"/>
  <c r="CI58" i="1"/>
  <c r="CH58" i="1"/>
  <c r="CG58" i="1"/>
  <c r="CF58" i="1"/>
  <c r="CE58" i="1"/>
  <c r="CD58" i="1"/>
  <c r="CC58" i="1"/>
  <c r="CB58" i="1"/>
  <c r="CA58" i="1"/>
  <c r="BZ58" i="1"/>
  <c r="BX58" i="1"/>
  <c r="BS58" i="1"/>
  <c r="BR58" i="1"/>
  <c r="BQ58" i="1"/>
  <c r="BP58" i="1"/>
  <c r="BO58" i="1"/>
  <c r="BN58" i="1"/>
  <c r="BM58" i="1"/>
  <c r="BL58" i="1"/>
  <c r="BK58" i="1"/>
  <c r="BJ58" i="1"/>
  <c r="BH58" i="1"/>
  <c r="BG58" i="1"/>
  <c r="BC58" i="1"/>
  <c r="AX58" i="1"/>
  <c r="AW58" i="1"/>
  <c r="AV58" i="1"/>
  <c r="AU58" i="1"/>
  <c r="AT58" i="1"/>
  <c r="AS58" i="1"/>
  <c r="AR58" i="1"/>
  <c r="AQ58" i="1"/>
  <c r="AO58" i="1"/>
  <c r="AN58" i="1"/>
  <c r="AM58" i="1"/>
  <c r="AL58" i="1"/>
  <c r="AK58" i="1"/>
  <c r="AJ58" i="1"/>
  <c r="AI58" i="1"/>
  <c r="AH58" i="1"/>
  <c r="AG58" i="1"/>
  <c r="AE58" i="1"/>
  <c r="AF58" i="1" s="1"/>
  <c r="AC58" i="1"/>
  <c r="AB58" i="1" s="1"/>
  <c r="AA58" i="1"/>
  <c r="Z58" i="1"/>
  <c r="Y58" i="1"/>
  <c r="X58" i="1"/>
  <c r="Q58" i="1"/>
  <c r="T58" i="1" s="1"/>
  <c r="F58" i="1"/>
  <c r="B58" i="1"/>
  <c r="A58" i="1"/>
  <c r="DE57" i="1"/>
  <c r="DD57" i="1"/>
  <c r="DC57" i="1"/>
  <c r="CZ57" i="1"/>
  <c r="CY57" i="1"/>
  <c r="CX57" i="1"/>
  <c r="CW57" i="1"/>
  <c r="CV57" i="1"/>
  <c r="CU57" i="1"/>
  <c r="CT57" i="1"/>
  <c r="CS57" i="1"/>
  <c r="CR57" i="1"/>
  <c r="CQ57" i="1"/>
  <c r="CM57" i="1"/>
  <c r="CL57" i="1"/>
  <c r="CK57" i="1"/>
  <c r="CJ57" i="1"/>
  <c r="CI57" i="1"/>
  <c r="CH57" i="1"/>
  <c r="CG57" i="1"/>
  <c r="CF57" i="1"/>
  <c r="CE57" i="1"/>
  <c r="CD57" i="1"/>
  <c r="CC57" i="1"/>
  <c r="CB57" i="1"/>
  <c r="CA57" i="1"/>
  <c r="BZ57" i="1"/>
  <c r="BX57" i="1"/>
  <c r="BS57" i="1"/>
  <c r="BR57" i="1"/>
  <c r="BQ57" i="1"/>
  <c r="BP57" i="1"/>
  <c r="BO57" i="1"/>
  <c r="BN57" i="1"/>
  <c r="BM57" i="1"/>
  <c r="BL57" i="1"/>
  <c r="BK57" i="1"/>
  <c r="BJ57" i="1"/>
  <c r="BH57" i="1"/>
  <c r="BG57" i="1"/>
  <c r="BC57" i="1"/>
  <c r="AX57" i="1"/>
  <c r="AW57" i="1"/>
  <c r="AV57" i="1"/>
  <c r="AU57" i="1"/>
  <c r="AT57" i="1"/>
  <c r="AS57" i="1"/>
  <c r="AR57" i="1"/>
  <c r="AQ57" i="1"/>
  <c r="AO57" i="1"/>
  <c r="AN57" i="1"/>
  <c r="AM57" i="1"/>
  <c r="AL57" i="1"/>
  <c r="AK57" i="1"/>
  <c r="AJ57" i="1"/>
  <c r="AI57" i="1"/>
  <c r="AH57" i="1"/>
  <c r="AG57" i="1"/>
  <c r="AE57" i="1"/>
  <c r="AF57" i="1" s="1"/>
  <c r="AC57" i="1"/>
  <c r="AA57" i="1"/>
  <c r="Z57" i="1"/>
  <c r="Y57" i="1"/>
  <c r="X57" i="1"/>
  <c r="Q57" i="1"/>
  <c r="T57" i="1" s="1"/>
  <c r="F57" i="1"/>
  <c r="B57" i="1"/>
  <c r="A57" i="1"/>
  <c r="DE56" i="1"/>
  <c r="DD56" i="1"/>
  <c r="DC56" i="1"/>
  <c r="CZ56" i="1"/>
  <c r="CY56" i="1"/>
  <c r="CX56" i="1"/>
  <c r="CW56" i="1"/>
  <c r="CV56" i="1"/>
  <c r="CU56" i="1"/>
  <c r="CT56" i="1"/>
  <c r="CS56" i="1"/>
  <c r="CR56" i="1"/>
  <c r="CQ56" i="1"/>
  <c r="CM56" i="1"/>
  <c r="CL56" i="1"/>
  <c r="CK56" i="1"/>
  <c r="CJ56" i="1"/>
  <c r="CI56" i="1"/>
  <c r="CH56" i="1"/>
  <c r="CG56" i="1"/>
  <c r="CF56" i="1"/>
  <c r="CE56" i="1"/>
  <c r="CD56" i="1"/>
  <c r="CC56" i="1"/>
  <c r="CB56" i="1"/>
  <c r="CA56" i="1"/>
  <c r="BZ56" i="1"/>
  <c r="BX56" i="1"/>
  <c r="BS56" i="1"/>
  <c r="BR56" i="1"/>
  <c r="BQ56" i="1"/>
  <c r="BP56" i="1"/>
  <c r="BO56" i="1"/>
  <c r="BN56" i="1"/>
  <c r="BM56" i="1"/>
  <c r="BL56" i="1"/>
  <c r="BK56" i="1"/>
  <c r="BJ56" i="1"/>
  <c r="BH56" i="1"/>
  <c r="BG56" i="1"/>
  <c r="BC56" i="1"/>
  <c r="AW56" i="1"/>
  <c r="AV56" i="1"/>
  <c r="AU56" i="1"/>
  <c r="AT56" i="1"/>
  <c r="AS56" i="1"/>
  <c r="AR56" i="1"/>
  <c r="AQ56" i="1"/>
  <c r="AO56" i="1"/>
  <c r="AN56" i="1"/>
  <c r="AM56" i="1"/>
  <c r="AL56" i="1"/>
  <c r="AK56" i="1"/>
  <c r="AJ56" i="1"/>
  <c r="AI56" i="1"/>
  <c r="AH56" i="1"/>
  <c r="AG56" i="1"/>
  <c r="AE56" i="1"/>
  <c r="AF56" i="1" s="1"/>
  <c r="AC56" i="1"/>
  <c r="AA56" i="1"/>
  <c r="Z56" i="1"/>
  <c r="Y56" i="1"/>
  <c r="X56" i="1"/>
  <c r="Q56" i="1"/>
  <c r="AX56" i="1" s="1"/>
  <c r="F56" i="1"/>
  <c r="B56" i="1"/>
  <c r="A56" i="1"/>
  <c r="DE55" i="1"/>
  <c r="DD55" i="1"/>
  <c r="DC55" i="1"/>
  <c r="CZ55" i="1"/>
  <c r="CY55" i="1"/>
  <c r="CX55" i="1"/>
  <c r="CW55" i="1"/>
  <c r="CV55" i="1"/>
  <c r="CU55" i="1"/>
  <c r="CT55" i="1"/>
  <c r="CS55" i="1"/>
  <c r="CR55" i="1"/>
  <c r="CQ55" i="1"/>
  <c r="CM55" i="1"/>
  <c r="CL55" i="1"/>
  <c r="CK55" i="1"/>
  <c r="CJ55" i="1"/>
  <c r="CI55" i="1"/>
  <c r="CH55" i="1"/>
  <c r="CG55" i="1"/>
  <c r="CF55" i="1"/>
  <c r="CE55" i="1"/>
  <c r="CD55" i="1"/>
  <c r="CC55" i="1"/>
  <c r="CB55" i="1"/>
  <c r="CA55" i="1"/>
  <c r="BZ55" i="1"/>
  <c r="BX55" i="1"/>
  <c r="BS55" i="1"/>
  <c r="BR55" i="1"/>
  <c r="BQ55" i="1"/>
  <c r="BP55" i="1"/>
  <c r="BO55" i="1"/>
  <c r="BN55" i="1"/>
  <c r="BM55" i="1"/>
  <c r="BL55" i="1"/>
  <c r="BK55" i="1"/>
  <c r="BJ55" i="1"/>
  <c r="BH55" i="1"/>
  <c r="BG55" i="1"/>
  <c r="BC55" i="1"/>
  <c r="AX55" i="1"/>
  <c r="AW55" i="1"/>
  <c r="AV55" i="1"/>
  <c r="AU55" i="1"/>
  <c r="AT55" i="1"/>
  <c r="AS55" i="1"/>
  <c r="AR55" i="1"/>
  <c r="AQ55" i="1"/>
  <c r="AO55" i="1"/>
  <c r="AN55" i="1"/>
  <c r="AM55" i="1"/>
  <c r="AL55" i="1"/>
  <c r="AK55" i="1"/>
  <c r="AJ55" i="1"/>
  <c r="AI55" i="1"/>
  <c r="AH55" i="1"/>
  <c r="AG55" i="1"/>
  <c r="AE55" i="1"/>
  <c r="AF55" i="1" s="1"/>
  <c r="AB55" i="1" s="1"/>
  <c r="AC55" i="1"/>
  <c r="AA55" i="1"/>
  <c r="Z55" i="1"/>
  <c r="Y55" i="1"/>
  <c r="X55" i="1"/>
  <c r="Q55" i="1"/>
  <c r="T55" i="1" s="1"/>
  <c r="F55" i="1"/>
  <c r="B55" i="1"/>
  <c r="A55" i="1"/>
  <c r="DE54" i="1"/>
  <c r="DD54" i="1"/>
  <c r="DC54" i="1"/>
  <c r="CZ54" i="1"/>
  <c r="CY54" i="1"/>
  <c r="CX54" i="1"/>
  <c r="CW54" i="1"/>
  <c r="CV54" i="1"/>
  <c r="CU54" i="1"/>
  <c r="CT54" i="1"/>
  <c r="CS54" i="1"/>
  <c r="CR54" i="1"/>
  <c r="CQ54" i="1"/>
  <c r="CP54" i="1"/>
  <c r="CM54" i="1"/>
  <c r="CL54" i="1"/>
  <c r="CK54" i="1"/>
  <c r="CJ54" i="1"/>
  <c r="CI54" i="1"/>
  <c r="CH54" i="1"/>
  <c r="CG54" i="1"/>
  <c r="CF54" i="1"/>
  <c r="CE54" i="1"/>
  <c r="CD54" i="1"/>
  <c r="CC54" i="1"/>
  <c r="CB54" i="1"/>
  <c r="CA54" i="1"/>
  <c r="BZ54" i="1"/>
  <c r="BX54" i="1"/>
  <c r="BS54" i="1"/>
  <c r="BR54" i="1"/>
  <c r="BQ54" i="1"/>
  <c r="BP54" i="1"/>
  <c r="BO54" i="1"/>
  <c r="BN54" i="1"/>
  <c r="BM54" i="1"/>
  <c r="BL54" i="1"/>
  <c r="BK54" i="1"/>
  <c r="BJ54" i="1"/>
  <c r="BH54" i="1"/>
  <c r="BG54" i="1"/>
  <c r="BC54" i="1"/>
  <c r="AX54" i="1"/>
  <c r="AW54" i="1"/>
  <c r="AV54" i="1"/>
  <c r="AU54" i="1"/>
  <c r="AT54" i="1"/>
  <c r="AS54" i="1"/>
  <c r="AR54" i="1"/>
  <c r="AQ54" i="1"/>
  <c r="AO54" i="1"/>
  <c r="AN54" i="1"/>
  <c r="AM54" i="1"/>
  <c r="AL54" i="1"/>
  <c r="AK54" i="1"/>
  <c r="AJ54" i="1"/>
  <c r="AI54" i="1"/>
  <c r="AH54" i="1"/>
  <c r="AG54" i="1"/>
  <c r="AE54" i="1"/>
  <c r="AF54" i="1" s="1"/>
  <c r="AC54" i="1"/>
  <c r="AA54" i="1"/>
  <c r="Z54" i="1"/>
  <c r="Y54" i="1"/>
  <c r="X54" i="1"/>
  <c r="Q54" i="1"/>
  <c r="T54" i="1" s="1"/>
  <c r="F54" i="1"/>
  <c r="B54" i="1"/>
  <c r="A54" i="1"/>
  <c r="DE53" i="1"/>
  <c r="DD53" i="1"/>
  <c r="DC53" i="1"/>
  <c r="CZ53" i="1"/>
  <c r="CY53" i="1"/>
  <c r="CX53" i="1"/>
  <c r="CW53" i="1"/>
  <c r="CV53" i="1"/>
  <c r="CU53" i="1"/>
  <c r="CT53" i="1"/>
  <c r="CS53" i="1"/>
  <c r="CR53" i="1"/>
  <c r="CQ53" i="1"/>
  <c r="CP53" i="1"/>
  <c r="CM53" i="1"/>
  <c r="CL53" i="1"/>
  <c r="CK53" i="1"/>
  <c r="CJ53" i="1"/>
  <c r="CI53" i="1"/>
  <c r="CH53" i="1"/>
  <c r="CG53" i="1"/>
  <c r="CF53" i="1"/>
  <c r="CE53" i="1"/>
  <c r="CD53" i="1"/>
  <c r="CC53" i="1"/>
  <c r="CB53" i="1"/>
  <c r="CA53" i="1"/>
  <c r="BZ53" i="1"/>
  <c r="BX53" i="1"/>
  <c r="BS53" i="1"/>
  <c r="BR53" i="1"/>
  <c r="BQ53" i="1"/>
  <c r="BP53" i="1"/>
  <c r="BO53" i="1"/>
  <c r="BN53" i="1"/>
  <c r="BM53" i="1"/>
  <c r="BL53" i="1"/>
  <c r="BK53" i="1"/>
  <c r="BJ53" i="1"/>
  <c r="BH53" i="1"/>
  <c r="BG53" i="1"/>
  <c r="BC53" i="1"/>
  <c r="AW53" i="1"/>
  <c r="AV53" i="1"/>
  <c r="AU53" i="1"/>
  <c r="AT53" i="1"/>
  <c r="AS53" i="1"/>
  <c r="AR53" i="1"/>
  <c r="AQ53" i="1"/>
  <c r="AO53" i="1"/>
  <c r="AN53" i="1"/>
  <c r="AM53" i="1"/>
  <c r="AL53" i="1"/>
  <c r="AK53" i="1"/>
  <c r="AJ53" i="1"/>
  <c r="AI53" i="1"/>
  <c r="AH53" i="1"/>
  <c r="AG53" i="1"/>
  <c r="AE53" i="1"/>
  <c r="AF53" i="1" s="1"/>
  <c r="AC53" i="1"/>
  <c r="AA53" i="1"/>
  <c r="Z53" i="1"/>
  <c r="Y53" i="1"/>
  <c r="X53" i="1"/>
  <c r="W53" i="1"/>
  <c r="T53" i="1"/>
  <c r="Q53" i="1"/>
  <c r="AX53" i="1" s="1"/>
  <c r="F53" i="1"/>
  <c r="B53" i="1"/>
  <c r="A53" i="1"/>
  <c r="DE52" i="1"/>
  <c r="DD52" i="1"/>
  <c r="DC52" i="1"/>
  <c r="CZ52" i="1"/>
  <c r="CY52" i="1"/>
  <c r="CX52" i="1"/>
  <c r="CW52" i="1"/>
  <c r="CV52" i="1"/>
  <c r="CU52" i="1"/>
  <c r="CT52" i="1"/>
  <c r="CS52" i="1"/>
  <c r="CR52" i="1"/>
  <c r="CQ52" i="1"/>
  <c r="CM52" i="1"/>
  <c r="CL52" i="1"/>
  <c r="CK52" i="1"/>
  <c r="CJ52" i="1"/>
  <c r="CI52" i="1"/>
  <c r="CH52" i="1"/>
  <c r="CG52" i="1"/>
  <c r="CF52" i="1"/>
  <c r="CE52" i="1"/>
  <c r="CD52" i="1"/>
  <c r="CC52" i="1"/>
  <c r="CB52" i="1"/>
  <c r="CN52" i="1" s="1"/>
  <c r="CA52" i="1"/>
  <c r="BZ52" i="1"/>
  <c r="BX52" i="1"/>
  <c r="BS52" i="1"/>
  <c r="BR52" i="1"/>
  <c r="BQ52" i="1"/>
  <c r="BP52" i="1"/>
  <c r="BO52" i="1"/>
  <c r="BN52" i="1"/>
  <c r="BM52" i="1"/>
  <c r="BL52" i="1"/>
  <c r="BK52" i="1"/>
  <c r="BJ52" i="1"/>
  <c r="BH52" i="1"/>
  <c r="BG52" i="1"/>
  <c r="BC52" i="1"/>
  <c r="AW52" i="1"/>
  <c r="AV52" i="1"/>
  <c r="AU52" i="1"/>
  <c r="AT52" i="1"/>
  <c r="AS52" i="1"/>
  <c r="AR52" i="1"/>
  <c r="AQ52" i="1"/>
  <c r="AO52" i="1"/>
  <c r="AN52" i="1"/>
  <c r="AM52" i="1"/>
  <c r="AL52" i="1"/>
  <c r="AK52" i="1"/>
  <c r="AJ52" i="1"/>
  <c r="AI52" i="1"/>
  <c r="AH52" i="1"/>
  <c r="AG52" i="1"/>
  <c r="AE52" i="1"/>
  <c r="AF52" i="1" s="1"/>
  <c r="AC52" i="1"/>
  <c r="AA52" i="1"/>
  <c r="Z52" i="1"/>
  <c r="Y52" i="1"/>
  <c r="X52" i="1"/>
  <c r="Q52" i="1"/>
  <c r="AX52" i="1" s="1"/>
  <c r="F52" i="1"/>
  <c r="B52" i="1"/>
  <c r="A52" i="1"/>
  <c r="DE51" i="1"/>
  <c r="DD51" i="1"/>
  <c r="DC51" i="1"/>
  <c r="CZ51" i="1"/>
  <c r="CY51" i="1"/>
  <c r="CX51" i="1"/>
  <c r="CW51" i="1"/>
  <c r="CV51" i="1"/>
  <c r="CU51" i="1"/>
  <c r="CT51" i="1"/>
  <c r="CS51" i="1"/>
  <c r="CR51" i="1"/>
  <c r="CQ51" i="1"/>
  <c r="CM51" i="1"/>
  <c r="CN51" i="1" s="1"/>
  <c r="CL51" i="1"/>
  <c r="CK51" i="1"/>
  <c r="CJ51" i="1"/>
  <c r="CI51" i="1"/>
  <c r="CH51" i="1"/>
  <c r="CG51" i="1"/>
  <c r="CF51" i="1"/>
  <c r="CE51" i="1"/>
  <c r="CD51" i="1"/>
  <c r="CC51" i="1"/>
  <c r="CB51" i="1"/>
  <c r="CA51" i="1"/>
  <c r="BZ51" i="1"/>
  <c r="BX51" i="1"/>
  <c r="BS51" i="1"/>
  <c r="BR51" i="1"/>
  <c r="BQ51" i="1"/>
  <c r="BP51" i="1"/>
  <c r="BO51" i="1"/>
  <c r="BN51" i="1"/>
  <c r="BM51" i="1"/>
  <c r="BL51" i="1"/>
  <c r="BK51" i="1"/>
  <c r="BJ51" i="1"/>
  <c r="BH51" i="1"/>
  <c r="BG51" i="1"/>
  <c r="BC51" i="1"/>
  <c r="AW51" i="1"/>
  <c r="AV51" i="1"/>
  <c r="AU51" i="1"/>
  <c r="AT51" i="1"/>
  <c r="AS51" i="1"/>
  <c r="AR51" i="1"/>
  <c r="AQ51" i="1"/>
  <c r="AO51" i="1"/>
  <c r="AN51" i="1"/>
  <c r="AM51" i="1"/>
  <c r="AL51" i="1"/>
  <c r="AK51" i="1"/>
  <c r="AJ51" i="1"/>
  <c r="AI51" i="1"/>
  <c r="AH51" i="1"/>
  <c r="AG51" i="1"/>
  <c r="AE51" i="1"/>
  <c r="AF51" i="1" s="1"/>
  <c r="AC51" i="1"/>
  <c r="AA51" i="1"/>
  <c r="Z51" i="1"/>
  <c r="Y51" i="1"/>
  <c r="W51" i="1" s="1"/>
  <c r="X51" i="1"/>
  <c r="Q51" i="1"/>
  <c r="AX51" i="1" s="1"/>
  <c r="F51" i="1"/>
  <c r="B51" i="1"/>
  <c r="A51" i="1"/>
  <c r="DE50" i="1"/>
  <c r="DD50" i="1"/>
  <c r="DC50" i="1"/>
  <c r="CZ50" i="1"/>
  <c r="CY50" i="1"/>
  <c r="CX50" i="1"/>
  <c r="CW50" i="1"/>
  <c r="CV50" i="1"/>
  <c r="CU50" i="1"/>
  <c r="CT50" i="1"/>
  <c r="CS50" i="1"/>
  <c r="CR50" i="1"/>
  <c r="CQ50" i="1"/>
  <c r="CM50" i="1"/>
  <c r="CL50" i="1"/>
  <c r="CK50" i="1"/>
  <c r="CJ50" i="1"/>
  <c r="CI50" i="1"/>
  <c r="CH50" i="1"/>
  <c r="CG50" i="1"/>
  <c r="CF50" i="1"/>
  <c r="CE50" i="1"/>
  <c r="CD50" i="1"/>
  <c r="CC50" i="1"/>
  <c r="CB50" i="1"/>
  <c r="CA50" i="1"/>
  <c r="BZ50" i="1"/>
  <c r="BX50" i="1"/>
  <c r="BS50" i="1"/>
  <c r="BR50" i="1"/>
  <c r="BQ50" i="1"/>
  <c r="BP50" i="1"/>
  <c r="BO50" i="1"/>
  <c r="BN50" i="1"/>
  <c r="BM50" i="1"/>
  <c r="BL50" i="1"/>
  <c r="BK50" i="1"/>
  <c r="BJ50" i="1"/>
  <c r="BH50" i="1"/>
  <c r="BG50" i="1"/>
  <c r="BC50" i="1"/>
  <c r="AW50" i="1"/>
  <c r="AV50" i="1"/>
  <c r="AU50" i="1"/>
  <c r="AT50" i="1"/>
  <c r="AS50" i="1"/>
  <c r="AR50" i="1"/>
  <c r="AQ50" i="1"/>
  <c r="AO50" i="1"/>
  <c r="AN50" i="1"/>
  <c r="AM50" i="1"/>
  <c r="AL50" i="1"/>
  <c r="AK50" i="1"/>
  <c r="AJ50" i="1"/>
  <c r="AI50" i="1"/>
  <c r="AH50" i="1"/>
  <c r="AG50" i="1"/>
  <c r="AE50" i="1"/>
  <c r="AF50" i="1" s="1"/>
  <c r="AC50" i="1"/>
  <c r="AA50" i="1"/>
  <c r="Z50" i="1"/>
  <c r="Y50" i="1"/>
  <c r="X50" i="1"/>
  <c r="W50" i="1" s="1"/>
  <c r="Q50" i="1"/>
  <c r="AX50" i="1" s="1"/>
  <c r="F50" i="1"/>
  <c r="B50" i="1"/>
  <c r="A50" i="1"/>
  <c r="DE49" i="1"/>
  <c r="DD49" i="1"/>
  <c r="DC49" i="1"/>
  <c r="CZ49" i="1"/>
  <c r="CY49" i="1"/>
  <c r="CX49" i="1"/>
  <c r="CW49" i="1"/>
  <c r="CV49" i="1"/>
  <c r="CU49" i="1"/>
  <c r="CT49" i="1"/>
  <c r="CS49" i="1"/>
  <c r="CR49" i="1"/>
  <c r="CQ49" i="1"/>
  <c r="CM49" i="1"/>
  <c r="CL49" i="1"/>
  <c r="CK49" i="1"/>
  <c r="CJ49" i="1"/>
  <c r="CI49" i="1"/>
  <c r="CH49" i="1"/>
  <c r="CG49" i="1"/>
  <c r="CF49" i="1"/>
  <c r="CE49" i="1"/>
  <c r="CD49" i="1"/>
  <c r="CC49" i="1"/>
  <c r="CB49" i="1"/>
  <c r="CA49" i="1"/>
  <c r="BZ49" i="1"/>
  <c r="BX49" i="1"/>
  <c r="BS49" i="1"/>
  <c r="BR49" i="1"/>
  <c r="BQ49" i="1"/>
  <c r="BP49" i="1"/>
  <c r="BO49" i="1"/>
  <c r="BN49" i="1"/>
  <c r="BM49" i="1"/>
  <c r="BL49" i="1"/>
  <c r="BK49" i="1"/>
  <c r="BJ49" i="1"/>
  <c r="BH49" i="1"/>
  <c r="BG49" i="1"/>
  <c r="BC49" i="1"/>
  <c r="AW49" i="1"/>
  <c r="AV49" i="1"/>
  <c r="AU49" i="1"/>
  <c r="AT49" i="1"/>
  <c r="AS49" i="1"/>
  <c r="AR49" i="1"/>
  <c r="AQ49" i="1"/>
  <c r="AO49" i="1"/>
  <c r="AN49" i="1"/>
  <c r="AM49" i="1"/>
  <c r="AL49" i="1"/>
  <c r="AK49" i="1"/>
  <c r="AJ49" i="1"/>
  <c r="AI49" i="1"/>
  <c r="AH49" i="1"/>
  <c r="AG49" i="1"/>
  <c r="AF49" i="1"/>
  <c r="AE49" i="1"/>
  <c r="AC49" i="1"/>
  <c r="AA49" i="1"/>
  <c r="Z49" i="1"/>
  <c r="Y49" i="1"/>
  <c r="X49" i="1"/>
  <c r="W49" i="1"/>
  <c r="T49" i="1"/>
  <c r="Q49" i="1"/>
  <c r="AX49" i="1" s="1"/>
  <c r="F49" i="1"/>
  <c r="B49" i="1"/>
  <c r="A49" i="1"/>
  <c r="DE48" i="1"/>
  <c r="DD48" i="1"/>
  <c r="DC48" i="1"/>
  <c r="CZ48" i="1"/>
  <c r="CY48" i="1"/>
  <c r="CX48" i="1"/>
  <c r="CW48" i="1"/>
  <c r="CV48" i="1"/>
  <c r="CU48" i="1"/>
  <c r="CT48" i="1"/>
  <c r="CS48" i="1"/>
  <c r="CR48" i="1"/>
  <c r="CQ48" i="1"/>
  <c r="CM48" i="1"/>
  <c r="CL48" i="1"/>
  <c r="CK48" i="1"/>
  <c r="CJ48" i="1"/>
  <c r="CI48" i="1"/>
  <c r="CH48" i="1"/>
  <c r="CG48" i="1"/>
  <c r="CF48" i="1"/>
  <c r="CE48" i="1"/>
  <c r="CN48" i="1" s="1"/>
  <c r="CD48" i="1"/>
  <c r="CC48" i="1"/>
  <c r="CB48" i="1"/>
  <c r="CA48" i="1"/>
  <c r="BZ48" i="1"/>
  <c r="BX48" i="1"/>
  <c r="BS48" i="1"/>
  <c r="BR48" i="1"/>
  <c r="BQ48" i="1"/>
  <c r="BP48" i="1"/>
  <c r="BO48" i="1"/>
  <c r="BN48" i="1"/>
  <c r="BM48" i="1"/>
  <c r="BL48" i="1"/>
  <c r="BK48" i="1"/>
  <c r="BJ48" i="1"/>
  <c r="BH48" i="1"/>
  <c r="BG48" i="1"/>
  <c r="BC48" i="1"/>
  <c r="AW48" i="1"/>
  <c r="AV48" i="1"/>
  <c r="AU48" i="1"/>
  <c r="AT48" i="1"/>
  <c r="AS48" i="1"/>
  <c r="AR48" i="1"/>
  <c r="AQ48" i="1"/>
  <c r="AO48" i="1"/>
  <c r="AN48" i="1"/>
  <c r="AM48" i="1"/>
  <c r="AL48" i="1"/>
  <c r="AK48" i="1"/>
  <c r="AJ48" i="1"/>
  <c r="AI48" i="1"/>
  <c r="AH48" i="1"/>
  <c r="AG48" i="1"/>
  <c r="AE48" i="1"/>
  <c r="AF48" i="1" s="1"/>
  <c r="AC48" i="1"/>
  <c r="AA48" i="1"/>
  <c r="Z48" i="1"/>
  <c r="Y48" i="1"/>
  <c r="X48" i="1"/>
  <c r="W48" i="1" s="1"/>
  <c r="Q48" i="1"/>
  <c r="AX48" i="1" s="1"/>
  <c r="F48" i="1"/>
  <c r="B48" i="1"/>
  <c r="A48" i="1"/>
  <c r="DE47" i="1"/>
  <c r="DD47" i="1"/>
  <c r="DC47" i="1"/>
  <c r="CZ47" i="1"/>
  <c r="CY47" i="1"/>
  <c r="CX47" i="1"/>
  <c r="CW47" i="1"/>
  <c r="CV47" i="1"/>
  <c r="CU47" i="1"/>
  <c r="CT47" i="1"/>
  <c r="CS47" i="1"/>
  <c r="CR47" i="1"/>
  <c r="CQ47" i="1"/>
  <c r="CM47" i="1"/>
  <c r="CL47" i="1"/>
  <c r="CK47" i="1"/>
  <c r="CJ47" i="1"/>
  <c r="CI47" i="1"/>
  <c r="CH47" i="1"/>
  <c r="CG47" i="1"/>
  <c r="CF47" i="1"/>
  <c r="CE47" i="1"/>
  <c r="CD47" i="1"/>
  <c r="CC47" i="1"/>
  <c r="CB47" i="1"/>
  <c r="CA47" i="1"/>
  <c r="BZ47" i="1"/>
  <c r="BX47" i="1"/>
  <c r="BS47" i="1"/>
  <c r="BR47" i="1"/>
  <c r="BQ47" i="1"/>
  <c r="BP47" i="1"/>
  <c r="BO47" i="1"/>
  <c r="BN47" i="1"/>
  <c r="BM47" i="1"/>
  <c r="BL47" i="1"/>
  <c r="BK47" i="1"/>
  <c r="BJ47" i="1"/>
  <c r="BH47" i="1"/>
  <c r="BG47" i="1"/>
  <c r="BC47" i="1"/>
  <c r="AW47" i="1"/>
  <c r="AV47" i="1"/>
  <c r="AU47" i="1"/>
  <c r="AT47" i="1"/>
  <c r="AS47" i="1"/>
  <c r="AR47" i="1"/>
  <c r="AQ47" i="1"/>
  <c r="AO47" i="1"/>
  <c r="AN47" i="1"/>
  <c r="AM47" i="1"/>
  <c r="AL47" i="1"/>
  <c r="AK47" i="1"/>
  <c r="AJ47" i="1"/>
  <c r="AI47" i="1"/>
  <c r="AH47" i="1"/>
  <c r="AG47" i="1"/>
  <c r="AE47" i="1"/>
  <c r="AF47" i="1" s="1"/>
  <c r="AC47" i="1"/>
  <c r="AA47" i="1"/>
  <c r="Z47" i="1"/>
  <c r="Y47" i="1"/>
  <c r="W47" i="1" s="1"/>
  <c r="X47" i="1"/>
  <c r="Q47" i="1"/>
  <c r="AX47" i="1" s="1"/>
  <c r="F47" i="1"/>
  <c r="B47" i="1"/>
  <c r="A47" i="1"/>
  <c r="DE46" i="1"/>
  <c r="DD46" i="1"/>
  <c r="DC46" i="1"/>
  <c r="CZ46" i="1"/>
  <c r="CY46" i="1"/>
  <c r="CX46" i="1"/>
  <c r="CW46" i="1"/>
  <c r="CV46" i="1"/>
  <c r="CU46" i="1"/>
  <c r="CT46" i="1"/>
  <c r="CS46" i="1"/>
  <c r="CR46" i="1"/>
  <c r="CQ46" i="1"/>
  <c r="CM46" i="1"/>
  <c r="CL46" i="1"/>
  <c r="CK46" i="1"/>
  <c r="CJ46" i="1"/>
  <c r="CI46" i="1"/>
  <c r="CH46" i="1"/>
  <c r="CG46" i="1"/>
  <c r="CF46" i="1"/>
  <c r="CE46" i="1"/>
  <c r="CD46" i="1"/>
  <c r="CC46" i="1"/>
  <c r="CB46" i="1"/>
  <c r="CA46" i="1"/>
  <c r="BZ46" i="1"/>
  <c r="BX46" i="1"/>
  <c r="BS46" i="1"/>
  <c r="BR46" i="1"/>
  <c r="BQ46" i="1"/>
  <c r="BP46" i="1"/>
  <c r="BO46" i="1"/>
  <c r="BN46" i="1"/>
  <c r="BM46" i="1"/>
  <c r="BL46" i="1"/>
  <c r="BK46" i="1"/>
  <c r="BJ46" i="1"/>
  <c r="BH46" i="1"/>
  <c r="BG46" i="1"/>
  <c r="BC46" i="1"/>
  <c r="AW46" i="1"/>
  <c r="AV46" i="1"/>
  <c r="AU46" i="1"/>
  <c r="AT46" i="1"/>
  <c r="AS46" i="1"/>
  <c r="AR46" i="1"/>
  <c r="AQ46" i="1"/>
  <c r="AO46" i="1"/>
  <c r="AN46" i="1"/>
  <c r="AM46" i="1"/>
  <c r="AL46" i="1"/>
  <c r="AK46" i="1"/>
  <c r="AJ46" i="1"/>
  <c r="AI46" i="1"/>
  <c r="AH46" i="1"/>
  <c r="AG46" i="1"/>
  <c r="AE46" i="1"/>
  <c r="AF46" i="1" s="1"/>
  <c r="AC46" i="1"/>
  <c r="AA46" i="1"/>
  <c r="Z46" i="1"/>
  <c r="Y46" i="1"/>
  <c r="X46" i="1"/>
  <c r="W46" i="1"/>
  <c r="Q46" i="1"/>
  <c r="AX46" i="1" s="1"/>
  <c r="F46" i="1"/>
  <c r="B46" i="1"/>
  <c r="A46" i="1"/>
  <c r="DE45" i="1"/>
  <c r="DD45" i="1"/>
  <c r="DC45" i="1"/>
  <c r="CZ45" i="1"/>
  <c r="CY45" i="1"/>
  <c r="CX45" i="1"/>
  <c r="CW45" i="1"/>
  <c r="CV45" i="1"/>
  <c r="CU45" i="1"/>
  <c r="CT45" i="1"/>
  <c r="CS45" i="1"/>
  <c r="CR45" i="1"/>
  <c r="CQ45" i="1"/>
  <c r="CM45" i="1"/>
  <c r="CL45" i="1"/>
  <c r="CK45" i="1"/>
  <c r="CJ45" i="1"/>
  <c r="CI45" i="1"/>
  <c r="CH45" i="1"/>
  <c r="CG45" i="1"/>
  <c r="CF45" i="1"/>
  <c r="CE45" i="1"/>
  <c r="CD45" i="1"/>
  <c r="CC45" i="1"/>
  <c r="CB45" i="1"/>
  <c r="CA45" i="1"/>
  <c r="BZ45" i="1"/>
  <c r="BX45" i="1"/>
  <c r="BS45" i="1"/>
  <c r="BR45" i="1"/>
  <c r="BQ45" i="1"/>
  <c r="BP45" i="1"/>
  <c r="BO45" i="1"/>
  <c r="BN45" i="1"/>
  <c r="BM45" i="1"/>
  <c r="BL45" i="1"/>
  <c r="BK45" i="1"/>
  <c r="BJ45" i="1"/>
  <c r="BH45" i="1"/>
  <c r="BG45" i="1"/>
  <c r="BC45" i="1"/>
  <c r="AW45" i="1"/>
  <c r="AV45" i="1"/>
  <c r="AU45" i="1"/>
  <c r="AT45" i="1"/>
  <c r="AS45" i="1"/>
  <c r="AR45" i="1"/>
  <c r="AQ45" i="1"/>
  <c r="AO45" i="1"/>
  <c r="AN45" i="1"/>
  <c r="AM45" i="1"/>
  <c r="AL45" i="1"/>
  <c r="AK45" i="1"/>
  <c r="AJ45" i="1"/>
  <c r="AI45" i="1"/>
  <c r="AH45" i="1"/>
  <c r="AG45" i="1"/>
  <c r="AF45" i="1"/>
  <c r="AE45" i="1"/>
  <c r="AC45" i="1"/>
  <c r="AA45" i="1"/>
  <c r="Z45" i="1"/>
  <c r="Y45" i="1"/>
  <c r="X45" i="1"/>
  <c r="W45" i="1" s="1"/>
  <c r="Q45" i="1"/>
  <c r="AX45" i="1" s="1"/>
  <c r="F45" i="1"/>
  <c r="B45" i="1"/>
  <c r="A45" i="1"/>
  <c r="DE44" i="1"/>
  <c r="DD44" i="1"/>
  <c r="DC44" i="1"/>
  <c r="CZ44" i="1"/>
  <c r="CY44" i="1"/>
  <c r="CX44" i="1"/>
  <c r="CW44" i="1"/>
  <c r="CV44" i="1"/>
  <c r="CU44" i="1"/>
  <c r="CT44" i="1"/>
  <c r="CS44" i="1"/>
  <c r="CR44" i="1"/>
  <c r="CQ44" i="1"/>
  <c r="CM44" i="1"/>
  <c r="CL44" i="1"/>
  <c r="CK44" i="1"/>
  <c r="CJ44" i="1"/>
  <c r="CI44" i="1"/>
  <c r="CH44" i="1"/>
  <c r="CG44" i="1"/>
  <c r="CF44" i="1"/>
  <c r="CE44" i="1"/>
  <c r="CD44" i="1"/>
  <c r="CC44" i="1"/>
  <c r="CB44" i="1"/>
  <c r="CA44" i="1"/>
  <c r="BZ44" i="1"/>
  <c r="BX44" i="1"/>
  <c r="BS44" i="1"/>
  <c r="BR44" i="1"/>
  <c r="BQ44" i="1"/>
  <c r="BP44" i="1"/>
  <c r="BO44" i="1"/>
  <c r="BN44" i="1"/>
  <c r="BM44" i="1"/>
  <c r="BL44" i="1"/>
  <c r="BK44" i="1"/>
  <c r="BJ44" i="1"/>
  <c r="BH44" i="1"/>
  <c r="BG44" i="1"/>
  <c r="BC44" i="1"/>
  <c r="AW44" i="1"/>
  <c r="AV44" i="1"/>
  <c r="AU44" i="1"/>
  <c r="AT44" i="1"/>
  <c r="AS44" i="1"/>
  <c r="AR44" i="1"/>
  <c r="AQ44" i="1"/>
  <c r="AO44" i="1"/>
  <c r="AN44" i="1"/>
  <c r="AM44" i="1"/>
  <c r="AL44" i="1"/>
  <c r="AK44" i="1"/>
  <c r="AJ44" i="1"/>
  <c r="AI44" i="1"/>
  <c r="AH44" i="1"/>
  <c r="AG44" i="1"/>
  <c r="AE44" i="1"/>
  <c r="AF44" i="1" s="1"/>
  <c r="AC44" i="1"/>
  <c r="AA44" i="1"/>
  <c r="Z44" i="1"/>
  <c r="W44" i="1" s="1"/>
  <c r="Y44" i="1"/>
  <c r="X44" i="1"/>
  <c r="Q44" i="1"/>
  <c r="AX44" i="1" s="1"/>
  <c r="F44" i="1"/>
  <c r="B44" i="1"/>
  <c r="A44" i="1"/>
  <c r="DE43" i="1"/>
  <c r="DD43" i="1"/>
  <c r="DC43" i="1"/>
  <c r="CZ43" i="1"/>
  <c r="CY43" i="1"/>
  <c r="CX43" i="1"/>
  <c r="CW43" i="1"/>
  <c r="CV43" i="1"/>
  <c r="CU43" i="1"/>
  <c r="CT43" i="1"/>
  <c r="CS43" i="1"/>
  <c r="CR43" i="1"/>
  <c r="CQ43" i="1"/>
  <c r="CM43" i="1"/>
  <c r="CL43" i="1"/>
  <c r="CK43" i="1"/>
  <c r="CJ43" i="1"/>
  <c r="CI43" i="1"/>
  <c r="CH43" i="1"/>
  <c r="CG43" i="1"/>
  <c r="CF43" i="1"/>
  <c r="CE43" i="1"/>
  <c r="CD43" i="1"/>
  <c r="CC43" i="1"/>
  <c r="CB43" i="1"/>
  <c r="CA43" i="1"/>
  <c r="BZ43" i="1"/>
  <c r="BX43" i="1"/>
  <c r="BS43" i="1"/>
  <c r="BR43" i="1"/>
  <c r="BQ43" i="1"/>
  <c r="BP43" i="1"/>
  <c r="BO43" i="1"/>
  <c r="BN43" i="1"/>
  <c r="BM43" i="1"/>
  <c r="BL43" i="1"/>
  <c r="BK43" i="1"/>
  <c r="BJ43" i="1"/>
  <c r="BH43" i="1"/>
  <c r="BG43" i="1"/>
  <c r="BC43" i="1"/>
  <c r="AW43" i="1"/>
  <c r="AV43" i="1"/>
  <c r="AU43" i="1"/>
  <c r="AT43" i="1"/>
  <c r="AS43" i="1"/>
  <c r="AR43" i="1"/>
  <c r="AQ43" i="1"/>
  <c r="AO43" i="1"/>
  <c r="AN43" i="1"/>
  <c r="AM43" i="1"/>
  <c r="AL43" i="1"/>
  <c r="AK43" i="1"/>
  <c r="AJ43" i="1"/>
  <c r="AI43" i="1"/>
  <c r="AH43" i="1"/>
  <c r="AG43" i="1"/>
  <c r="AE43" i="1"/>
  <c r="AF43" i="1" s="1"/>
  <c r="AC43" i="1"/>
  <c r="AA43" i="1"/>
  <c r="Z43" i="1"/>
  <c r="Y43" i="1"/>
  <c r="W43" i="1" s="1"/>
  <c r="X43" i="1"/>
  <c r="Q43" i="1"/>
  <c r="AX43" i="1" s="1"/>
  <c r="F43" i="1"/>
  <c r="B43" i="1"/>
  <c r="A43" i="1"/>
  <c r="DE42" i="1"/>
  <c r="DD42" i="1"/>
  <c r="DC42" i="1"/>
  <c r="CZ42" i="1"/>
  <c r="CY42" i="1"/>
  <c r="CX42" i="1"/>
  <c r="CW42" i="1"/>
  <c r="CV42" i="1"/>
  <c r="CU42" i="1"/>
  <c r="CT42" i="1"/>
  <c r="CS42" i="1"/>
  <c r="CR42" i="1"/>
  <c r="CQ42" i="1"/>
  <c r="CM42" i="1"/>
  <c r="CL42" i="1"/>
  <c r="CK42" i="1"/>
  <c r="CJ42" i="1"/>
  <c r="CI42" i="1"/>
  <c r="CH42" i="1"/>
  <c r="CG42" i="1"/>
  <c r="CF42" i="1"/>
  <c r="CE42" i="1"/>
  <c r="CD42" i="1"/>
  <c r="CC42" i="1"/>
  <c r="CB42" i="1"/>
  <c r="CA42" i="1"/>
  <c r="BZ42" i="1"/>
  <c r="BX42" i="1"/>
  <c r="BS42" i="1"/>
  <c r="BR42" i="1"/>
  <c r="BQ42" i="1"/>
  <c r="BP42" i="1"/>
  <c r="BO42" i="1"/>
  <c r="BN42" i="1"/>
  <c r="BM42" i="1"/>
  <c r="BL42" i="1"/>
  <c r="BK42" i="1"/>
  <c r="BJ42" i="1"/>
  <c r="BH42" i="1"/>
  <c r="BG42" i="1"/>
  <c r="BC42" i="1"/>
  <c r="AW42" i="1"/>
  <c r="AV42" i="1"/>
  <c r="AU42" i="1"/>
  <c r="AT42" i="1"/>
  <c r="AS42" i="1"/>
  <c r="AR42" i="1"/>
  <c r="AQ42" i="1"/>
  <c r="AO42" i="1"/>
  <c r="AN42" i="1"/>
  <c r="AM42" i="1"/>
  <c r="AL42" i="1"/>
  <c r="AK42" i="1"/>
  <c r="AJ42" i="1"/>
  <c r="AI42" i="1"/>
  <c r="AH42" i="1"/>
  <c r="AG42" i="1"/>
  <c r="AF42" i="1"/>
  <c r="AE42" i="1"/>
  <c r="AC42" i="1"/>
  <c r="AA42" i="1"/>
  <c r="Z42" i="1"/>
  <c r="Y42" i="1"/>
  <c r="X42" i="1"/>
  <c r="W42" i="1" s="1"/>
  <c r="Q42" i="1"/>
  <c r="AX42" i="1" s="1"/>
  <c r="F42" i="1"/>
  <c r="B42" i="1"/>
  <c r="A42" i="1"/>
  <c r="DE41" i="1"/>
  <c r="DD41" i="1"/>
  <c r="DC41" i="1"/>
  <c r="CZ41" i="1"/>
  <c r="CY41" i="1"/>
  <c r="CX41" i="1"/>
  <c r="CW41" i="1"/>
  <c r="CV41" i="1"/>
  <c r="CU41" i="1"/>
  <c r="CT41" i="1"/>
  <c r="CS41" i="1"/>
  <c r="CR41" i="1"/>
  <c r="CQ41" i="1"/>
  <c r="CM41" i="1"/>
  <c r="CL41" i="1"/>
  <c r="CK41" i="1"/>
  <c r="CJ41" i="1"/>
  <c r="CI41" i="1"/>
  <c r="CH41" i="1"/>
  <c r="CG41" i="1"/>
  <c r="CF41" i="1"/>
  <c r="CE41" i="1"/>
  <c r="CD41" i="1"/>
  <c r="CC41" i="1"/>
  <c r="CB41" i="1"/>
  <c r="CA41" i="1"/>
  <c r="BZ41" i="1"/>
  <c r="BX41" i="1"/>
  <c r="BS41" i="1"/>
  <c r="BR41" i="1"/>
  <c r="BQ41" i="1"/>
  <c r="BP41" i="1"/>
  <c r="BO41" i="1"/>
  <c r="BN41" i="1"/>
  <c r="BM41" i="1"/>
  <c r="BL41" i="1"/>
  <c r="BK41" i="1"/>
  <c r="BJ41" i="1"/>
  <c r="BH41" i="1"/>
  <c r="BG41" i="1"/>
  <c r="BC41" i="1"/>
  <c r="AW41" i="1"/>
  <c r="AV41" i="1"/>
  <c r="AU41" i="1"/>
  <c r="AT41" i="1"/>
  <c r="AS41" i="1"/>
  <c r="AR41" i="1"/>
  <c r="AQ41" i="1"/>
  <c r="AO41" i="1"/>
  <c r="AN41" i="1"/>
  <c r="AM41" i="1"/>
  <c r="AL41" i="1"/>
  <c r="AK41" i="1"/>
  <c r="AJ41" i="1"/>
  <c r="AI41" i="1"/>
  <c r="AH41" i="1"/>
  <c r="AG41" i="1"/>
  <c r="AF41" i="1"/>
  <c r="AE41" i="1"/>
  <c r="AC41" i="1"/>
  <c r="AA41" i="1"/>
  <c r="Z41" i="1"/>
  <c r="Y41" i="1"/>
  <c r="X41" i="1"/>
  <c r="Q41" i="1"/>
  <c r="F41" i="1"/>
  <c r="B41" i="1"/>
  <c r="A41" i="1"/>
  <c r="DE40" i="1"/>
  <c r="DD40" i="1"/>
  <c r="DC40" i="1"/>
  <c r="CZ40" i="1"/>
  <c r="CY40" i="1"/>
  <c r="CX40" i="1"/>
  <c r="CW40" i="1"/>
  <c r="CV40" i="1"/>
  <c r="CU40" i="1"/>
  <c r="CT40" i="1"/>
  <c r="CS40" i="1"/>
  <c r="CR40" i="1"/>
  <c r="CQ40" i="1"/>
  <c r="CM40" i="1"/>
  <c r="CL40" i="1"/>
  <c r="CK40" i="1"/>
  <c r="CJ40" i="1"/>
  <c r="CI40" i="1"/>
  <c r="CH40" i="1"/>
  <c r="CG40" i="1"/>
  <c r="CF40" i="1"/>
  <c r="CE40" i="1"/>
  <c r="CD40" i="1"/>
  <c r="CC40" i="1"/>
  <c r="CB40" i="1"/>
  <c r="CA40" i="1"/>
  <c r="BZ40" i="1"/>
  <c r="BX40" i="1"/>
  <c r="BS40" i="1"/>
  <c r="BR40" i="1"/>
  <c r="BQ40" i="1"/>
  <c r="BP40" i="1"/>
  <c r="BO40" i="1"/>
  <c r="BN40" i="1"/>
  <c r="BM40" i="1"/>
  <c r="BL40" i="1"/>
  <c r="BK40" i="1"/>
  <c r="BJ40" i="1"/>
  <c r="BH40" i="1"/>
  <c r="BG40" i="1"/>
  <c r="BC40" i="1"/>
  <c r="AW40" i="1"/>
  <c r="AV40" i="1"/>
  <c r="AU40" i="1"/>
  <c r="AT40" i="1"/>
  <c r="AS40" i="1"/>
  <c r="AR40" i="1"/>
  <c r="AQ40" i="1"/>
  <c r="AO40" i="1"/>
  <c r="AN40" i="1"/>
  <c r="AM40" i="1"/>
  <c r="AL40" i="1"/>
  <c r="AK40" i="1"/>
  <c r="AJ40" i="1"/>
  <c r="AI40" i="1"/>
  <c r="AH40" i="1"/>
  <c r="AG40" i="1"/>
  <c r="AE40" i="1"/>
  <c r="AF40" i="1" s="1"/>
  <c r="AC40" i="1"/>
  <c r="AA40" i="1"/>
  <c r="Z40" i="1"/>
  <c r="Y40" i="1"/>
  <c r="X40" i="1"/>
  <c r="Q40" i="1"/>
  <c r="F40" i="1"/>
  <c r="B40" i="1"/>
  <c r="A40" i="1"/>
  <c r="DE39" i="1"/>
  <c r="DD39" i="1"/>
  <c r="DC39" i="1"/>
  <c r="CZ39" i="1"/>
  <c r="CY39" i="1"/>
  <c r="CX39" i="1"/>
  <c r="CW39" i="1"/>
  <c r="CV39" i="1"/>
  <c r="CU39" i="1"/>
  <c r="CT39" i="1"/>
  <c r="CS39" i="1"/>
  <c r="CR39" i="1"/>
  <c r="CQ39" i="1"/>
  <c r="CM39" i="1"/>
  <c r="CL39" i="1"/>
  <c r="CK39" i="1"/>
  <c r="CJ39" i="1"/>
  <c r="CI39" i="1"/>
  <c r="CH39" i="1"/>
  <c r="CG39" i="1"/>
  <c r="CF39" i="1"/>
  <c r="CE39" i="1"/>
  <c r="CD39" i="1"/>
  <c r="CC39" i="1"/>
  <c r="CB39" i="1"/>
  <c r="CA39" i="1"/>
  <c r="BZ39" i="1"/>
  <c r="BX39" i="1"/>
  <c r="BS39" i="1"/>
  <c r="BR39" i="1"/>
  <c r="BQ39" i="1"/>
  <c r="BP39" i="1"/>
  <c r="BO39" i="1"/>
  <c r="BN39" i="1"/>
  <c r="BM39" i="1"/>
  <c r="BL39" i="1"/>
  <c r="BK39" i="1"/>
  <c r="BJ39" i="1"/>
  <c r="BH39" i="1"/>
  <c r="BG39" i="1"/>
  <c r="BC39" i="1"/>
  <c r="AW39" i="1"/>
  <c r="AV39" i="1"/>
  <c r="AU39" i="1"/>
  <c r="AT39" i="1"/>
  <c r="AS39" i="1"/>
  <c r="AR39" i="1"/>
  <c r="AQ39" i="1"/>
  <c r="AO39" i="1"/>
  <c r="AN39" i="1"/>
  <c r="AM39" i="1"/>
  <c r="AL39" i="1"/>
  <c r="AK39" i="1"/>
  <c r="AJ39" i="1"/>
  <c r="AI39" i="1"/>
  <c r="AH39" i="1"/>
  <c r="AG39" i="1"/>
  <c r="AE39" i="1"/>
  <c r="AF39" i="1" s="1"/>
  <c r="AC39" i="1"/>
  <c r="AA39" i="1"/>
  <c r="Z39" i="1"/>
  <c r="Y39" i="1"/>
  <c r="X39" i="1"/>
  <c r="Q39" i="1"/>
  <c r="F39" i="1"/>
  <c r="B39" i="1"/>
  <c r="A39" i="1"/>
  <c r="DE38" i="1"/>
  <c r="DD38" i="1"/>
  <c r="DC38" i="1"/>
  <c r="CZ38" i="1"/>
  <c r="CY38" i="1"/>
  <c r="CX38" i="1"/>
  <c r="CW38" i="1"/>
  <c r="CV38" i="1"/>
  <c r="CU38" i="1"/>
  <c r="CT38" i="1"/>
  <c r="CS38" i="1"/>
  <c r="CR38" i="1"/>
  <c r="CQ38" i="1"/>
  <c r="CM38" i="1"/>
  <c r="CL38" i="1"/>
  <c r="CK38" i="1"/>
  <c r="CJ38" i="1"/>
  <c r="CI38" i="1"/>
  <c r="CH38" i="1"/>
  <c r="CG38" i="1"/>
  <c r="CF38" i="1"/>
  <c r="CE38" i="1"/>
  <c r="CD38" i="1"/>
  <c r="CC38" i="1"/>
  <c r="CB38" i="1"/>
  <c r="CA38" i="1"/>
  <c r="BZ38" i="1"/>
  <c r="BX38" i="1"/>
  <c r="BS38" i="1"/>
  <c r="BR38" i="1"/>
  <c r="BQ38" i="1"/>
  <c r="BP38" i="1"/>
  <c r="BO38" i="1"/>
  <c r="BN38" i="1"/>
  <c r="BM38" i="1"/>
  <c r="BL38" i="1"/>
  <c r="BK38" i="1"/>
  <c r="BJ38" i="1"/>
  <c r="BH38" i="1"/>
  <c r="BG38" i="1"/>
  <c r="BC38" i="1"/>
  <c r="AW38" i="1"/>
  <c r="AV38" i="1"/>
  <c r="AU38" i="1"/>
  <c r="AT38" i="1"/>
  <c r="AS38" i="1"/>
  <c r="AR38" i="1"/>
  <c r="AQ38" i="1"/>
  <c r="AO38" i="1"/>
  <c r="AN38" i="1"/>
  <c r="AM38" i="1"/>
  <c r="AL38" i="1"/>
  <c r="AK38" i="1"/>
  <c r="AJ38" i="1"/>
  <c r="AI38" i="1"/>
  <c r="AH38" i="1"/>
  <c r="AG38" i="1"/>
  <c r="AE38" i="1"/>
  <c r="AF38" i="1" s="1"/>
  <c r="AC38" i="1"/>
  <c r="AA38" i="1"/>
  <c r="Z38" i="1"/>
  <c r="Y38" i="1"/>
  <c r="W38" i="1" s="1"/>
  <c r="X38" i="1"/>
  <c r="Q38" i="1"/>
  <c r="F38" i="1"/>
  <c r="B38" i="1"/>
  <c r="A38" i="1"/>
  <c r="DE37" i="1"/>
  <c r="DD37" i="1"/>
  <c r="DC37" i="1"/>
  <c r="CZ37" i="1"/>
  <c r="CY37" i="1"/>
  <c r="CX37" i="1"/>
  <c r="CW37" i="1"/>
  <c r="CV37" i="1"/>
  <c r="CU37" i="1"/>
  <c r="CT37" i="1"/>
  <c r="CS37" i="1"/>
  <c r="CR37" i="1"/>
  <c r="CQ37" i="1"/>
  <c r="CP37" i="1"/>
  <c r="CM37" i="1"/>
  <c r="CL37" i="1"/>
  <c r="CK37" i="1"/>
  <c r="CJ37" i="1"/>
  <c r="CI37" i="1"/>
  <c r="CH37" i="1"/>
  <c r="CG37" i="1"/>
  <c r="CF37" i="1"/>
  <c r="CE37" i="1"/>
  <c r="CD37" i="1"/>
  <c r="CN37" i="1" s="1"/>
  <c r="CC37" i="1"/>
  <c r="CB37" i="1"/>
  <c r="CA37" i="1"/>
  <c r="BZ37" i="1"/>
  <c r="BX37" i="1"/>
  <c r="BS37" i="1"/>
  <c r="BR37" i="1"/>
  <c r="BQ37" i="1"/>
  <c r="BP37" i="1"/>
  <c r="BO37" i="1"/>
  <c r="BN37" i="1"/>
  <c r="BM37" i="1"/>
  <c r="BL37" i="1"/>
  <c r="BK37" i="1"/>
  <c r="BJ37" i="1"/>
  <c r="BH37" i="1"/>
  <c r="BG37" i="1"/>
  <c r="BC37" i="1"/>
  <c r="AW37" i="1"/>
  <c r="AV37" i="1"/>
  <c r="AU37" i="1"/>
  <c r="AT37" i="1"/>
  <c r="AS37" i="1"/>
  <c r="AR37" i="1"/>
  <c r="AQ37" i="1"/>
  <c r="AO37" i="1"/>
  <c r="AN37" i="1"/>
  <c r="AM37" i="1"/>
  <c r="AL37" i="1"/>
  <c r="AK37" i="1"/>
  <c r="AJ37" i="1"/>
  <c r="AI37" i="1"/>
  <c r="AH37" i="1"/>
  <c r="AG37" i="1"/>
  <c r="AE37" i="1"/>
  <c r="AF37" i="1" s="1"/>
  <c r="AC37" i="1"/>
  <c r="AA37" i="1"/>
  <c r="Z37" i="1"/>
  <c r="Y37" i="1"/>
  <c r="X37" i="1"/>
  <c r="W37" i="1" s="1"/>
  <c r="Q37" i="1"/>
  <c r="F37" i="1"/>
  <c r="B37" i="1"/>
  <c r="A37" i="1"/>
  <c r="DE36" i="1"/>
  <c r="DD36" i="1"/>
  <c r="DC36" i="1"/>
  <c r="CZ36" i="1"/>
  <c r="CY36" i="1"/>
  <c r="CX36" i="1"/>
  <c r="CW36" i="1"/>
  <c r="CV36" i="1"/>
  <c r="CU36" i="1"/>
  <c r="CT36" i="1"/>
  <c r="CS36" i="1"/>
  <c r="CR36" i="1"/>
  <c r="CQ36" i="1"/>
  <c r="CM36" i="1"/>
  <c r="CL36" i="1"/>
  <c r="CK36" i="1"/>
  <c r="CJ36" i="1"/>
  <c r="CI36" i="1"/>
  <c r="CH36" i="1"/>
  <c r="CG36" i="1"/>
  <c r="CF36" i="1"/>
  <c r="CE36" i="1"/>
  <c r="CD36" i="1"/>
  <c r="CC36" i="1"/>
  <c r="CB36" i="1"/>
  <c r="CA36" i="1"/>
  <c r="BZ36" i="1"/>
  <c r="BX36" i="1"/>
  <c r="BS36" i="1"/>
  <c r="BR36" i="1"/>
  <c r="BQ36" i="1"/>
  <c r="BP36" i="1"/>
  <c r="BO36" i="1"/>
  <c r="BN36" i="1"/>
  <c r="BM36" i="1"/>
  <c r="BL36" i="1"/>
  <c r="BK36" i="1"/>
  <c r="BJ36" i="1"/>
  <c r="BH36" i="1"/>
  <c r="BG36" i="1"/>
  <c r="BC36" i="1"/>
  <c r="AW36" i="1"/>
  <c r="AV36" i="1"/>
  <c r="AU36" i="1"/>
  <c r="AT36" i="1"/>
  <c r="AS36" i="1"/>
  <c r="AR36" i="1"/>
  <c r="AQ36" i="1"/>
  <c r="AO36" i="1"/>
  <c r="AN36" i="1"/>
  <c r="AM36" i="1"/>
  <c r="AL36" i="1"/>
  <c r="AK36" i="1"/>
  <c r="AJ36" i="1"/>
  <c r="AI36" i="1"/>
  <c r="AH36" i="1"/>
  <c r="AG36" i="1"/>
  <c r="AF36" i="1"/>
  <c r="AE36" i="1"/>
  <c r="AC36" i="1"/>
  <c r="AA36" i="1"/>
  <c r="Z36" i="1"/>
  <c r="Y36" i="1"/>
  <c r="X36" i="1"/>
  <c r="T36" i="1"/>
  <c r="Q36" i="1"/>
  <c r="AX36" i="1" s="1"/>
  <c r="F36" i="1"/>
  <c r="B36" i="1"/>
  <c r="A36" i="1"/>
  <c r="DE35" i="1"/>
  <c r="DD35" i="1"/>
  <c r="DC35" i="1"/>
  <c r="CZ35" i="1"/>
  <c r="CY35" i="1"/>
  <c r="CX35" i="1"/>
  <c r="CW35" i="1"/>
  <c r="CV35" i="1"/>
  <c r="CU35" i="1"/>
  <c r="CT35" i="1"/>
  <c r="CS35" i="1"/>
  <c r="CR35" i="1"/>
  <c r="CQ35" i="1"/>
  <c r="CM35" i="1"/>
  <c r="CL35" i="1"/>
  <c r="CK35" i="1"/>
  <c r="CJ35" i="1"/>
  <c r="CI35" i="1"/>
  <c r="CH35" i="1"/>
  <c r="CG35" i="1"/>
  <c r="CF35" i="1"/>
  <c r="CE35" i="1"/>
  <c r="CD35" i="1"/>
  <c r="CC35" i="1"/>
  <c r="CB35" i="1"/>
  <c r="CA35" i="1"/>
  <c r="BZ35" i="1"/>
  <c r="BX35" i="1"/>
  <c r="BS35" i="1"/>
  <c r="BR35" i="1"/>
  <c r="BQ35" i="1"/>
  <c r="BP35" i="1"/>
  <c r="BO35" i="1"/>
  <c r="BN35" i="1"/>
  <c r="BM35" i="1"/>
  <c r="BL35" i="1"/>
  <c r="BK35" i="1"/>
  <c r="BJ35" i="1"/>
  <c r="BH35" i="1"/>
  <c r="BG35" i="1"/>
  <c r="BC35" i="1"/>
  <c r="AW35" i="1"/>
  <c r="AV35" i="1"/>
  <c r="AU35" i="1"/>
  <c r="AT35" i="1"/>
  <c r="AS35" i="1"/>
  <c r="AR35" i="1"/>
  <c r="AQ35" i="1"/>
  <c r="AO35" i="1"/>
  <c r="AN35" i="1"/>
  <c r="AM35" i="1"/>
  <c r="AL35" i="1"/>
  <c r="AK35" i="1"/>
  <c r="AJ35" i="1"/>
  <c r="AI35" i="1"/>
  <c r="AH35" i="1"/>
  <c r="AG35" i="1"/>
  <c r="AE35" i="1"/>
  <c r="AF35" i="1" s="1"/>
  <c r="AC35" i="1"/>
  <c r="AA35" i="1"/>
  <c r="Z35" i="1"/>
  <c r="Y35" i="1"/>
  <c r="X35" i="1"/>
  <c r="W35" i="1"/>
  <c r="Q35" i="1"/>
  <c r="AX35" i="1" s="1"/>
  <c r="F35" i="1"/>
  <c r="B35" i="1"/>
  <c r="A35" i="1"/>
  <c r="DE34" i="1"/>
  <c r="DD34" i="1"/>
  <c r="DC34" i="1"/>
  <c r="CZ34" i="1"/>
  <c r="CY34" i="1"/>
  <c r="CX34" i="1"/>
  <c r="CW34" i="1"/>
  <c r="CV34" i="1"/>
  <c r="CU34" i="1"/>
  <c r="CT34" i="1"/>
  <c r="CS34" i="1"/>
  <c r="CR34" i="1"/>
  <c r="CQ34" i="1"/>
  <c r="CP34" i="1"/>
  <c r="CM34" i="1"/>
  <c r="CL34" i="1"/>
  <c r="CK34" i="1"/>
  <c r="CJ34" i="1"/>
  <c r="CI34" i="1"/>
  <c r="CH34" i="1"/>
  <c r="CG34" i="1"/>
  <c r="CF34" i="1"/>
  <c r="CE34" i="1"/>
  <c r="CD34" i="1"/>
  <c r="CC34" i="1"/>
  <c r="CB34" i="1"/>
  <c r="CA34" i="1"/>
  <c r="BZ34" i="1"/>
  <c r="BX34" i="1"/>
  <c r="BS34" i="1"/>
  <c r="BR34" i="1"/>
  <c r="BQ34" i="1"/>
  <c r="BP34" i="1"/>
  <c r="BO34" i="1"/>
  <c r="BN34" i="1"/>
  <c r="BM34" i="1"/>
  <c r="BL34" i="1"/>
  <c r="BK34" i="1"/>
  <c r="BJ34" i="1"/>
  <c r="BT34" i="1" s="1"/>
  <c r="BH34" i="1"/>
  <c r="BG34" i="1"/>
  <c r="BC34" i="1"/>
  <c r="AW34" i="1"/>
  <c r="AV34" i="1"/>
  <c r="AU34" i="1"/>
  <c r="AT34" i="1"/>
  <c r="AS34" i="1"/>
  <c r="AR34" i="1"/>
  <c r="AQ34" i="1"/>
  <c r="AO34" i="1"/>
  <c r="AN34" i="1"/>
  <c r="AM34" i="1"/>
  <c r="AL34" i="1"/>
  <c r="AK34" i="1"/>
  <c r="AJ34" i="1"/>
  <c r="AI34" i="1"/>
  <c r="AH34" i="1"/>
  <c r="AG34" i="1"/>
  <c r="AF34" i="1"/>
  <c r="AB34" i="1" s="1"/>
  <c r="AE34" i="1"/>
  <c r="AC34" i="1"/>
  <c r="AA34" i="1"/>
  <c r="Z34" i="1"/>
  <c r="Y34" i="1"/>
  <c r="X34" i="1"/>
  <c r="Q34" i="1"/>
  <c r="AX34" i="1" s="1"/>
  <c r="F34" i="1"/>
  <c r="B34" i="1"/>
  <c r="A34" i="1"/>
  <c r="DE33" i="1"/>
  <c r="DD33" i="1"/>
  <c r="DC33" i="1"/>
  <c r="CZ33" i="1"/>
  <c r="CY33" i="1"/>
  <c r="CX33" i="1"/>
  <c r="CW33" i="1"/>
  <c r="CV33" i="1"/>
  <c r="CU33" i="1"/>
  <c r="CT33" i="1"/>
  <c r="CS33" i="1"/>
  <c r="CR33" i="1"/>
  <c r="CQ33" i="1"/>
  <c r="CM33" i="1"/>
  <c r="CL33" i="1"/>
  <c r="CK33" i="1"/>
  <c r="CJ33" i="1"/>
  <c r="CI33" i="1"/>
  <c r="CH33" i="1"/>
  <c r="CG33" i="1"/>
  <c r="CF33" i="1"/>
  <c r="CE33" i="1"/>
  <c r="CD33" i="1"/>
  <c r="CC33" i="1"/>
  <c r="CB33" i="1"/>
  <c r="CA33" i="1"/>
  <c r="BZ33" i="1"/>
  <c r="BX33" i="1"/>
  <c r="BS33" i="1"/>
  <c r="BR33" i="1"/>
  <c r="BQ33" i="1"/>
  <c r="BP33" i="1"/>
  <c r="BO33" i="1"/>
  <c r="BN33" i="1"/>
  <c r="BM33" i="1"/>
  <c r="BL33" i="1"/>
  <c r="BK33" i="1"/>
  <c r="BJ33" i="1"/>
  <c r="BH33" i="1"/>
  <c r="BG33" i="1"/>
  <c r="BC33" i="1"/>
  <c r="AW33" i="1"/>
  <c r="AV33" i="1"/>
  <c r="AU33" i="1"/>
  <c r="AT33" i="1"/>
  <c r="AS33" i="1"/>
  <c r="AR33" i="1"/>
  <c r="AQ33" i="1"/>
  <c r="AO33" i="1"/>
  <c r="AN33" i="1"/>
  <c r="AM33" i="1"/>
  <c r="AL33" i="1"/>
  <c r="AK33" i="1"/>
  <c r="AJ33" i="1"/>
  <c r="AI33" i="1"/>
  <c r="AH33" i="1"/>
  <c r="AG33" i="1"/>
  <c r="AE33" i="1"/>
  <c r="AF33" i="1" s="1"/>
  <c r="AC33" i="1"/>
  <c r="AA33" i="1"/>
  <c r="Z33" i="1"/>
  <c r="Y33" i="1"/>
  <c r="X33" i="1"/>
  <c r="W33" i="1" s="1"/>
  <c r="Q33" i="1"/>
  <c r="AX33" i="1" s="1"/>
  <c r="F33" i="1"/>
  <c r="B33" i="1"/>
  <c r="A33" i="1"/>
  <c r="DE32" i="1"/>
  <c r="DD32" i="1"/>
  <c r="DC32" i="1"/>
  <c r="CZ32" i="1"/>
  <c r="CY32" i="1"/>
  <c r="CX32" i="1"/>
  <c r="CW32" i="1"/>
  <c r="CV32" i="1"/>
  <c r="CU32" i="1"/>
  <c r="CT32" i="1"/>
  <c r="CS32" i="1"/>
  <c r="CR32" i="1"/>
  <c r="CQ32" i="1"/>
  <c r="CM32" i="1"/>
  <c r="CL32" i="1"/>
  <c r="CK32" i="1"/>
  <c r="CJ32" i="1"/>
  <c r="CI32" i="1"/>
  <c r="CH32" i="1"/>
  <c r="CG32" i="1"/>
  <c r="CF32" i="1"/>
  <c r="CE32" i="1"/>
  <c r="CD32" i="1"/>
  <c r="CC32" i="1"/>
  <c r="CB32" i="1"/>
  <c r="CA32" i="1"/>
  <c r="BZ32" i="1"/>
  <c r="BX32" i="1"/>
  <c r="BS32" i="1"/>
  <c r="BR32" i="1"/>
  <c r="BQ32" i="1"/>
  <c r="BP32" i="1"/>
  <c r="BO32" i="1"/>
  <c r="BN32" i="1"/>
  <c r="BM32" i="1"/>
  <c r="BL32" i="1"/>
  <c r="BK32" i="1"/>
  <c r="BJ32" i="1"/>
  <c r="BH32" i="1"/>
  <c r="BG32" i="1"/>
  <c r="BC32" i="1"/>
  <c r="AW32" i="1"/>
  <c r="AV32" i="1"/>
  <c r="AU32" i="1"/>
  <c r="AT32" i="1"/>
  <c r="AS32" i="1"/>
  <c r="AR32" i="1"/>
  <c r="AQ32" i="1"/>
  <c r="AO32" i="1"/>
  <c r="AN32" i="1"/>
  <c r="AM32" i="1"/>
  <c r="AL32" i="1"/>
  <c r="AK32" i="1"/>
  <c r="AJ32" i="1"/>
  <c r="AI32" i="1"/>
  <c r="AH32" i="1"/>
  <c r="AG32" i="1"/>
  <c r="AE32" i="1"/>
  <c r="AF32" i="1" s="1"/>
  <c r="AC32" i="1"/>
  <c r="AB32" i="1" s="1"/>
  <c r="AA32" i="1"/>
  <c r="Z32" i="1"/>
  <c r="Y32" i="1"/>
  <c r="X32" i="1"/>
  <c r="Q32" i="1"/>
  <c r="AX32" i="1" s="1"/>
  <c r="F32" i="1"/>
  <c r="B32" i="1"/>
  <c r="A32" i="1"/>
  <c r="DE31" i="1"/>
  <c r="DD31" i="1"/>
  <c r="DC31" i="1"/>
  <c r="CZ31" i="1"/>
  <c r="CY31" i="1"/>
  <c r="CX31" i="1"/>
  <c r="CW31" i="1"/>
  <c r="CV31" i="1"/>
  <c r="CU31" i="1"/>
  <c r="CT31" i="1"/>
  <c r="CS31" i="1"/>
  <c r="CR31" i="1"/>
  <c r="CQ31" i="1"/>
  <c r="CM31" i="1"/>
  <c r="CL31" i="1"/>
  <c r="CK31" i="1"/>
  <c r="CJ31" i="1"/>
  <c r="CI31" i="1"/>
  <c r="CH31" i="1"/>
  <c r="CG31" i="1"/>
  <c r="CF31" i="1"/>
  <c r="CE31" i="1"/>
  <c r="CD31" i="1"/>
  <c r="CC31" i="1"/>
  <c r="CB31" i="1"/>
  <c r="CA31" i="1"/>
  <c r="BZ31" i="1"/>
  <c r="BX31" i="1"/>
  <c r="BS31" i="1"/>
  <c r="BR31" i="1"/>
  <c r="BQ31" i="1"/>
  <c r="BP31" i="1"/>
  <c r="BO31" i="1"/>
  <c r="BN31" i="1"/>
  <c r="BM31" i="1"/>
  <c r="BL31" i="1"/>
  <c r="BK31" i="1"/>
  <c r="BJ31" i="1"/>
  <c r="BH31" i="1"/>
  <c r="BG31" i="1"/>
  <c r="BC31" i="1"/>
  <c r="AW31" i="1"/>
  <c r="AV31" i="1"/>
  <c r="AU31" i="1"/>
  <c r="AT31" i="1"/>
  <c r="AS31" i="1"/>
  <c r="AR31" i="1"/>
  <c r="AQ31" i="1"/>
  <c r="AO31" i="1"/>
  <c r="AN31" i="1"/>
  <c r="AM31" i="1"/>
  <c r="AL31" i="1"/>
  <c r="AK31" i="1"/>
  <c r="AJ31" i="1"/>
  <c r="AI31" i="1"/>
  <c r="AH31" i="1"/>
  <c r="AG31" i="1"/>
  <c r="AE31" i="1"/>
  <c r="AF31" i="1" s="1"/>
  <c r="AC31" i="1"/>
  <c r="AA31" i="1"/>
  <c r="Z31" i="1"/>
  <c r="Y31" i="1"/>
  <c r="W31" i="1" s="1"/>
  <c r="X31" i="1"/>
  <c r="Q31" i="1"/>
  <c r="AX31" i="1" s="1"/>
  <c r="F31" i="1"/>
  <c r="B31" i="1"/>
  <c r="A31" i="1"/>
  <c r="DE30" i="1"/>
  <c r="DD30" i="1"/>
  <c r="DC30" i="1"/>
  <c r="CZ30" i="1"/>
  <c r="CY30" i="1"/>
  <c r="CX30" i="1"/>
  <c r="CW30" i="1"/>
  <c r="CV30" i="1"/>
  <c r="CU30" i="1"/>
  <c r="CT30" i="1"/>
  <c r="CS30" i="1"/>
  <c r="CR30" i="1"/>
  <c r="CQ30" i="1"/>
  <c r="CM30" i="1"/>
  <c r="CL30" i="1"/>
  <c r="CK30" i="1"/>
  <c r="CJ30" i="1"/>
  <c r="CI30" i="1"/>
  <c r="CH30" i="1"/>
  <c r="CG30" i="1"/>
  <c r="CF30" i="1"/>
  <c r="CE30" i="1"/>
  <c r="CD30" i="1"/>
  <c r="CC30" i="1"/>
  <c r="CB30" i="1"/>
  <c r="CA30" i="1"/>
  <c r="BZ30" i="1"/>
  <c r="BX30" i="1"/>
  <c r="BS30" i="1"/>
  <c r="BR30" i="1"/>
  <c r="BT30" i="1" s="1"/>
  <c r="BQ30" i="1"/>
  <c r="BP30" i="1"/>
  <c r="BO30" i="1"/>
  <c r="BN30" i="1"/>
  <c r="BM30" i="1"/>
  <c r="BL30" i="1"/>
  <c r="BK30" i="1"/>
  <c r="BJ30" i="1"/>
  <c r="BH30" i="1"/>
  <c r="BG30" i="1"/>
  <c r="BC30" i="1"/>
  <c r="AW30" i="1"/>
  <c r="AV30" i="1"/>
  <c r="AU30" i="1"/>
  <c r="AT30" i="1"/>
  <c r="AS30" i="1"/>
  <c r="AR30" i="1"/>
  <c r="AQ30" i="1"/>
  <c r="AO30" i="1"/>
  <c r="AN30" i="1"/>
  <c r="AM30" i="1"/>
  <c r="AL30" i="1"/>
  <c r="AK30" i="1"/>
  <c r="AJ30" i="1"/>
  <c r="AI30" i="1"/>
  <c r="AH30" i="1"/>
  <c r="AG30" i="1"/>
  <c r="AE30" i="1"/>
  <c r="AF30" i="1" s="1"/>
  <c r="AB30" i="1" s="1"/>
  <c r="AC30" i="1"/>
  <c r="AA30" i="1"/>
  <c r="Z30" i="1"/>
  <c r="Y30" i="1"/>
  <c r="X30" i="1"/>
  <c r="W30" i="1" s="1"/>
  <c r="Q30" i="1"/>
  <c r="AX30" i="1" s="1"/>
  <c r="F30" i="1"/>
  <c r="B30" i="1"/>
  <c r="A30" i="1"/>
  <c r="DE29" i="1"/>
  <c r="DD29" i="1"/>
  <c r="DC29" i="1"/>
  <c r="CZ29" i="1"/>
  <c r="CY29" i="1"/>
  <c r="CX29" i="1"/>
  <c r="CW29" i="1"/>
  <c r="CV29" i="1"/>
  <c r="CU29" i="1"/>
  <c r="CT29" i="1"/>
  <c r="CS29" i="1"/>
  <c r="CR29" i="1"/>
  <c r="CQ29" i="1"/>
  <c r="CM29" i="1"/>
  <c r="CL29" i="1"/>
  <c r="CK29" i="1"/>
  <c r="CJ29" i="1"/>
  <c r="CI29" i="1"/>
  <c r="CH29" i="1"/>
  <c r="CG29" i="1"/>
  <c r="CF29" i="1"/>
  <c r="CE29" i="1"/>
  <c r="CD29" i="1"/>
  <c r="CC29" i="1"/>
  <c r="CB29" i="1"/>
  <c r="CA29" i="1"/>
  <c r="BZ29" i="1"/>
  <c r="BX29" i="1"/>
  <c r="BS29" i="1"/>
  <c r="BR29" i="1"/>
  <c r="BQ29" i="1"/>
  <c r="BP29" i="1"/>
  <c r="BO29" i="1"/>
  <c r="BN29" i="1"/>
  <c r="BM29" i="1"/>
  <c r="BL29" i="1"/>
  <c r="BK29" i="1"/>
  <c r="BJ29" i="1"/>
  <c r="BH29" i="1"/>
  <c r="BG29" i="1"/>
  <c r="BC29" i="1"/>
  <c r="AW29" i="1"/>
  <c r="AV29" i="1"/>
  <c r="AU29" i="1"/>
  <c r="AT29" i="1"/>
  <c r="AS29" i="1"/>
  <c r="AR29" i="1"/>
  <c r="AQ29" i="1"/>
  <c r="AO29" i="1"/>
  <c r="AN29" i="1"/>
  <c r="AM29" i="1"/>
  <c r="AL29" i="1"/>
  <c r="AK29" i="1"/>
  <c r="AJ29" i="1"/>
  <c r="AI29" i="1"/>
  <c r="AH29" i="1"/>
  <c r="AG29" i="1"/>
  <c r="AE29" i="1"/>
  <c r="AF29" i="1" s="1"/>
  <c r="AC29" i="1"/>
  <c r="AA29" i="1"/>
  <c r="Z29" i="1"/>
  <c r="Y29" i="1"/>
  <c r="X29" i="1"/>
  <c r="T29" i="1"/>
  <c r="Q29" i="1"/>
  <c r="AX29" i="1" s="1"/>
  <c r="F29" i="1"/>
  <c r="B29" i="1"/>
  <c r="A29" i="1"/>
  <c r="DE28" i="1"/>
  <c r="DD28" i="1"/>
  <c r="DC28" i="1"/>
  <c r="CZ28" i="1"/>
  <c r="CY28" i="1"/>
  <c r="CX28" i="1"/>
  <c r="CW28" i="1"/>
  <c r="CV28" i="1"/>
  <c r="CU28" i="1"/>
  <c r="CT28" i="1"/>
  <c r="CS28" i="1"/>
  <c r="CR28" i="1"/>
  <c r="CQ28" i="1"/>
  <c r="CM28" i="1"/>
  <c r="CL28" i="1"/>
  <c r="CK28" i="1"/>
  <c r="CJ28" i="1"/>
  <c r="CI28" i="1"/>
  <c r="CH28" i="1"/>
  <c r="CG28" i="1"/>
  <c r="CF28" i="1"/>
  <c r="CE28" i="1"/>
  <c r="CD28" i="1"/>
  <c r="CC28" i="1"/>
  <c r="CB28" i="1"/>
  <c r="CA28" i="1"/>
  <c r="BZ28" i="1"/>
  <c r="BX28" i="1"/>
  <c r="BS28" i="1"/>
  <c r="BR28" i="1"/>
  <c r="BQ28" i="1"/>
  <c r="BP28" i="1"/>
  <c r="BO28" i="1"/>
  <c r="BN28" i="1"/>
  <c r="BM28" i="1"/>
  <c r="BL28" i="1"/>
  <c r="BK28" i="1"/>
  <c r="BJ28" i="1"/>
  <c r="BH28" i="1"/>
  <c r="BG28" i="1"/>
  <c r="BC28" i="1"/>
  <c r="AW28" i="1"/>
  <c r="AV28" i="1"/>
  <c r="AU28" i="1"/>
  <c r="AT28" i="1"/>
  <c r="AS28" i="1"/>
  <c r="AR28" i="1"/>
  <c r="AQ28" i="1"/>
  <c r="AO28" i="1"/>
  <c r="AN28" i="1"/>
  <c r="AM28" i="1"/>
  <c r="AL28" i="1"/>
  <c r="AK28" i="1"/>
  <c r="AJ28" i="1"/>
  <c r="AI28" i="1"/>
  <c r="AH28" i="1"/>
  <c r="AG28" i="1"/>
  <c r="AE28" i="1"/>
  <c r="AF28" i="1" s="1"/>
  <c r="AC28" i="1"/>
  <c r="AA28" i="1"/>
  <c r="Z28" i="1"/>
  <c r="Y28" i="1"/>
  <c r="X28" i="1"/>
  <c r="Q28" i="1"/>
  <c r="AX28" i="1" s="1"/>
  <c r="F28" i="1"/>
  <c r="B28" i="1"/>
  <c r="A28" i="1"/>
  <c r="DE27" i="1"/>
  <c r="DD27" i="1"/>
  <c r="DC27" i="1"/>
  <c r="CZ27" i="1"/>
  <c r="CY27" i="1"/>
  <c r="CX27" i="1"/>
  <c r="CW27" i="1"/>
  <c r="CV27" i="1"/>
  <c r="CU27" i="1"/>
  <c r="CT27" i="1"/>
  <c r="CS27" i="1"/>
  <c r="CR27" i="1"/>
  <c r="CQ27" i="1"/>
  <c r="CM27" i="1"/>
  <c r="CL27" i="1"/>
  <c r="CK27" i="1"/>
  <c r="CJ27" i="1"/>
  <c r="CI27" i="1"/>
  <c r="CH27" i="1"/>
  <c r="CG27" i="1"/>
  <c r="CF27" i="1"/>
  <c r="CE27" i="1"/>
  <c r="CD27" i="1"/>
  <c r="CC27" i="1"/>
  <c r="CB27" i="1"/>
  <c r="CA27" i="1"/>
  <c r="BZ27" i="1"/>
  <c r="BX27" i="1"/>
  <c r="BS27" i="1"/>
  <c r="BR27" i="1"/>
  <c r="BQ27" i="1"/>
  <c r="BP27" i="1"/>
  <c r="BO27" i="1"/>
  <c r="BN27" i="1"/>
  <c r="BM27" i="1"/>
  <c r="BL27" i="1"/>
  <c r="BK27" i="1"/>
  <c r="BJ27" i="1"/>
  <c r="BH27" i="1"/>
  <c r="BG27" i="1"/>
  <c r="BC27" i="1"/>
  <c r="AW27" i="1"/>
  <c r="AV27" i="1"/>
  <c r="AU27" i="1"/>
  <c r="AT27" i="1"/>
  <c r="AS27" i="1"/>
  <c r="AR27" i="1"/>
  <c r="AQ27" i="1"/>
  <c r="AO27" i="1"/>
  <c r="AN27" i="1"/>
  <c r="AM27" i="1"/>
  <c r="AL27" i="1"/>
  <c r="AK27" i="1"/>
  <c r="AJ27" i="1"/>
  <c r="AI27" i="1"/>
  <c r="AH27" i="1"/>
  <c r="AG27" i="1"/>
  <c r="AE27" i="1"/>
  <c r="AF27" i="1" s="1"/>
  <c r="AB27" i="1" s="1"/>
  <c r="AC27" i="1"/>
  <c r="AA27" i="1"/>
  <c r="Z27" i="1"/>
  <c r="Y27" i="1"/>
  <c r="X27" i="1"/>
  <c r="W27" i="1"/>
  <c r="Q27" i="1"/>
  <c r="T27" i="1" s="1"/>
  <c r="F27" i="1"/>
  <c r="B27" i="1"/>
  <c r="A27" i="1"/>
  <c r="DE26" i="1"/>
  <c r="DD26" i="1"/>
  <c r="DC26" i="1"/>
  <c r="CZ26" i="1"/>
  <c r="CY26" i="1"/>
  <c r="CX26" i="1"/>
  <c r="CW26" i="1"/>
  <c r="CV26" i="1"/>
  <c r="CU26" i="1"/>
  <c r="CT26" i="1"/>
  <c r="CS26" i="1"/>
  <c r="CR26" i="1"/>
  <c r="CQ26" i="1"/>
  <c r="CM26" i="1"/>
  <c r="CL26" i="1"/>
  <c r="CK26" i="1"/>
  <c r="CJ26" i="1"/>
  <c r="CI26" i="1"/>
  <c r="CH26" i="1"/>
  <c r="CG26" i="1"/>
  <c r="CF26" i="1"/>
  <c r="CE26" i="1"/>
  <c r="CD26" i="1"/>
  <c r="CC26" i="1"/>
  <c r="CB26" i="1"/>
  <c r="CA26" i="1"/>
  <c r="BZ26" i="1"/>
  <c r="BX26" i="1"/>
  <c r="BS26" i="1"/>
  <c r="BR26" i="1"/>
  <c r="BQ26" i="1"/>
  <c r="BP26" i="1"/>
  <c r="BO26" i="1"/>
  <c r="BN26" i="1"/>
  <c r="BM26" i="1"/>
  <c r="BL26" i="1"/>
  <c r="BK26" i="1"/>
  <c r="BJ26" i="1"/>
  <c r="BH26" i="1"/>
  <c r="BG26" i="1"/>
  <c r="BC26" i="1"/>
  <c r="AW26" i="1"/>
  <c r="AV26" i="1"/>
  <c r="AU26" i="1"/>
  <c r="AT26" i="1"/>
  <c r="AS26" i="1"/>
  <c r="AR26" i="1"/>
  <c r="AQ26" i="1"/>
  <c r="AO26" i="1"/>
  <c r="AN26" i="1"/>
  <c r="AM26" i="1"/>
  <c r="AL26" i="1"/>
  <c r="AK26" i="1"/>
  <c r="AJ26" i="1"/>
  <c r="AI26" i="1"/>
  <c r="AH26" i="1"/>
  <c r="AG26" i="1"/>
  <c r="AF26" i="1"/>
  <c r="AB26" i="1" s="1"/>
  <c r="AE26" i="1"/>
  <c r="AC26" i="1"/>
  <c r="AA26" i="1"/>
  <c r="Z26" i="1"/>
  <c r="Y26" i="1"/>
  <c r="X26" i="1"/>
  <c r="Q26" i="1"/>
  <c r="T26" i="1" s="1"/>
  <c r="F26" i="1"/>
  <c r="B26" i="1"/>
  <c r="A26" i="1"/>
  <c r="DE25" i="1"/>
  <c r="DD25" i="1"/>
  <c r="DC25" i="1"/>
  <c r="CZ25" i="1"/>
  <c r="CY25" i="1"/>
  <c r="CX25" i="1"/>
  <c r="CW25" i="1"/>
  <c r="CV25" i="1"/>
  <c r="CU25" i="1"/>
  <c r="CT25" i="1"/>
  <c r="CS25" i="1"/>
  <c r="CR25" i="1"/>
  <c r="CQ25" i="1"/>
  <c r="CM25" i="1"/>
  <c r="CL25" i="1"/>
  <c r="CK25" i="1"/>
  <c r="CJ25" i="1"/>
  <c r="CI25" i="1"/>
  <c r="CH25" i="1"/>
  <c r="CG25" i="1"/>
  <c r="CF25" i="1"/>
  <c r="CE25" i="1"/>
  <c r="CD25" i="1"/>
  <c r="CC25" i="1"/>
  <c r="CB25" i="1"/>
  <c r="CA25" i="1"/>
  <c r="BZ25" i="1"/>
  <c r="BX25" i="1"/>
  <c r="BS25" i="1"/>
  <c r="BT25" i="1" s="1"/>
  <c r="BR25" i="1"/>
  <c r="BQ25" i="1"/>
  <c r="BP25" i="1"/>
  <c r="BO25" i="1"/>
  <c r="BN25" i="1"/>
  <c r="BM25" i="1"/>
  <c r="BL25" i="1"/>
  <c r="BK25" i="1"/>
  <c r="BJ25" i="1"/>
  <c r="BH25" i="1"/>
  <c r="BG25" i="1"/>
  <c r="BC25" i="1"/>
  <c r="AW25" i="1"/>
  <c r="AV25" i="1"/>
  <c r="AU25" i="1"/>
  <c r="AT25" i="1"/>
  <c r="AS25" i="1"/>
  <c r="AR25" i="1"/>
  <c r="AQ25" i="1"/>
  <c r="AO25" i="1"/>
  <c r="AN25" i="1"/>
  <c r="AM25" i="1"/>
  <c r="AL25" i="1"/>
  <c r="AK25" i="1"/>
  <c r="AJ25" i="1"/>
  <c r="AI25" i="1"/>
  <c r="AH25" i="1"/>
  <c r="AG25" i="1"/>
  <c r="AE25" i="1"/>
  <c r="AF25" i="1" s="1"/>
  <c r="AC25" i="1"/>
  <c r="AB25" i="1" s="1"/>
  <c r="AA25" i="1"/>
  <c r="Z25" i="1"/>
  <c r="Y25" i="1"/>
  <c r="X25" i="1"/>
  <c r="W25" i="1" s="1"/>
  <c r="Q25" i="1"/>
  <c r="AX25" i="1" s="1"/>
  <c r="F25" i="1"/>
  <c r="B25" i="1"/>
  <c r="A25" i="1"/>
  <c r="DE24" i="1"/>
  <c r="DD24" i="1"/>
  <c r="DC24" i="1"/>
  <c r="CZ24" i="1"/>
  <c r="CY24" i="1"/>
  <c r="CX24" i="1"/>
  <c r="CW24" i="1"/>
  <c r="CV24" i="1"/>
  <c r="CU24" i="1"/>
  <c r="CT24" i="1"/>
  <c r="CS24" i="1"/>
  <c r="CR24" i="1"/>
  <c r="CQ24" i="1"/>
  <c r="CM24" i="1"/>
  <c r="CL24" i="1"/>
  <c r="CK24" i="1"/>
  <c r="CJ24" i="1"/>
  <c r="CI24" i="1"/>
  <c r="CH24" i="1"/>
  <c r="CG24" i="1"/>
  <c r="CF24" i="1"/>
  <c r="CE24" i="1"/>
  <c r="CD24" i="1"/>
  <c r="CC24" i="1"/>
  <c r="CB24" i="1"/>
  <c r="CA24" i="1"/>
  <c r="BZ24" i="1"/>
  <c r="BX24" i="1"/>
  <c r="BS24" i="1"/>
  <c r="BR24" i="1"/>
  <c r="BQ24" i="1"/>
  <c r="BP24" i="1"/>
  <c r="BO24" i="1"/>
  <c r="BN24" i="1"/>
  <c r="BM24" i="1"/>
  <c r="BL24" i="1"/>
  <c r="BT24" i="1" s="1"/>
  <c r="BK24" i="1"/>
  <c r="BJ24" i="1"/>
  <c r="BH24" i="1"/>
  <c r="BG24" i="1"/>
  <c r="BC24" i="1"/>
  <c r="AW24" i="1"/>
  <c r="AV24" i="1"/>
  <c r="AU24" i="1"/>
  <c r="AT24" i="1"/>
  <c r="AS24" i="1"/>
  <c r="AR24" i="1"/>
  <c r="AQ24" i="1"/>
  <c r="AO24" i="1"/>
  <c r="AN24" i="1"/>
  <c r="AM24" i="1"/>
  <c r="AL24" i="1"/>
  <c r="AK24" i="1"/>
  <c r="AJ24" i="1"/>
  <c r="AI24" i="1"/>
  <c r="AH24" i="1"/>
  <c r="AG24" i="1"/>
  <c r="AE24" i="1"/>
  <c r="AF24" i="1" s="1"/>
  <c r="AB24" i="1" s="1"/>
  <c r="AC24" i="1"/>
  <c r="AA24" i="1"/>
  <c r="Z24" i="1"/>
  <c r="Y24" i="1"/>
  <c r="X24" i="1"/>
  <c r="Q24" i="1"/>
  <c r="AX24" i="1" s="1"/>
  <c r="F24" i="1"/>
  <c r="B24" i="1"/>
  <c r="A24" i="1"/>
  <c r="DE23" i="1"/>
  <c r="DD23" i="1"/>
  <c r="DC23" i="1"/>
  <c r="CZ23" i="1"/>
  <c r="CY23" i="1"/>
  <c r="CX23" i="1"/>
  <c r="CW23" i="1"/>
  <c r="CV23" i="1"/>
  <c r="CU23" i="1"/>
  <c r="CT23" i="1"/>
  <c r="CS23" i="1"/>
  <c r="CR23" i="1"/>
  <c r="CQ23" i="1"/>
  <c r="CM23" i="1"/>
  <c r="CL23" i="1"/>
  <c r="CK23" i="1"/>
  <c r="CJ23" i="1"/>
  <c r="CI23" i="1"/>
  <c r="CH23" i="1"/>
  <c r="CG23" i="1"/>
  <c r="CF23" i="1"/>
  <c r="CE23" i="1"/>
  <c r="CD23" i="1"/>
  <c r="CC23" i="1"/>
  <c r="CB23" i="1"/>
  <c r="CA23" i="1"/>
  <c r="BZ23" i="1"/>
  <c r="BX23" i="1"/>
  <c r="BS23" i="1"/>
  <c r="BR23" i="1"/>
  <c r="BQ23" i="1"/>
  <c r="BP23" i="1"/>
  <c r="BO23" i="1"/>
  <c r="BN23" i="1"/>
  <c r="BM23" i="1"/>
  <c r="BL23" i="1"/>
  <c r="BK23" i="1"/>
  <c r="BJ23" i="1"/>
  <c r="BH23" i="1"/>
  <c r="BG23" i="1"/>
  <c r="BC23" i="1"/>
  <c r="AW23" i="1"/>
  <c r="AV23" i="1"/>
  <c r="AU23" i="1"/>
  <c r="AT23" i="1"/>
  <c r="AS23" i="1"/>
  <c r="AR23" i="1"/>
  <c r="AQ23" i="1"/>
  <c r="AO23" i="1"/>
  <c r="AN23" i="1"/>
  <c r="AM23" i="1"/>
  <c r="AL23" i="1"/>
  <c r="AK23" i="1"/>
  <c r="AJ23" i="1"/>
  <c r="AI23" i="1"/>
  <c r="AH23" i="1"/>
  <c r="AG23" i="1"/>
  <c r="AE23" i="1"/>
  <c r="AF23" i="1" s="1"/>
  <c r="AC23" i="1"/>
  <c r="AA23" i="1"/>
  <c r="Z23" i="1"/>
  <c r="Y23" i="1"/>
  <c r="X23" i="1"/>
  <c r="Q23" i="1"/>
  <c r="T23" i="1" s="1"/>
  <c r="F23" i="1"/>
  <c r="B23" i="1"/>
  <c r="A23" i="1"/>
  <c r="DE22" i="1"/>
  <c r="DD22" i="1"/>
  <c r="DC22" i="1"/>
  <c r="CZ22" i="1"/>
  <c r="CY22" i="1"/>
  <c r="CX22" i="1"/>
  <c r="CW22" i="1"/>
  <c r="CV22" i="1"/>
  <c r="CU22" i="1"/>
  <c r="CT22" i="1"/>
  <c r="CS22" i="1"/>
  <c r="CR22" i="1"/>
  <c r="CQ22" i="1"/>
  <c r="CM22" i="1"/>
  <c r="CL22" i="1"/>
  <c r="CK22" i="1"/>
  <c r="CJ22" i="1"/>
  <c r="CI22" i="1"/>
  <c r="CH22" i="1"/>
  <c r="CG22" i="1"/>
  <c r="CF22" i="1"/>
  <c r="CE22" i="1"/>
  <c r="CD22" i="1"/>
  <c r="CC22" i="1"/>
  <c r="CB22" i="1"/>
  <c r="CA22" i="1"/>
  <c r="BZ22" i="1"/>
  <c r="BX22" i="1"/>
  <c r="BS22" i="1"/>
  <c r="BR22" i="1"/>
  <c r="BQ22" i="1"/>
  <c r="BP22" i="1"/>
  <c r="BO22" i="1"/>
  <c r="BN22" i="1"/>
  <c r="BM22" i="1"/>
  <c r="BL22" i="1"/>
  <c r="BK22" i="1"/>
  <c r="BJ22" i="1"/>
  <c r="BT22" i="1" s="1"/>
  <c r="BH22" i="1"/>
  <c r="BG22" i="1"/>
  <c r="BC22" i="1"/>
  <c r="AW22" i="1"/>
  <c r="AV22" i="1"/>
  <c r="AU22" i="1"/>
  <c r="AT22" i="1"/>
  <c r="AS22" i="1"/>
  <c r="AR22" i="1"/>
  <c r="AQ22" i="1"/>
  <c r="AO22" i="1"/>
  <c r="AN22" i="1"/>
  <c r="AM22" i="1"/>
  <c r="AL22" i="1"/>
  <c r="AK22" i="1"/>
  <c r="AJ22" i="1"/>
  <c r="AI22" i="1"/>
  <c r="AH22" i="1"/>
  <c r="AG22" i="1"/>
  <c r="AE22" i="1"/>
  <c r="AF22" i="1" s="1"/>
  <c r="AC22" i="1"/>
  <c r="AB22" i="1" s="1"/>
  <c r="AA22" i="1"/>
  <c r="Z22" i="1"/>
  <c r="Y22" i="1"/>
  <c r="X22" i="1"/>
  <c r="W22" i="1" s="1"/>
  <c r="Q22" i="1"/>
  <c r="AX22" i="1" s="1"/>
  <c r="F22" i="1"/>
  <c r="B22" i="1"/>
  <c r="A22" i="1"/>
  <c r="DE21" i="1"/>
  <c r="DD21" i="1"/>
  <c r="DC21" i="1"/>
  <c r="CZ21" i="1"/>
  <c r="CY21" i="1"/>
  <c r="CX21" i="1"/>
  <c r="CW21" i="1"/>
  <c r="CV21" i="1"/>
  <c r="CU21" i="1"/>
  <c r="CT21" i="1"/>
  <c r="CS21" i="1"/>
  <c r="CR21" i="1"/>
  <c r="CQ21" i="1"/>
  <c r="CM21" i="1"/>
  <c r="CL21" i="1"/>
  <c r="CK21" i="1"/>
  <c r="CJ21" i="1"/>
  <c r="CI21" i="1"/>
  <c r="CH21" i="1"/>
  <c r="CG21" i="1"/>
  <c r="CF21" i="1"/>
  <c r="CE21" i="1"/>
  <c r="CD21" i="1"/>
  <c r="CC21" i="1"/>
  <c r="CB21" i="1"/>
  <c r="CA21" i="1"/>
  <c r="BZ21" i="1"/>
  <c r="BX21" i="1"/>
  <c r="BS21" i="1"/>
  <c r="BR21" i="1"/>
  <c r="BQ21" i="1"/>
  <c r="BP21" i="1"/>
  <c r="BO21" i="1"/>
  <c r="BN21" i="1"/>
  <c r="BM21" i="1"/>
  <c r="BL21" i="1"/>
  <c r="BK21" i="1"/>
  <c r="BJ21" i="1"/>
  <c r="BH21" i="1"/>
  <c r="BG21" i="1"/>
  <c r="BC21" i="1"/>
  <c r="AW21" i="1"/>
  <c r="AV21" i="1"/>
  <c r="AU21" i="1"/>
  <c r="AT21" i="1"/>
  <c r="AS21" i="1"/>
  <c r="AR21" i="1"/>
  <c r="AQ21" i="1"/>
  <c r="AO21" i="1"/>
  <c r="AN21" i="1"/>
  <c r="AM21" i="1"/>
  <c r="AL21" i="1"/>
  <c r="AK21" i="1"/>
  <c r="AJ21" i="1"/>
  <c r="AI21" i="1"/>
  <c r="AH21" i="1"/>
  <c r="AG21" i="1"/>
  <c r="AE21" i="1"/>
  <c r="AF21" i="1" s="1"/>
  <c r="AC21" i="1"/>
  <c r="AA21" i="1"/>
  <c r="Z21" i="1"/>
  <c r="Y21" i="1"/>
  <c r="X21" i="1"/>
  <c r="W21" i="1" s="1"/>
  <c r="Q21" i="1"/>
  <c r="AX21" i="1" s="1"/>
  <c r="F21" i="1"/>
  <c r="B21" i="1"/>
  <c r="A21" i="1"/>
  <c r="DE20" i="1"/>
  <c r="DD20" i="1"/>
  <c r="DC20" i="1"/>
  <c r="CZ20" i="1"/>
  <c r="CY20" i="1"/>
  <c r="CX20" i="1"/>
  <c r="CW20" i="1"/>
  <c r="CV20" i="1"/>
  <c r="CU20" i="1"/>
  <c r="CT20" i="1"/>
  <c r="CS20" i="1"/>
  <c r="CR20" i="1"/>
  <c r="CQ20" i="1"/>
  <c r="CM20" i="1"/>
  <c r="CL20" i="1"/>
  <c r="CK20" i="1"/>
  <c r="CJ20" i="1"/>
  <c r="CI20" i="1"/>
  <c r="CH20" i="1"/>
  <c r="CG20" i="1"/>
  <c r="CF20" i="1"/>
  <c r="CE20" i="1"/>
  <c r="CD20" i="1"/>
  <c r="CC20" i="1"/>
  <c r="CB20" i="1"/>
  <c r="CA20" i="1"/>
  <c r="BZ20" i="1"/>
  <c r="CN20" i="1" s="1"/>
  <c r="BX20" i="1"/>
  <c r="BS20" i="1"/>
  <c r="BR20" i="1"/>
  <c r="BQ20" i="1"/>
  <c r="BP20" i="1"/>
  <c r="BO20" i="1"/>
  <c r="BN20" i="1"/>
  <c r="BM20" i="1"/>
  <c r="BL20" i="1"/>
  <c r="BK20" i="1"/>
  <c r="BJ20" i="1"/>
  <c r="BH20" i="1"/>
  <c r="BG20" i="1"/>
  <c r="BC20" i="1"/>
  <c r="AW20" i="1"/>
  <c r="AV20" i="1"/>
  <c r="AU20" i="1"/>
  <c r="AT20" i="1"/>
  <c r="AS20" i="1"/>
  <c r="AR20" i="1"/>
  <c r="AQ20" i="1"/>
  <c r="AO20" i="1"/>
  <c r="AN20" i="1"/>
  <c r="AM20" i="1"/>
  <c r="AL20" i="1"/>
  <c r="AK20" i="1"/>
  <c r="AJ20" i="1"/>
  <c r="AI20" i="1"/>
  <c r="AH20" i="1"/>
  <c r="AG20" i="1"/>
  <c r="AE20" i="1"/>
  <c r="AF20" i="1" s="1"/>
  <c r="AC20" i="1"/>
  <c r="AB20" i="1"/>
  <c r="AA20" i="1"/>
  <c r="Z20" i="1"/>
  <c r="Y20" i="1"/>
  <c r="X20" i="1"/>
  <c r="Q20" i="1"/>
  <c r="AX20" i="1" s="1"/>
  <c r="F20" i="1"/>
  <c r="B20" i="1"/>
  <c r="A20" i="1"/>
  <c r="DE19" i="1"/>
  <c r="DD19" i="1"/>
  <c r="DC19" i="1"/>
  <c r="CZ19" i="1"/>
  <c r="CY19" i="1"/>
  <c r="CX19" i="1"/>
  <c r="CW19" i="1"/>
  <c r="CV19" i="1"/>
  <c r="CU19" i="1"/>
  <c r="CT19" i="1"/>
  <c r="CS19" i="1"/>
  <c r="CR19" i="1"/>
  <c r="CQ19" i="1"/>
  <c r="CM19" i="1"/>
  <c r="CL19" i="1"/>
  <c r="CK19" i="1"/>
  <c r="CJ19" i="1"/>
  <c r="CI19" i="1"/>
  <c r="CH19" i="1"/>
  <c r="CG19" i="1"/>
  <c r="CF19" i="1"/>
  <c r="CE19" i="1"/>
  <c r="CD19" i="1"/>
  <c r="CC19" i="1"/>
  <c r="CB19" i="1"/>
  <c r="CA19" i="1"/>
  <c r="BZ19" i="1"/>
  <c r="BX19" i="1"/>
  <c r="BS19" i="1"/>
  <c r="BR19" i="1"/>
  <c r="BQ19" i="1"/>
  <c r="BP19" i="1"/>
  <c r="BO19" i="1"/>
  <c r="BN19" i="1"/>
  <c r="BM19" i="1"/>
  <c r="BL19" i="1"/>
  <c r="BK19" i="1"/>
  <c r="BJ19" i="1"/>
  <c r="BH19" i="1"/>
  <c r="BG19" i="1"/>
  <c r="BC19" i="1"/>
  <c r="AW19" i="1"/>
  <c r="AV19" i="1"/>
  <c r="AU19" i="1"/>
  <c r="AT19" i="1"/>
  <c r="AS19" i="1"/>
  <c r="AR19" i="1"/>
  <c r="AQ19" i="1"/>
  <c r="AO19" i="1"/>
  <c r="AN19" i="1"/>
  <c r="AM19" i="1"/>
  <c r="AL19" i="1"/>
  <c r="AK19" i="1"/>
  <c r="AJ19" i="1"/>
  <c r="AI19" i="1"/>
  <c r="AH19" i="1"/>
  <c r="AG19" i="1"/>
  <c r="AE19" i="1"/>
  <c r="AF19" i="1" s="1"/>
  <c r="AC19" i="1"/>
  <c r="AA19" i="1"/>
  <c r="Z19" i="1"/>
  <c r="Y19" i="1"/>
  <c r="X19" i="1"/>
  <c r="W19" i="1"/>
  <c r="Q19" i="1"/>
  <c r="AX19" i="1" s="1"/>
  <c r="F19" i="1"/>
  <c r="B19" i="1"/>
  <c r="A19" i="1"/>
  <c r="DE18" i="1"/>
  <c r="DD18" i="1"/>
  <c r="DC18" i="1"/>
  <c r="CZ18" i="1"/>
  <c r="CY18" i="1"/>
  <c r="CX18" i="1"/>
  <c r="CW18" i="1"/>
  <c r="CV18" i="1"/>
  <c r="CU18" i="1"/>
  <c r="CT18" i="1"/>
  <c r="CS18" i="1"/>
  <c r="CR18" i="1"/>
  <c r="CQ18" i="1"/>
  <c r="CM18" i="1"/>
  <c r="CL18" i="1"/>
  <c r="CK18" i="1"/>
  <c r="CJ18" i="1"/>
  <c r="CI18" i="1"/>
  <c r="CH18" i="1"/>
  <c r="CG18" i="1"/>
  <c r="CF18" i="1"/>
  <c r="CE18" i="1"/>
  <c r="CD18" i="1"/>
  <c r="CC18" i="1"/>
  <c r="CB18" i="1"/>
  <c r="CA18" i="1"/>
  <c r="BZ18" i="1"/>
  <c r="BX18" i="1"/>
  <c r="BS18" i="1"/>
  <c r="BR18" i="1"/>
  <c r="BQ18" i="1"/>
  <c r="BP18" i="1"/>
  <c r="BO18" i="1"/>
  <c r="BN18" i="1"/>
  <c r="BM18" i="1"/>
  <c r="BL18" i="1"/>
  <c r="BK18" i="1"/>
  <c r="BJ18" i="1"/>
  <c r="BH18" i="1"/>
  <c r="BG18" i="1"/>
  <c r="BC18" i="1"/>
  <c r="AW18" i="1"/>
  <c r="AV18" i="1"/>
  <c r="AU18" i="1"/>
  <c r="AT18" i="1"/>
  <c r="AS18" i="1"/>
  <c r="AR18" i="1"/>
  <c r="AQ18" i="1"/>
  <c r="AO18" i="1"/>
  <c r="AN18" i="1"/>
  <c r="AM18" i="1"/>
  <c r="AL18" i="1"/>
  <c r="AK18" i="1"/>
  <c r="AJ18" i="1"/>
  <c r="AI18" i="1"/>
  <c r="AH18" i="1"/>
  <c r="AG18" i="1"/>
  <c r="AE18" i="1"/>
  <c r="AF18" i="1" s="1"/>
  <c r="AC18" i="1"/>
  <c r="AA18" i="1"/>
  <c r="Z18" i="1"/>
  <c r="Y18" i="1"/>
  <c r="X18" i="1"/>
  <c r="W18" i="1" s="1"/>
  <c r="Q18" i="1"/>
  <c r="AX18" i="1" s="1"/>
  <c r="F18" i="1"/>
  <c r="B18" i="1"/>
  <c r="A18" i="1"/>
  <c r="DE17" i="1"/>
  <c r="DD17" i="1"/>
  <c r="DC17" i="1"/>
  <c r="CZ17" i="1"/>
  <c r="CY17" i="1"/>
  <c r="CX17" i="1"/>
  <c r="CW17" i="1"/>
  <c r="CV17" i="1"/>
  <c r="CU17" i="1"/>
  <c r="CT17" i="1"/>
  <c r="CS17" i="1"/>
  <c r="CR17" i="1"/>
  <c r="CQ17" i="1"/>
  <c r="CM17" i="1"/>
  <c r="CL17" i="1"/>
  <c r="CK17" i="1"/>
  <c r="CJ17" i="1"/>
  <c r="CI17" i="1"/>
  <c r="CH17" i="1"/>
  <c r="CG17" i="1"/>
  <c r="CF17" i="1"/>
  <c r="CE17" i="1"/>
  <c r="CD17" i="1"/>
  <c r="CC17" i="1"/>
  <c r="CB17" i="1"/>
  <c r="CA17" i="1"/>
  <c r="BZ17" i="1"/>
  <c r="CN17" i="1" s="1"/>
  <c r="BX17" i="1"/>
  <c r="BS17" i="1"/>
  <c r="BR17" i="1"/>
  <c r="BQ17" i="1"/>
  <c r="BP17" i="1"/>
  <c r="BO17" i="1"/>
  <c r="BN17" i="1"/>
  <c r="BM17" i="1"/>
  <c r="BL17" i="1"/>
  <c r="BK17" i="1"/>
  <c r="BJ17" i="1"/>
  <c r="BT17" i="1" s="1"/>
  <c r="BH17" i="1"/>
  <c r="BG17" i="1"/>
  <c r="BC17" i="1"/>
  <c r="AX17" i="1"/>
  <c r="AW17" i="1"/>
  <c r="AV17" i="1"/>
  <c r="AU17" i="1"/>
  <c r="AT17" i="1"/>
  <c r="AS17" i="1"/>
  <c r="AR17" i="1"/>
  <c r="AQ17" i="1"/>
  <c r="AO17" i="1"/>
  <c r="AN17" i="1"/>
  <c r="AM17" i="1"/>
  <c r="AL17" i="1"/>
  <c r="AK17" i="1"/>
  <c r="AJ17" i="1"/>
  <c r="AI17" i="1"/>
  <c r="AH17" i="1"/>
  <c r="AG17" i="1"/>
  <c r="AE17" i="1"/>
  <c r="AF17" i="1" s="1"/>
  <c r="AC17" i="1"/>
  <c r="AA17" i="1"/>
  <c r="Z17" i="1"/>
  <c r="W17" i="1" s="1"/>
  <c r="Y17" i="1"/>
  <c r="X17" i="1"/>
  <c r="Q17" i="1"/>
  <c r="T17" i="1" s="1"/>
  <c r="F17" i="1"/>
  <c r="B17" i="1"/>
  <c r="A17" i="1"/>
  <c r="DE16" i="1"/>
  <c r="DD16" i="1"/>
  <c r="DC16" i="1"/>
  <c r="CZ16" i="1"/>
  <c r="CY16" i="1"/>
  <c r="CX16" i="1"/>
  <c r="CW16" i="1"/>
  <c r="CV16" i="1"/>
  <c r="CU16" i="1"/>
  <c r="CT16" i="1"/>
  <c r="CS16" i="1"/>
  <c r="CR16" i="1"/>
  <c r="CQ16" i="1"/>
  <c r="CM16" i="1"/>
  <c r="CL16" i="1"/>
  <c r="CK16" i="1"/>
  <c r="CJ16" i="1"/>
  <c r="CI16" i="1"/>
  <c r="CH16" i="1"/>
  <c r="CG16" i="1"/>
  <c r="CF16" i="1"/>
  <c r="CE16" i="1"/>
  <c r="CD16" i="1"/>
  <c r="CC16" i="1"/>
  <c r="CB16" i="1"/>
  <c r="CA16" i="1"/>
  <c r="BZ16" i="1"/>
  <c r="BX16" i="1"/>
  <c r="BS16" i="1"/>
  <c r="BR16" i="1"/>
  <c r="BQ16" i="1"/>
  <c r="BP16" i="1"/>
  <c r="BO16" i="1"/>
  <c r="BN16" i="1"/>
  <c r="BM16" i="1"/>
  <c r="BL16" i="1"/>
  <c r="BK16" i="1"/>
  <c r="BJ16" i="1"/>
  <c r="BH16" i="1"/>
  <c r="BG16" i="1"/>
  <c r="BC16" i="1"/>
  <c r="AW16" i="1"/>
  <c r="AV16" i="1"/>
  <c r="AU16" i="1"/>
  <c r="AT16" i="1"/>
  <c r="AS16" i="1"/>
  <c r="AR16" i="1"/>
  <c r="AQ16" i="1"/>
  <c r="AO16" i="1"/>
  <c r="AN16" i="1"/>
  <c r="AM16" i="1"/>
  <c r="AL16" i="1"/>
  <c r="AK16" i="1"/>
  <c r="AJ16" i="1"/>
  <c r="AI16" i="1"/>
  <c r="AH16" i="1"/>
  <c r="AG16" i="1"/>
  <c r="AE16" i="1"/>
  <c r="AF16" i="1" s="1"/>
  <c r="AC16" i="1"/>
  <c r="AB16" i="1"/>
  <c r="AA16" i="1"/>
  <c r="Z16" i="1"/>
  <c r="Y16" i="1"/>
  <c r="W16" i="1" s="1"/>
  <c r="X16" i="1"/>
  <c r="Q16" i="1"/>
  <c r="AX16" i="1" s="1"/>
  <c r="F16" i="1"/>
  <c r="B16" i="1"/>
  <c r="A16" i="1"/>
  <c r="DE15" i="1"/>
  <c r="DD15" i="1"/>
  <c r="DC15" i="1"/>
  <c r="CZ15" i="1"/>
  <c r="CY15" i="1"/>
  <c r="CX15" i="1"/>
  <c r="CW15" i="1"/>
  <c r="CV15" i="1"/>
  <c r="CU15" i="1"/>
  <c r="CT15" i="1"/>
  <c r="CS15" i="1"/>
  <c r="CR15" i="1"/>
  <c r="CQ15" i="1"/>
  <c r="CM15" i="1"/>
  <c r="CL15" i="1"/>
  <c r="CK15" i="1"/>
  <c r="CJ15" i="1"/>
  <c r="CI15" i="1"/>
  <c r="CH15" i="1"/>
  <c r="CG15" i="1"/>
  <c r="CF15" i="1"/>
  <c r="CE15" i="1"/>
  <c r="CD15" i="1"/>
  <c r="CC15" i="1"/>
  <c r="CB15" i="1"/>
  <c r="CA15" i="1"/>
  <c r="BZ15" i="1"/>
  <c r="BX15" i="1"/>
  <c r="BS15" i="1"/>
  <c r="BR15" i="1"/>
  <c r="BQ15" i="1"/>
  <c r="BP15" i="1"/>
  <c r="BO15" i="1"/>
  <c r="BN15" i="1"/>
  <c r="BM15" i="1"/>
  <c r="BL15" i="1"/>
  <c r="BK15" i="1"/>
  <c r="BJ15" i="1"/>
  <c r="BH15" i="1"/>
  <c r="BG15" i="1"/>
  <c r="BC15" i="1"/>
  <c r="AW15" i="1"/>
  <c r="AV15" i="1"/>
  <c r="AU15" i="1"/>
  <c r="AT15" i="1"/>
  <c r="AS15" i="1"/>
  <c r="AR15" i="1"/>
  <c r="AQ15" i="1"/>
  <c r="AO15" i="1"/>
  <c r="AN15" i="1"/>
  <c r="AM15" i="1"/>
  <c r="AL15" i="1"/>
  <c r="AK15" i="1"/>
  <c r="AJ15" i="1"/>
  <c r="AI15" i="1"/>
  <c r="AH15" i="1"/>
  <c r="AG15" i="1"/>
  <c r="AE15" i="1"/>
  <c r="AF15" i="1" s="1"/>
  <c r="AC15" i="1"/>
  <c r="AB15" i="1"/>
  <c r="AA15" i="1"/>
  <c r="Z15" i="1"/>
  <c r="Y15" i="1"/>
  <c r="X15" i="1"/>
  <c r="Q15" i="1"/>
  <c r="T15" i="1" s="1"/>
  <c r="F15" i="1"/>
  <c r="B15" i="1"/>
  <c r="A15" i="1"/>
  <c r="DE14" i="1"/>
  <c r="DD14" i="1"/>
  <c r="DC14" i="1"/>
  <c r="CZ14" i="1"/>
  <c r="CY14" i="1"/>
  <c r="CX14" i="1"/>
  <c r="CW14" i="1"/>
  <c r="CV14" i="1"/>
  <c r="CU14" i="1"/>
  <c r="CT14" i="1"/>
  <c r="CS14" i="1"/>
  <c r="CR14" i="1"/>
  <c r="CQ14" i="1"/>
  <c r="CM14" i="1"/>
  <c r="CL14" i="1"/>
  <c r="CK14" i="1"/>
  <c r="CJ14" i="1"/>
  <c r="CI14" i="1"/>
  <c r="CH14" i="1"/>
  <c r="CG14" i="1"/>
  <c r="CF14" i="1"/>
  <c r="CE14" i="1"/>
  <c r="CD14" i="1"/>
  <c r="CC14" i="1"/>
  <c r="CB14" i="1"/>
  <c r="CA14" i="1"/>
  <c r="BZ14" i="1"/>
  <c r="BX14" i="1"/>
  <c r="BS14" i="1"/>
  <c r="BR14" i="1"/>
  <c r="BQ14" i="1"/>
  <c r="BP14" i="1"/>
  <c r="BO14" i="1"/>
  <c r="BN14" i="1"/>
  <c r="BM14" i="1"/>
  <c r="BL14" i="1"/>
  <c r="BK14" i="1"/>
  <c r="BJ14" i="1"/>
  <c r="BH14" i="1"/>
  <c r="BG14" i="1"/>
  <c r="BD14" i="1"/>
  <c r="BC14" i="1"/>
  <c r="AW14" i="1"/>
  <c r="AV14" i="1"/>
  <c r="AU14" i="1"/>
  <c r="AT14" i="1"/>
  <c r="AS14" i="1"/>
  <c r="AR14" i="1"/>
  <c r="AQ14" i="1"/>
  <c r="AO14" i="1"/>
  <c r="AN14" i="1"/>
  <c r="AM14" i="1"/>
  <c r="AL14" i="1"/>
  <c r="AK14" i="1"/>
  <c r="AJ14" i="1"/>
  <c r="AI14" i="1"/>
  <c r="AH14" i="1"/>
  <c r="AG14" i="1"/>
  <c r="AE14" i="1"/>
  <c r="AF14" i="1" s="1"/>
  <c r="AB14" i="1" s="1"/>
  <c r="AC14" i="1"/>
  <c r="AA14" i="1"/>
  <c r="Z14" i="1"/>
  <c r="Y14" i="1"/>
  <c r="X14" i="1"/>
  <c r="Q14" i="1"/>
  <c r="T14" i="1" s="1"/>
  <c r="F14" i="1"/>
  <c r="B14" i="1"/>
  <c r="A14" i="1"/>
  <c r="DE13" i="1"/>
  <c r="DD13" i="1"/>
  <c r="DC13" i="1"/>
  <c r="CZ13" i="1"/>
  <c r="CY13" i="1"/>
  <c r="CX13" i="1"/>
  <c r="CW13" i="1"/>
  <c r="CV13" i="1"/>
  <c r="CU13" i="1"/>
  <c r="CT13" i="1"/>
  <c r="CS13" i="1"/>
  <c r="CR13" i="1"/>
  <c r="CQ13" i="1"/>
  <c r="CM13" i="1"/>
  <c r="CL13" i="1"/>
  <c r="CK13" i="1"/>
  <c r="CJ13" i="1"/>
  <c r="CI13" i="1"/>
  <c r="CH13" i="1"/>
  <c r="CG13" i="1"/>
  <c r="CF13" i="1"/>
  <c r="CE13" i="1"/>
  <c r="CD13" i="1"/>
  <c r="CC13" i="1"/>
  <c r="CB13" i="1"/>
  <c r="CA13" i="1"/>
  <c r="BZ13" i="1"/>
  <c r="CN13" i="1" s="1"/>
  <c r="BX13" i="1"/>
  <c r="BS13" i="1"/>
  <c r="BR13" i="1"/>
  <c r="BQ13" i="1"/>
  <c r="BP13" i="1"/>
  <c r="BO13" i="1"/>
  <c r="BN13" i="1"/>
  <c r="BM13" i="1"/>
  <c r="BL13" i="1"/>
  <c r="BK13" i="1"/>
  <c r="BJ13" i="1"/>
  <c r="BH13" i="1"/>
  <c r="BG13" i="1"/>
  <c r="BC13" i="1"/>
  <c r="AW13" i="1"/>
  <c r="AV13" i="1"/>
  <c r="AU13" i="1"/>
  <c r="AT13" i="1"/>
  <c r="AS13" i="1"/>
  <c r="AR13" i="1"/>
  <c r="AQ13" i="1"/>
  <c r="AO13" i="1"/>
  <c r="AN13" i="1"/>
  <c r="AM13" i="1"/>
  <c r="AL13" i="1"/>
  <c r="AK13" i="1"/>
  <c r="AJ13" i="1"/>
  <c r="AI13" i="1"/>
  <c r="AH13" i="1"/>
  <c r="AG13" i="1"/>
  <c r="AE13" i="1"/>
  <c r="AF13" i="1" s="1"/>
  <c r="AC13" i="1"/>
  <c r="AB13" i="1" s="1"/>
  <c r="AA13" i="1"/>
  <c r="Z13" i="1"/>
  <c r="Y13" i="1"/>
  <c r="X13" i="1"/>
  <c r="Q13" i="1"/>
  <c r="T13" i="1" s="1"/>
  <c r="F13" i="1"/>
  <c r="B13" i="1"/>
  <c r="A13" i="1"/>
  <c r="DE12" i="1"/>
  <c r="DD12" i="1"/>
  <c r="DC12" i="1"/>
  <c r="CZ12" i="1"/>
  <c r="CY12" i="1"/>
  <c r="CX12" i="1"/>
  <c r="CW12" i="1"/>
  <c r="CV12" i="1"/>
  <c r="CU12" i="1"/>
  <c r="CT12" i="1"/>
  <c r="CS12" i="1"/>
  <c r="CR12" i="1"/>
  <c r="CQ12" i="1"/>
  <c r="CP12" i="1"/>
  <c r="CM12" i="1"/>
  <c r="CL12" i="1"/>
  <c r="CK12" i="1"/>
  <c r="CJ12" i="1"/>
  <c r="CI12" i="1"/>
  <c r="CH12" i="1"/>
  <c r="CG12" i="1"/>
  <c r="CF12" i="1"/>
  <c r="CE12" i="1"/>
  <c r="CD12" i="1"/>
  <c r="CC12" i="1"/>
  <c r="CB12" i="1"/>
  <c r="CA12" i="1"/>
  <c r="BZ12" i="1"/>
  <c r="BX12" i="1"/>
  <c r="BS12" i="1"/>
  <c r="BR12" i="1"/>
  <c r="BQ12" i="1"/>
  <c r="BP12" i="1"/>
  <c r="BO12" i="1"/>
  <c r="BN12" i="1"/>
  <c r="BM12" i="1"/>
  <c r="BL12" i="1"/>
  <c r="BK12" i="1"/>
  <c r="BJ12" i="1"/>
  <c r="BH12" i="1"/>
  <c r="BG12" i="1"/>
  <c r="BC12" i="1"/>
  <c r="AW12" i="1"/>
  <c r="AV12" i="1"/>
  <c r="AU12" i="1"/>
  <c r="AT12" i="1"/>
  <c r="AS12" i="1"/>
  <c r="AR12" i="1"/>
  <c r="AQ12" i="1"/>
  <c r="AO12" i="1"/>
  <c r="AN12" i="1"/>
  <c r="AM12" i="1"/>
  <c r="AL12" i="1"/>
  <c r="AK12" i="1"/>
  <c r="AJ12" i="1"/>
  <c r="AI12" i="1"/>
  <c r="AH12" i="1"/>
  <c r="AG12" i="1"/>
  <c r="AF12" i="1"/>
  <c r="AE12" i="1"/>
  <c r="AC12" i="1"/>
  <c r="AB12" i="1" s="1"/>
  <c r="AA12" i="1"/>
  <c r="Z12" i="1"/>
  <c r="Y12" i="1"/>
  <c r="X12" i="1"/>
  <c r="Q12" i="1"/>
  <c r="T12" i="1" s="1"/>
  <c r="F12" i="1"/>
  <c r="B12" i="1"/>
  <c r="A12" i="1"/>
  <c r="DE11" i="1"/>
  <c r="DD11" i="1"/>
  <c r="DC11" i="1"/>
  <c r="CZ11" i="1"/>
  <c r="CY11" i="1"/>
  <c r="CX11" i="1"/>
  <c r="CW11" i="1"/>
  <c r="CV11" i="1"/>
  <c r="CU11" i="1"/>
  <c r="CT11" i="1"/>
  <c r="CS11" i="1"/>
  <c r="CR11" i="1"/>
  <c r="CQ11" i="1"/>
  <c r="CP11" i="1"/>
  <c r="CM11" i="1"/>
  <c r="CL11" i="1"/>
  <c r="CK11" i="1"/>
  <c r="CJ11" i="1"/>
  <c r="CI11" i="1"/>
  <c r="CH11" i="1"/>
  <c r="CG11" i="1"/>
  <c r="CF11" i="1"/>
  <c r="CE11" i="1"/>
  <c r="CD11" i="1"/>
  <c r="CC11" i="1"/>
  <c r="CB11" i="1"/>
  <c r="CA11" i="1"/>
  <c r="BZ11" i="1"/>
  <c r="BX11" i="1"/>
  <c r="BS11" i="1"/>
  <c r="BR11" i="1"/>
  <c r="BQ11" i="1"/>
  <c r="BP11" i="1"/>
  <c r="BO11" i="1"/>
  <c r="BN11" i="1"/>
  <c r="BM11" i="1"/>
  <c r="BL11" i="1"/>
  <c r="BT11" i="1" s="1"/>
  <c r="BK11" i="1"/>
  <c r="BJ11" i="1"/>
  <c r="BH11" i="1"/>
  <c r="BG11" i="1"/>
  <c r="BC11" i="1"/>
  <c r="AW11" i="1"/>
  <c r="AV11" i="1"/>
  <c r="AU11" i="1"/>
  <c r="AT11" i="1"/>
  <c r="AS11" i="1"/>
  <c r="AR11" i="1"/>
  <c r="AQ11" i="1"/>
  <c r="AO11" i="1"/>
  <c r="AN11" i="1"/>
  <c r="AM11" i="1"/>
  <c r="AL11" i="1"/>
  <c r="AK11" i="1"/>
  <c r="AJ11" i="1"/>
  <c r="AI11" i="1"/>
  <c r="AH11" i="1"/>
  <c r="AG11" i="1"/>
  <c r="AE11" i="1"/>
  <c r="AF11" i="1" s="1"/>
  <c r="AB11" i="1" s="1"/>
  <c r="AC11" i="1"/>
  <c r="AA11" i="1"/>
  <c r="Z11" i="1"/>
  <c r="Y11" i="1"/>
  <c r="X11" i="1"/>
  <c r="Q11" i="1"/>
  <c r="T11" i="1" s="1"/>
  <c r="F11" i="1"/>
  <c r="B11" i="1"/>
  <c r="A11" i="1"/>
  <c r="DE10" i="1"/>
  <c r="DD10" i="1"/>
  <c r="DC10" i="1"/>
  <c r="CZ10" i="1"/>
  <c r="CY10" i="1"/>
  <c r="CX10" i="1"/>
  <c r="CW10" i="1"/>
  <c r="CV10" i="1"/>
  <c r="CU10" i="1"/>
  <c r="CT10" i="1"/>
  <c r="CS10" i="1"/>
  <c r="CR10" i="1"/>
  <c r="CQ10" i="1"/>
  <c r="CM10" i="1"/>
  <c r="CL10" i="1"/>
  <c r="CK10" i="1"/>
  <c r="CJ10" i="1"/>
  <c r="CI10" i="1"/>
  <c r="CH10" i="1"/>
  <c r="CG10" i="1"/>
  <c r="CF10" i="1"/>
  <c r="CE10" i="1"/>
  <c r="CD10" i="1"/>
  <c r="CC10" i="1"/>
  <c r="CB10" i="1"/>
  <c r="CA10" i="1"/>
  <c r="CN10" i="1" s="1"/>
  <c r="BZ10" i="1"/>
  <c r="BX10" i="1"/>
  <c r="BS10" i="1"/>
  <c r="BR10" i="1"/>
  <c r="BQ10" i="1"/>
  <c r="BP10" i="1"/>
  <c r="BO10" i="1"/>
  <c r="BN10" i="1"/>
  <c r="BM10" i="1"/>
  <c r="BL10" i="1"/>
  <c r="BK10" i="1"/>
  <c r="BJ10" i="1"/>
  <c r="BH10" i="1"/>
  <c r="BG10" i="1"/>
  <c r="BC10" i="1"/>
  <c r="AW10" i="1"/>
  <c r="AV10" i="1"/>
  <c r="AU10" i="1"/>
  <c r="AT10" i="1"/>
  <c r="AS10" i="1"/>
  <c r="AR10" i="1"/>
  <c r="AQ10" i="1"/>
  <c r="AO10" i="1"/>
  <c r="AN10" i="1"/>
  <c r="AM10" i="1"/>
  <c r="AL10" i="1"/>
  <c r="AK10" i="1"/>
  <c r="AJ10" i="1"/>
  <c r="AI10" i="1"/>
  <c r="AH10" i="1"/>
  <c r="AG10" i="1"/>
  <c r="AE10" i="1"/>
  <c r="AF10" i="1" s="1"/>
  <c r="AB10" i="1" s="1"/>
  <c r="AC10" i="1"/>
  <c r="AA10" i="1"/>
  <c r="Z10" i="1"/>
  <c r="Y10" i="1"/>
  <c r="X10" i="1"/>
  <c r="Q10" i="1"/>
  <c r="T10" i="1" s="1"/>
  <c r="F10" i="1"/>
  <c r="B10" i="1"/>
  <c r="A10" i="1"/>
  <c r="DE9" i="1"/>
  <c r="DD9" i="1"/>
  <c r="DC9" i="1"/>
  <c r="CZ9" i="1"/>
  <c r="CY9" i="1"/>
  <c r="CX9" i="1"/>
  <c r="CW9" i="1"/>
  <c r="CV9" i="1"/>
  <c r="CU9" i="1"/>
  <c r="CT9" i="1"/>
  <c r="CS9" i="1"/>
  <c r="CR9" i="1"/>
  <c r="CQ9" i="1"/>
  <c r="CM9" i="1"/>
  <c r="CL9" i="1"/>
  <c r="CK9" i="1"/>
  <c r="CJ9" i="1"/>
  <c r="CI9" i="1"/>
  <c r="CH9" i="1"/>
  <c r="CG9" i="1"/>
  <c r="CF9" i="1"/>
  <c r="CE9" i="1"/>
  <c r="CD9" i="1"/>
  <c r="CC9" i="1"/>
  <c r="CB9" i="1"/>
  <c r="CA9" i="1"/>
  <c r="BZ9" i="1"/>
  <c r="BX9" i="1"/>
  <c r="BS9" i="1"/>
  <c r="BR9" i="1"/>
  <c r="BQ9" i="1"/>
  <c r="BP9" i="1"/>
  <c r="BO9" i="1"/>
  <c r="BN9" i="1"/>
  <c r="BM9" i="1"/>
  <c r="BL9" i="1"/>
  <c r="BK9" i="1"/>
  <c r="BT9" i="1" s="1"/>
  <c r="BJ9" i="1"/>
  <c r="BH9" i="1"/>
  <c r="BG9" i="1"/>
  <c r="BC9" i="1"/>
  <c r="AW9" i="1"/>
  <c r="AV9" i="1"/>
  <c r="AU9" i="1"/>
  <c r="AT9" i="1"/>
  <c r="AS9" i="1"/>
  <c r="AR9" i="1"/>
  <c r="AQ9" i="1"/>
  <c r="AO9" i="1"/>
  <c r="AN9" i="1"/>
  <c r="AM9" i="1"/>
  <c r="AL9" i="1"/>
  <c r="AK9" i="1"/>
  <c r="AJ9" i="1"/>
  <c r="AI9" i="1"/>
  <c r="AH9" i="1"/>
  <c r="AG9" i="1"/>
  <c r="AF9" i="1"/>
  <c r="AE9" i="1"/>
  <c r="AC9" i="1"/>
  <c r="AA9" i="1"/>
  <c r="Z9" i="1"/>
  <c r="Y9" i="1"/>
  <c r="X9" i="1"/>
  <c r="Q9" i="1"/>
  <c r="AX9" i="1" s="1"/>
  <c r="F9" i="1"/>
  <c r="B9" i="1"/>
  <c r="A9" i="1"/>
  <c r="DE8" i="1"/>
  <c r="DD8" i="1"/>
  <c r="DC8" i="1"/>
  <c r="CZ8" i="1"/>
  <c r="CY8" i="1"/>
  <c r="CX8" i="1"/>
  <c r="CW8" i="1"/>
  <c r="CV8" i="1"/>
  <c r="CU8" i="1"/>
  <c r="CT8" i="1"/>
  <c r="CS8" i="1"/>
  <c r="CR8" i="1"/>
  <c r="CQ8" i="1"/>
  <c r="CM8" i="1"/>
  <c r="CL8" i="1"/>
  <c r="CK8" i="1"/>
  <c r="CJ8" i="1"/>
  <c r="CI8" i="1"/>
  <c r="CH8" i="1"/>
  <c r="CG8" i="1"/>
  <c r="CF8" i="1"/>
  <c r="CE8" i="1"/>
  <c r="CD8" i="1"/>
  <c r="CC8" i="1"/>
  <c r="CB8" i="1"/>
  <c r="CA8" i="1"/>
  <c r="BZ8" i="1"/>
  <c r="BX8" i="1"/>
  <c r="BS8" i="1"/>
  <c r="BR8" i="1"/>
  <c r="BQ8" i="1"/>
  <c r="BP8" i="1"/>
  <c r="BO8" i="1"/>
  <c r="BN8" i="1"/>
  <c r="BM8" i="1"/>
  <c r="BL8" i="1"/>
  <c r="BK8" i="1"/>
  <c r="BJ8" i="1"/>
  <c r="BH8" i="1"/>
  <c r="BG8" i="1"/>
  <c r="BC8" i="1"/>
  <c r="AW8" i="1"/>
  <c r="AV8" i="1"/>
  <c r="AU8" i="1"/>
  <c r="AT8" i="1"/>
  <c r="AS8" i="1"/>
  <c r="AR8" i="1"/>
  <c r="AQ8" i="1"/>
  <c r="AO8" i="1"/>
  <c r="AN8" i="1"/>
  <c r="AM8" i="1"/>
  <c r="AL8" i="1"/>
  <c r="AK8" i="1"/>
  <c r="AJ8" i="1"/>
  <c r="AI8" i="1"/>
  <c r="AH8" i="1"/>
  <c r="AG8" i="1"/>
  <c r="AF8" i="1"/>
  <c r="AE8" i="1"/>
  <c r="AC8" i="1"/>
  <c r="AB8" i="1" s="1"/>
  <c r="AA8" i="1"/>
  <c r="Z8" i="1"/>
  <c r="Y8" i="1"/>
  <c r="X8" i="1"/>
  <c r="Q8" i="1"/>
  <c r="T8" i="1" s="1"/>
  <c r="F8" i="1"/>
  <c r="B8" i="1"/>
  <c r="A8" i="1"/>
  <c r="DE7" i="1"/>
  <c r="DD7" i="1"/>
  <c r="DC7" i="1"/>
  <c r="CZ7" i="1"/>
  <c r="CY7" i="1"/>
  <c r="CX7" i="1"/>
  <c r="CW7" i="1"/>
  <c r="CV7" i="1"/>
  <c r="CU7" i="1"/>
  <c r="CT7" i="1"/>
  <c r="CS7" i="1"/>
  <c r="CR7" i="1"/>
  <c r="CQ7" i="1"/>
  <c r="CM7" i="1"/>
  <c r="CL7" i="1"/>
  <c r="CK7" i="1"/>
  <c r="CJ7" i="1"/>
  <c r="CI7" i="1"/>
  <c r="CH7" i="1"/>
  <c r="CG7" i="1"/>
  <c r="CF7" i="1"/>
  <c r="CE7" i="1"/>
  <c r="CD7" i="1"/>
  <c r="CC7" i="1"/>
  <c r="CB7" i="1"/>
  <c r="CA7" i="1"/>
  <c r="BZ7" i="1"/>
  <c r="BX7" i="1"/>
  <c r="BS7" i="1"/>
  <c r="BR7" i="1"/>
  <c r="BQ7" i="1"/>
  <c r="BP7" i="1"/>
  <c r="BO7" i="1"/>
  <c r="BN7" i="1"/>
  <c r="BM7" i="1"/>
  <c r="BL7" i="1"/>
  <c r="BK7" i="1"/>
  <c r="BJ7" i="1"/>
  <c r="BH7" i="1"/>
  <c r="BG7" i="1"/>
  <c r="BC7" i="1"/>
  <c r="AW7" i="1"/>
  <c r="AV7" i="1"/>
  <c r="AU7" i="1"/>
  <c r="AT7" i="1"/>
  <c r="AS7" i="1"/>
  <c r="AR7" i="1"/>
  <c r="AQ7" i="1"/>
  <c r="AO7" i="1"/>
  <c r="AN7" i="1"/>
  <c r="AM7" i="1"/>
  <c r="AL7" i="1"/>
  <c r="AK7" i="1"/>
  <c r="AJ7" i="1"/>
  <c r="AI7" i="1"/>
  <c r="AH7" i="1"/>
  <c r="AG7" i="1"/>
  <c r="AE7" i="1"/>
  <c r="AF7" i="1" s="1"/>
  <c r="AC7" i="1"/>
  <c r="AA7" i="1"/>
  <c r="Z7" i="1"/>
  <c r="Y7" i="1"/>
  <c r="X7" i="1"/>
  <c r="Q7" i="1"/>
  <c r="AX7" i="1" s="1"/>
  <c r="F7" i="1"/>
  <c r="B7" i="1"/>
  <c r="A7" i="1"/>
  <c r="DE6" i="1"/>
  <c r="DD6" i="1"/>
  <c r="DC6" i="1"/>
  <c r="CZ6" i="1"/>
  <c r="CY6" i="1"/>
  <c r="CX6" i="1"/>
  <c r="CW6" i="1"/>
  <c r="CV6" i="1"/>
  <c r="CU6" i="1"/>
  <c r="CT6" i="1"/>
  <c r="CS6" i="1"/>
  <c r="CR6" i="1"/>
  <c r="CQ6" i="1"/>
  <c r="CM6" i="1"/>
  <c r="CL6" i="1"/>
  <c r="CK6" i="1"/>
  <c r="CJ6" i="1"/>
  <c r="CI6" i="1"/>
  <c r="CH6" i="1"/>
  <c r="CG6" i="1"/>
  <c r="CF6" i="1"/>
  <c r="CE6" i="1"/>
  <c r="CD6" i="1"/>
  <c r="CC6" i="1"/>
  <c r="CB6" i="1"/>
  <c r="CA6" i="1"/>
  <c r="BZ6" i="1"/>
  <c r="BX6" i="1"/>
  <c r="BS6" i="1"/>
  <c r="BR6" i="1"/>
  <c r="BQ6" i="1"/>
  <c r="BP6" i="1"/>
  <c r="BO6" i="1"/>
  <c r="BN6" i="1"/>
  <c r="BM6" i="1"/>
  <c r="BL6" i="1"/>
  <c r="BK6" i="1"/>
  <c r="BJ6" i="1"/>
  <c r="BT6" i="1" s="1"/>
  <c r="BH6" i="1"/>
  <c r="BG6" i="1"/>
  <c r="BC6" i="1"/>
  <c r="AW6" i="1"/>
  <c r="AV6" i="1"/>
  <c r="AU6" i="1"/>
  <c r="AT6" i="1"/>
  <c r="AS6" i="1"/>
  <c r="AR6" i="1"/>
  <c r="AQ6" i="1"/>
  <c r="AO6" i="1"/>
  <c r="AN6" i="1"/>
  <c r="AM6" i="1"/>
  <c r="AL6" i="1"/>
  <c r="AK6" i="1"/>
  <c r="AJ6" i="1"/>
  <c r="AI6" i="1"/>
  <c r="AH6" i="1"/>
  <c r="AG6" i="1"/>
  <c r="AE6" i="1"/>
  <c r="AF6" i="1" s="1"/>
  <c r="AC6" i="1"/>
  <c r="AA6" i="1"/>
  <c r="Z6" i="1"/>
  <c r="Y6" i="1"/>
  <c r="X6" i="1"/>
  <c r="Q6" i="1"/>
  <c r="AX6" i="1" s="1"/>
  <c r="F6" i="1"/>
  <c r="B6" i="1"/>
  <c r="A6" i="1"/>
  <c r="DE5" i="1"/>
  <c r="DD5" i="1"/>
  <c r="DC5" i="1"/>
  <c r="CZ5" i="1"/>
  <c r="CY5" i="1"/>
  <c r="CX5" i="1"/>
  <c r="CW5" i="1"/>
  <c r="CV5" i="1"/>
  <c r="CU5" i="1"/>
  <c r="CT5" i="1"/>
  <c r="CS5" i="1"/>
  <c r="CR5" i="1"/>
  <c r="CQ5" i="1"/>
  <c r="CM5" i="1"/>
  <c r="CL5" i="1"/>
  <c r="CK5" i="1"/>
  <c r="CJ5" i="1"/>
  <c r="CI5" i="1"/>
  <c r="CH5" i="1"/>
  <c r="CG5" i="1"/>
  <c r="CF5" i="1"/>
  <c r="CE5" i="1"/>
  <c r="CD5" i="1"/>
  <c r="CC5" i="1"/>
  <c r="CB5" i="1"/>
  <c r="CA5" i="1"/>
  <c r="BZ5" i="1"/>
  <c r="BX5" i="1"/>
  <c r="BS5" i="1"/>
  <c r="BR5" i="1"/>
  <c r="BQ5" i="1"/>
  <c r="BP5" i="1"/>
  <c r="BO5" i="1"/>
  <c r="BN5" i="1"/>
  <c r="BM5" i="1"/>
  <c r="BL5" i="1"/>
  <c r="BK5" i="1"/>
  <c r="BJ5" i="1"/>
  <c r="BT5" i="1" s="1"/>
  <c r="BH5" i="1"/>
  <c r="BG5" i="1"/>
  <c r="BC5" i="1"/>
  <c r="AW5" i="1"/>
  <c r="AV5" i="1"/>
  <c r="AU5" i="1"/>
  <c r="AT5" i="1"/>
  <c r="AS5" i="1"/>
  <c r="AR5" i="1"/>
  <c r="AQ5" i="1"/>
  <c r="AO5" i="1"/>
  <c r="AN5" i="1"/>
  <c r="AM5" i="1"/>
  <c r="AL5" i="1"/>
  <c r="AK5" i="1"/>
  <c r="AJ5" i="1"/>
  <c r="AI5" i="1"/>
  <c r="AH5" i="1"/>
  <c r="AG5" i="1"/>
  <c r="AE5" i="1"/>
  <c r="AF5" i="1" s="1"/>
  <c r="AB5" i="1" s="1"/>
  <c r="AC5" i="1"/>
  <c r="AA5" i="1"/>
  <c r="Z5" i="1"/>
  <c r="Y5" i="1"/>
  <c r="X5" i="1"/>
  <c r="W5" i="1"/>
  <c r="Q5" i="1"/>
  <c r="AX5" i="1" s="1"/>
  <c r="F5" i="1"/>
  <c r="B5" i="1"/>
  <c r="A5" i="1"/>
  <c r="DE4" i="1"/>
  <c r="DD4" i="1"/>
  <c r="DC4" i="1"/>
  <c r="CZ4" i="1"/>
  <c r="CY4" i="1"/>
  <c r="CX4" i="1"/>
  <c r="CW4" i="1"/>
  <c r="CV4" i="1"/>
  <c r="CU4" i="1"/>
  <c r="CT4" i="1"/>
  <c r="CS4" i="1"/>
  <c r="CR4" i="1"/>
  <c r="CQ4" i="1"/>
  <c r="CM4" i="1"/>
  <c r="CL4" i="1"/>
  <c r="CK4" i="1"/>
  <c r="CJ4" i="1"/>
  <c r="CI4" i="1"/>
  <c r="CH4" i="1"/>
  <c r="CG4" i="1"/>
  <c r="CF4" i="1"/>
  <c r="CE4" i="1"/>
  <c r="CD4" i="1"/>
  <c r="CC4" i="1"/>
  <c r="CB4" i="1"/>
  <c r="CA4" i="1"/>
  <c r="BZ4" i="1"/>
  <c r="BX4" i="1"/>
  <c r="BS4" i="1"/>
  <c r="BR4" i="1"/>
  <c r="BQ4" i="1"/>
  <c r="BP4" i="1"/>
  <c r="BO4" i="1"/>
  <c r="BN4" i="1"/>
  <c r="BM4" i="1"/>
  <c r="BL4" i="1"/>
  <c r="BK4" i="1"/>
  <c r="BJ4" i="1"/>
  <c r="BH4" i="1"/>
  <c r="BG4" i="1"/>
  <c r="BC4" i="1"/>
  <c r="AW4" i="1"/>
  <c r="AV4" i="1"/>
  <c r="AU4" i="1"/>
  <c r="AT4" i="1"/>
  <c r="AS4" i="1"/>
  <c r="AR4" i="1"/>
  <c r="AQ4" i="1"/>
  <c r="AO4" i="1"/>
  <c r="AN4" i="1"/>
  <c r="AM4" i="1"/>
  <c r="AL4" i="1"/>
  <c r="AK4" i="1"/>
  <c r="AJ4" i="1"/>
  <c r="AI4" i="1"/>
  <c r="AH4" i="1"/>
  <c r="AG4" i="1"/>
  <c r="AE4" i="1"/>
  <c r="AF4" i="1" s="1"/>
  <c r="AB4" i="1" s="1"/>
  <c r="AC4" i="1"/>
  <c r="AA4" i="1"/>
  <c r="Z4" i="1"/>
  <c r="Y4" i="1"/>
  <c r="X4" i="1"/>
  <c r="W4" i="1" s="1"/>
  <c r="Q4" i="1"/>
  <c r="T4" i="1" s="1"/>
  <c r="F4" i="1"/>
  <c r="B4" i="1"/>
  <c r="A4" i="1"/>
  <c r="DE3" i="1"/>
  <c r="DD3" i="1"/>
  <c r="DC3" i="1"/>
  <c r="CZ3" i="1"/>
  <c r="CY3" i="1"/>
  <c r="CX3" i="1"/>
  <c r="CW3" i="1"/>
  <c r="CV3" i="1"/>
  <c r="CU3" i="1"/>
  <c r="CT3" i="1"/>
  <c r="CS3" i="1"/>
  <c r="CR3" i="1"/>
  <c r="CQ3" i="1"/>
  <c r="CM3" i="1"/>
  <c r="CL3" i="1"/>
  <c r="CK3" i="1"/>
  <c r="CJ3" i="1"/>
  <c r="CI3" i="1"/>
  <c r="CH3" i="1"/>
  <c r="CG3" i="1"/>
  <c r="CF3" i="1"/>
  <c r="CE3" i="1"/>
  <c r="CD3" i="1"/>
  <c r="CC3" i="1"/>
  <c r="CB3" i="1"/>
  <c r="CA3" i="1"/>
  <c r="BZ3" i="1"/>
  <c r="BX3" i="1"/>
  <c r="BS3" i="1"/>
  <c r="BR3" i="1"/>
  <c r="BQ3" i="1"/>
  <c r="BP3" i="1"/>
  <c r="BO3" i="1"/>
  <c r="BN3" i="1"/>
  <c r="BM3" i="1"/>
  <c r="BL3" i="1"/>
  <c r="BK3" i="1"/>
  <c r="BJ3" i="1"/>
  <c r="BH3" i="1"/>
  <c r="BG3" i="1"/>
  <c r="BC3" i="1"/>
  <c r="AW3" i="1"/>
  <c r="AV3" i="1"/>
  <c r="AU3" i="1"/>
  <c r="AT3" i="1"/>
  <c r="AS3" i="1"/>
  <c r="AR3" i="1"/>
  <c r="AQ3" i="1"/>
  <c r="AO3" i="1"/>
  <c r="AN3" i="1"/>
  <c r="AM3" i="1"/>
  <c r="AL3" i="1"/>
  <c r="AK3" i="1"/>
  <c r="AJ3" i="1"/>
  <c r="AI3" i="1"/>
  <c r="AH3" i="1"/>
  <c r="AG3" i="1"/>
  <c r="AE3" i="1"/>
  <c r="AF3" i="1" s="1"/>
  <c r="AC3" i="1"/>
  <c r="AA3" i="1"/>
  <c r="Z3" i="1"/>
  <c r="Y3" i="1"/>
  <c r="X3" i="1"/>
  <c r="Q3" i="1"/>
  <c r="AX3" i="1" s="1"/>
  <c r="F3" i="1"/>
  <c r="B3" i="1"/>
  <c r="A3" i="1"/>
  <c r="DE2" i="1"/>
  <c r="DD2" i="1"/>
  <c r="DC2" i="1"/>
  <c r="CZ2" i="1"/>
  <c r="CY2" i="1"/>
  <c r="CX2" i="1"/>
  <c r="CW2" i="1"/>
  <c r="CV2" i="1"/>
  <c r="CU2" i="1"/>
  <c r="CT2" i="1"/>
  <c r="CS2" i="1"/>
  <c r="CR2" i="1"/>
  <c r="CQ2" i="1"/>
  <c r="CM2" i="1"/>
  <c r="CL2" i="1"/>
  <c r="CK2" i="1"/>
  <c r="CJ2" i="1"/>
  <c r="CI2" i="1"/>
  <c r="CH2" i="1"/>
  <c r="CG2" i="1"/>
  <c r="CF2" i="1"/>
  <c r="CE2" i="1"/>
  <c r="CD2" i="1"/>
  <c r="CC2" i="1"/>
  <c r="CB2" i="1"/>
  <c r="CA2" i="1"/>
  <c r="BZ2" i="1"/>
  <c r="BX2" i="1"/>
  <c r="BS2" i="1"/>
  <c r="BR2" i="1"/>
  <c r="BQ2" i="1"/>
  <c r="BP2" i="1"/>
  <c r="BO2" i="1"/>
  <c r="BN2" i="1"/>
  <c r="BM2" i="1"/>
  <c r="BL2" i="1"/>
  <c r="BK2" i="1"/>
  <c r="BJ2" i="1"/>
  <c r="BH2" i="1"/>
  <c r="BG2" i="1"/>
  <c r="BC2" i="1"/>
  <c r="AW2" i="1"/>
  <c r="AV2" i="1"/>
  <c r="AU2" i="1"/>
  <c r="AT2" i="1"/>
  <c r="AS2" i="1"/>
  <c r="AR2" i="1"/>
  <c r="AQ2" i="1"/>
  <c r="AO2" i="1"/>
  <c r="AN2" i="1"/>
  <c r="AM2" i="1"/>
  <c r="AL2" i="1"/>
  <c r="AK2" i="1"/>
  <c r="AJ2" i="1"/>
  <c r="AI2" i="1"/>
  <c r="AH2" i="1"/>
  <c r="AG2" i="1"/>
  <c r="AE2" i="1"/>
  <c r="AF2" i="1" s="1"/>
  <c r="AC2" i="1"/>
  <c r="AA2" i="1"/>
  <c r="Z2" i="1"/>
  <c r="Y2" i="1"/>
  <c r="X2" i="1"/>
  <c r="Q2" i="1"/>
  <c r="T2" i="1" s="1"/>
  <c r="F2" i="1"/>
  <c r="B2" i="1"/>
  <c r="A2" i="1"/>
  <c r="AB77" i="1" l="1"/>
  <c r="BT14" i="1"/>
  <c r="W15" i="1"/>
  <c r="BT18" i="1"/>
  <c r="BT26" i="1"/>
  <c r="BT3" i="1"/>
  <c r="BT8" i="1"/>
  <c r="CN80" i="1"/>
  <c r="T82" i="1"/>
  <c r="BI82" i="1" s="1"/>
  <c r="AB98" i="1"/>
  <c r="AB104" i="1"/>
  <c r="AX4" i="1"/>
  <c r="BT32" i="1"/>
  <c r="CN33" i="1"/>
  <c r="T51" i="1"/>
  <c r="T69" i="1"/>
  <c r="AX73" i="1"/>
  <c r="BI73" i="1" s="1"/>
  <c r="BI78" i="1"/>
  <c r="CP78" i="1" s="1"/>
  <c r="W2" i="1"/>
  <c r="W23" i="1"/>
  <c r="AB57" i="1"/>
  <c r="CN89" i="1"/>
  <c r="W91" i="1"/>
  <c r="BI91" i="1" s="1"/>
  <c r="BT97" i="1"/>
  <c r="W102" i="1"/>
  <c r="BE102" i="1" s="1"/>
  <c r="CN42" i="1"/>
  <c r="AB9" i="1"/>
  <c r="CN21" i="1"/>
  <c r="W40" i="1"/>
  <c r="W60" i="1"/>
  <c r="W65" i="1"/>
  <c r="BI65" i="1" s="1"/>
  <c r="W7" i="1"/>
  <c r="BT20" i="1"/>
  <c r="T33" i="1"/>
  <c r="AB42" i="1"/>
  <c r="BT57" i="1"/>
  <c r="AX60" i="1"/>
  <c r="BT62" i="1"/>
  <c r="AX65" i="1"/>
  <c r="AB86" i="1"/>
  <c r="BT88" i="1"/>
  <c r="AX102" i="1"/>
  <c r="AX2" i="1"/>
  <c r="AB18" i="1"/>
  <c r="CN19" i="1"/>
  <c r="AX23" i="1"/>
  <c r="BI23" i="1" s="1"/>
  <c r="CN26" i="1"/>
  <c r="W28" i="1"/>
  <c r="CN35" i="1"/>
  <c r="CN40" i="1"/>
  <c r="CN47" i="1"/>
  <c r="CN74" i="1"/>
  <c r="BT81" i="1"/>
  <c r="BT85" i="1"/>
  <c r="CN31" i="1"/>
  <c r="AB60" i="1"/>
  <c r="AB65" i="1"/>
  <c r="BT73" i="1"/>
  <c r="CN87" i="1"/>
  <c r="W89" i="1"/>
  <c r="W94" i="1"/>
  <c r="BT95" i="1"/>
  <c r="AB23" i="1"/>
  <c r="W26" i="1"/>
  <c r="BT27" i="1"/>
  <c r="BT29" i="1"/>
  <c r="AB40" i="1"/>
  <c r="BT53" i="1"/>
  <c r="BT71" i="1"/>
  <c r="CN85" i="1"/>
  <c r="CN92" i="1"/>
  <c r="CN97" i="1"/>
  <c r="CN99" i="1"/>
  <c r="CN103" i="1"/>
  <c r="BT104" i="1"/>
  <c r="AB35" i="1"/>
  <c r="CN49" i="1"/>
  <c r="T56" i="1"/>
  <c r="BT60" i="1"/>
  <c r="BT76" i="1"/>
  <c r="T87" i="1"/>
  <c r="CN38" i="1"/>
  <c r="CN45" i="1"/>
  <c r="BT47" i="1"/>
  <c r="BT69" i="1"/>
  <c r="W74" i="1"/>
  <c r="CN83" i="1"/>
  <c r="CN8" i="1"/>
  <c r="CN12" i="1"/>
  <c r="BT13" i="1"/>
  <c r="W14" i="1"/>
  <c r="CN14" i="1"/>
  <c r="CN18" i="1"/>
  <c r="BT2" i="1"/>
  <c r="AB7" i="1"/>
  <c r="BT7" i="1"/>
  <c r="CN77" i="1"/>
  <c r="CN95" i="1"/>
  <c r="T101" i="1"/>
  <c r="CN101" i="1"/>
  <c r="W103" i="1"/>
  <c r="BT16" i="1"/>
  <c r="W3" i="1"/>
  <c r="AX12" i="1"/>
  <c r="BI12" i="1" s="1"/>
  <c r="AB21" i="1"/>
  <c r="BT23" i="1"/>
  <c r="T24" i="1"/>
  <c r="BI24" i="1" s="1"/>
  <c r="BT28" i="1"/>
  <c r="W36" i="1"/>
  <c r="BE36" i="1" s="1"/>
  <c r="W41" i="1"/>
  <c r="CN43" i="1"/>
  <c r="AB45" i="1"/>
  <c r="T50" i="1"/>
  <c r="T52" i="1"/>
  <c r="CN64" i="1"/>
  <c r="W77" i="1"/>
  <c r="BI77" i="1" s="1"/>
  <c r="CN81" i="1"/>
  <c r="T83" i="1"/>
  <c r="BI83" i="1" s="1"/>
  <c r="BT102" i="1"/>
  <c r="W10" i="1"/>
  <c r="AX10" i="1"/>
  <c r="W12" i="1"/>
  <c r="AB28" i="1"/>
  <c r="W54" i="1"/>
  <c r="BI54" i="1" s="1"/>
  <c r="W8" i="1"/>
  <c r="BI8" i="1" s="1"/>
  <c r="CN15" i="1"/>
  <c r="BT21" i="1"/>
  <c r="CN22" i="1"/>
  <c r="BT33" i="1"/>
  <c r="CN36" i="1"/>
  <c r="CN41" i="1"/>
  <c r="BT58" i="1"/>
  <c r="BT63" i="1"/>
  <c r="W70" i="1"/>
  <c r="CN75" i="1"/>
  <c r="BT89" i="1"/>
  <c r="CN90" i="1"/>
  <c r="W92" i="1"/>
  <c r="BT98" i="1"/>
  <c r="BT4" i="1"/>
  <c r="AB2" i="1"/>
  <c r="BI2" i="1" s="1"/>
  <c r="AB19" i="1"/>
  <c r="W24" i="1"/>
  <c r="W29" i="1"/>
  <c r="BI29" i="1" s="1"/>
  <c r="AB31" i="1"/>
  <c r="CN32" i="1"/>
  <c r="W34" i="1"/>
  <c r="BT37" i="1"/>
  <c r="W52" i="1"/>
  <c r="AB56" i="1"/>
  <c r="BT91" i="1"/>
  <c r="AB97" i="1"/>
  <c r="BT74" i="1"/>
  <c r="BT82" i="1"/>
  <c r="CN88" i="1"/>
  <c r="W90" i="1"/>
  <c r="CN93" i="1"/>
  <c r="BT96" i="1"/>
  <c r="AB103" i="1"/>
  <c r="BT87" i="1"/>
  <c r="CN104" i="1"/>
  <c r="AB54" i="1"/>
  <c r="W6" i="1"/>
  <c r="CN9" i="1"/>
  <c r="CN11" i="1"/>
  <c r="AB17" i="1"/>
  <c r="BI17" i="1" s="1"/>
  <c r="T20" i="1"/>
  <c r="BI20" i="1" s="1"/>
  <c r="CN25" i="1"/>
  <c r="T32" i="1"/>
  <c r="CN34" i="1"/>
  <c r="W39" i="1"/>
  <c r="CN39" i="1"/>
  <c r="AB52" i="1"/>
  <c r="BT56" i="1"/>
  <c r="AX59" i="1"/>
  <c r="BT61" i="1"/>
  <c r="AX64" i="1"/>
  <c r="AX68" i="1"/>
  <c r="BT80" i="1"/>
  <c r="BT84" i="1"/>
  <c r="CN98" i="1"/>
  <c r="AB101" i="1"/>
  <c r="BE101" i="1" s="1"/>
  <c r="BT10" i="1"/>
  <c r="AX15" i="1"/>
  <c r="BI15" i="1" s="1"/>
  <c r="W20" i="1"/>
  <c r="CN30" i="1"/>
  <c r="W32" i="1"/>
  <c r="AB36" i="1"/>
  <c r="BT36" i="1"/>
  <c r="CN46" i="1"/>
  <c r="BT54" i="1"/>
  <c r="AB83" i="1"/>
  <c r="CN86" i="1"/>
  <c r="BI100" i="1"/>
  <c r="BT19" i="1"/>
  <c r="AB29" i="1"/>
  <c r="BT31" i="1"/>
  <c r="CN50" i="1"/>
  <c r="CN55" i="1"/>
  <c r="W57" i="1"/>
  <c r="BE57" i="1" s="1"/>
  <c r="CN84" i="1"/>
  <c r="T86" i="1"/>
  <c r="BI86" i="1" s="1"/>
  <c r="W88" i="1"/>
  <c r="BI88" i="1" s="1"/>
  <c r="AB90" i="1"/>
  <c r="BI90" i="1" s="1"/>
  <c r="BT94" i="1"/>
  <c r="CN96" i="1"/>
  <c r="AB3" i="1"/>
  <c r="CN44" i="1"/>
  <c r="BT66" i="1"/>
  <c r="CN76" i="1"/>
  <c r="BT77" i="1"/>
  <c r="BT101" i="1"/>
  <c r="CN102" i="1"/>
  <c r="BT103" i="1"/>
  <c r="W11" i="1"/>
  <c r="BI11" i="1" s="1"/>
  <c r="W13" i="1"/>
  <c r="BI13" i="1" s="1"/>
  <c r="W9" i="1"/>
  <c r="AX11" i="1"/>
  <c r="T30" i="1"/>
  <c r="BI30" i="1" s="1"/>
  <c r="CP30" i="1" s="1"/>
  <c r="AX62" i="1"/>
  <c r="BT64" i="1"/>
  <c r="CN65" i="1"/>
  <c r="BT68" i="1"/>
  <c r="AB79" i="1"/>
  <c r="CN82" i="1"/>
  <c r="T84" i="1"/>
  <c r="CN91" i="1"/>
  <c r="BT92" i="1"/>
  <c r="CN100" i="1"/>
  <c r="CN7" i="1"/>
  <c r="CN23" i="1"/>
  <c r="AB6" i="1"/>
  <c r="BT12" i="1"/>
  <c r="BT15" i="1"/>
  <c r="CN16" i="1"/>
  <c r="CN24" i="1"/>
  <c r="BE78" i="1"/>
  <c r="BT90" i="1"/>
  <c r="BI10" i="1"/>
  <c r="BI4" i="1"/>
  <c r="T9" i="1"/>
  <c r="AX14" i="1"/>
  <c r="BI14" i="1" s="1"/>
  <c r="T6" i="1"/>
  <c r="T7" i="1"/>
  <c r="BI7" i="1" s="1"/>
  <c r="AX13" i="1"/>
  <c r="T19" i="1"/>
  <c r="BI19" i="1" s="1"/>
  <c r="AX27" i="1"/>
  <c r="BI27" i="1" s="1"/>
  <c r="AX41" i="1"/>
  <c r="T41" i="1"/>
  <c r="AB50" i="1"/>
  <c r="W58" i="1"/>
  <c r="BI58" i="1" s="1"/>
  <c r="W73" i="1"/>
  <c r="BE73" i="1" s="1"/>
  <c r="DA78" i="1"/>
  <c r="AB38" i="1"/>
  <c r="BT42" i="1"/>
  <c r="AB47" i="1"/>
  <c r="AB53" i="1"/>
  <c r="BE53" i="1" s="1"/>
  <c r="CN62" i="1"/>
  <c r="W69" i="1"/>
  <c r="BI69" i="1" s="1"/>
  <c r="W71" i="1"/>
  <c r="BI71" i="1" s="1"/>
  <c r="W76" i="1"/>
  <c r="BT83" i="1"/>
  <c r="T25" i="1"/>
  <c r="AX8" i="1"/>
  <c r="AX26" i="1"/>
  <c r="CN29" i="1"/>
  <c r="T35" i="1"/>
  <c r="BI35" i="1" s="1"/>
  <c r="AB37" i="1"/>
  <c r="BT38" i="1"/>
  <c r="W55" i="1"/>
  <c r="W62" i="1"/>
  <c r="BI62" i="1" s="1"/>
  <c r="AB84" i="1"/>
  <c r="T5" i="1"/>
  <c r="BI5" i="1" s="1"/>
  <c r="AB41" i="1"/>
  <c r="AB44" i="1"/>
  <c r="T18" i="1"/>
  <c r="BI18" i="1" s="1"/>
  <c r="CN5" i="1"/>
  <c r="T34" i="1"/>
  <c r="AX40" i="1"/>
  <c r="T40" i="1"/>
  <c r="AB49" i="1"/>
  <c r="BI49" i="1" s="1"/>
  <c r="BT50" i="1"/>
  <c r="CN57" i="1"/>
  <c r="W64" i="1"/>
  <c r="CN72" i="1"/>
  <c r="AB82" i="1"/>
  <c r="BT44" i="1"/>
  <c r="AB62" i="1"/>
  <c r="CN66" i="1"/>
  <c r="CN70" i="1"/>
  <c r="T3" i="1"/>
  <c r="CN4" i="1"/>
  <c r="BT41" i="1"/>
  <c r="CN59" i="1"/>
  <c r="BI72" i="1"/>
  <c r="AB89" i="1"/>
  <c r="BI89" i="1" s="1"/>
  <c r="BI101" i="1"/>
  <c r="CN6" i="1"/>
  <c r="T16" i="1"/>
  <c r="BI16" i="1" s="1"/>
  <c r="AB46" i="1"/>
  <c r="BT49" i="1"/>
  <c r="AB64" i="1"/>
  <c r="BI68" i="1"/>
  <c r="CN68" i="1"/>
  <c r="CP77" i="1"/>
  <c r="CO77" i="1"/>
  <c r="DR77" i="1"/>
  <c r="DA77" i="1"/>
  <c r="CN28" i="1"/>
  <c r="BE33" i="1"/>
  <c r="CN54" i="1"/>
  <c r="CN61" i="1"/>
  <c r="T22" i="1"/>
  <c r="BI22" i="1" s="1"/>
  <c r="T28" i="1"/>
  <c r="AX39" i="1"/>
  <c r="T39" i="1"/>
  <c r="BI39" i="1" s="1"/>
  <c r="BT46" i="1"/>
  <c r="BT52" i="1"/>
  <c r="BT55" i="1"/>
  <c r="W59" i="1"/>
  <c r="BI59" i="1" s="1"/>
  <c r="W68" i="1"/>
  <c r="W72" i="1"/>
  <c r="AB74" i="1"/>
  <c r="BI81" i="1"/>
  <c r="CN3" i="1"/>
  <c r="AB43" i="1"/>
  <c r="CN63" i="1"/>
  <c r="AB87" i="1"/>
  <c r="BI87" i="1" s="1"/>
  <c r="BT35" i="1"/>
  <c r="AB48" i="1"/>
  <c r="W61" i="1"/>
  <c r="BI61" i="1" s="1"/>
  <c r="AB66" i="1"/>
  <c r="BE66" i="1" s="1"/>
  <c r="AB72" i="1"/>
  <c r="AB85" i="1"/>
  <c r="BI85" i="1" s="1"/>
  <c r="AB92" i="1"/>
  <c r="CN2" i="1"/>
  <c r="T21" i="1"/>
  <c r="BT40" i="1"/>
  <c r="BT43" i="1"/>
  <c r="CN56" i="1"/>
  <c r="AB59" i="1"/>
  <c r="AB70" i="1"/>
  <c r="W75" i="1"/>
  <c r="AX38" i="1"/>
  <c r="T38" i="1"/>
  <c r="BT48" i="1"/>
  <c r="CN53" i="1"/>
  <c r="DR100" i="1"/>
  <c r="DA100" i="1"/>
  <c r="CP100" i="1"/>
  <c r="CO100" i="1"/>
  <c r="CN27" i="1"/>
  <c r="T31" i="1"/>
  <c r="AB33" i="1"/>
  <c r="BI33" i="1" s="1"/>
  <c r="AB39" i="1"/>
  <c r="AB51" i="1"/>
  <c r="BI51" i="1" s="1"/>
  <c r="W56" i="1"/>
  <c r="AB61" i="1"/>
  <c r="CN71" i="1"/>
  <c r="CN58" i="1"/>
  <c r="AX37" i="1"/>
  <c r="T37" i="1"/>
  <c r="AB63" i="1"/>
  <c r="BI63" i="1" s="1"/>
  <c r="BI67" i="1"/>
  <c r="CN69" i="1"/>
  <c r="AB75" i="1"/>
  <c r="BI75" i="1" s="1"/>
  <c r="BI84" i="1"/>
  <c r="BE30" i="1"/>
  <c r="BT39" i="1"/>
  <c r="BT45" i="1"/>
  <c r="BT51" i="1"/>
  <c r="CN60" i="1"/>
  <c r="BE67" i="1"/>
  <c r="CN67" i="1"/>
  <c r="T79" i="1"/>
  <c r="T80" i="1"/>
  <c r="T92" i="1"/>
  <c r="T93" i="1"/>
  <c r="BI93" i="1" s="1"/>
  <c r="T94" i="1"/>
  <c r="BI94" i="1" s="1"/>
  <c r="T95" i="1"/>
  <c r="BI95" i="1" s="1"/>
  <c r="T96" i="1"/>
  <c r="BI96" i="1" s="1"/>
  <c r="T97" i="1"/>
  <c r="BI97" i="1" s="1"/>
  <c r="T98" i="1"/>
  <c r="BI98" i="1" s="1"/>
  <c r="T99" i="1"/>
  <c r="BI99" i="1" s="1"/>
  <c r="AX74" i="1"/>
  <c r="AX75" i="1"/>
  <c r="AX76" i="1"/>
  <c r="T103" i="1"/>
  <c r="BI103" i="1" s="1"/>
  <c r="T104" i="1"/>
  <c r="T42" i="1"/>
  <c r="BI42" i="1" s="1"/>
  <c r="T43" i="1"/>
  <c r="T44" i="1"/>
  <c r="T45" i="1"/>
  <c r="BI45" i="1" s="1"/>
  <c r="T46" i="1"/>
  <c r="BI46" i="1" s="1"/>
  <c r="T47" i="1"/>
  <c r="T48" i="1"/>
  <c r="CO65" i="1" l="1"/>
  <c r="DR65" i="1"/>
  <c r="DA65" i="1"/>
  <c r="DB65" i="1" s="1"/>
  <c r="DR15" i="1"/>
  <c r="CP15" i="1"/>
  <c r="DB15" i="1" s="1"/>
  <c r="DA15" i="1"/>
  <c r="CO15" i="1"/>
  <c r="DR88" i="1"/>
  <c r="CO88" i="1"/>
  <c r="DA88" i="1"/>
  <c r="CP88" i="1"/>
  <c r="DR2" i="1"/>
  <c r="CP2" i="1"/>
  <c r="DB100" i="1"/>
  <c r="BI79" i="1"/>
  <c r="DB78" i="1"/>
  <c r="DR78" i="1"/>
  <c r="BI70" i="1"/>
  <c r="CO78" i="1"/>
  <c r="BE8" i="1"/>
  <c r="CO8" i="1" s="1"/>
  <c r="BE23" i="1"/>
  <c r="BE54" i="1"/>
  <c r="CO54" i="1" s="1"/>
  <c r="BI43" i="1"/>
  <c r="BI74" i="1"/>
  <c r="BI102" i="1"/>
  <c r="BE68" i="1"/>
  <c r="CO68" i="1" s="1"/>
  <c r="BI64" i="1"/>
  <c r="BI26" i="1"/>
  <c r="DA26" i="1" s="1"/>
  <c r="BE11" i="1"/>
  <c r="DA30" i="1"/>
  <c r="DB30" i="1" s="1"/>
  <c r="BI40" i="1"/>
  <c r="BI28" i="1"/>
  <c r="BI104" i="1"/>
  <c r="CO104" i="1" s="1"/>
  <c r="BI31" i="1"/>
  <c r="BI21" i="1"/>
  <c r="CO21" i="1" s="1"/>
  <c r="DR30" i="1"/>
  <c r="BI76" i="1"/>
  <c r="CP76" i="1" s="1"/>
  <c r="CO30" i="1"/>
  <c r="CO2" i="1"/>
  <c r="BE27" i="1"/>
  <c r="BI32" i="1"/>
  <c r="BI52" i="1"/>
  <c r="BI60" i="1"/>
  <c r="CO60" i="1" s="1"/>
  <c r="BI9" i="1"/>
  <c r="BI57" i="1"/>
  <c r="CO57" i="1" s="1"/>
  <c r="BI3" i="1"/>
  <c r="DA3" i="1" s="1"/>
  <c r="BE91" i="1"/>
  <c r="CO91" i="1" s="1"/>
  <c r="BI48" i="1"/>
  <c r="CP48" i="1" s="1"/>
  <c r="BI92" i="1"/>
  <c r="BI36" i="1"/>
  <c r="DA14" i="1"/>
  <c r="CP14" i="1"/>
  <c r="DR14" i="1"/>
  <c r="CO87" i="1"/>
  <c r="DR87" i="1"/>
  <c r="DA87" i="1"/>
  <c r="CP87" i="1"/>
  <c r="CP62" i="1"/>
  <c r="CO62" i="1"/>
  <c r="DR62" i="1"/>
  <c r="DA62" i="1"/>
  <c r="DR26" i="1"/>
  <c r="DA27" i="1"/>
  <c r="CP27" i="1"/>
  <c r="CO27" i="1"/>
  <c r="DR27" i="1"/>
  <c r="CP74" i="1"/>
  <c r="CO74" i="1"/>
  <c r="DR74" i="1"/>
  <c r="DA74" i="1"/>
  <c r="CO85" i="1"/>
  <c r="DR85" i="1"/>
  <c r="DA85" i="1"/>
  <c r="CP85" i="1"/>
  <c r="CO89" i="1"/>
  <c r="DR89" i="1"/>
  <c r="DA89" i="1"/>
  <c r="CP89" i="1"/>
  <c r="CO71" i="1"/>
  <c r="DR71" i="1"/>
  <c r="DA71" i="1"/>
  <c r="DB71" i="1" s="1"/>
  <c r="CP63" i="1"/>
  <c r="CO63" i="1"/>
  <c r="DR63" i="1"/>
  <c r="DA63" i="1"/>
  <c r="CP70" i="1"/>
  <c r="CO70" i="1"/>
  <c r="DR70" i="1"/>
  <c r="DA70" i="1"/>
  <c r="CP59" i="1"/>
  <c r="CO59" i="1"/>
  <c r="DR59" i="1"/>
  <c r="DA59" i="1"/>
  <c r="CP61" i="1"/>
  <c r="CO61" i="1"/>
  <c r="DR61" i="1"/>
  <c r="DA61" i="1"/>
  <c r="DA43" i="1"/>
  <c r="CP43" i="1"/>
  <c r="DR43" i="1"/>
  <c r="CO43" i="1"/>
  <c r="BI56" i="1"/>
  <c r="BE56" i="1"/>
  <c r="BE14" i="1"/>
  <c r="CO14" i="1" s="1"/>
  <c r="DR93" i="1"/>
  <c r="DA93" i="1"/>
  <c r="CP93" i="1"/>
  <c r="CO93" i="1"/>
  <c r="BI66" i="1"/>
  <c r="DB77" i="1"/>
  <c r="DA42" i="1"/>
  <c r="DB42" i="1" s="1"/>
  <c r="CP42" i="1"/>
  <c r="DR42" i="1"/>
  <c r="CO42" i="1"/>
  <c r="DR54" i="1"/>
  <c r="DA54" i="1"/>
  <c r="DB54" i="1" s="1"/>
  <c r="CO90" i="1"/>
  <c r="DR90" i="1"/>
  <c r="DA90" i="1"/>
  <c r="CP90" i="1"/>
  <c r="CO7" i="1"/>
  <c r="DR7" i="1"/>
  <c r="DA7" i="1"/>
  <c r="CP7" i="1"/>
  <c r="BI25" i="1"/>
  <c r="BE25" i="1"/>
  <c r="CO73" i="1"/>
  <c r="DR73" i="1"/>
  <c r="DA73" i="1"/>
  <c r="DB73" i="1" s="1"/>
  <c r="CO81" i="1"/>
  <c r="DR81" i="1"/>
  <c r="DA81" i="1"/>
  <c r="DB81" i="1" s="1"/>
  <c r="CP81" i="1"/>
  <c r="DA29" i="1"/>
  <c r="CP29" i="1"/>
  <c r="CO29" i="1"/>
  <c r="DR29" i="1"/>
  <c r="BI6" i="1"/>
  <c r="BE6" i="1"/>
  <c r="CO5" i="1"/>
  <c r="DR5" i="1"/>
  <c r="CP5" i="1"/>
  <c r="DA5" i="1"/>
  <c r="DR103" i="1"/>
  <c r="DA103" i="1"/>
  <c r="CP103" i="1"/>
  <c r="CO103" i="1"/>
  <c r="DR33" i="1"/>
  <c r="DA33" i="1"/>
  <c r="CP33" i="1"/>
  <c r="CO33" i="1"/>
  <c r="DR91" i="1"/>
  <c r="DA91" i="1"/>
  <c r="CP91" i="1"/>
  <c r="DR9" i="1"/>
  <c r="CO9" i="1"/>
  <c r="DA9" i="1"/>
  <c r="CP9" i="1"/>
  <c r="DR94" i="1"/>
  <c r="DA94" i="1"/>
  <c r="CP94" i="1"/>
  <c r="CO94" i="1"/>
  <c r="DA22" i="1"/>
  <c r="DB22" i="1" s="1"/>
  <c r="CP22" i="1"/>
  <c r="CO22" i="1"/>
  <c r="DR22" i="1"/>
  <c r="DA49" i="1"/>
  <c r="CP49" i="1"/>
  <c r="DR49" i="1"/>
  <c r="CO49" i="1"/>
  <c r="CP69" i="1"/>
  <c r="CO69" i="1"/>
  <c r="DR69" i="1"/>
  <c r="DA69" i="1"/>
  <c r="CP58" i="1"/>
  <c r="CO58" i="1"/>
  <c r="DR58" i="1"/>
  <c r="DA58" i="1"/>
  <c r="CP51" i="1"/>
  <c r="CO51" i="1"/>
  <c r="DR51" i="1"/>
  <c r="DA51" i="1"/>
  <c r="CP31" i="1"/>
  <c r="CO31" i="1"/>
  <c r="DR31" i="1"/>
  <c r="DA31" i="1"/>
  <c r="DA24" i="1"/>
  <c r="DR24" i="1"/>
  <c r="CP24" i="1"/>
  <c r="CO24" i="1"/>
  <c r="CO82" i="1"/>
  <c r="DR82" i="1"/>
  <c r="DA82" i="1"/>
  <c r="CP82" i="1"/>
  <c r="CO84" i="1"/>
  <c r="DR84" i="1"/>
  <c r="DA84" i="1"/>
  <c r="CP84" i="1"/>
  <c r="CP68" i="1"/>
  <c r="DR68" i="1"/>
  <c r="DA68" i="1"/>
  <c r="BI55" i="1"/>
  <c r="BE55" i="1"/>
  <c r="DA60" i="1"/>
  <c r="DR104" i="1"/>
  <c r="DA104" i="1"/>
  <c r="CP104" i="1"/>
  <c r="DA21" i="1"/>
  <c r="DR21" i="1"/>
  <c r="DR99" i="1"/>
  <c r="DA99" i="1"/>
  <c r="CP99" i="1"/>
  <c r="CO99" i="1"/>
  <c r="CO4" i="1"/>
  <c r="DR4" i="1"/>
  <c r="DA4" i="1"/>
  <c r="DB4" i="1" s="1"/>
  <c r="CP4" i="1"/>
  <c r="DR40" i="1"/>
  <c r="DA40" i="1"/>
  <c r="CP40" i="1"/>
  <c r="CO40" i="1"/>
  <c r="DR98" i="1"/>
  <c r="DA98" i="1"/>
  <c r="DB98" i="1" s="1"/>
  <c r="CP98" i="1"/>
  <c r="CO98" i="1"/>
  <c r="CO35" i="1"/>
  <c r="DR35" i="1"/>
  <c r="DA35" i="1"/>
  <c r="CP35" i="1"/>
  <c r="CP64" i="1"/>
  <c r="CO64" i="1"/>
  <c r="DR64" i="1"/>
  <c r="DA64" i="1"/>
  <c r="DA39" i="1"/>
  <c r="CP39" i="1"/>
  <c r="DR39" i="1"/>
  <c r="CO39" i="1"/>
  <c r="DA16" i="1"/>
  <c r="DR16" i="1"/>
  <c r="CP16" i="1"/>
  <c r="CO16" i="1"/>
  <c r="BE76" i="1"/>
  <c r="CO76" i="1" s="1"/>
  <c r="DR13" i="1"/>
  <c r="CP13" i="1"/>
  <c r="CO13" i="1"/>
  <c r="DA13" i="1"/>
  <c r="DR96" i="1"/>
  <c r="DA96" i="1"/>
  <c r="CP96" i="1"/>
  <c r="CO96" i="1"/>
  <c r="DR97" i="1"/>
  <c r="DA97" i="1"/>
  <c r="CP97" i="1"/>
  <c r="CO97" i="1"/>
  <c r="CP67" i="1"/>
  <c r="CO67" i="1"/>
  <c r="DR67" i="1"/>
  <c r="DA67" i="1"/>
  <c r="DB67" i="1" s="1"/>
  <c r="CP75" i="1"/>
  <c r="CO75" i="1"/>
  <c r="DR75" i="1"/>
  <c r="DA75" i="1"/>
  <c r="DR95" i="1"/>
  <c r="DA95" i="1"/>
  <c r="CP95" i="1"/>
  <c r="CO95" i="1"/>
  <c r="BI37" i="1"/>
  <c r="DB88" i="1"/>
  <c r="DA28" i="1"/>
  <c r="CP28" i="1"/>
  <c r="CO28" i="1"/>
  <c r="DR28" i="1"/>
  <c r="DR101" i="1"/>
  <c r="DA101" i="1"/>
  <c r="CP101" i="1"/>
  <c r="CO101" i="1"/>
  <c r="DA17" i="1"/>
  <c r="DR17" i="1"/>
  <c r="CP17" i="1"/>
  <c r="CO17" i="1"/>
  <c r="DA48" i="1"/>
  <c r="DR92" i="1"/>
  <c r="DA92" i="1"/>
  <c r="CP92" i="1"/>
  <c r="CO92" i="1"/>
  <c r="BI50" i="1"/>
  <c r="BE50" i="1"/>
  <c r="DA23" i="1"/>
  <c r="CP23" i="1"/>
  <c r="DR23" i="1"/>
  <c r="CO23" i="1"/>
  <c r="BI47" i="1"/>
  <c r="BI80" i="1"/>
  <c r="BE80" i="1"/>
  <c r="DA20" i="1"/>
  <c r="DB20" i="1" s="1"/>
  <c r="CP20" i="1"/>
  <c r="CO20" i="1"/>
  <c r="DR20" i="1"/>
  <c r="BI53" i="1"/>
  <c r="BI41" i="1"/>
  <c r="BE41" i="1"/>
  <c r="DR11" i="1"/>
  <c r="CO11" i="1"/>
  <c r="DA11" i="1"/>
  <c r="DB11" i="1" s="1"/>
  <c r="DR10" i="1"/>
  <c r="CP10" i="1"/>
  <c r="CO10" i="1"/>
  <c r="DA10" i="1"/>
  <c r="DA2" i="1"/>
  <c r="DB2" i="1" s="1"/>
  <c r="BE34" i="1"/>
  <c r="BI34" i="1"/>
  <c r="DR8" i="1"/>
  <c r="DA8" i="1"/>
  <c r="CP8" i="1"/>
  <c r="DA46" i="1"/>
  <c r="CP46" i="1"/>
  <c r="DR46" i="1"/>
  <c r="CO46" i="1"/>
  <c r="CP79" i="1"/>
  <c r="CO79" i="1"/>
  <c r="DR79" i="1"/>
  <c r="DA79" i="1"/>
  <c r="CO86" i="1"/>
  <c r="DR86" i="1"/>
  <c r="DA86" i="1"/>
  <c r="CP86" i="1"/>
  <c r="DA45" i="1"/>
  <c r="CP45" i="1"/>
  <c r="DR45" i="1"/>
  <c r="CO45" i="1"/>
  <c r="DR102" i="1"/>
  <c r="DA102" i="1"/>
  <c r="CP102" i="1"/>
  <c r="CO102" i="1"/>
  <c r="BI38" i="1"/>
  <c r="CO3" i="1"/>
  <c r="DR3" i="1"/>
  <c r="CP72" i="1"/>
  <c r="CO72" i="1"/>
  <c r="DR72" i="1"/>
  <c r="DA72" i="1"/>
  <c r="DB72" i="1" s="1"/>
  <c r="BI44" i="1"/>
  <c r="CO83" i="1"/>
  <c r="DR83" i="1"/>
  <c r="DA83" i="1"/>
  <c r="CP83" i="1"/>
  <c r="DA18" i="1"/>
  <c r="DB18" i="1" s="1"/>
  <c r="DR18" i="1"/>
  <c r="CP18" i="1"/>
  <c r="CO18" i="1"/>
  <c r="DA19" i="1"/>
  <c r="CP19" i="1"/>
  <c r="CO19" i="1"/>
  <c r="DR19" i="1"/>
  <c r="DR12" i="1"/>
  <c r="CO12" i="1"/>
  <c r="DA12" i="1"/>
  <c r="DB12" i="1" s="1"/>
  <c r="DB49" i="1" l="1"/>
  <c r="DA76" i="1"/>
  <c r="DB76" i="1" s="1"/>
  <c r="DB87" i="1"/>
  <c r="DB31" i="1"/>
  <c r="DB70" i="1"/>
  <c r="DR76" i="1"/>
  <c r="DB60" i="1"/>
  <c r="DB48" i="1"/>
  <c r="DB101" i="1"/>
  <c r="DB7" i="1"/>
  <c r="DB63" i="1"/>
  <c r="CO36" i="1"/>
  <c r="DR36" i="1"/>
  <c r="DA36" i="1"/>
  <c r="CP36" i="1"/>
  <c r="DB84" i="1"/>
  <c r="CP26" i="1"/>
  <c r="DB26" i="1" s="1"/>
  <c r="CO26" i="1"/>
  <c r="DB9" i="1"/>
  <c r="CP21" i="1"/>
  <c r="DB21" i="1" s="1"/>
  <c r="DB82" i="1"/>
  <c r="DB29" i="1"/>
  <c r="CP52" i="1"/>
  <c r="DA52" i="1"/>
  <c r="DB52" i="1" s="1"/>
  <c r="CO52" i="1"/>
  <c r="DR52" i="1"/>
  <c r="DB86" i="1"/>
  <c r="DR60" i="1"/>
  <c r="CP60" i="1"/>
  <c r="CO48" i="1"/>
  <c r="CP32" i="1"/>
  <c r="CO32" i="1"/>
  <c r="DR32" i="1"/>
  <c r="DA32" i="1"/>
  <c r="DB28" i="1"/>
  <c r="CP57" i="1"/>
  <c r="DR57" i="1"/>
  <c r="DA57" i="1"/>
  <c r="DB57" i="1" s="1"/>
  <c r="CP3" i="1"/>
  <c r="DB3" i="1" s="1"/>
  <c r="DR48" i="1"/>
  <c r="DB97" i="1"/>
  <c r="DB39" i="1"/>
  <c r="DB94" i="1"/>
  <c r="DB83" i="1"/>
  <c r="DB45" i="1"/>
  <c r="DB10" i="1"/>
  <c r="DB23" i="1"/>
  <c r="DB64" i="1"/>
  <c r="CP56" i="1"/>
  <c r="CO56" i="1"/>
  <c r="DR56" i="1"/>
  <c r="DA56" i="1"/>
  <c r="DB58" i="1"/>
  <c r="DB90" i="1"/>
  <c r="DR6" i="1"/>
  <c r="CO6" i="1"/>
  <c r="DA6" i="1"/>
  <c r="CP6" i="1"/>
  <c r="DB99" i="1"/>
  <c r="DB27" i="1"/>
  <c r="CO37" i="1"/>
  <c r="DR37" i="1"/>
  <c r="DA37" i="1"/>
  <c r="DB37" i="1" s="1"/>
  <c r="DB96" i="1"/>
  <c r="DB43" i="1"/>
  <c r="DB79" i="1"/>
  <c r="DB92" i="1"/>
  <c r="DB35" i="1"/>
  <c r="DB69" i="1"/>
  <c r="DB61" i="1"/>
  <c r="DB89" i="1"/>
  <c r="CP50" i="1"/>
  <c r="CO50" i="1"/>
  <c r="DR50" i="1"/>
  <c r="DA50" i="1"/>
  <c r="DA44" i="1"/>
  <c r="CP44" i="1"/>
  <c r="DR44" i="1"/>
  <c r="CO44" i="1"/>
  <c r="DB95" i="1"/>
  <c r="DB13" i="1"/>
  <c r="DB91" i="1"/>
  <c r="DB62" i="1"/>
  <c r="DA41" i="1"/>
  <c r="CP41" i="1"/>
  <c r="CO41" i="1"/>
  <c r="DR41" i="1"/>
  <c r="CO53" i="1"/>
  <c r="DA53" i="1"/>
  <c r="DB53" i="1" s="1"/>
  <c r="DR53" i="1"/>
  <c r="DB75" i="1"/>
  <c r="DB59" i="1"/>
  <c r="DB85" i="1"/>
  <c r="DB104" i="1"/>
  <c r="DB33" i="1"/>
  <c r="CP38" i="1"/>
  <c r="CO38" i="1"/>
  <c r="DR38" i="1"/>
  <c r="DA38" i="1"/>
  <c r="DB46" i="1"/>
  <c r="DB24" i="1"/>
  <c r="CP66" i="1"/>
  <c r="CO66" i="1"/>
  <c r="DR66" i="1"/>
  <c r="DA66" i="1"/>
  <c r="DB19" i="1"/>
  <c r="DB8" i="1"/>
  <c r="DB17" i="1"/>
  <c r="DB40" i="1"/>
  <c r="DB102" i="1"/>
  <c r="CO80" i="1"/>
  <c r="DR80" i="1"/>
  <c r="DA80" i="1"/>
  <c r="CP80" i="1"/>
  <c r="DB16" i="1"/>
  <c r="DB103" i="1"/>
  <c r="DA25" i="1"/>
  <c r="DB25" i="1" s="1"/>
  <c r="CO25" i="1"/>
  <c r="CP25" i="1"/>
  <c r="DR25" i="1"/>
  <c r="DB93" i="1"/>
  <c r="DA47" i="1"/>
  <c r="CP47" i="1"/>
  <c r="DR47" i="1"/>
  <c r="CO47" i="1"/>
  <c r="CP55" i="1"/>
  <c r="CO55" i="1"/>
  <c r="DR55" i="1"/>
  <c r="DA55" i="1"/>
  <c r="DB74" i="1"/>
  <c r="DR34" i="1"/>
  <c r="DA34" i="1"/>
  <c r="DB34" i="1" s="1"/>
  <c r="CO34" i="1"/>
  <c r="DB68" i="1"/>
  <c r="DB51" i="1"/>
  <c r="DB5" i="1"/>
  <c r="DB14" i="1"/>
  <c r="DB32" i="1" l="1"/>
  <c r="DB36" i="1"/>
  <c r="DB66" i="1"/>
  <c r="DB55" i="1"/>
  <c r="DB56" i="1"/>
  <c r="DB44" i="1"/>
  <c r="DB6" i="1"/>
  <c r="DB50" i="1"/>
  <c r="DB80" i="1"/>
  <c r="DB41" i="1"/>
  <c r="DB47" i="1"/>
  <c r="DB38" i="1"/>
</calcChain>
</file>

<file path=xl/sharedStrings.xml><?xml version="1.0" encoding="utf-8"?>
<sst xmlns="http://schemas.openxmlformats.org/spreadsheetml/2006/main" count="9397" uniqueCount="1872">
  <si>
    <t>薪资年月</t>
  </si>
  <si>
    <t>薪资月</t>
  </si>
  <si>
    <t>主体</t>
  </si>
  <si>
    <t>合同所属地</t>
  </si>
  <si>
    <t>所属薪资包</t>
  </si>
  <si>
    <t>职能块</t>
  </si>
  <si>
    <t>部门</t>
  </si>
  <si>
    <t>门店</t>
  </si>
  <si>
    <t>账单供应商</t>
  </si>
  <si>
    <t>人数</t>
  </si>
  <si>
    <t>工号</t>
  </si>
  <si>
    <t>中文姓名</t>
  </si>
  <si>
    <t>职位</t>
  </si>
  <si>
    <t>聘用日期</t>
  </si>
  <si>
    <t>最后工作日期</t>
  </si>
  <si>
    <t>员工性质</t>
  </si>
  <si>
    <t>实际出勤工时数</t>
  </si>
  <si>
    <t>月薪</t>
  </si>
  <si>
    <t>小时薪资</t>
  </si>
  <si>
    <t>实发月薪</t>
  </si>
  <si>
    <t>实发小时薪资</t>
  </si>
  <si>
    <t>岗位津贴</t>
  </si>
  <si>
    <t>补贴合计</t>
  </si>
  <si>
    <t>其它补贴</t>
  </si>
  <si>
    <t>外派补贴</t>
  </si>
  <si>
    <t>交通补贴</t>
  </si>
  <si>
    <t>住房补贴</t>
  </si>
  <si>
    <t>加班费</t>
  </si>
  <si>
    <t>平时加班费</t>
  </si>
  <si>
    <t>周末加班费</t>
  </si>
  <si>
    <t>国假出勤工时</t>
  </si>
  <si>
    <t>国假加班费合计</t>
  </si>
  <si>
    <t>外送奖金</t>
  </si>
  <si>
    <t>奖金</t>
  </si>
  <si>
    <t>月度绩效奖金</t>
  </si>
  <si>
    <t>季度奖金</t>
  </si>
  <si>
    <t>开发/工程/网规奖金</t>
  </si>
  <si>
    <t>其他奖金1</t>
  </si>
  <si>
    <t>其他奖金2</t>
  </si>
  <si>
    <t>员工推荐奖金</t>
  </si>
  <si>
    <t>补产假工资</t>
  </si>
  <si>
    <t>OJE酬劳</t>
  </si>
  <si>
    <t>年终奖</t>
  </si>
  <si>
    <t>年度绩效考评奖</t>
  </si>
  <si>
    <t>年度其它奖金</t>
  </si>
  <si>
    <t>离职补偿金</t>
  </si>
  <si>
    <t>税前调整</t>
  </si>
  <si>
    <t>年假工资</t>
  </si>
  <si>
    <t>病假工资</t>
  </si>
  <si>
    <t>全薪假期工资</t>
  </si>
  <si>
    <t>事假扣款</t>
  </si>
  <si>
    <t>病假扣款</t>
  </si>
  <si>
    <t>产假扣款</t>
  </si>
  <si>
    <t>税前扣减</t>
  </si>
  <si>
    <t>年假折现</t>
  </si>
  <si>
    <t>工会费个人</t>
  </si>
  <si>
    <t>工会费公司</t>
  </si>
  <si>
    <t>其它项补税</t>
  </si>
  <si>
    <t>税后调整</t>
  </si>
  <si>
    <t>服务费合计</t>
  </si>
  <si>
    <t>税前工资总额</t>
  </si>
  <si>
    <t>养老金个人</t>
  </si>
  <si>
    <t>医疗金个人</t>
  </si>
  <si>
    <t>失业金个人</t>
  </si>
  <si>
    <t>公积金个人</t>
  </si>
  <si>
    <t>大病个人</t>
  </si>
  <si>
    <t>补缴养老金个人</t>
  </si>
  <si>
    <t>补缴医疗金个人</t>
  </si>
  <si>
    <t>补缴失业金个人</t>
  </si>
  <si>
    <t>补缴公积金个人</t>
  </si>
  <si>
    <t>补缴大病个人</t>
  </si>
  <si>
    <t>社保合计个人</t>
  </si>
  <si>
    <t>个人所得税</t>
  </si>
  <si>
    <t>年终奖税</t>
  </si>
  <si>
    <t>离职补偿税</t>
  </si>
  <si>
    <t>个税合计</t>
  </si>
  <si>
    <t>净收入</t>
  </si>
  <si>
    <t>养老金公司</t>
  </si>
  <si>
    <t>医疗金公司</t>
  </si>
  <si>
    <t>公积金公司</t>
  </si>
  <si>
    <t>失业金公司</t>
  </si>
  <si>
    <t>工伤金公司</t>
  </si>
  <si>
    <t>生育金公司</t>
  </si>
  <si>
    <t>大病公司</t>
  </si>
  <si>
    <t>补缴养老金公司</t>
  </si>
  <si>
    <t>补缴医疗金公司</t>
  </si>
  <si>
    <t>补缴失业金公司</t>
  </si>
  <si>
    <t>补缴公积金</t>
  </si>
  <si>
    <t>补缴工伤金公司</t>
  </si>
  <si>
    <t>补缴生育金公司</t>
  </si>
  <si>
    <t>补缴大病公司</t>
  </si>
  <si>
    <t>社保合计公司</t>
  </si>
  <si>
    <t>公司成本</t>
  </si>
  <si>
    <t>计提残疾人保障金</t>
  </si>
  <si>
    <t>计提商业保险</t>
  </si>
  <si>
    <t>计提雇主责任险</t>
  </si>
  <si>
    <t>计提年终奖</t>
  </si>
  <si>
    <t>计提营运奖金</t>
  </si>
  <si>
    <t>养老金基数</t>
  </si>
  <si>
    <t>公积金基数</t>
  </si>
  <si>
    <t>医疗保险基数</t>
  </si>
  <si>
    <t>失业保险基数</t>
  </si>
  <si>
    <t>工伤保险基数</t>
  </si>
  <si>
    <t>生育保险基数</t>
  </si>
  <si>
    <t>财务入账工资</t>
  </si>
  <si>
    <t>财务入账总费用</t>
  </si>
  <si>
    <t>开户银行</t>
  </si>
  <si>
    <t>银行账号</t>
  </si>
  <si>
    <t>开户银行明确支行</t>
  </si>
  <si>
    <t>身份证号码</t>
  </si>
  <si>
    <t>手机号码</t>
  </si>
  <si>
    <t>工作地</t>
  </si>
  <si>
    <t>子女教育支出</t>
  </si>
  <si>
    <t>住房租金支出</t>
  </si>
  <si>
    <t>住房贷款利息支出</t>
  </si>
  <si>
    <t>赡养老人支出</t>
  </si>
  <si>
    <t>继续教育支出</t>
  </si>
  <si>
    <t>婴幼儿照护费用</t>
  </si>
  <si>
    <t>累计税基数</t>
  </si>
  <si>
    <t>累计税</t>
  </si>
  <si>
    <t>累计免扣除数</t>
  </si>
  <si>
    <t>中间项</t>
  </si>
  <si>
    <t>上海达美乐</t>
  </si>
  <si>
    <t>店铺营运</t>
  </si>
  <si>
    <t>上海2</t>
  </si>
  <si>
    <t>新村店</t>
  </si>
  <si>
    <t>外服-上海门店全职</t>
  </si>
  <si>
    <t>龚忆秋</t>
  </si>
  <si>
    <t>餐厅经理</t>
  </si>
  <si>
    <t>2012-03-20</t>
  </si>
  <si>
    <t>2025-12-04</t>
  </si>
  <si>
    <t>门店管理组</t>
  </si>
  <si>
    <t>140000197007051683</t>
  </si>
  <si>
    <t>上海</t>
  </si>
  <si>
    <t>龙华西路店</t>
  </si>
  <si>
    <t>程绍辉</t>
  </si>
  <si>
    <t>2014-06-18</t>
  </si>
  <si>
    <t>130000195301178797</t>
  </si>
  <si>
    <t>桂林路店</t>
  </si>
  <si>
    <t>董晚樱</t>
  </si>
  <si>
    <t>餐厅副理</t>
  </si>
  <si>
    <t>2015-07-09</t>
  </si>
  <si>
    <t>110000198902241890</t>
  </si>
  <si>
    <t>崧泽大道店</t>
  </si>
  <si>
    <t>元曼柔</t>
  </si>
  <si>
    <t>2017-07-01</t>
  </si>
  <si>
    <t>140000198209249885</t>
  </si>
  <si>
    <t>北京达美乐</t>
  </si>
  <si>
    <t>北京</t>
  </si>
  <si>
    <t>通州万达店</t>
  </si>
  <si>
    <t>外服-北京门店全职</t>
  </si>
  <si>
    <t>姚夜安</t>
  </si>
  <si>
    <t>训练员</t>
  </si>
  <si>
    <t>2018-03-01</t>
  </si>
  <si>
    <t>门店全职</t>
  </si>
  <si>
    <t>110000195008233655</t>
  </si>
  <si>
    <t>上海1</t>
  </si>
  <si>
    <t>七莘路店</t>
  </si>
  <si>
    <t>严俊铭</t>
  </si>
  <si>
    <t>2020-10-12</t>
  </si>
  <si>
    <t>110000195410162001</t>
  </si>
  <si>
    <t>万丰店</t>
  </si>
  <si>
    <t>韦紫青</t>
  </si>
  <si>
    <t>2019-01-02</t>
  </si>
  <si>
    <t>14000019770328217X</t>
  </si>
  <si>
    <t>北京达美乐天津分公司</t>
  </si>
  <si>
    <t>天津</t>
  </si>
  <si>
    <t>嘉华店</t>
  </si>
  <si>
    <t>外服-天津门店全职</t>
  </si>
  <si>
    <t>韩景睿</t>
  </si>
  <si>
    <t>服务员</t>
  </si>
  <si>
    <t>2023-09-14</t>
  </si>
  <si>
    <t>110000195612254793</t>
  </si>
  <si>
    <t>杭州达美乐</t>
  </si>
  <si>
    <t>绍兴</t>
  </si>
  <si>
    <t>绍兴金帝银泰城店</t>
  </si>
  <si>
    <t>外服-杭州门店全职</t>
  </si>
  <si>
    <t>单睿轩</t>
  </si>
  <si>
    <t>2020-03-01</t>
  </si>
  <si>
    <t>150000197707137157</t>
  </si>
  <si>
    <t>杭州</t>
  </si>
  <si>
    <t>天宫院店</t>
  </si>
  <si>
    <t>傅晨宇</t>
  </si>
  <si>
    <t>2022-01-20</t>
  </si>
  <si>
    <t>120000196003107346</t>
  </si>
  <si>
    <t>南亭公路店</t>
  </si>
  <si>
    <t>常寒安</t>
  </si>
  <si>
    <t>员工组长</t>
  </si>
  <si>
    <t>2023-12-01</t>
  </si>
  <si>
    <t>13000019630106267X</t>
  </si>
  <si>
    <t>南京路店</t>
  </si>
  <si>
    <t>龙睿阳</t>
  </si>
  <si>
    <t>2020-08-26</t>
  </si>
  <si>
    <t>120000198101098496</t>
  </si>
  <si>
    <t>马泉营店</t>
  </si>
  <si>
    <t>魏嘉阳</t>
  </si>
  <si>
    <t>2020-10-21</t>
  </si>
  <si>
    <t>120000197707211254</t>
  </si>
  <si>
    <t>市心南路店</t>
  </si>
  <si>
    <t>唐谷冬</t>
  </si>
  <si>
    <t>2022-09-02</t>
  </si>
  <si>
    <t>130000196310156128</t>
  </si>
  <si>
    <t>苏州达美乐-外服派遣</t>
  </si>
  <si>
    <t>苏州</t>
  </si>
  <si>
    <t>西二环路店</t>
  </si>
  <si>
    <t>外服-苏州门店全职（派遣）</t>
  </si>
  <si>
    <t>杨景辉</t>
  </si>
  <si>
    <t>2024-07-01</t>
  </si>
  <si>
    <t>130000197202059960</t>
  </si>
  <si>
    <t>上海达美乐南京分公司</t>
  </si>
  <si>
    <t>南京</t>
  </si>
  <si>
    <t>珠江路店</t>
  </si>
  <si>
    <t>外服-南京门店全职</t>
  </si>
  <si>
    <t>唐苑博</t>
  </si>
  <si>
    <t>2022-11-01</t>
  </si>
  <si>
    <t>130000195507080205</t>
  </si>
  <si>
    <t>斜土东路</t>
  </si>
  <si>
    <t>刘清禾</t>
  </si>
  <si>
    <t>助理经理</t>
  </si>
  <si>
    <t>2021-09-27</t>
  </si>
  <si>
    <t>110000198603025603</t>
  </si>
  <si>
    <t>浦锦路店</t>
  </si>
  <si>
    <t>汤含烟</t>
  </si>
  <si>
    <t>2021-10-05</t>
  </si>
  <si>
    <t>140000196701305792</t>
  </si>
  <si>
    <t>美健路店</t>
  </si>
  <si>
    <t>郭语琴</t>
  </si>
  <si>
    <t>2021-10-25</t>
  </si>
  <si>
    <t>13000019860609254X</t>
  </si>
  <si>
    <t>上海达美乐无锡分公司</t>
  </si>
  <si>
    <t>无锡</t>
  </si>
  <si>
    <t>无锡江南大悦城店</t>
  </si>
  <si>
    <t>外服-无锡门店全职</t>
  </si>
  <si>
    <t>秦翠绿</t>
  </si>
  <si>
    <t>2021-11-22</t>
  </si>
  <si>
    <t>140000197311235377</t>
  </si>
  <si>
    <t>上元大街店</t>
  </si>
  <si>
    <t>姜睿豪</t>
  </si>
  <si>
    <t>2022-01-05</t>
  </si>
  <si>
    <t>2025-12-31</t>
  </si>
  <si>
    <t>11000019900707545X</t>
  </si>
  <si>
    <t>京粮广场店</t>
  </si>
  <si>
    <t>鲁宇翔</t>
  </si>
  <si>
    <t>2023-09-15</t>
  </si>
  <si>
    <t>130000196006263719</t>
  </si>
  <si>
    <t>双青家园店</t>
  </si>
  <si>
    <t>赵泽宇</t>
  </si>
  <si>
    <t>2022-02-24</t>
  </si>
  <si>
    <t>140000199305054263</t>
  </si>
  <si>
    <t>千禧店</t>
  </si>
  <si>
    <t>崔惜文</t>
  </si>
  <si>
    <t>2022-04-11</t>
  </si>
  <si>
    <t>130000199607095695</t>
  </si>
  <si>
    <t>建中路店</t>
  </si>
  <si>
    <t>熊嘉泽</t>
  </si>
  <si>
    <t>2022-06-21</t>
  </si>
  <si>
    <t>110000196403262536</t>
  </si>
  <si>
    <t>经开店</t>
  </si>
  <si>
    <t>轩辕晨辉</t>
  </si>
  <si>
    <t>2022-07-02</t>
  </si>
  <si>
    <t>140000197501297145</t>
  </si>
  <si>
    <t>平原街店</t>
  </si>
  <si>
    <t>祁傲芙</t>
  </si>
  <si>
    <t>2022-07-11</t>
  </si>
  <si>
    <t>130000197206074152</t>
  </si>
  <si>
    <t>东马路店</t>
  </si>
  <si>
    <t>公羊嘉熙</t>
  </si>
  <si>
    <t>2022-07-14</t>
  </si>
  <si>
    <t>140000196203315091</t>
  </si>
  <si>
    <t>和义家家福店</t>
  </si>
  <si>
    <t>许宇铭</t>
  </si>
  <si>
    <t>2024-02-25</t>
  </si>
  <si>
    <t>110000199808069226</t>
  </si>
  <si>
    <t>鲁南路店</t>
  </si>
  <si>
    <t>魏逸翔</t>
  </si>
  <si>
    <t>2023-07-01</t>
  </si>
  <si>
    <t>140000199504198969</t>
  </si>
  <si>
    <t>汉沽店</t>
  </si>
  <si>
    <t>汪逸睿</t>
  </si>
  <si>
    <t>2024-07-04</t>
  </si>
  <si>
    <t>130000198204140680</t>
  </si>
  <si>
    <t>东直门外大街店</t>
  </si>
  <si>
    <t>施宇阳</t>
  </si>
  <si>
    <t>2023-03-03</t>
  </si>
  <si>
    <t>130000196501114956</t>
  </si>
  <si>
    <t>朱辛庄店</t>
  </si>
  <si>
    <t>郝以山</t>
  </si>
  <si>
    <t>2023-04-13</t>
  </si>
  <si>
    <t>110000195405272180</t>
  </si>
  <si>
    <t>北京达美乐济南分公司</t>
  </si>
  <si>
    <t>济南</t>
  </si>
  <si>
    <t>华山环宇城店</t>
  </si>
  <si>
    <t>外服-济南门店全职</t>
  </si>
  <si>
    <t>林尔芙</t>
  </si>
  <si>
    <t>2023-05-11</t>
  </si>
  <si>
    <t>140000199306262854</t>
  </si>
  <si>
    <t>五道口店</t>
  </si>
  <si>
    <t>谢盼夏</t>
  </si>
  <si>
    <t>2023-05-13</t>
  </si>
  <si>
    <t>130000198209058034</t>
  </si>
  <si>
    <t>印象城</t>
  </si>
  <si>
    <t>己诗茵</t>
  </si>
  <si>
    <t>2023-11-01</t>
  </si>
  <si>
    <t>150000198002250533</t>
  </si>
  <si>
    <t>南湖路店</t>
  </si>
  <si>
    <t>宋凝香</t>
  </si>
  <si>
    <t>120000199509282140</t>
  </si>
  <si>
    <t>格调店</t>
  </si>
  <si>
    <t>万俊睿</t>
  </si>
  <si>
    <t>2023-06-19</t>
  </si>
  <si>
    <t>130000196012070279</t>
  </si>
  <si>
    <t>北京达美乐青岛分公司</t>
  </si>
  <si>
    <t>青岛</t>
  </si>
  <si>
    <t>万科未来城店</t>
  </si>
  <si>
    <t>外服-青岛门店全职</t>
  </si>
  <si>
    <t>蒋睿铭</t>
  </si>
  <si>
    <t>2023-06-29</t>
  </si>
  <si>
    <t>110000197411055322</t>
  </si>
  <si>
    <t>龙德广场店</t>
  </si>
  <si>
    <t>李睿翔</t>
  </si>
  <si>
    <t>2023-07-05</t>
  </si>
  <si>
    <t>110000196410202803</t>
  </si>
  <si>
    <t>上海达美乐宁波分公司</t>
  </si>
  <si>
    <t>宁波</t>
  </si>
  <si>
    <t>润曦府店</t>
  </si>
  <si>
    <t>外服-宁波门店全职</t>
  </si>
  <si>
    <t>周逸泽</t>
  </si>
  <si>
    <t>2023-07-12</t>
  </si>
  <si>
    <t>130000195110319623</t>
  </si>
  <si>
    <t>宜白路店</t>
  </si>
  <si>
    <t>许书芹</t>
  </si>
  <si>
    <t>2023-08-04</t>
  </si>
  <si>
    <t>130000199810152683</t>
  </si>
  <si>
    <t>上海达美乐常州分公司</t>
  </si>
  <si>
    <t>常州</t>
  </si>
  <si>
    <t>金坛八佰伴店</t>
  </si>
  <si>
    <t>外服-常州门店全职</t>
  </si>
  <si>
    <t>康俊阳</t>
  </si>
  <si>
    <t>2023-08-14</t>
  </si>
  <si>
    <t>130000197510209840</t>
  </si>
  <si>
    <t>江阴</t>
  </si>
  <si>
    <t>虹桥南路</t>
  </si>
  <si>
    <t>翟鼎寒</t>
  </si>
  <si>
    <t>2023-09-01</t>
  </si>
  <si>
    <t>140000197807193898</t>
  </si>
  <si>
    <t>上海达美乐嘉兴分公司</t>
  </si>
  <si>
    <t>嘉兴</t>
  </si>
  <si>
    <t>中山东路店</t>
  </si>
  <si>
    <t>外服-嘉兴门店全职</t>
  </si>
  <si>
    <t>贺雪凝</t>
  </si>
  <si>
    <t>130000199506036021</t>
  </si>
  <si>
    <t>杭州达美乐杭州分公司</t>
  </si>
  <si>
    <t>闲富中路店</t>
  </si>
  <si>
    <t>外服-杭州分门店全职</t>
  </si>
  <si>
    <t>韩智宸</t>
  </si>
  <si>
    <t>2023-09-18</t>
  </si>
  <si>
    <t>110000195506066137</t>
  </si>
  <si>
    <t>狮子林大街店</t>
  </si>
  <si>
    <t>潘俊晨</t>
  </si>
  <si>
    <t>2023-10-12</t>
  </si>
  <si>
    <t>140000195910013472</t>
  </si>
  <si>
    <t>延吉路万达店</t>
  </si>
  <si>
    <t>冯嘉轩</t>
  </si>
  <si>
    <t>2023-10-28</t>
  </si>
  <si>
    <t>150000196903049909</t>
  </si>
  <si>
    <t>董以亦</t>
  </si>
  <si>
    <t>2023-11-03</t>
  </si>
  <si>
    <t>140000195211284021</t>
  </si>
  <si>
    <t>华夏东路店</t>
  </si>
  <si>
    <t>凌夏岚</t>
  </si>
  <si>
    <t>2023-12-18</t>
  </si>
  <si>
    <t>110000197408298131</t>
  </si>
  <si>
    <t>影佳路</t>
  </si>
  <si>
    <t>沈幻莲</t>
  </si>
  <si>
    <t>2025-07-01</t>
  </si>
  <si>
    <t>150000195108018029</t>
  </si>
  <si>
    <t>颜静婉</t>
  </si>
  <si>
    <t>行政</t>
  </si>
  <si>
    <t>2024-01-01</t>
  </si>
  <si>
    <t>150000195905177856</t>
  </si>
  <si>
    <t>宋语嫣</t>
  </si>
  <si>
    <t>120000195306036958</t>
  </si>
  <si>
    <t>双井店</t>
  </si>
  <si>
    <t>张婉若</t>
  </si>
  <si>
    <t>13000019751202082X</t>
  </si>
  <si>
    <t>詹凌寒</t>
  </si>
  <si>
    <t>110000198002053243</t>
  </si>
  <si>
    <t>范晨晨</t>
  </si>
  <si>
    <t>150000195205103483</t>
  </si>
  <si>
    <t>三马路店</t>
  </si>
  <si>
    <t>邹梓睿</t>
  </si>
  <si>
    <t>130000200208233656</t>
  </si>
  <si>
    <t>薛逸铭</t>
  </si>
  <si>
    <t>150000196707270957</t>
  </si>
  <si>
    <t>钱苑杰</t>
  </si>
  <si>
    <t>150000198009086721</t>
  </si>
  <si>
    <t>济南老商埠</t>
  </si>
  <si>
    <t>麻怀蕊</t>
  </si>
  <si>
    <t>2024-01-02</t>
  </si>
  <si>
    <t>150000199410208640</t>
  </si>
  <si>
    <t>相城龙湖店</t>
  </si>
  <si>
    <t>杜俊煜</t>
  </si>
  <si>
    <t>2024-02-22</t>
  </si>
  <si>
    <t>150000197405190214</t>
  </si>
  <si>
    <t>上海达美乐扬州分公司</t>
  </si>
  <si>
    <t>扬州</t>
  </si>
  <si>
    <t>扬州京华城店</t>
  </si>
  <si>
    <t>外服-扬州门店全职</t>
  </si>
  <si>
    <t>洪炎彬</t>
  </si>
  <si>
    <t>2024-02-23</t>
  </si>
  <si>
    <t>11000019920303508X</t>
  </si>
  <si>
    <t>上海达美乐温州分公司</t>
  </si>
  <si>
    <t>温州</t>
  </si>
  <si>
    <t>卧龙路店</t>
  </si>
  <si>
    <t>外服-温州门店全职</t>
  </si>
  <si>
    <t>司马碧春</t>
  </si>
  <si>
    <t>2024-03-01</t>
  </si>
  <si>
    <t>130000197907226798</t>
  </si>
  <si>
    <t>菊太路店</t>
  </si>
  <si>
    <t>杜熠彤</t>
  </si>
  <si>
    <t>见习经理</t>
  </si>
  <si>
    <t>150000199209210377</t>
  </si>
  <si>
    <t>天坛东路店</t>
  </si>
  <si>
    <t>曾俊晨</t>
  </si>
  <si>
    <t>2024-03-13</t>
  </si>
  <si>
    <t>150000195812196949</t>
  </si>
  <si>
    <t>望京万科店</t>
  </si>
  <si>
    <t>曾鹏煊</t>
  </si>
  <si>
    <t>120000199206127932</t>
  </si>
  <si>
    <t>次渠南店</t>
  </si>
  <si>
    <t>狄睿铭</t>
  </si>
  <si>
    <t>2024-04-10</t>
  </si>
  <si>
    <t>14000019950717010X</t>
  </si>
  <si>
    <t>云飞路店</t>
  </si>
  <si>
    <t>韩冷卉</t>
  </si>
  <si>
    <t>2024-04-03</t>
  </si>
  <si>
    <t>11000019820907471X</t>
  </si>
  <si>
    <t>福州达美乐</t>
  </si>
  <si>
    <t>福州</t>
  </si>
  <si>
    <t>台江路店</t>
  </si>
  <si>
    <t>外服-福州门店全职</t>
  </si>
  <si>
    <t>包夏彤</t>
  </si>
  <si>
    <t>2024-04-09</t>
  </si>
  <si>
    <t>130000195204216979</t>
  </si>
  <si>
    <t>启明路店</t>
  </si>
  <si>
    <t>何若兮</t>
  </si>
  <si>
    <t>140000195004125973</t>
  </si>
  <si>
    <t>北京达美乐唐山分公司</t>
  </si>
  <si>
    <t>唐山</t>
  </si>
  <si>
    <t>唐山港岛中心店</t>
  </si>
  <si>
    <t>外服-唐山门店全职</t>
  </si>
  <si>
    <t>高睿睿</t>
  </si>
  <si>
    <t>2024-04-15</t>
  </si>
  <si>
    <t>110000196808192185</t>
  </si>
  <si>
    <t>唐家岭店</t>
  </si>
  <si>
    <t>颜半芹</t>
  </si>
  <si>
    <t>2024-04-17</t>
  </si>
  <si>
    <t>150000198507090291</t>
  </si>
  <si>
    <t>天荟未来之光城店</t>
  </si>
  <si>
    <t>倪俊晨</t>
  </si>
  <si>
    <t>2024-04-24</t>
  </si>
  <si>
    <t>2025-12-03</t>
  </si>
  <si>
    <t>110000199708147710</t>
  </si>
  <si>
    <t>桐乡</t>
  </si>
  <si>
    <t>嘉兴桐乡新永丰路店</t>
  </si>
  <si>
    <t>戴又菱</t>
  </si>
  <si>
    <t>2024-05-05</t>
  </si>
  <si>
    <t>150000196208094861</t>
  </si>
  <si>
    <t>冯芷卉</t>
  </si>
  <si>
    <t>2024-05-10</t>
  </si>
  <si>
    <t>140000198203211860</t>
  </si>
  <si>
    <t>平湖</t>
  </si>
  <si>
    <t>嘉兴平湖三港路店</t>
  </si>
  <si>
    <t>皇甫晓悦</t>
  </si>
  <si>
    <t>2024-08-01</t>
  </si>
  <si>
    <t>120000195001091622</t>
  </si>
  <si>
    <t>酒仙桥店</t>
  </si>
  <si>
    <t>万晨翔</t>
  </si>
  <si>
    <t>2024-06-13</t>
  </si>
  <si>
    <t>130000198505077778</t>
  </si>
  <si>
    <t>滨盛路店</t>
  </si>
  <si>
    <t>常梓睿</t>
  </si>
  <si>
    <t>2024-06-23</t>
  </si>
  <si>
    <t>15000019660216985X</t>
  </si>
  <si>
    <t>沙河隆兴购物广场店</t>
  </si>
  <si>
    <t>陈笑寒</t>
  </si>
  <si>
    <t>150000199301158428</t>
  </si>
  <si>
    <t>曹怜菡</t>
  </si>
  <si>
    <t>2024-09-11</t>
  </si>
  <si>
    <t>2025-11-30</t>
  </si>
  <si>
    <t>130000198804017515</t>
  </si>
  <si>
    <t>上海达美乐合肥分公司</t>
  </si>
  <si>
    <t>长丰</t>
  </si>
  <si>
    <t>合肥北城万达广场店</t>
  </si>
  <si>
    <t>外服-合肥门店全职</t>
  </si>
  <si>
    <t>覃友儿</t>
  </si>
  <si>
    <t>助理经理-学生</t>
  </si>
  <si>
    <t>150000199607135518</t>
  </si>
  <si>
    <t>烟台达美乐-外服派遣</t>
  </si>
  <si>
    <t>烟台</t>
  </si>
  <si>
    <t>烟台芝罘大悦城店</t>
  </si>
  <si>
    <t>外服-烟台门店全职（派遣）</t>
  </si>
  <si>
    <t>白宇铭</t>
  </si>
  <si>
    <t>2024-09-20</t>
  </si>
  <si>
    <t>11000019870416454X</t>
  </si>
  <si>
    <t>沈阳达美乐</t>
  </si>
  <si>
    <t>沈阳</t>
  </si>
  <si>
    <t>三台子万象汇店</t>
  </si>
  <si>
    <t>外服-沈阳门店全职</t>
  </si>
  <si>
    <t>王芷兰</t>
  </si>
  <si>
    <t>2024-10-08</t>
  </si>
  <si>
    <t>150000195409024981</t>
  </si>
  <si>
    <t>何从灵</t>
  </si>
  <si>
    <t>2024-10-09</t>
  </si>
  <si>
    <t>140000196011189018</t>
  </si>
  <si>
    <t>石家庄达美乐-外服派遣</t>
  </si>
  <si>
    <t>石家庄</t>
  </si>
  <si>
    <t>石家庄北国商城店</t>
  </si>
  <si>
    <t>外服-石家庄门店全职（派遣）</t>
  </si>
  <si>
    <t>董明轩</t>
  </si>
  <si>
    <t>2024-11-01</t>
  </si>
  <si>
    <t>110000199502176209</t>
  </si>
  <si>
    <t>铁西万象汇店</t>
  </si>
  <si>
    <t>蔡晨轩</t>
  </si>
  <si>
    <t>2024-11-04</t>
  </si>
  <si>
    <t>130000197005200082</t>
  </si>
  <si>
    <t>郑州达美乐</t>
  </si>
  <si>
    <t>郑州</t>
  </si>
  <si>
    <t>郑州绿地360广场店</t>
  </si>
  <si>
    <t>外服-郑州门店全职</t>
  </si>
  <si>
    <t>梁佳怡</t>
  </si>
  <si>
    <t>2024-12-02</t>
  </si>
  <si>
    <t>120000195605110429</t>
  </si>
  <si>
    <t>台州达美乐-外服派遣</t>
  </si>
  <si>
    <t>温岭</t>
  </si>
  <si>
    <t>台州温岭银泰店</t>
  </si>
  <si>
    <t>外服-台州门店全职（派遣）</t>
  </si>
  <si>
    <t>杨景煜</t>
  </si>
  <si>
    <t>2024-12-06</t>
  </si>
  <si>
    <t>130000196604263376</t>
  </si>
  <si>
    <t>登州南路店</t>
  </si>
  <si>
    <t>司空以山</t>
  </si>
  <si>
    <t>2025-02-13</t>
  </si>
  <si>
    <t>150000196206040478</t>
  </si>
  <si>
    <t>行知路店</t>
  </si>
  <si>
    <t>粱梦竹</t>
  </si>
  <si>
    <t>2025-02-26</t>
  </si>
  <si>
    <t>120000200109028572</t>
  </si>
  <si>
    <t>镇江达美乐</t>
  </si>
  <si>
    <t>镇江</t>
  </si>
  <si>
    <t>镇江苏宁广场店</t>
  </si>
  <si>
    <t>外服-镇江门店全职</t>
  </si>
  <si>
    <t>殷夜山</t>
  </si>
  <si>
    <t>2025-04-01</t>
  </si>
  <si>
    <t>110000197701301761</t>
  </si>
  <si>
    <t>梁景辉</t>
  </si>
  <si>
    <t>11000019500410359X</t>
  </si>
  <si>
    <t>中街盛京大家庭分店</t>
  </si>
  <si>
    <t>莫逸煜</t>
  </si>
  <si>
    <t>2025-04-12</t>
  </si>
  <si>
    <t>15000019810204903X</t>
  </si>
  <si>
    <t>沈辽路万达店</t>
  </si>
  <si>
    <t>林恨玉</t>
  </si>
  <si>
    <t>2025-04-14</t>
  </si>
  <si>
    <t>140000197701079119</t>
  </si>
  <si>
    <t>洛阳</t>
  </si>
  <si>
    <t>洛阳泉舜购物中心店</t>
  </si>
  <si>
    <t>马林悦</t>
  </si>
  <si>
    <t>2025-05-03</t>
  </si>
  <si>
    <t>140000198812084614</t>
  </si>
  <si>
    <t>闽侯</t>
  </si>
  <si>
    <t>福州永嘉天地店</t>
  </si>
  <si>
    <t>程景翔</t>
  </si>
  <si>
    <t>2025-05-23</t>
  </si>
  <si>
    <t>150000199506044524</t>
  </si>
  <si>
    <t>天津西青大学城慧学道店</t>
  </si>
  <si>
    <t>骆雨嫣</t>
  </si>
  <si>
    <t>2025-07-03</t>
  </si>
  <si>
    <t>120000196708014276</t>
  </si>
  <si>
    <t>徐州达美乐</t>
  </si>
  <si>
    <t>徐州</t>
  </si>
  <si>
    <t>徐州彭城壹号店</t>
  </si>
  <si>
    <t>外服-徐州门店全职</t>
  </si>
  <si>
    <t>田采盈</t>
  </si>
  <si>
    <t>2025-07-22</t>
  </si>
  <si>
    <t>150000196401136019</t>
  </si>
  <si>
    <t>芜湖达美乐-外服派遣</t>
  </si>
  <si>
    <t>芜湖</t>
  </si>
  <si>
    <t>芜湖八佰伴店</t>
  </si>
  <si>
    <t>外服-芜湖门店全职（派遣）</t>
  </si>
  <si>
    <t>尹从彤</t>
  </si>
  <si>
    <t>2025-09-15</t>
  </si>
  <si>
    <t>2025-12-28</t>
  </si>
  <si>
    <t>140000196407195692</t>
  </si>
  <si>
    <t>三间房西路</t>
  </si>
  <si>
    <t>廖宇晨</t>
  </si>
  <si>
    <t>2025-10-23</t>
  </si>
  <si>
    <t>120000196312034686</t>
  </si>
  <si>
    <t>西二旗店</t>
  </si>
  <si>
    <t>窦白易</t>
  </si>
  <si>
    <t>2025-11-13</t>
  </si>
  <si>
    <t>130000198101111131</t>
  </si>
  <si>
    <t>绍兴达美乐</t>
  </si>
  <si>
    <t>柯桥万达广场店</t>
  </si>
  <si>
    <t>外服-绍兴门店全职</t>
  </si>
  <si>
    <t>董平蝶</t>
  </si>
  <si>
    <t>2025-11-12</t>
  </si>
  <si>
    <t>140000197506116931</t>
  </si>
  <si>
    <t>盐城达美乐-外服派遣</t>
  </si>
  <si>
    <t>盐城</t>
  </si>
  <si>
    <t>聚龙湖金鹰店</t>
  </si>
  <si>
    <t>外服-盐城门店全职（派遣）</t>
  </si>
  <si>
    <t>秦宇澄</t>
  </si>
  <si>
    <t>2025-12-02</t>
  </si>
  <si>
    <t>140000195002058452</t>
  </si>
  <si>
    <t>姓名</t>
  </si>
  <si>
    <t>谭俊阳</t>
  </si>
  <si>
    <t>韦白山</t>
  </si>
  <si>
    <t>毛梓睿</t>
  </si>
  <si>
    <t>黄晨睿</t>
  </si>
  <si>
    <t>区域</t>
  </si>
  <si>
    <t>省份</t>
  </si>
  <si>
    <t>城市</t>
  </si>
  <si>
    <t>生效时间</t>
  </si>
  <si>
    <t>生育津贴支付途径 （企业账户/个人账户）</t>
  </si>
  <si>
    <t>产假期间单位 是否需要正常支付工资</t>
  </si>
  <si>
    <t>生育津贴和工资的 补差规定</t>
  </si>
  <si>
    <t>生育津贴相关文件依据</t>
  </si>
  <si>
    <t>病假工资支付标准</t>
  </si>
  <si>
    <t>病假工资最低标准</t>
  </si>
  <si>
    <t>病假工资计算规则（六个月以内）</t>
  </si>
  <si>
    <t>病假工资计算规则（六个月以上）</t>
  </si>
  <si>
    <t>病假工资相关文件依据</t>
  </si>
  <si>
    <t>东区</t>
  </si>
  <si>
    <t>个人账户</t>
  </si>
  <si>
    <t>是</t>
  </si>
  <si>
    <t>1、女职工生育或流产前12个月都在同一家单位缴纳社保，且员工生产前12个月的月平均工资高于单位申报的上一年度单位月平均工资，那单位就需要补差。 
2、女职工生育或流产当月所在用人单位的上年度职工月平均工资高于本市上年度社平工资300%以上的，高出部分由用人单位补差。</t>
  </si>
  <si>
    <t>沪府发〔2011〕35号、《上海市人口与计划生育条例》、沪府发（2013）5号、沪卫计指导（2016）11号、沪人社福发〔2016〕22号</t>
  </si>
  <si>
    <t>职工疾病或非因工负伤连续休假在6个月以内的，企业应按下列标准支付疾病休假工资：
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 
职工疾病或非因工负伤连续休假超过6个月的，由企业支付疾病救济费，
其中连续工龄不满1年的，按本人工资的40％计发；
连续工龄满1年不满3年的，按本人工资的50％计发；
连续工龄满3年及以上的，按本人工资的60％计发。</t>
  </si>
  <si>
    <t>不得低于当地最低工资标准的80%</t>
  </si>
  <si>
    <t>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t>
  </si>
  <si>
    <t>连续工龄不满1年的，按本人工资的40%计发；
连续工龄满1年不满3年的，按本人工资的50%计发；
连续工龄满3年及以上的，按本人工资的60%计发</t>
  </si>
  <si>
    <t>沪劳保发（95）83号、沪人社综发〔2016〕29号</t>
  </si>
  <si>
    <t>安徽</t>
  </si>
  <si>
    <t>合肥</t>
  </si>
  <si>
    <t>生育津贴相关政策：2025-1-1
病假工资相关政策：2010-10-29</t>
  </si>
  <si>
    <t>已申领生育津贴的单位不需要正常支付工资</t>
  </si>
  <si>
    <t>需要与所在单位协商</t>
  </si>
  <si>
    <t>《合肥市基本医疗保险待遇保障实施细则》</t>
  </si>
  <si>
    <t>劳动和同或与公司签订的相关法律文件有规定的按照规定执行，无规定的由公司决定或与员工协商一致</t>
  </si>
  <si>
    <t>合肥市最低工资标准的80%</t>
  </si>
  <si>
    <t>休假时间参考医疗期相关规定，工资计算规则无关工龄与休假时间，参考病假工资支付标准与病假工资最低标准执行</t>
  </si>
  <si>
    <t>《安徽省工资支付规定》第22条 https://hrss.ah.gov.cn/public/6595721/8442283.html
《企业职工患病或非因工负伤医疗期规定》https://www.mohrss.gov.cn/xxgk2020/fdzdgknr/zcfg/bmgz/202011/t20201103_394953.html</t>
  </si>
  <si>
    <t>生育津贴相关政策：2022-7-13
病假工资相关政策：2010-10-29</t>
  </si>
  <si>
    <t>关于印发《芜湖市生育保险和职工基本医疗保险合并实施办法》的通知</t>
  </si>
  <si>
    <t>在国家规定医疗期内的，用人单位应当按照劳动合同和集体合同的约定向劳动者支付病伤假工资。病伤假工资不得低于当地最低工资标准的80％。</t>
  </si>
  <si>
    <t>江苏</t>
  </si>
  <si>
    <t>泰州</t>
  </si>
  <si>
    <t>生育津贴相关政策：2014-10-1
生育津贴发放至个人政策：2025-11-1
病假工资相关政策：2005-1-1</t>
  </si>
  <si>
    <t>职工享受的生育津贴低于其产假或者休假前工资的标准的，由用人单位予以补足；高于其产假或者休假前工资的标准的，用人单位不得截留。</t>
  </si>
  <si>
    <t>　《江苏省职工生育保险规定》《江苏省关于优化生育政策促进人口长期均衡发展实施方案》《关于调整生育保险生育津贴发放方式的通知》-苏医保发【2025】37号</t>
  </si>
  <si>
    <t xml:space="preserve">《江苏省工资支付条例》第二十七条 劳动者患病或者非因工负伤停止劳动，且在国家规定医疗期内的，用人单位应当按照工资分配制度的规定以及劳动合同、集体合同的约定或者国家有关规定，向劳动者支付病假工资或者疾病救济费。
病假工资、疾病救济费不得低于当地最低工资标准的百分之八十。国家另有规定的，从其规定。
</t>
  </si>
  <si>
    <t>病假工资、疾病救济费不得低于当地最低工资标准的百分之八十。国家另有规定的，从其规定。
按照当地最低工资标准的百分之八十支付给劳动者病假工资、疾病救济费和生活费的，必须同时承担应当由劳动者个人缴纳的社会保险费和住房公积金。</t>
  </si>
  <si>
    <t>1、江苏省工资支付条例：https://www.jsrd.gov.cn/qwfb/sjfg/202110/t20211008_532348.shtml
2、《劳动保险条例实施细则修正草案》--http://www.jincao.com/fa/12/law12.19.htm
3、《企业职工患病或非因工负伤医疗期规定》（劳部发[1994]479号）--https://www.mohrss.gov.cn/xxgk2020/gzk/gz/202112/t20211228_431556.html</t>
  </si>
  <si>
    <t>生育津贴相关政策：2014-10-1
病假工资相关政策：2005-1-1</t>
  </si>
  <si>
    <t>《江苏省职工生育保险规定》</t>
  </si>
  <si>
    <t>淮安</t>
  </si>
  <si>
    <t>　《江苏省职工生育保险规定》《江苏省关于优化生育政策促进人口长期均衡发展实施方案》</t>
  </si>
  <si>
    <t>南通</t>
  </si>
  <si>
    <t>生育津贴相关政策：2010-7-1
病假工资相关政策：2005-1-1</t>
  </si>
  <si>
    <t>生育津贴与产假工资不重复享受，职工产假或者休假期间，享受的生育津贴低于其产假或者休假前工资的标准的，由用人单位补足；高于其产假或者休假前工资的标准的，用人单位不得截留</t>
  </si>
  <si>
    <t>《关于调整市区生育保险待遇和结算办法的通知》</t>
  </si>
  <si>
    <t>苏州园区</t>
  </si>
  <si>
    <t>生育津贴相关政策：2015-5-1
病假工资相关政策：2010-11-1</t>
  </si>
  <si>
    <t>《苏州市职工生育保险管理办法》</t>
  </si>
  <si>
    <t>生育津贴相关政策：2008-1-1
病假工资相关政策：2005-1-1</t>
  </si>
  <si>
    <t>职工产假或者休假期间，享受的生育津贴低于其产假或者休假前工资的标准的，由用人单位予以补足；高于其产假或者休假前工资的标准的，用人单位不得截留。</t>
  </si>
  <si>
    <t>《南京市城镇职工生育保险办法》https://www.nanjing.gov.cn/zxfwn/ztfw/sb/zcxx_74497/zcwj/200803/t20080307_1056333.html
《南京市医保待遇政策解读——职工生育保险生育津贴和一次性营养补助篇》https://ybj.nanjing.gov.cn/gzdt/202403/t20240325_4194222.html</t>
  </si>
  <si>
    <t>生育津贴相关政策：2015-1-1
病假工资相关政策：2005-1-1</t>
  </si>
  <si>
    <t>职工在产假或者休假期间，生育津贴高于职工产假前工资标准的，用人单位可以不在发放工资；生育津贴低于产假前工资标准的，用人单位应当按照《江苏省工资支付条例》等有关规定，予以补足</t>
  </si>
  <si>
    <t>《无锡市政府印发关于贯彻江苏省职工生育保险规定实施意见的通知》、《江苏省关于调整生育保险生育津贴发放方式的通知》</t>
  </si>
  <si>
    <t>宜兴</t>
  </si>
  <si>
    <t>《江苏省职工生育保险规定》、《江苏省关于调整生育保险生育津贴发放方式的通知》</t>
  </si>
  <si>
    <t>昆山</t>
  </si>
  <si>
    <t>常熟</t>
  </si>
  <si>
    <t>职工在产假或者休假期间，享受的生育津贴低于其产假或者休假前工资的标准的，由用人单位予以补足；高于其产假或者休假前工资的标准的，用人单位不得截留。</t>
  </si>
  <si>
    <t>根据《江苏省职工生育保险规定》（江苏省人民政府令第94号http://ybj.jiangsu.gov.cn/art/2020/7/28/art_79257_9329657.html
第十八条规定，职工产假或者休假期间，享受的生育津贴低于其产假或者休假前工资的标准的，由用人单位予以补足；高于其产假或者休假前工资的标准的，用人单位不得截留。　</t>
  </si>
  <si>
    <t>《2025年度常州市生育政策待遇宣传提纲》</t>
  </si>
  <si>
    <t>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t>
  </si>
  <si>
    <t>连续工龄不满1年的，按本人工资的40%计发；
连续工龄满1年不满3年的，按本人工资的50%计发；
连续工龄满3年及以上的，按本人工资的60%计发。</t>
  </si>
  <si>
    <t>1、江苏省工资支付条例：https://www.jsrd.gov.cn/qwfb/sjfg/202110/t20211008_532348.shtml
2、《劳动保险条例实施细则修正草案》--http://www.jincao.com/fa/12/law12.19.htm
3、《企业职工患病或非因工负伤医疗期规定》（劳部发[1994]479号）--https://www.mohrss.gov.cn/xxgk2020/gzk/gz/202112/t20211228_431557.html</t>
  </si>
  <si>
    <t>溧阳</t>
  </si>
  <si>
    <t>江西</t>
  </si>
  <si>
    <t>南昌</t>
  </si>
  <si>
    <t>生育津贴相关政策：2020-1-1
病假工资相关政策：2007-7-1</t>
  </si>
  <si>
    <t>否</t>
  </si>
  <si>
    <t>第十六条  生育津贴为参保女职工在规定的产假及计划生育手术假期期间获得的工资性补偿。生育津贴按照职工所在用人单位上年度职工月平均工资计发;以个人身份参保的,生育津贴按照本人上年度生育保险月平均缴费基数计发。</t>
  </si>
  <si>
    <t>《南昌市生育保险和职工基本医疗保险合并实施细则》</t>
  </si>
  <si>
    <t>第二十五条 劳动者因病或者非因工负伤停止工作在医疗期内的，用人单位应当按照劳动合同、集体合同的约定支付病伤假工资。用人单位支付给劳动者病伤假工资，在扣除其本人按照规定应当缴纳的社会保险费和其他费用之后，不得低于当地最低工资标准的百分之八十。</t>
  </si>
  <si>
    <t>江西省工资支付规定</t>
  </si>
  <si>
    <t>《江西省工资支付规定》</t>
  </si>
  <si>
    <t>浙江</t>
  </si>
  <si>
    <t>《浙江省女职工保护办法》浙江省人民政府令第355号：2017年6月1日起（(2017年4月14日浙江省人民政府令第355号公布　根据2023年12月29日浙江省人民政府令第402号公布的《浙江省人民政府关于修改〈浙江省房屋建筑白蚁防治管理办法〉等4件规章的决定》第一次修正)
《浙江省人民政府关于印发浙江省生育保险办法的通知》浙政发〔2024〕15号：2024年7月1日起
《浙江省企业工资支付管理办法》：2017年5月1日起</t>
  </si>
  <si>
    <t>《浙江省女职工保护办法》第十六条　
第十六条　女职工参加生育保险的，按照本办法规定的产假天数（包括延长产假的天数）享受产假期间的生育津贴。生育津贴按照用人单位上年度职工月平均工资的标准由生育保险基金支付。
女职工未参加生育保险的，由用人单位按照女职工产假前工资标准支付其产假期间的工资。第九条用人单位不得因女职工结婚、怀孕、生育、哺乳等情形，降低其工资和福利待遇、限制其晋级、予以辞退、单方解除其劳动合同或者聘用合同，法律、法规另有规定的除外。</t>
  </si>
  <si>
    <t>《浙江省女职工保护办法》浙江省人民政府令第355号：2017年6月1日起（(2017年4月14日浙江省人民政府令第355号公布　根据2023年12月29日浙江省人民政府令第402号公布的《浙江省人民政府关于修改〈浙江省房屋建筑白蚁防治管理办法〉等4件规章的决定》第一次修正)
https://www.zj.gov.cn/art/2024/1/11/art_1229604638_2509915.html?sid_for_share=99125_3
《浙江省人民政府关于印发浙江省生育保险办法的通知》浙政发〔2024〕15号
https://www.zj.gov.cn/art/2024/7/1/art_1229017138_2523846.html</t>
  </si>
  <si>
    <t>企业支付的病伤假工资，不得低于当地人民政府确定的最低工资标准的百分之八十，企业职工可按现行法律法规政策以及企业依法制定的规章制度执行。</t>
  </si>
  <si>
    <t>最低工资标准的百分之八十</t>
  </si>
  <si>
    <t xml:space="preserve">1.《浙江省企业工资支付管理办法》
http://rlsbt.zj.gov.cn/art/2013/3/19/art_1229506671_298472.html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</si>
  <si>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生育津贴发放方式：2025/7/1（申请时间）
生育津贴相关政策：2024/7/1起
病假工资发放标准：2021/8/9起
最低工资标准：2024/1/1</t>
  </si>
  <si>
    <t xml:space="preserve">《浙江省女职工劳动保护办法》（2023修改）　
第九条　用人单位不得因女职工结婚、怀孕、生育、哺乳等情形，降低其工资和福利待遇、限制其晋级、予以辞退、单方解除其劳动合同或者聘用合同，法律、法规另有规定的除外。
（在上一版本基础上修改的部门：第十六条第一款删除了“用人单位不再支付产假期间工资。生育津贴计发标准高于女职工产假前工资标准的，用人单位不得克扣差额部分；低于女职工产假前工资标准的，有条件的用人单位可以对差额部分予以补足”的表述。）
2025年6月18日，关于“生育津贴低于女职工产前工资，用人单位应否补足”的相关问题，浙江省人社厅答复如下：
删除“有条件补足”是基于《妇女权益保障法》第四十八条“用人单位不得因结婚、怀孕、产假、哺乳等情形，降低女职工的工资和福利待遇……”之规定，劳动者可按照《浙江省女职工劳动保护办法》第九条第二款之规定，要求用人单位对差额部分予以补足。
</t>
  </si>
  <si>
    <t>浙江省人民政府关于印发浙江省生育保险办法的通知
https://www.zj.gov.cn/art/2024/7/1/art_1229017138_2523846.html
浙江省女职工劳动保护办法
https://www.zj.gov.cn/art/2024/1/11/art_1229604638_2509915.html</t>
  </si>
  <si>
    <t xml:space="preserve">1.《浙江省企业工资支付管理办法》
http://rlsbt.zj.gov.cn/art/2013/3/19/art_1229506671_298472.html 
企业支付的病伤假工资，不得低于当地人民政府确定的最低工资标准的百分之八十，企业职工可按现行法律法规政策以及企业依法制定的规章制度执行。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</si>
  <si>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湖州</t>
  </si>
  <si>
    <t>义乌</t>
  </si>
  <si>
    <t>金华</t>
  </si>
  <si>
    <t>慈溪</t>
  </si>
  <si>
    <t xml:space="preserve">《浙江省女职工保护办法》浙江省人民政府令第355号：2017年6月1日起
《浙江省人民政府关于印发浙江省生育保险办法的通知》浙政发〔2024〕15号：2024年7月1日起
《浙江省企业工资支付管理办法》：2017年5月1日起
</t>
  </si>
  <si>
    <t>《浙江省女职工保护办法》第十六条　
女职工参加生育保险的，按照本办法规定的产假天数享受产假期间的生育津贴。生育津贴按照用人单位上年度职工月平均工资的标准由生育保险基金支付，用人单位不再支付产假期间工资。生育津贴计发标准高于女职工产假前工资标准的，用人单位不得克扣差额部分；低于女职工产假前工资标准的，有条件的用人单位可以对差额部分予以补足。女职工未参加生育保险的，由用人单位按照女职工产假前工资标准支付其产假期间的工资。</t>
  </si>
  <si>
    <t>浙江省人民政府令第355号《浙江省女职工劳动保护办法》
https://www.zj.gov.cn/art/2022/4/1/art_1229621096_2399551.html
《浙江省人民政府关于印发浙江省生育保险办法的通知》浙政发〔2024〕15号
https://www.zj.gov.cn/art/2024/7/1/art_1229017138_2523846.html</t>
  </si>
  <si>
    <t xml:space="preserve">1.《浙江省企业工资支付管理办法》
http://rlsbt.zj.gov.cn/art/2013/3/19/art_1229506671_298472.html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</si>
  <si>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台州</t>
  </si>
  <si>
    <t>海宁</t>
  </si>
  <si>
    <t>乐清</t>
  </si>
  <si>
    <t>福建</t>
  </si>
  <si>
    <t>生育津贴：2020.05.01
病假工资：2005.05.01</t>
  </si>
  <si>
    <t>生育津贴与产假工资不重复发放
法律法规未明确劳动者领取生育津贴期间用人单位应发放工资或者领取标准低于实际工资水平的应补足差额</t>
  </si>
  <si>
    <t>福建省医疗保障局福建省财政关于善生育保险与职工基本医疗保险合并实施有关政策的通知（闽医保(2019)114号）http://ybj.fujian.gov.cn/zfxxgkzl/fdzdgknr/zcwj/201912/P020191231691839598780.pdf</t>
  </si>
  <si>
    <t>1.用人单位应当按照国家有关规定支付劳动者病假期间的工资；
2.但不得低于当地最低工资标准的80%；
3.员工本人工资低于该企业的平均工资者，领取疾病或非因工负伤救济费时，如其所得救济费数额低于该企业的平均工资40%，应按平均工资40%发给，但不得高于本人工资。</t>
  </si>
  <si>
    <t>不得低于当地最低工资标准的80%；</t>
  </si>
  <si>
    <t>1. 《劳动保险条例实施细则修正草案》（1953）
2. 《企业职工患病或非因工负伤医疗期规定》（1995）
3. 《关于贯彻执行〈劳动法〉若干问题的意见》</t>
  </si>
  <si>
    <t>厦门</t>
  </si>
  <si>
    <t>http://hrss.xm.gov.cn/ztzl/12333/rdwt/ldgz/202411/t20241118_2901675.htm
http://ylbz.xm.gov.cn/wsdt/xxcx/dybz/202412/t20241231_2909988.htm
https://ybj.fujian.gov.cn/zfxxgkzl/fdzdgknr/zcwj/202005/t20200514_5265013.htm</t>
  </si>
  <si>
    <t xml:space="preserve"> 劳动者因病或者非因工负伤停止工作进行医疗，在规定的医疗期内，用人单位应当根据劳动者医疗期和工龄长短，按照国家有关规定支付劳动者病假期间的工资，但不得低于本市当年度最低工资标准的百分之八十。</t>
  </si>
  <si>
    <t>《厦门市企业工资支付条例》
http://hrss.xm.gov.cn/xxgk/zfxxgkzl/zfxxgkml/zcfg/qtwj/201012/t20101209_1302195.htm</t>
  </si>
  <si>
    <t>泉州</t>
  </si>
  <si>
    <t>生育津贴与产假工资不重复发放。参保人员由职工基本医疗保险基金支付生育津贴期间，用人单位不再发放工资。</t>
  </si>
  <si>
    <t xml:space="preserve">http://ybj.fujian.gov.cn/zfxxgkzl/fdzdgknr/zcwj/201912/P020191231691839598780.pdf </t>
  </si>
  <si>
    <t>漳州</t>
  </si>
  <si>
    <t>莆田</t>
  </si>
  <si>
    <t>北区</t>
  </si>
  <si>
    <t>企业账户</t>
  </si>
  <si>
    <t>女方在第一段产假期间的生育津贴，已经参加生育保险的,由医保基金按照用人单位上年度职工月平均工资的标准进行支付；
如果没有参加生育保险，生育津贴由用人单位按照女职工产假前工资的标准进行支付。
女职工在第二段休延长生育假期间，已参加生育保险的，原有的30天的生育津贴，还是由医保基金按照生育津贴的标准支付。
剩余30天延长生育假的生育津贴，在医保部门没有发布通知前，可以由各单位比照生育津贴给予待遇。
其在女职工休第三段增加假期间，工资待遇可以和单位进行协商，建议单位支付的待遇不要低于本市最低工资的80%。</t>
  </si>
  <si>
    <t>1、生育津贴高于本人工资标准的，用人单位不得克扣 
2、生育津贴低于本人工资标准的，差额部分由企业补足。</t>
  </si>
  <si>
    <t>《北京市人口与计划生育条例》，《北京市关于调整本市职工生育保险相关政策的通知》（京人社医发[2016]99号）</t>
  </si>
  <si>
    <t>按照劳动合同的约定和企业制度支付病假工资</t>
  </si>
  <si>
    <t>《北京市工资支付规定》</t>
  </si>
  <si>
    <t>辽宁</t>
  </si>
  <si>
    <t>由生育保险基金按照职工所在用人单位上年度职工月平均工资计发的生育生活津贴，低于参保人员本人产假前或护理假前原工资标准的，其差额部分由用人单位补齐；高于参保人员本人产假前或护理假前原工资标准的，按标准发放，用人单位不得截留</t>
  </si>
  <si>
    <t>沈劳社发[2006]33号、《沈阳市城镇职工生育保险办法》市政府〔2005〕第43号令</t>
  </si>
  <si>
    <t>劳动者患病或者非因工负伤停止劳动的，在规定的医疗期内，用人单位应当根据劳动合同或者集体合同的约定支付病假工资，但不得低于当地最低工资标准的80％</t>
  </si>
  <si>
    <t>不得低于当地最低工资标准的80％</t>
  </si>
  <si>
    <t>辽宁省工资支付规定</t>
  </si>
  <si>
    <t>大连</t>
  </si>
  <si>
    <t>2023-03-01</t>
  </si>
  <si>
    <t>以怀孕期间所在单位上年度生育保险月平均缴费基数为待遇基数÷30×产假天数。生育津贴高于本人工资标准的，按标准发放；生育津贴低于本人工资标准的，差额部分由企业补足。</t>
  </si>
  <si>
    <t>《辽宁省人口与计划生育条例》《辽宁省女职工劳动保护办法》</t>
  </si>
  <si>
    <t>劳动者患病或者非因工负伤停止劳动的，在规定的医疗期内，用人单位应当根据劳动合同或者集体合同的约定支付病假工资，但不得低于当地最低工资标准的80％。</t>
  </si>
  <si>
    <t>在医疗期内企业支付的病假工资标准不得低于最低工资标准的80%</t>
  </si>
  <si>
    <t>企业职工患病或非因工负伤医疗期规定(劳部发[1994]479号)、辽宁省工资支付规定</t>
  </si>
  <si>
    <t>吉林</t>
  </si>
  <si>
    <t>长春</t>
  </si>
  <si>
    <t>2006-01-01</t>
  </si>
  <si>
    <t>政策未明确规定产假期间单位是否需要正常支付工资。
政策规定职工在享受婚假、产假、护理假、育儿假期间，按其正常工作对待，工资、奖金照发，其他福利待遇不变。生育津贴低于女职工本人工资标准的，差额部分由用人单位补足。</t>
  </si>
  <si>
    <t>生育津贴低于女职工本人工资标准的，差额部分由用人单位补足。</t>
  </si>
  <si>
    <t>吉林省城镇职工生育保险办法</t>
  </si>
  <si>
    <t>劳动者患病或者非因工负伤停止工作，在规定医疗期内，企业按照不低于当地最低工资标准的80%支付其病假工资。</t>
  </si>
  <si>
    <t>吉林省企业工资支付办法</t>
  </si>
  <si>
    <t>内蒙古</t>
  </si>
  <si>
    <t>呼和浩特</t>
  </si>
  <si>
    <t>无明确规定，但如果工资高与生育津贴，就高补差金额原则处理</t>
  </si>
  <si>
    <t>《内蒙古自治区人口与计划生育条例》http://rsj.huhhot.gov.cn/ztzl/gjhxldgx/202201/t20220117_1167117.html
关于呼和浩特市生育保险和城镇职工基本医疗保险合并实施有关事宜的通知http://www.huhhot.gov.cn/bmxxgk/szfzcbm/sylbzj_22432/fdzdgknr_25424/qt/ggfwyms/201912/t20191226_945424.html</t>
  </si>
  <si>
    <t>劳动者因病或者非因工负伤停止工作进行治疗，在规定的治疗期内，用人单位应当按照国家有关规定支付劳动者病假期间的工资，但不得低于当地最低工资标准的80%</t>
  </si>
  <si>
    <t>根据劳动保险条例第十三条乙款的规定，应由该企业行政方面或资方按下列标准支付病伤假期工资：本企业工龄不满二年者，为本人工资百分之六十；已满二年不满四年者，为本人工资百分之七十；已满四年不满六年者，为本人工资百分之八十；已满六年不满八年者，为本人工资百分之九十；已满八年及八年以上者，为本人工资百分之一百</t>
  </si>
  <si>
    <t>据劳动保险条例第十三条乙款的规定，病伤假期工资停发，改由劳动保险基金项下，按月付给疾病或非因工负伤救济费，其标准如下：本企业工龄不满一年者，为本人工资百分之四十；已满一年未满三年者，为本人工资百分之五十；三年及三年以上者，为本人工资百分之六十。此项救济费付至能工作或确定为残废或死亡时止。</t>
  </si>
  <si>
    <t>《中华人民共和国劳动保险条例实施细则修正草案》第五章 关于疾病、非因工负伤、非因工残废待遇的规定</t>
  </si>
  <si>
    <t>陕西</t>
  </si>
  <si>
    <t>西安</t>
  </si>
  <si>
    <t>2002-09-29</t>
  </si>
  <si>
    <t>根据《陕西省人口与计划生育条例》规定：职工在婚假、产假、护理假期间按出勤对待，享受相应的工资、福利待遇。
随用人单位参保的女职工休产假时，按国家规定（国务院《女职工劳动保护特别规定》）的产假天数享受生育津贴待遇。医疗保险经办机构拨付的费用不足于支付本人工资的，差额部分由用人单位补足。
符合省、市规定的其他增加产假期间的工资待遇，由用人单位发放。</t>
  </si>
  <si>
    <t>《陕西省实施女职工劳动保护特别规定》
https://www.shaanxi.gov.cn/zfxxgk/fdzdgknr/zcwj/nszfgz/202208/t20220804_2233087.html
《陕西省人口与计划生育条例》
https://www.shaanxi.gov.cn/xw/sxyw/202205/t20220526_2222352.html</t>
  </si>
  <si>
    <t>根据《陕西省企业工资支付条例》第二十条规定，劳动者患病或者非因工负伤治疗期间，在规定的医疗期内，用人单位应当按照不低于劳动合同约定的工资标准的70%支付病假工资，但病假工资不得低于当地最低工资标准的80%。</t>
  </si>
  <si>
    <t>不得低于当地最低工资标准的80％，2160*80%=1728</t>
  </si>
  <si>
    <t>《陕西省企业工资支付条例》</t>
  </si>
  <si>
    <t>河南</t>
  </si>
  <si>
    <t>2024-12-01</t>
  </si>
  <si>
    <t>生育津贴低于女职工生育或者实施计划生育手术前工资水平的，差额部分由用人单位补足。</t>
  </si>
  <si>
    <t>《河南省职工生育保险办法》</t>
  </si>
  <si>
    <t>职工患病或非因工负伤治疗期间，在规定的医疗期间内由企业按有关规定支付其病假工资或疾病救济费，病假工资或疾病救济费可以低于当地最低工资标准支付，但不能低于最低工资标准的８０％。超出医疗期的，由企业和职工协商确定。</t>
  </si>
  <si>
    <t>不得低于当地最低工资标准的80％，2100*08%=1680</t>
  </si>
  <si>
    <t>病假工资统一规定，不区分6个月内外</t>
  </si>
  <si>
    <t>关于企业职工休病假（包括长期病假）期间，请假职工发放工资的基数、比例等问题，请问河南省有哪些相关规定？</t>
  </si>
  <si>
    <t>山东</t>
  </si>
  <si>
    <t>2022-07-01</t>
  </si>
  <si>
    <t>一胎生育津贴：98天+增加产假60天；二胎生育津贴98天，增加产假60天工资按照《山东省人口与计划生育条例》规定由单位支付；三胎参照二胎政策执行。</t>
  </si>
  <si>
    <t xml:space="preserve"> 按照《山东省人口与计划生育条例》第二十五条“符合法律和本条例规定生育子女的夫妻，除国家规定的产假外，增加产假六十日，并给予男方护理假七日。增加的产假、护理假，视为出勤，工资照发，福利待遇不变”的规定，对女职工生育增加的六十日产假，由用人单位发放工资、福利待遇不变。生育津贴和工资不重复享受。</t>
  </si>
  <si>
    <t>济南地区2025年职工生育保险待遇
https://ybj.jinan.gov.cn/art/2025/1/22/art_38827_4771153.html</t>
  </si>
  <si>
    <t>《山东省企业工资支付规定》第二十六条:劳动者患病或者非因工负伤，在国家规定的医疗期内的，企业应当按照国家和省有关规定支付病假工资或者疾病救济费，病假工资或者疾病救济费不得低于当地最低工资标准的80%。
http://www.shandong.gov.cn/art/2022/7/27/art_266672_1543.html
企业职工患病或非因工负伤，在医疗期内，停工医疗累计不超过180天的，由企业发给本人工资70%的病假工资；
累计超过180天的，发给本人工资60%的疾病救济费。医疗期内的医疗待遇仍按现行规定执行。</t>
  </si>
  <si>
    <t>济南市最低工资标准：2200 元 / 月病假工资最低为 1760元 / 月。</t>
  </si>
  <si>
    <t>企业职工患病或非因工负伤，在医疗期内，停工医疗累计不超过180天的，由企业发给本人工资70%的病假工资，不得低于当地最低工资标准的80%。医疗期内的医疗待遇仍按现行规定执行。</t>
  </si>
  <si>
    <t>企业职工患病或非因工负伤，在医疗期内，停工医疗累计超过180天的，发给本人工资60%的疾病救济费，病假工资或者疾病救济费不得低于当地最低工资标准的80%。医疗期内的医疗待遇仍按现行规定执行。</t>
  </si>
  <si>
    <t>（1）《山东省企业工资支付规定》
http://www.shandong.gov.cn/art/2022/7/27/art_266672_1543.html
（2）企业职工患病或非因工负伤医疗期规定（1994年12月1日劳部发〔1994〕479号公布，自1995年１月１日起施行）
https://www.mohrss.gov.cn/xxgk2020/gzk/gz/202112/t20211228_431556.html
（3）山东省劳动厅转发劳动部《关于发布＜企业职工患病或非因工负伤医疗期规定＞的通知》的通知（鲁劳发〔1995〕67号　1995年3月9日）
http://hrss.shandong.gov.cn/articles/ch00472/201504/51915.shtml</t>
  </si>
  <si>
    <t>一胎/二胎生育津贴：98天，增加产假60天工资按照《山东省人口与计划生育条例》规定由单位支付；三胎参照二胎政策执行。</t>
  </si>
  <si>
    <t>（1）医保政策——职工生育保险政策
https://ybj.yantai.gov.cn/art/2022/1/7/art_40072_2879514.html
（2）烟台市优化调整生育保险政策
https://ybj.yantai.gov.cn/art/2024/1/17/art_33363_2880166.html
（3）2024年职工医保政策
https://ybj.yantai.gov.cn/art/2024/3/18/art_33363_2880217.html</t>
  </si>
  <si>
    <t>烟台市最低工资标准：2200 元 / 月，病假工资最低为 1760元 / 月。</t>
  </si>
  <si>
    <t>前98天生育津贴=职工生产时所在用人单位上年度月平均工资核定的缴费基数÷30天X享受天数。
后60天产假工资由客户公司发放，女职工休产假上一月份提供正常劳动的，按照女职工休产假上一月份正常提供劳动所得实际工资扣除该月加班工资后的数额确定。女职工休产假上一月份没有提供正常劳动的，按照向前顺推至其正常劳动月份所得实际工资扣除该月加班工资后的数额确定。</t>
  </si>
  <si>
    <t>《山东省人口与计划生育条例》规定增加的60天产假、护理假,视为出勤,工资由用人单位照发,福利待遇不变。</t>
  </si>
  <si>
    <t>根据《青岛市企业工资支付规定》：
第二十条　劳动者因病或者非因工负伤停止工作,用人单位应当按照以下标准支付病假工资或疾病救济费:
（一）在规定的医疗期内,停工医疗累计不超过6个月的,由用人单位发给本人工资70%的病假工资;
（二）在规定的医疗期内,停工医疗累计超过6个月的,发给本人工资60%的疾病救济费;　
（三）超过医疗期,用人单位未按规定组织劳动能力鉴定的,按不低于当地最低工资标准的80%支付疾病救济费。
病假工资和疾病救济费最低不得低于当地最低工资标准的80%,最高不超过企业上年度职工月平均工资。　　
本条所称本人工资,是指劳动者本人患病前12个月的月平均工资。劳动者工作不满12个月的,按实际工作月数的月平均工资计算。</t>
  </si>
  <si>
    <t>病假工资和疾病救济费最低不得低于当地最低工资标准的80%,最高不超过企业上年度职工月平均工资。　　</t>
  </si>
  <si>
    <t>潍坊</t>
  </si>
  <si>
    <t>生育保险政策指南；http://ybj.weifang.gov.cn/61640/xx6094199.html；</t>
  </si>
  <si>
    <t>潍坊市最低工资标准：2200 元 / 月病假工资最低为 1760元 / 月。</t>
  </si>
  <si>
    <t>济宁</t>
  </si>
  <si>
    <t>关于进一步提高生育医疗保险待遇
促进妇幼工作健康发展若干措施的通知
济医保发〔2023〕17号https://sybj.jining.gov.cn/art/2023/11/20/art_31432_2709111.html</t>
  </si>
  <si>
    <t>济宁市最低工资标准：2010 元 / 月病假工资最低为1608元 / 月。</t>
  </si>
  <si>
    <t>山西</t>
  </si>
  <si>
    <t>太原</t>
  </si>
  <si>
    <t>2025-05-01</t>
  </si>
  <si>
    <t>未有明确规定，可协商</t>
  </si>
  <si>
    <t>女职工生育津贴高于本人工资标准的，全额计发；低于本人工资标准的，用人单位补足。</t>
  </si>
  <si>
    <t>并医疗中心字【2019】128号</t>
  </si>
  <si>
    <t>2016-01-01</t>
  </si>
  <si>
    <t>用人单位应核算员工产假期间工资，如工资高于员工津贴，差额应由企业补足。</t>
  </si>
  <si>
    <t>津社保【2015】 60号；津医保中心发〔2024〕28号；津医保中心发【2023】4号；津政办规【2022】 18号</t>
  </si>
  <si>
    <t>无</t>
  </si>
  <si>
    <t>《天津市工资支付规定》</t>
  </si>
  <si>
    <t>河北</t>
  </si>
  <si>
    <t>廊坊</t>
  </si>
  <si>
    <t>2020-01-01</t>
  </si>
  <si>
    <t>根据各个公司规定执行</t>
  </si>
  <si>
    <t>生育津贴低于职工本人工资标准的，差额部分由用人单位补足</t>
  </si>
  <si>
    <t>廊医保规〔2019〕10号--关于印发《廊坊市生育保险和城镇职工基本医疗保险合并实施细则》的通知</t>
  </si>
  <si>
    <t>劳动者因病或者非因工负伤停止工作在规定医疗期内的，用人单位应当按照国家规定标准支付病假工资或者疾病救济费。病假工资或者疾病救济费不得低于当地最低工资标准的百分之八十。</t>
  </si>
  <si>
    <t>不得低于当地最低工资标准的80%‌</t>
  </si>
  <si>
    <t>因病休假六个月以内，连续工龄不满五年者，病假工资为本人现行工资标准的百分之六十；
满五年不满十年者，为百分之七十；
满十年不满十五年者，为百分之八十；
满十五年不满二十年者，为百分之九十；
满二十年以上者，为百分之百。</t>
  </si>
  <si>
    <t>执行疾病救济费的休假六个月以上，连续工龄不满五年者，为本人现行工资标准的百分之五十五；
满五年不满十年者，为百分之六十；
满十年不满十五年者，为百分之六十五；
满十五年不满二十年者，为百分之七十；
满二十年以上者，为百分之七十五。</t>
  </si>
  <si>
    <t>《关于贯彻实施(河北省工资支付规定〉有关问题的通知》</t>
  </si>
  <si>
    <t>邯郸</t>
  </si>
  <si>
    <t>2025-01-01</t>
  </si>
  <si>
    <t>邯医保规〔2024〕5号-关于印发《邯郸市职工基本医疗保险实施办法》的通知</t>
  </si>
  <si>
    <t>三河</t>
  </si>
  <si>
    <t>2023-01-01</t>
  </si>
  <si>
    <t>唐山市城镇职工基本医疗保险实施办法</t>
  </si>
  <si>
    <t>《关于贯彻实施&lt;河北省工资支付规定&gt;有关问题的通知》</t>
  </si>
  <si>
    <t>石家庄市人民政府关于印发石家庄市职工基本医疗保险实施办法的通知</t>
  </si>
  <si>
    <t>就业比例</t>
  </si>
  <si>
    <t>征收比例</t>
  </si>
  <si>
    <t>法人公司</t>
  </si>
  <si>
    <t>Column_G</t>
  </si>
  <si>
    <t>Column_H</t>
  </si>
  <si>
    <t>Column_I</t>
  </si>
  <si>
    <t>Column_J</t>
  </si>
  <si>
    <t>Column_K</t>
  </si>
  <si>
    <t>Column_L</t>
  </si>
  <si>
    <t>华北</t>
  </si>
  <si>
    <t>北京达美乐比萨饼有限公司</t>
  </si>
  <si>
    <t>华东</t>
  </si>
  <si>
    <t>达美乐比萨（常州）有限公司</t>
  </si>
  <si>
    <t>成都达美乐</t>
  </si>
  <si>
    <t>华西</t>
  </si>
  <si>
    <t>成都</t>
  </si>
  <si>
    <t>达美乐比萨（成都）餐饮管理有限公司</t>
  </si>
  <si>
    <t>上海达美乐浙江分公司</t>
  </si>
  <si>
    <t>达美乐比萨（杭州）有限公司杭州分公司</t>
  </si>
  <si>
    <t>达美乐比萨（合肥）有限公司</t>
  </si>
  <si>
    <t>达美乐比萨（济南）有限公司</t>
  </si>
  <si>
    <t>达美乐比萨（青岛）有限公司</t>
  </si>
  <si>
    <t>三河达美乐</t>
  </si>
  <si>
    <t>三河市达美乐比萨饼有限公司</t>
  </si>
  <si>
    <t>达势腾飞企业管理（上海）有限公司</t>
  </si>
  <si>
    <t>达势腾飞数字科技（上海）有限公司</t>
  </si>
  <si>
    <t>达势投资有限公司上海分公司</t>
  </si>
  <si>
    <t>上海达美乐比萨有限公司</t>
  </si>
  <si>
    <t>上海达美乐食品</t>
  </si>
  <si>
    <t>上海达美乐食品有限公司</t>
  </si>
  <si>
    <t>北京达美乐比萨饼有限公司天津分公司</t>
  </si>
  <si>
    <t>武汉达美乐</t>
  </si>
  <si>
    <t>武汉</t>
  </si>
  <si>
    <t>达美乐比萨（武汉）餐饮管理有限公司</t>
  </si>
  <si>
    <t>北京达美乐西安分公司</t>
  </si>
  <si>
    <t>达美乐比萨（西安）有限公司</t>
  </si>
  <si>
    <t>长沙达美乐</t>
  </si>
  <si>
    <t>长沙</t>
  </si>
  <si>
    <t>达美乐比萨（长沙）餐饮管理有限公司</t>
  </si>
  <si>
    <t>上海达美乐瑞安分公司</t>
  </si>
  <si>
    <t>瑞安</t>
  </si>
  <si>
    <t>达美乐比萨（杭州）有限公司温州瓯越大道店</t>
  </si>
  <si>
    <t>达美乐食品（杭州）有限公司嘉兴南湖区南湖天地店</t>
  </si>
  <si>
    <t>上海达美乐乐清分公司</t>
  </si>
  <si>
    <t>达美乐比萨（杭州）有限公司乐清柳青南路分店</t>
  </si>
  <si>
    <t>达美乐比萨（宁波）有限公司</t>
  </si>
  <si>
    <t>上海达美乐昆山分公司</t>
  </si>
  <si>
    <t>上海达美乐比萨有限公司昆山万科魅力花园店</t>
  </si>
  <si>
    <t>达美乐比萨（南京）有限公司</t>
  </si>
  <si>
    <t>上海达美乐南通分公司</t>
  </si>
  <si>
    <t>达美乐比萨（南京）有限公司南通北大街分公司</t>
  </si>
  <si>
    <t>上海达美乐比萨有限公司无锡中山路店</t>
  </si>
  <si>
    <t>达美乐比萨（南京）有限公司扬州文昌中路店</t>
  </si>
  <si>
    <t>达美乐比萨（东莞）有限公司</t>
  </si>
  <si>
    <t>华南</t>
  </si>
  <si>
    <t>东莞</t>
  </si>
  <si>
    <t>深圳达美乐佛山分公司</t>
  </si>
  <si>
    <t>佛山</t>
  </si>
  <si>
    <t>深圳达美乐餐饮管理有限公司佛山南海桂城永胜西路分公司</t>
  </si>
  <si>
    <t>广州达美乐</t>
  </si>
  <si>
    <t>广州</t>
  </si>
  <si>
    <t>达美乐比萨（广州）餐饮管理有限公司</t>
  </si>
  <si>
    <t>珠海达美乐</t>
  </si>
  <si>
    <t>珠海</t>
  </si>
  <si>
    <t>达美乐比萨（珠海）有限公司</t>
  </si>
  <si>
    <t>深圳达美乐</t>
  </si>
  <si>
    <t>深圳</t>
  </si>
  <si>
    <t>深圳达美乐餐饮管理有限公司</t>
  </si>
  <si>
    <t>深圳达美乐中山分公司</t>
  </si>
  <si>
    <t>中山</t>
  </si>
  <si>
    <t>达美乐比萨（中山）有限公司</t>
  </si>
  <si>
    <t>深圳达美乐福州分公司</t>
  </si>
  <si>
    <t>达美乐比萨（福州）有限公司</t>
  </si>
  <si>
    <t>深圳达美乐厦门分公司</t>
  </si>
  <si>
    <t>达美乐比萨（厦门）有限公司</t>
  </si>
  <si>
    <t>北京达美乐食品</t>
  </si>
  <si>
    <t>北京达美乐食品有限公司</t>
  </si>
  <si>
    <t>重庆达美乐</t>
  </si>
  <si>
    <t>重庆</t>
  </si>
  <si>
    <t>达美乐比萨（重庆）餐饮管理有限公司</t>
  </si>
  <si>
    <t>达势投资</t>
  </si>
  <si>
    <t>达势投资有限公司</t>
  </si>
  <si>
    <t>常州达美乐溧阳分公司</t>
  </si>
  <si>
    <t>达美乐比萨（常州）有限公司溧阳平陵中路店</t>
  </si>
  <si>
    <t>广州达美乐江门分公司</t>
  </si>
  <si>
    <t>江门</t>
  </si>
  <si>
    <t>达美乐比萨（广州）餐饮管理有限公司江门白石大道分公司</t>
  </si>
  <si>
    <t>嘉兴达美乐海宁分公司</t>
  </si>
  <si>
    <t>宁波达美乐慈溪分公司</t>
  </si>
  <si>
    <t>达美乐比萨（宁波）有限公司慈溪青少年宫南路店</t>
  </si>
  <si>
    <t>珠海餐饮达美乐</t>
  </si>
  <si>
    <t>达美乐比萨（珠海）餐饮管理有限公司</t>
  </si>
  <si>
    <t>东莞达美乐</t>
  </si>
  <si>
    <t>东莞达美乐食品有限公司</t>
  </si>
  <si>
    <t>上海达美乐常熟分公司</t>
  </si>
  <si>
    <t>上海达美乐比萨有限公司常熟琴湖路店</t>
  </si>
  <si>
    <t>上海达美乐江阴分公司</t>
  </si>
  <si>
    <t>上海达美乐比萨有限公司江阴人民西路店</t>
  </si>
  <si>
    <t>上海达美乐宜兴分公司</t>
  </si>
  <si>
    <t>上海达美乐比萨有限公司宜兴东虹东路店</t>
  </si>
  <si>
    <t>深圳达美乐惠州分公司</t>
  </si>
  <si>
    <t>惠州</t>
  </si>
  <si>
    <t>深圳达美乐餐饮管理有限公司惠城华贸分公司</t>
  </si>
  <si>
    <t>宝应达美乐</t>
  </si>
  <si>
    <t>宝应</t>
  </si>
  <si>
    <t>北京达美乐三河分公司</t>
  </si>
  <si>
    <t>北京达美乐比萨饼有限公司唐山吾悦广场店</t>
  </si>
  <si>
    <t>佛山达美乐-外服派遣</t>
  </si>
  <si>
    <t>广州达美乐-外服派遣</t>
  </si>
  <si>
    <t>海盐达美乐</t>
  </si>
  <si>
    <t>海盐</t>
  </si>
  <si>
    <t>达美乐比萨（杭州）有限公司</t>
  </si>
  <si>
    <t>上海达美乐比萨有限公司浙江分公司</t>
  </si>
  <si>
    <t>金华达美乐-外服派遣</t>
  </si>
  <si>
    <t>靖江达美乐</t>
  </si>
  <si>
    <t>靖江</t>
  </si>
  <si>
    <t>达美乐比萨（南京）有限公司泰州永定东路店</t>
  </si>
  <si>
    <t>南昌达美乐</t>
  </si>
  <si>
    <t>达美乐比萨（南昌）有限公司</t>
  </si>
  <si>
    <t>南昌达美乐-外服派遣</t>
  </si>
  <si>
    <t>南宁达美乐</t>
  </si>
  <si>
    <t>南宁</t>
  </si>
  <si>
    <t>达美乐比萨（南宁）有限公司</t>
  </si>
  <si>
    <t>泉州达美乐</t>
  </si>
  <si>
    <t>达美乐比萨（厦门）有限公司泉州中骏分公司</t>
  </si>
  <si>
    <t>汕头达美乐</t>
  </si>
  <si>
    <t>汕头</t>
  </si>
  <si>
    <t>深圳达美乐餐饮管理有限公司汕头长平路分公司</t>
  </si>
  <si>
    <t>汕头达美乐-FA派遣</t>
  </si>
  <si>
    <t>上海达美乐-斗米</t>
  </si>
  <si>
    <t>上海达美乐金华分公司</t>
  </si>
  <si>
    <t>达美乐比萨(杭州)有限公司婺城秀雅街店</t>
  </si>
  <si>
    <t>上海达美乐-金盏</t>
  </si>
  <si>
    <t>上海达美乐食品-金盏</t>
  </si>
  <si>
    <t>上海达美乐苏州分公司</t>
  </si>
  <si>
    <t>上海达美乐台州分公司</t>
  </si>
  <si>
    <t>达美乐比萨(杭州)有限公司路桥区东路桥大道店</t>
  </si>
  <si>
    <t>上海达美乐桐乡分公司</t>
  </si>
  <si>
    <t>上海达美乐义乌分公司</t>
  </si>
  <si>
    <t>达美乐比萨（杭州）有限公司越城金帝银泰城店</t>
  </si>
  <si>
    <t>绍兴达美乐-外服派遣</t>
  </si>
  <si>
    <t>达美乐比萨（沈阳）有限公司</t>
  </si>
  <si>
    <t>沈阳达美乐-外服派遣</t>
  </si>
  <si>
    <t>石家庄达美乐</t>
  </si>
  <si>
    <t>北京达美乐比萨饼有限公司石家庄北国商城店</t>
  </si>
  <si>
    <t>泰州达美乐</t>
  </si>
  <si>
    <t>唐山达美乐-外服派遣</t>
  </si>
  <si>
    <t>天津达美乐-外服派遣</t>
  </si>
  <si>
    <t>桐乡达美乐-外服派遣</t>
  </si>
  <si>
    <t>温岭达美乐</t>
  </si>
  <si>
    <t>烟台达美乐</t>
  </si>
  <si>
    <t>达美乐比萨（济南）有限公司烟台万象汇店</t>
  </si>
  <si>
    <t>义乌达美乐-外服派遣</t>
  </si>
  <si>
    <t>义务达美乐-外服派遣</t>
  </si>
  <si>
    <t>湛江达美乐</t>
  </si>
  <si>
    <t>湛江</t>
  </si>
  <si>
    <t>达美乐比萨（广州）餐饮管理有限公司湛江人民大道南分公司</t>
  </si>
  <si>
    <t>张家港达美乐</t>
  </si>
  <si>
    <t>张家港</t>
  </si>
  <si>
    <t>漳州达美乐</t>
  </si>
  <si>
    <t>达美乐比萨（厦门）有限公司漳州碧湖分公司</t>
  </si>
  <si>
    <t>镇江达美乐-外服派遣</t>
  </si>
  <si>
    <t>丹阳</t>
  </si>
  <si>
    <t>达美乐（郑州）餐饮有限公司</t>
  </si>
  <si>
    <t>郑州达美乐-外服派遣</t>
  </si>
  <si>
    <t>邯郸达美乐</t>
  </si>
  <si>
    <t>廊坊达美乐</t>
  </si>
  <si>
    <t>徐州达美乐-外服派遣</t>
  </si>
  <si>
    <t>淮安达美乐-外服派遣</t>
  </si>
  <si>
    <t>湖州达美乐-外服派遣</t>
  </si>
  <si>
    <t>盐城达美乐</t>
  </si>
  <si>
    <t>嘉兴子公司</t>
  </si>
  <si>
    <t>台州达美乐</t>
  </si>
  <si>
    <t>金华达美乐</t>
  </si>
  <si>
    <t>东阳</t>
  </si>
  <si>
    <t>永康</t>
  </si>
  <si>
    <t>苏州达美乐</t>
  </si>
  <si>
    <t>玉环</t>
  </si>
  <si>
    <t>厦门达美乐</t>
  </si>
  <si>
    <t>芜湖达美乐</t>
  </si>
  <si>
    <t>员工编号</t>
  </si>
  <si>
    <t>员工姓名</t>
  </si>
  <si>
    <t>英文名</t>
  </si>
  <si>
    <t>员工状态</t>
  </si>
  <si>
    <t>职能</t>
  </si>
  <si>
    <t>部门/城市</t>
  </si>
  <si>
    <t>职级</t>
  </si>
  <si>
    <t>性别</t>
  </si>
  <si>
    <t>身份证号</t>
  </si>
  <si>
    <t>现职员工</t>
  </si>
  <si>
    <t>华东1营运</t>
  </si>
  <si>
    <t>商城路店</t>
  </si>
  <si>
    <t>员工</t>
  </si>
  <si>
    <t>女</t>
  </si>
  <si>
    <t>男</t>
  </si>
  <si>
    <t>员工编码</t>
  </si>
  <si>
    <t>中文名</t>
  </si>
  <si>
    <t>身份证</t>
  </si>
  <si>
    <t>工种</t>
  </si>
  <si>
    <t>雇佣日</t>
  </si>
  <si>
    <t>薪资方案</t>
  </si>
  <si>
    <t>福利类别</t>
  </si>
  <si>
    <t>税类别</t>
  </si>
  <si>
    <t>社保基数</t>
  </si>
  <si>
    <t>是否缴工会费</t>
  </si>
  <si>
    <t>是否缴工会费 公司</t>
  </si>
  <si>
    <t>部门1</t>
  </si>
  <si>
    <t>部门2</t>
  </si>
  <si>
    <t>离职是否发薪</t>
  </si>
  <si>
    <t>工作所在地</t>
  </si>
  <si>
    <t>手机</t>
  </si>
  <si>
    <t>店号</t>
  </si>
  <si>
    <t>备注</t>
  </si>
  <si>
    <t>计时</t>
  </si>
  <si>
    <t>华东门店</t>
  </si>
  <si>
    <t>居民</t>
  </si>
  <si>
    <t>FALSE</t>
  </si>
  <si>
    <t>96573</t>
  </si>
  <si>
    <t>96898</t>
  </si>
  <si>
    <t>华北门店</t>
  </si>
  <si>
    <t>北京非城镇</t>
  </si>
  <si>
    <t>TRUE</t>
  </si>
  <si>
    <t>96068</t>
  </si>
  <si>
    <t>96679</t>
  </si>
  <si>
    <t>96174</t>
  </si>
  <si>
    <t>96246</t>
  </si>
  <si>
    <t>96122</t>
  </si>
  <si>
    <t>95761</t>
  </si>
  <si>
    <t>潍坊大盘</t>
  </si>
  <si>
    <t>202510</t>
  </si>
  <si>
    <t>2400</t>
  </si>
  <si>
    <t>24</t>
  </si>
  <si>
    <t>包含</t>
  </si>
  <si>
    <t>包含_G</t>
  </si>
  <si>
    <t>山东省人民政府 其他文件 山东省人民政府关于调整全省最低工资标准的通知</t>
  </si>
  <si>
    <t>22518</t>
  </si>
  <si>
    <t>4504</t>
  </si>
  <si>
    <t>0.16</t>
  </si>
  <si>
    <t>0.08</t>
  </si>
  <si>
    <t>四舍五入到元</t>
  </si>
  <si>
    <t>四舍五入到分</t>
  </si>
  <si>
    <t>22518_P</t>
  </si>
  <si>
    <t>4504_Q</t>
  </si>
  <si>
    <t>0.08_R</t>
  </si>
  <si>
    <t>0.02</t>
  </si>
  <si>
    <t>四舍五入到元_T</t>
  </si>
  <si>
    <t>四舍五入到分_U</t>
  </si>
  <si>
    <t>22518_V</t>
  </si>
  <si>
    <t>4504_W</t>
  </si>
  <si>
    <t>0.0072</t>
  </si>
  <si>
    <t>四舍五入到元_Y</t>
  </si>
  <si>
    <t>四舍五入到分_Z</t>
  </si>
  <si>
    <t>与医疗合并</t>
  </si>
  <si>
    <t>与医疗合并_AB</t>
  </si>
  <si>
    <t>与医疗合并_AC</t>
  </si>
  <si>
    <t>与医疗合并_AD</t>
  </si>
  <si>
    <t>与医疗合并_AE</t>
  </si>
  <si>
    <t>22518_AF</t>
  </si>
  <si>
    <t>4504_AG</t>
  </si>
  <si>
    <t>0.007</t>
  </si>
  <si>
    <t>0.003</t>
  </si>
  <si>
    <t>四舍五入到元_AJ</t>
  </si>
  <si>
    <t>四舍五入到分_AK</t>
  </si>
  <si>
    <t>23928</t>
  </si>
  <si>
    <t>2400_AM</t>
  </si>
  <si>
    <t>7%;12%;</t>
  </si>
  <si>
    <t>6%;7%;12%</t>
  </si>
  <si>
    <t>四舍五入到元_AP</t>
  </si>
  <si>
    <t>四舍五入到元_AQ</t>
  </si>
  <si>
    <t>Column_AR</t>
  </si>
  <si>
    <t>150元/年</t>
  </si>
  <si>
    <t>Column_AT</t>
  </si>
  <si>
    <t>Column_AU</t>
  </si>
  <si>
    <t>Column_AV</t>
  </si>
  <si>
    <t>济宁大盘</t>
  </si>
  <si>
    <t>5%;7%;8%;12%;</t>
  </si>
  <si>
    <t>72元/年</t>
  </si>
  <si>
    <t>48元/年</t>
  </si>
  <si>
    <t>唐山小盘</t>
  </si>
  <si>
    <t>河北省人力资源和社会保障厅关于调整最低工资标准的通知</t>
  </si>
  <si>
    <t>无封顶</t>
  </si>
  <si>
    <t>11元/月</t>
  </si>
  <si>
    <t>廊坊小盘</t>
  </si>
  <si>
    <t>60元/年</t>
  </si>
  <si>
    <t>石家庄小盘</t>
  </si>
  <si>
    <t>邯郸小盘</t>
  </si>
  <si>
    <t>工资总额*1.5%*90%</t>
  </si>
  <si>
    <t>西安小盘</t>
  </si>
  <si>
    <t>陕西省人力资源和社会保障厅关于调整最低工资标准的通知_陕西省人民政府</t>
  </si>
  <si>
    <t>1.6元/月</t>
  </si>
  <si>
    <t>6.4元/月</t>
  </si>
  <si>
    <t>太原小盘</t>
  </si>
  <si>
    <t>山西省人力资源和社会保障厅关于调整最低工资标准的通知</t>
  </si>
  <si>
    <t>0.23%-2.47%</t>
  </si>
  <si>
    <t>9元/月</t>
  </si>
  <si>
    <t>沈阳小盘</t>
  </si>
  <si>
    <t>沈阳市人力资源和社会保障局关于调整沈阳市最低工资标准的通知-部门文件-沈阳市人力资源和社会保障局</t>
  </si>
  <si>
    <t>66元/年</t>
  </si>
  <si>
    <t>大连小盘</t>
  </si>
  <si>
    <t>不包含</t>
  </si>
  <si>
    <t>大连市人力资源和社会保障局 通知公告 关于调整大连市最低工资标准的通知</t>
  </si>
  <si>
    <t>0.3%-2.3%
关于印发《辽宁省工伤保险费率管理暂行办法》的通知</t>
  </si>
  <si>
    <t>5%-12%</t>
  </si>
  <si>
    <t>0.1%(基数同医疗)</t>
  </si>
  <si>
    <t>0.2%（基数同医疗）</t>
  </si>
  <si>
    <t xml:space="preserve"> </t>
  </si>
  <si>
    <t>注：采暖基金基数为大连市在岗职工平均工资10223元，公司比例1%，仅限大连市区，金州、旅顺非农户口缴纳</t>
  </si>
  <si>
    <t>长春小盘</t>
  </si>
  <si>
    <t>吉林省人民政府关于发布全省最低工资标准的通知</t>
  </si>
  <si>
    <t>7%-12%</t>
  </si>
  <si>
    <t>100元/年</t>
  </si>
  <si>
    <t>呼和浩特小盘</t>
  </si>
  <si>
    <t>内蒙古自治区人民政府办公厅关于调整自治区最低工资标准的通知</t>
  </si>
  <si>
    <t>5%，6%，8%，10%，11%，12%</t>
  </si>
  <si>
    <t>50元/年</t>
  </si>
  <si>
    <t>应缴纳残疾人就业保障金=（年末在职职工总人数×1.5%―单位已安置残疾职工数）×单位所在旗县（市区）统计部门公布的职工上年度平均工资额（保留2位小数）</t>
  </si>
  <si>
    <t>郑州小盘</t>
  </si>
  <si>
    <t>河南省人民政府关于调整河南省最低工资标准的通知</t>
  </si>
  <si>
    <t>130元/年</t>
  </si>
  <si>
    <t>洛阳小盘</t>
  </si>
  <si>
    <t>以客户开具比例为准</t>
  </si>
  <si>
    <t>190元/年</t>
  </si>
  <si>
    <t>绍兴小盘</t>
  </si>
  <si>
    <t>绍兴市人民政府关于印发调整全市最低工资标准的通知</t>
  </si>
  <si>
    <t>绍兴大盘</t>
  </si>
  <si>
    <t>泰州小盘</t>
  </si>
  <si>
    <t>不包含劳动者按下限缴存的住房公积金</t>
  </si>
  <si>
    <t>江苏省人力资源和社会保障厅 劳动关系 省人力资源社会保障厅关于调整全省最低工资标准的通知</t>
  </si>
  <si>
    <t>单边四舍五入到元</t>
  </si>
  <si>
    <t>南通小盘</t>
  </si>
  <si>
    <t>10元/月</t>
  </si>
  <si>
    <t>上海小盘</t>
  </si>
  <si>
    <t>上海市人力资源和社会保障局关于调整本市最低工资标准的通知_工资福利_上海市人力资源和社会保障局</t>
  </si>
  <si>
    <t>四舍五入到角</t>
  </si>
  <si>
    <t>0.2%-1.9%</t>
  </si>
  <si>
    <t>基数*0.07，保留整数，再*2，保证月缴费是偶数</t>
  </si>
  <si>
    <t>苏州园区大盘</t>
  </si>
  <si>
    <t>5元/月</t>
  </si>
  <si>
    <t>南京小盘</t>
  </si>
  <si>
    <t>无锡小盘</t>
  </si>
  <si>
    <t>向上取整</t>
  </si>
  <si>
    <t>进位/元</t>
  </si>
  <si>
    <t>宜兴小盘</t>
  </si>
  <si>
    <t>宁波小盘</t>
  </si>
  <si>
    <t>宁波市人民政府关于调整全市最低工资标准的通知</t>
  </si>
  <si>
    <t>昆山小盘</t>
  </si>
  <si>
    <t>常熟小盘</t>
  </si>
  <si>
    <t>南昌小盘</t>
  </si>
  <si>
    <t>文件未明确</t>
  </si>
  <si>
    <t>江西省人民政府 政策文件 江西省人民政府办公厅关于调整最低工资标准的通知</t>
  </si>
  <si>
    <t>15.82元/月</t>
  </si>
  <si>
    <t>23.74元/月</t>
  </si>
  <si>
    <t>扬州小盘</t>
  </si>
  <si>
    <t>6元/月</t>
  </si>
  <si>
    <t>常州小盘</t>
  </si>
  <si>
    <t>杭州分小盘</t>
  </si>
  <si>
    <t>杭州市人民政府 关于调整市区最低工资标准的通知</t>
  </si>
  <si>
    <t>桐庐、建德、淳安不适用</t>
  </si>
  <si>
    <t>杭州子小盘</t>
  </si>
  <si>
    <t>温州小盘</t>
  </si>
  <si>
    <t>温州市人民政府关于调整全市最低工资标准的通知</t>
  </si>
  <si>
    <t>金华小盘</t>
  </si>
  <si>
    <t>金华市人民政府关于调整全市最低工资标准的通知</t>
  </si>
  <si>
    <t>见角进元不足1角截尾</t>
  </si>
  <si>
    <t>金华大盘</t>
  </si>
  <si>
    <t>江阴小盘</t>
  </si>
  <si>
    <t>进位/元=roundup</t>
  </si>
  <si>
    <t>溧阳小盘</t>
  </si>
  <si>
    <t>嘉兴小盘</t>
  </si>
  <si>
    <t>嘉兴市人民政府关于调整全市最低工资标准的通知</t>
  </si>
  <si>
    <t>嘉兴南湖小盘</t>
  </si>
  <si>
    <t>合肥小盘</t>
  </si>
  <si>
    <t>安徽省人民政府办公厅关于调整全省最低工资标准的通知_安徽省人民政府</t>
  </si>
  <si>
    <t>慈溪小盘</t>
  </si>
  <si>
    <t>台州大盘</t>
  </si>
  <si>
    <t>台州市人民政府关于调整全市最低工资标准的通知</t>
  </si>
  <si>
    <t>台州小盘</t>
  </si>
  <si>
    <t>海宁小盘</t>
  </si>
  <si>
    <t>乐清小盘</t>
  </si>
  <si>
    <t>镇江大盘</t>
  </si>
  <si>
    <t>31100</t>
  </si>
  <si>
    <t>徐州大盘</t>
  </si>
  <si>
    <t>湖州大盘</t>
  </si>
  <si>
    <t>湖州市人民政府关于调整全市最低工资标准的通知</t>
  </si>
  <si>
    <t>芜湖大盘</t>
  </si>
  <si>
    <t>安徽省人民政府办公厅关于调整全省最低工资标准的通知（皖政办秘〔2025〕32 号）</t>
  </si>
  <si>
    <t>8%，10%，12%</t>
  </si>
  <si>
    <t>8%单边四舍五入到元；
10%和12%单边四舍五入到分</t>
  </si>
  <si>
    <t>40元/人/月</t>
  </si>
  <si>
    <t>盐城大盘</t>
  </si>
  <si>
    <t>/</t>
  </si>
  <si>
    <t>淮安大盘</t>
  </si>
  <si>
    <t>5%，8%，10%，12%</t>
  </si>
  <si>
    <t>8元</t>
  </si>
  <si>
    <t>代理无</t>
  </si>
  <si>
    <t>福州小盘</t>
  </si>
  <si>
    <t>福建省人力资源和社会保障厅关于公布我省最低工资标准的通知 _ 劳动就业 _ 省人社厅</t>
  </si>
  <si>
    <t>厦门小盘</t>
  </si>
  <si>
    <t>泉州小盘</t>
  </si>
  <si>
    <t>漳州小盘</t>
  </si>
  <si>
    <t>莆田大盘</t>
  </si>
  <si>
    <t>5%+5%，10%+10%</t>
  </si>
  <si>
    <t>离职员工</t>
  </si>
  <si>
    <t>96552</t>
  </si>
  <si>
    <t>96523</t>
  </si>
  <si>
    <t>96529</t>
  </si>
  <si>
    <t>96689</t>
  </si>
  <si>
    <t>96048</t>
  </si>
  <si>
    <t>96830</t>
  </si>
  <si>
    <t>96034</t>
  </si>
  <si>
    <t>96055</t>
  </si>
  <si>
    <t>杭州子</t>
  </si>
  <si>
    <t>95575</t>
  </si>
  <si>
    <t>96060</t>
  </si>
  <si>
    <t>96250</t>
  </si>
  <si>
    <t>96850</t>
  </si>
  <si>
    <t>95551</t>
  </si>
  <si>
    <t>96600</t>
  </si>
  <si>
    <t>96709</t>
  </si>
  <si>
    <t>96650</t>
  </si>
  <si>
    <t>96618</t>
  </si>
  <si>
    <t>96803</t>
  </si>
  <si>
    <t>96620</t>
  </si>
  <si>
    <t>96115</t>
  </si>
  <si>
    <t>96179</t>
  </si>
  <si>
    <t>96142</t>
  </si>
  <si>
    <t>96732</t>
  </si>
  <si>
    <t>96006</t>
  </si>
  <si>
    <t>96794</t>
  </si>
  <si>
    <t>96064</t>
  </si>
  <si>
    <t>96119</t>
  </si>
  <si>
    <t>96775</t>
  </si>
  <si>
    <t>96213</t>
  </si>
  <si>
    <t>96194</t>
  </si>
  <si>
    <t>96228</t>
  </si>
  <si>
    <t>96627</t>
  </si>
  <si>
    <t>96086</t>
  </si>
  <si>
    <t>96222</t>
  </si>
  <si>
    <t>96093</t>
  </si>
  <si>
    <t>96742</t>
  </si>
  <si>
    <t>96209</t>
  </si>
  <si>
    <t>95519</t>
  </si>
  <si>
    <t>96826</t>
  </si>
  <si>
    <t>嘉兴分</t>
  </si>
  <si>
    <t>96838</t>
  </si>
  <si>
    <t>杭州分</t>
  </si>
  <si>
    <t>96769</t>
  </si>
  <si>
    <t>96253</t>
  </si>
  <si>
    <t>96234</t>
  </si>
  <si>
    <t>95190</t>
  </si>
  <si>
    <t>96810</t>
  </si>
  <si>
    <t>96021</t>
  </si>
  <si>
    <t>96070</t>
  </si>
  <si>
    <t>96218</t>
  </si>
  <si>
    <t>95641</t>
  </si>
  <si>
    <t>95523</t>
  </si>
  <si>
    <t>96884</t>
  </si>
  <si>
    <t>96129</t>
  </si>
  <si>
    <t>96166</t>
  </si>
  <si>
    <t>96204</t>
  </si>
  <si>
    <t>96796</t>
  </si>
  <si>
    <t>96488</t>
  </si>
  <si>
    <t>96282</t>
  </si>
  <si>
    <t>96741</t>
  </si>
  <si>
    <t>95544</t>
  </si>
  <si>
    <t>95536</t>
  </si>
  <si>
    <t>96059</t>
  </si>
  <si>
    <t>96667</t>
  </si>
  <si>
    <t>96101</t>
  </si>
  <si>
    <t>无福利</t>
  </si>
  <si>
    <t>95673</t>
  </si>
  <si>
    <t>烟台-派遣</t>
  </si>
  <si>
    <t>95738</t>
  </si>
  <si>
    <t>95784</t>
  </si>
  <si>
    <t>石家庄-派遣</t>
  </si>
  <si>
    <t>95732</t>
  </si>
  <si>
    <t>95726</t>
  </si>
  <si>
    <t>95748</t>
  </si>
  <si>
    <t>台州-派遣</t>
  </si>
  <si>
    <t>95588</t>
  </si>
  <si>
    <t>95740</t>
  </si>
  <si>
    <t>96217</t>
  </si>
  <si>
    <t>95634</t>
  </si>
  <si>
    <t>95765</t>
  </si>
  <si>
    <t>95768</t>
  </si>
  <si>
    <t>95174</t>
  </si>
  <si>
    <t>95352</t>
  </si>
  <si>
    <t>95793</t>
  </si>
  <si>
    <t>95674</t>
  </si>
  <si>
    <t>芜湖-派遣</t>
  </si>
  <si>
    <t>95148</t>
  </si>
  <si>
    <t>96195</t>
  </si>
  <si>
    <t>96039</t>
  </si>
  <si>
    <t>95627</t>
  </si>
  <si>
    <t>盐城-派遣</t>
  </si>
  <si>
    <t>95693</t>
  </si>
  <si>
    <t>120000197802257773</t>
  </si>
  <si>
    <t>130000199203110757</t>
  </si>
  <si>
    <t>140000198004014812</t>
  </si>
  <si>
    <t>110000195705161019</t>
  </si>
  <si>
    <t>客户代码</t>
  </si>
  <si>
    <t>AE0016</t>
  </si>
  <si>
    <t>AE0017</t>
  </si>
  <si>
    <t>AE0018</t>
  </si>
  <si>
    <t>AE0019</t>
  </si>
  <si>
    <t>AE0020</t>
  </si>
  <si>
    <t>AE0021</t>
  </si>
  <si>
    <t>AE0022</t>
  </si>
  <si>
    <t>AE0023</t>
  </si>
  <si>
    <t>AE0024</t>
  </si>
  <si>
    <t>AE0025</t>
  </si>
  <si>
    <t>AE0026</t>
  </si>
  <si>
    <t>AE0027</t>
  </si>
  <si>
    <t>AE0028</t>
  </si>
  <si>
    <t>AE0029</t>
  </si>
  <si>
    <t>AE0030</t>
  </si>
  <si>
    <t>AE0031</t>
  </si>
  <si>
    <t>AE0032</t>
  </si>
  <si>
    <t>AE0033</t>
  </si>
  <si>
    <t>AE0034</t>
  </si>
  <si>
    <t>AE0035</t>
  </si>
  <si>
    <t>AE0036</t>
  </si>
  <si>
    <t>AE0037</t>
  </si>
  <si>
    <t>AE0038</t>
  </si>
  <si>
    <t>AE0039</t>
  </si>
  <si>
    <t>AE0040</t>
  </si>
  <si>
    <t>AE0041</t>
  </si>
  <si>
    <t>AE0042</t>
  </si>
  <si>
    <t>AE0043</t>
  </si>
  <si>
    <t>月份</t>
  </si>
  <si>
    <t>门店编号</t>
  </si>
  <si>
    <t>1</t>
  </si>
  <si>
    <t>2</t>
  </si>
  <si>
    <t>3</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</si>
  <si>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</si>
  <si>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</si>
  <si>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</si>
  <si>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</si>
  <si>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</si>
  <si>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</si>
  <si>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</si>
  <si>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</si>
  <si>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</si>
  <si>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</si>
  <si>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</si>
  <si>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</si>
  <si>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</si>
  <si>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</si>
  <si>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</si>
  <si>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</si>
  <si>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</si>
  <si>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</si>
  <si>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</si>
  <si>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</si>
  <si>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</si>
  <si>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</si>
  <si>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</si>
  <si>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</si>
  <si>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</si>
  <si>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</si>
  <si>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</si>
  <si>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工作小时 不含节日加班</t>
  </si>
  <si>
    <t>病假</t>
  </si>
  <si>
    <t>事假</t>
  </si>
  <si>
    <t>年假</t>
  </si>
  <si>
    <t>婚假</t>
  </si>
  <si>
    <t>产假</t>
  </si>
  <si>
    <t>陪产假</t>
  </si>
  <si>
    <t>丧假</t>
  </si>
  <si>
    <t>工伤</t>
  </si>
  <si>
    <t>流产假</t>
  </si>
  <si>
    <t>有薪病假</t>
  </si>
  <si>
    <t>其它有薪假期</t>
  </si>
  <si>
    <t>法定日加班</t>
  </si>
  <si>
    <t>全薪总工时</t>
  </si>
  <si>
    <t>本月转欠休工时</t>
  </si>
  <si>
    <t>平时补充工时</t>
  </si>
  <si>
    <t>节假日补充工时</t>
  </si>
  <si>
    <t>入职时间</t>
  </si>
  <si>
    <t>离职日期</t>
  </si>
  <si>
    <t>202512</t>
  </si>
  <si>
    <t>现职</t>
  </si>
  <si>
    <t>True</t>
  </si>
  <si>
    <t>离职</t>
  </si>
  <si>
    <t>录入科目</t>
  </si>
  <si>
    <t>金额</t>
  </si>
  <si>
    <t>金额-调整后</t>
  </si>
  <si>
    <t>税前增加</t>
  </si>
  <si>
    <t>StaffWorkNo-工号-合计</t>
  </si>
  <si>
    <t>StaffId-ExportName-员工</t>
  </si>
  <si>
    <t>StaffId-Email-员工邮箱</t>
  </si>
  <si>
    <t>ReporterUid-ExportName-填报负责人</t>
  </si>
  <si>
    <t>ReporterUid-Email-填报负责人邮箱</t>
  </si>
  <si>
    <t>extsuoshuxinzibao_613817_1212215305-所属薪资包</t>
  </si>
  <si>
    <t>extzhinengkuai_613817_881308331-职能块</t>
  </si>
  <si>
    <t>extbumenleixing_613817_759573654-部门类型</t>
  </si>
  <si>
    <t>extbumen_613817_887157537-部门</t>
  </si>
  <si>
    <t>extbumenmendian_613817_1183438259-部门/门店</t>
  </si>
  <si>
    <t>extdianhao_613817_1898065343-店号</t>
  </si>
  <si>
    <t>extyuangongxingzhiv1_613817_2089233217-员工性质2</t>
  </si>
  <si>
    <t>extbulishiqijiangangweijintie_613817_1529935532-补历史期间岗位津贴-2369.85</t>
  </si>
  <si>
    <t>CustomNumericItem02-补历史期间外派补贴-2633.33</t>
  </si>
  <si>
    <t>CustomNumericItem04-补历史期间住房补贴-1666</t>
  </si>
  <si>
    <t>CustomNumericItem03-补历史期间交通补贴-422</t>
  </si>
  <si>
    <t>CustomNumericItem10-员工推荐奖金-1900</t>
  </si>
  <si>
    <t>extqitajiangjin2quyujilijiangjin_613817_495008240-其他奖金2_区域激励奖金-2403.1</t>
  </si>
  <si>
    <t>CustomNumericItem11-补产假工资-10960</t>
  </si>
  <si>
    <t>CustomNumericItem15-离职补偿金-1166.66</t>
  </si>
  <si>
    <t>extshuiqianzengjia_613817_840186923-税前调整-25878.91</t>
  </si>
  <si>
    <t>extshuihoudiaozhengshengyujintie_613817_446898170-税后调整-生育津贴-931.11</t>
  </si>
  <si>
    <t>extshuihoudiaozhenggongshangbuzhu_613817_939435530-税后调整-工伤补助-322.22</t>
  </si>
  <si>
    <t>extshuihoudiaozhengqita_613817_1531640043-税后调整-其他-333.33</t>
  </si>
  <si>
    <t>extnianjiashexian_613817_1411878808-年假折现-2030</t>
  </si>
  <si>
    <t>CustomTextItem03-备注</t>
  </si>
  <si>
    <t>CustomTextItem02-被推荐人</t>
  </si>
  <si>
    <t>CalculateStage-计算状态</t>
  </si>
  <si>
    <t>Note-计算备注</t>
  </si>
  <si>
    <t>26123013@dominos.com</t>
  </si>
  <si>
    <t>水淼</t>
  </si>
  <si>
    <t>miao.shui@dominos.com</t>
  </si>
  <si>
    <t>华北营运</t>
  </si>
  <si>
    <t>北国益安店</t>
  </si>
  <si>
    <t>900536</t>
  </si>
  <si>
    <t>补11月工资152H</t>
  </si>
  <si>
    <t>靳欣利</t>
  </si>
  <si>
    <t>计算成功</t>
  </si>
  <si>
    <t>26123014@dominos.com</t>
  </si>
  <si>
    <t>26123015@dominos.com</t>
  </si>
  <si>
    <t>26123016@dominos.com</t>
  </si>
  <si>
    <t>26123017@dominos.com</t>
  </si>
  <si>
    <t>26123018@dominos.com</t>
  </si>
  <si>
    <t>26123019@dominos.com</t>
  </si>
  <si>
    <t>26123020@dominos.com</t>
  </si>
  <si>
    <t>26123021@dominos.com</t>
  </si>
  <si>
    <t>26123023@dominos.com</t>
  </si>
  <si>
    <t>26123025@dominos.com</t>
  </si>
  <si>
    <t>26123026@dominos.com</t>
  </si>
  <si>
    <t>26123079@dominos.com</t>
  </si>
  <si>
    <t>26123081@dominos.com</t>
  </si>
  <si>
    <t>26123082@dominos.com</t>
  </si>
  <si>
    <t>26123083@dominos.com</t>
  </si>
  <si>
    <t>26123084@dominos.com</t>
  </si>
  <si>
    <t>26123085@dominos.com</t>
  </si>
  <si>
    <t>26123086@dominos.com</t>
  </si>
  <si>
    <t>26123087@dominos.com</t>
  </si>
  <si>
    <t>26123098@dominos.com</t>
  </si>
  <si>
    <t>26123099@dominos.com</t>
  </si>
  <si>
    <t>26123102@dominos.com</t>
  </si>
  <si>
    <t>26123031@dominos.com</t>
  </si>
  <si>
    <t>26123032@dominos.com</t>
  </si>
  <si>
    <t>26123033@dominos.com</t>
  </si>
  <si>
    <t>26123034@dominos.com</t>
  </si>
  <si>
    <t>26123035@dominos.com</t>
  </si>
  <si>
    <t>26123036@dominos.com</t>
  </si>
  <si>
    <t>26123058@dominos.com</t>
  </si>
  <si>
    <t>26123059@dominos.com</t>
  </si>
  <si>
    <t>26123060@dominos.com</t>
  </si>
  <si>
    <t>26123061@dominos.com</t>
  </si>
  <si>
    <t>26123065@dominos.com</t>
  </si>
  <si>
    <t>26123066@dominos.com</t>
  </si>
  <si>
    <t>26123091@dominos.com</t>
  </si>
  <si>
    <t>26123092@dominos.com</t>
  </si>
  <si>
    <t>26123094@dominos.com</t>
  </si>
  <si>
    <t>26123096@dominos.com</t>
  </si>
  <si>
    <t>26123097@dominos.com</t>
  </si>
  <si>
    <t>26123100@dominos.com</t>
  </si>
  <si>
    <t>26123101@dominos.com</t>
  </si>
  <si>
    <t>26123103@dominos.com</t>
  </si>
  <si>
    <t>所属账单</t>
  </si>
  <si>
    <t>养老保险基数</t>
  </si>
  <si>
    <t>单位养老比例</t>
  </si>
  <si>
    <t>个人养老比例</t>
  </si>
  <si>
    <t>单位医疗比例</t>
  </si>
  <si>
    <t>个人医疗比例</t>
  </si>
  <si>
    <t>单位失业比例</t>
  </si>
  <si>
    <t>个人失业比例</t>
  </si>
  <si>
    <t>工伤保险比例</t>
  </si>
  <si>
    <t>生育比例</t>
  </si>
  <si>
    <t>公司公积金比例</t>
  </si>
  <si>
    <t>个人公积金比例</t>
  </si>
  <si>
    <t>当月应缴纳-公司支付 Social Insurance Premiums Paid by Employer-养老单位</t>
  </si>
  <si>
    <t>当月应缴纳-公司支付 Social Insurance Premiums Paid by Employer-医疗单位</t>
  </si>
  <si>
    <t>当月应缴纳-公司支付 Social Insurance Premiums Paid by Employer-失业单位</t>
  </si>
  <si>
    <t>当月应缴纳-公司支付 Social Insurance Premiums Paid by Employer-工伤</t>
  </si>
  <si>
    <t>当月应缴纳-公司支付 Social Insurance Premiums Paid by Employer-生育</t>
  </si>
  <si>
    <t>当月应缴纳-公司支付 Social Insurance Premiums Paid by Employer-大病</t>
  </si>
  <si>
    <t>当月应缴纳-公司支付 Social Insurance Premiums Paid by Employer-公积金单位</t>
  </si>
  <si>
    <t>当月应缴纳-公司合计</t>
  </si>
  <si>
    <t>当月应缴纳-个人支付 Social Insurance Premiums Paid by Employee-养老个人</t>
  </si>
  <si>
    <t>当月应缴纳-个人支付 Social Insurance Premiums Paid by Employee-医疗个人</t>
  </si>
  <si>
    <t>当月应缴纳-个人支付 Social Insurance Premiums Paid by Employee-失业个人</t>
  </si>
  <si>
    <t>当月应缴纳-个人支付 Social Insurance Premiums Paid by Employee-大病</t>
  </si>
  <si>
    <t>当月应缴纳-公积金个人</t>
  </si>
  <si>
    <t>当月应缴纳-个人合计</t>
  </si>
  <si>
    <t>历月补扣补缴-公司支付 Social Insurance Premiums Paid by Employer-养老单位</t>
  </si>
  <si>
    <t>历月补扣补缴-公司支付 Social Insurance Premiums Paid by Employer-医疗单位</t>
  </si>
  <si>
    <t>历月补扣补缴-公司支付 Social Insurance Premiums Paid by Employer-失业单位</t>
  </si>
  <si>
    <t>历月补扣补缴-公司支付 Social Insurance Premiums Paid by Employer-工伤</t>
  </si>
  <si>
    <t>历月补扣补缴-公司支付 Social Insurance Premiums Paid by Employer-生育</t>
  </si>
  <si>
    <t>历月补扣补缴-公司支付 Social Insurance Premiums Paid by Employer-大病</t>
  </si>
  <si>
    <t>历月补扣补缴-公司支付 Social Insurance Premiums Paid by Employer-公积金单位</t>
  </si>
  <si>
    <t>历月补扣补缴-公司合计</t>
  </si>
  <si>
    <t>历月补扣补缴-个人支付 Social Insurance Premiums Paid by Employee-养老个人</t>
  </si>
  <si>
    <t>历月补扣补缴-个人支付 Social Insurance Premiums Paid by Employee-医疗个人</t>
  </si>
  <si>
    <t>历月补扣补缴-个人支付 Social Insurance Premiums Paid by Employee-失业个人</t>
  </si>
  <si>
    <t>历月补扣补缴-个人支付 Social Insurance Premiums Paid by Employee-大病</t>
  </si>
  <si>
    <t>历月补扣补缴-公积金个人</t>
  </si>
  <si>
    <t>历月补扣补缴-个人合计</t>
  </si>
  <si>
    <t>未来月份预扣-公司支付 Social Insurance Premiums Paid by Employer-养老单位</t>
  </si>
  <si>
    <t>未来月份预扣-公司支付 Social Insurance Premiums Paid by Employer-医疗单位</t>
  </si>
  <si>
    <t>未来月份预扣-公司支付 Social Insurance Premiums Paid by Employer-失业单位</t>
  </si>
  <si>
    <t>未来月份预扣-公司支付 Social Insurance Premiums Paid by Employer-工伤</t>
  </si>
  <si>
    <t>未来月份预扣-公司支付 Social Insurance Premiums Paid by Employer-生育</t>
  </si>
  <si>
    <t>未来月份预扣-公司支付 Social Insurance Premiums Paid by Employer-大病</t>
  </si>
  <si>
    <t>未来月份预扣-公司支付 Social Insurance Premiums Paid by Employer-公积金单位</t>
  </si>
  <si>
    <t>未来月份预扣-公司合计</t>
  </si>
  <si>
    <t>未来月份预扣-个人支付 Social Insurance Premiums Paid by Employee-养老个人</t>
  </si>
  <si>
    <t>未来月份预扣-个人支付 Social Insurance Premiums Paid by Employee-医疗个人</t>
  </si>
  <si>
    <t>未来月份预扣-个人支付 Social Insurance Premiums Paid by Employee-失业个人</t>
  </si>
  <si>
    <t>未来月份预扣-个人支付 Social Insurance Premiums Paid by Employee-大病</t>
  </si>
  <si>
    <t>未来月份预扣-公积金个人</t>
  </si>
  <si>
    <t>未来月份预扣-个人合计</t>
  </si>
  <si>
    <t>当月总计缴纳-公司支付 Social Insurance Premiums Paid by Employer-养老单位</t>
  </si>
  <si>
    <t>当月总计缴纳-公司支付 Social Insurance Premiums Paid by Employer-医疗单位</t>
  </si>
  <si>
    <t>当月总计缴纳-公司支付 Social Insurance Premiums Paid by Employer-失业单位</t>
  </si>
  <si>
    <t>当月总计缴纳-公司支付 Social Insurance Premiums Paid by Employer-工伤</t>
  </si>
  <si>
    <t>当月总计缴纳-公司支付 Social Insurance Premiums Paid by Employer-生育</t>
  </si>
  <si>
    <t>当月总计缴纳-公司支付 Social Insurance Premiums Paid by Employer-大病</t>
  </si>
  <si>
    <t>当月总计缴纳-公司支付 Social Insurance Premiums Paid by Employer-公积金单位</t>
  </si>
  <si>
    <t>当月总计缴纳-残保金</t>
  </si>
  <si>
    <t>当月总计缴纳-工会费</t>
  </si>
  <si>
    <t>当月总计缴纳-滞纳金</t>
  </si>
  <si>
    <t>当月总计缴纳-公司合计</t>
  </si>
  <si>
    <t>当月总计缴纳-个人支付 Social Insurance Premiums Paid by Employee-养老个人</t>
  </si>
  <si>
    <t>当月总计缴纳-个人支付 Social Insurance Premiums Paid by Employee-医疗个人</t>
  </si>
  <si>
    <t>当月总计缴纳-个人支付 Social Insurance Premiums Paid by Employee-失业个人</t>
  </si>
  <si>
    <t>当月总计缴纳-个人支付 Social Insurance Premiums Paid by Employee-大病</t>
  </si>
  <si>
    <t>当月总计缴纳-公积金个人</t>
  </si>
  <si>
    <t>当月总计缴纳-个人合计</t>
  </si>
  <si>
    <t>社保公积金总计</t>
  </si>
  <si>
    <t>社保合计</t>
  </si>
  <si>
    <t>公积金合计</t>
  </si>
  <si>
    <t>服务费</t>
  </si>
  <si>
    <t>人员状态</t>
  </si>
  <si>
    <t>银行</t>
  </si>
  <si>
    <t>银行账户</t>
  </si>
  <si>
    <t>开户行支行</t>
  </si>
  <si>
    <t>华东营运</t>
  </si>
  <si>
    <t>招商银行</t>
  </si>
  <si>
    <t>6684906511538095695</t>
  </si>
  <si>
    <t>东莞滨海湾新区支行</t>
  </si>
  <si>
    <t>在职</t>
  </si>
  <si>
    <t>6686494367435887888</t>
  </si>
  <si>
    <t>广西自贸试验区南宁片区五</t>
  </si>
  <si>
    <t>6687807193600801610</t>
  </si>
  <si>
    <t>成都蜀都中心支行</t>
  </si>
  <si>
    <t>6681360063544614654</t>
  </si>
  <si>
    <t>成都星宸国际支行</t>
  </si>
  <si>
    <t>6688666641373608696</t>
  </si>
  <si>
    <t>重庆永川支行</t>
  </si>
  <si>
    <t>6684067585518680718</t>
  </si>
  <si>
    <t>泸州江阳支行</t>
  </si>
  <si>
    <t>农业银行</t>
  </si>
  <si>
    <t>6684663836620784469</t>
  </si>
  <si>
    <t>中国农业银行太原西中环路支行</t>
  </si>
  <si>
    <t>6687209669546365542</t>
  </si>
  <si>
    <t>中国农业银行娄烦云水支行</t>
  </si>
  <si>
    <t>6686205549557568463</t>
  </si>
  <si>
    <t>中国农业银行太原黑土巷支行</t>
  </si>
  <si>
    <t>6688893450796909070</t>
  </si>
  <si>
    <t>中国农业银行长治北郊分理处</t>
  </si>
  <si>
    <t>6686635752998250677</t>
  </si>
  <si>
    <t>中国农业银行长治鹿家庄分理处</t>
  </si>
  <si>
    <t>6688665832537793920</t>
  </si>
  <si>
    <t>中国农业银行长治故县支行</t>
  </si>
  <si>
    <t>6682462769453468066</t>
  </si>
  <si>
    <t>中国农业银行武乡广场分理处</t>
  </si>
  <si>
    <t>6682600495578259256</t>
  </si>
  <si>
    <t>中国农业银行忻州经济开发区支行</t>
  </si>
  <si>
    <t>6687537249068003598</t>
  </si>
  <si>
    <t>中国农业银行五寨三岔镇支行</t>
  </si>
  <si>
    <t>6684682572664386666</t>
  </si>
  <si>
    <t>中国农业银行临汾中大街分理处</t>
  </si>
  <si>
    <t>6686949028860903270</t>
  </si>
  <si>
    <t>中国农业银行闻喜兴闻分理处</t>
  </si>
  <si>
    <t>6680466809539769323</t>
  </si>
  <si>
    <t>中国农业银行乌拉特中旗甘其毛都支</t>
  </si>
  <si>
    <t>6680373696995974663</t>
  </si>
  <si>
    <t>中国农业银行沈阳闾山路支行</t>
  </si>
  <si>
    <t>6680446626270969772</t>
  </si>
  <si>
    <t>中国农业银行沈阳自贸区支行</t>
  </si>
  <si>
    <t>6682090306077586265</t>
  </si>
  <si>
    <t>中国农业银行鞍山兴盛支行</t>
  </si>
  <si>
    <t>浦发银行</t>
  </si>
  <si>
    <t>6684096952833436326</t>
  </si>
  <si>
    <t>福州东街支行</t>
  </si>
  <si>
    <t>6684053538566506752</t>
  </si>
  <si>
    <t>临沂莒南支行</t>
  </si>
  <si>
    <t>6682497878556754200</t>
  </si>
  <si>
    <t>郑州月湖南路支行</t>
  </si>
  <si>
    <t>6682204886904826283</t>
  </si>
  <si>
    <t>安阳中华路支行</t>
  </si>
  <si>
    <t>6682836246752860697</t>
  </si>
  <si>
    <t>孝感分行</t>
  </si>
  <si>
    <t>6688543390746746663</t>
  </si>
  <si>
    <t>深圳百花支行</t>
  </si>
  <si>
    <t>建设银行</t>
  </si>
  <si>
    <t>6287485378026298013</t>
  </si>
  <si>
    <t>深圳西乡大道支行</t>
  </si>
  <si>
    <t>6284873508982316090</t>
  </si>
  <si>
    <t>深圳市翠园支行</t>
  </si>
  <si>
    <t>6284862983554417181</t>
  </si>
  <si>
    <t>深圳科苑支行</t>
  </si>
  <si>
    <t>6288827625843410026</t>
  </si>
  <si>
    <t xml:space="preserve"> 中国建设银行股份有限公司深圳龙城支行</t>
  </si>
  <si>
    <t>6288045106292291508</t>
  </si>
  <si>
    <t>中国建设银行股份有限公司深圳新城支行</t>
  </si>
  <si>
    <t>6286566884306823900</t>
  </si>
  <si>
    <t>宜春市袁州区建设银行</t>
  </si>
  <si>
    <t>交通银行卡</t>
  </si>
  <si>
    <t>6281300751294036928</t>
  </si>
  <si>
    <t>交通银行光华路支行</t>
  </si>
  <si>
    <t>6286530866217694814</t>
  </si>
  <si>
    <t>北京通州支行</t>
  </si>
  <si>
    <t>兴业银行</t>
  </si>
  <si>
    <t>628983334026756484</t>
  </si>
  <si>
    <t>兴业银行厦门市同安区支行</t>
  </si>
  <si>
    <t>平安银行</t>
  </si>
  <si>
    <t>6280512366669590142</t>
  </si>
  <si>
    <t>平安银行福建省泉州晋江安海社区支行</t>
  </si>
  <si>
    <t>邮政银行</t>
  </si>
  <si>
    <t>6281643305043727972</t>
  </si>
  <si>
    <t>中国邮政储蓄银行湖北省石首市中山路支行</t>
  </si>
  <si>
    <t>6288718206066867280</t>
  </si>
  <si>
    <t>中国建设银行股份有限公司广州黄埔大道中路支行</t>
  </si>
  <si>
    <t>中信银行</t>
  </si>
  <si>
    <t>6289363705695664888</t>
  </si>
  <si>
    <t>中信银行股份有限公司贵阳分行（不对外办理业务</t>
  </si>
  <si>
    <t>工商银行</t>
  </si>
  <si>
    <t>6284784611727771937</t>
  </si>
  <si>
    <t>中国工商银行股份有限公司遵义医学院支行</t>
  </si>
  <si>
    <t>光大银行</t>
  </si>
  <si>
    <t>6287144086036147789</t>
  </si>
  <si>
    <t>石家庄维明北大街支行</t>
  </si>
  <si>
    <t>6286684761966236359</t>
  </si>
  <si>
    <t>北京双井桥支行</t>
  </si>
  <si>
    <t>6287993731516550814</t>
  </si>
  <si>
    <t>北京顺义后沙峪支行</t>
  </si>
  <si>
    <t>6282974499668182834</t>
  </si>
  <si>
    <t>北京科技园支行</t>
  </si>
  <si>
    <t>交通银行</t>
  </si>
  <si>
    <t>6281545302551256866</t>
  </si>
  <si>
    <t>交通银行天津师范大学支行</t>
  </si>
  <si>
    <t>6286694021467188681</t>
  </si>
  <si>
    <t>交通银行吕梁孝义支行</t>
  </si>
  <si>
    <t>6283156264798045690</t>
  </si>
  <si>
    <t>交通银行大连武汉街支行</t>
  </si>
  <si>
    <t>6281952605716999538</t>
  </si>
  <si>
    <t>交通银行大连长兴街</t>
  </si>
  <si>
    <t>6286437483303472134</t>
  </si>
  <si>
    <t>交通银行大连黄河街支行</t>
  </si>
  <si>
    <t>6289874155989991194</t>
  </si>
  <si>
    <t>交通银行大连世达街支行</t>
  </si>
  <si>
    <t>中国银行</t>
  </si>
  <si>
    <t>6284195212373191809</t>
  </si>
  <si>
    <t>北海市分行</t>
  </si>
  <si>
    <t>6281958569840469529</t>
  </si>
  <si>
    <t>江西省分行</t>
  </si>
  <si>
    <t>6288967721965267634</t>
  </si>
  <si>
    <t>江苏省分行</t>
  </si>
  <si>
    <t>6285035867350146611</t>
  </si>
  <si>
    <t>枣庄市分行</t>
  </si>
  <si>
    <t>6288091407804826666</t>
  </si>
  <si>
    <t>北京清河支行</t>
  </si>
  <si>
    <t>6287148987617240934</t>
  </si>
  <si>
    <t>大望路支行</t>
  </si>
  <si>
    <t>6283444300839317270</t>
  </si>
  <si>
    <t>北京招商银行回龙观支行</t>
  </si>
  <si>
    <t>6289052522504302407</t>
  </si>
  <si>
    <t>中信银行鞍山立山支行</t>
  </si>
  <si>
    <t>6284074042386008157</t>
  </si>
  <si>
    <t>中信银行鞍山分行营业部</t>
  </si>
  <si>
    <t>6283105272858432725</t>
  </si>
  <si>
    <t>中信银行鞍山胜利路支行</t>
  </si>
  <si>
    <t>6280468975896648472</t>
  </si>
  <si>
    <t>中信银行北京安贞支行</t>
  </si>
  <si>
    <t>6285845760928685452</t>
  </si>
  <si>
    <t>中信银行北京奥运村支行</t>
  </si>
  <si>
    <t>上海银行</t>
  </si>
  <si>
    <t>6280563400261872601</t>
  </si>
  <si>
    <t>上海银行股份有限公司徐家汇支行</t>
  </si>
  <si>
    <t>6288526099394387300</t>
  </si>
  <si>
    <t>上海银行股份有限公司闸北支行</t>
  </si>
  <si>
    <t>6284987108985454426</t>
  </si>
  <si>
    <t>上海银行股份有限公司福民支行</t>
  </si>
  <si>
    <t>6285318190767359215</t>
  </si>
  <si>
    <t>上海银行股份有限公司南东支行</t>
  </si>
  <si>
    <t>汇丰银行</t>
  </si>
  <si>
    <t>6287663492435423561</t>
  </si>
  <si>
    <t>汇丰银行（中国）有限公司湛江支行</t>
  </si>
  <si>
    <t>6285119209672490110</t>
  </si>
  <si>
    <t>汇丰银行（中国）有限公司茂名支行</t>
  </si>
  <si>
    <t>6280480861622165182</t>
  </si>
  <si>
    <t>汇丰银行（中国）有限公司肇庆支行</t>
  </si>
  <si>
    <t>6285028551724209877</t>
  </si>
  <si>
    <t>汇丰银行（中国）有限公司云浮支行</t>
  </si>
  <si>
    <t>6287362928078076170</t>
  </si>
  <si>
    <t>汇丰银行（中国）有限公司惠州支行</t>
  </si>
  <si>
    <t>6281303994474882931</t>
  </si>
  <si>
    <t>汇丰银行（中国）有限公司梅州支行</t>
  </si>
  <si>
    <t>6289520973771189865</t>
  </si>
  <si>
    <t>黄浦区太阳都市工商银行</t>
  </si>
  <si>
    <t>6285100202159843164</t>
  </si>
  <si>
    <t>陆家嘴支行</t>
  </si>
  <si>
    <t>6283428039191961276</t>
  </si>
  <si>
    <t>上海市闵行区江川支行</t>
  </si>
  <si>
    <t>6283476566015697857</t>
  </si>
  <si>
    <t>博山路支行</t>
  </si>
  <si>
    <t>6285206813445632131</t>
  </si>
  <si>
    <t>徐汇支行</t>
  </si>
  <si>
    <t>6281953955426423231</t>
  </si>
  <si>
    <t>虹桥机场</t>
  </si>
  <si>
    <t>6281050019411362690</t>
  </si>
  <si>
    <t>中国建设银行（上海临空支行）</t>
  </si>
  <si>
    <t>6289287803991997499</t>
  </si>
  <si>
    <t>江桥支行</t>
  </si>
  <si>
    <t>6281513346891554237</t>
  </si>
  <si>
    <t>淞南支行</t>
  </si>
  <si>
    <t>6281911379071535548</t>
  </si>
  <si>
    <t>颛桥之行</t>
  </si>
  <si>
    <t>6284814440669306170</t>
  </si>
  <si>
    <t>奉浦支行</t>
  </si>
  <si>
    <t>6281366382099690025</t>
  </si>
  <si>
    <t>昌里路支行</t>
  </si>
  <si>
    <t>6287731298789245149</t>
  </si>
  <si>
    <t>嘉定安亭</t>
  </si>
  <si>
    <t>6281910503203260941</t>
  </si>
  <si>
    <t>交通银行西三旗支行</t>
  </si>
  <si>
    <t>6283335386448688116</t>
  </si>
  <si>
    <t>交通银行北京玉泉营支行</t>
  </si>
  <si>
    <t>6284391857961487729</t>
  </si>
  <si>
    <t>北京紫竹院支行</t>
  </si>
  <si>
    <t>6289206993959307963</t>
  </si>
  <si>
    <t>交通银行北京中关村支行</t>
  </si>
  <si>
    <t>6281253363890471169</t>
  </si>
  <si>
    <t>交通银行北京右安门支行</t>
  </si>
  <si>
    <t>6282131443194251733</t>
  </si>
  <si>
    <t>交通银行丰台北路支行</t>
  </si>
  <si>
    <t>6288699253877745843</t>
  </si>
  <si>
    <t>北京市崇文门支行</t>
  </si>
  <si>
    <t>6289195864793018477</t>
  </si>
  <si>
    <t>北京常营支行</t>
  </si>
  <si>
    <t>6285307336844613882</t>
  </si>
  <si>
    <t>崇左扶绥</t>
  </si>
  <si>
    <t>6282603334148018252</t>
  </si>
  <si>
    <t>右江支行</t>
  </si>
  <si>
    <t>6284119124288703228</t>
  </si>
  <si>
    <t>湛江金穗支行</t>
  </si>
  <si>
    <t>6286331854353015601</t>
  </si>
  <si>
    <t>湛江菉塘支行</t>
  </si>
  <si>
    <t>6282535503498901848</t>
  </si>
  <si>
    <t>湛江港城支行</t>
  </si>
  <si>
    <t>6280001784946491473</t>
  </si>
  <si>
    <t>杭州枫华支行</t>
  </si>
  <si>
    <t>6288788772857207812</t>
  </si>
  <si>
    <t>上海市普陀支行</t>
  </si>
  <si>
    <t>6285117760980063850</t>
  </si>
  <si>
    <t>上海天钥桥支行</t>
  </si>
  <si>
    <t>6283512762747449039</t>
  </si>
  <si>
    <t>上海普陀支行</t>
  </si>
  <si>
    <t>6282403288556487963</t>
  </si>
  <si>
    <t>上海洋泾支行</t>
  </si>
  <si>
    <t>6282920363702698594</t>
  </si>
  <si>
    <t>中国银行银河大街支行</t>
  </si>
  <si>
    <t>6284281137720373197</t>
  </si>
  <si>
    <t>中国银行北京天缘公寓支行</t>
  </si>
  <si>
    <t>6286755934733823931</t>
  </si>
  <si>
    <t>中国银行北京市林河开发区</t>
  </si>
  <si>
    <t>EntryDate-入职日期</t>
  </si>
  <si>
    <t>extbushijichuqingongshi_613817_886167204-补实际出勤工时-1516.5</t>
  </si>
  <si>
    <t>extbunianjiagongshi_613817_1723252305-补年假工时-40</t>
  </si>
  <si>
    <t>extbudaixinbingjiagongshi_613817_1049206651-补带薪病假工时-40</t>
  </si>
  <si>
    <t>extbuhunjiagongshi_613817_1834104583-补婚假工时-24</t>
  </si>
  <si>
    <t>extbusangjiagongshi_613817_1924177130-补丧假工时-8</t>
  </si>
  <si>
    <t>extbugongshanggongshi_613817_2084800136-补工伤工时-8</t>
  </si>
  <si>
    <t>extbupeichanjiagongshi_613817_245153003-补陪产假工时-14</t>
  </si>
  <si>
    <t>extbudiaoxiugongshi_613817_603127090-补调休工时</t>
  </si>
  <si>
    <t>extbuyuerjiagongshi_613817_1444417761-补育儿假工时-18</t>
  </si>
  <si>
    <t>extbukouxinbingjiagongshi_613817_1079059697-补扣薪病假工时-8</t>
  </si>
  <si>
    <t>extbuchanjiagongshi_613817_1250128833-补产假工时-120</t>
  </si>
  <si>
    <t>extbufadingjiabangongshi_613817_480472823-补法定加班工时-12</t>
  </si>
  <si>
    <t>extbuliuchanjia_613817_1137338153-补流产假-6</t>
  </si>
  <si>
    <t>26123007@dominos.com</t>
  </si>
  <si>
    <t>汪颖</t>
  </si>
  <si>
    <t>wing.wang@dominos.com</t>
  </si>
  <si>
    <t>华东2营运</t>
  </si>
  <si>
    <t>漳州龙海区</t>
  </si>
  <si>
    <t>26123008@dominos.com</t>
  </si>
  <si>
    <t>华东3营运</t>
  </si>
  <si>
    <t>华东4营运</t>
  </si>
  <si>
    <t>华东5营运</t>
  </si>
  <si>
    <t>26123046@dominos.com</t>
  </si>
  <si>
    <t>华东6营运</t>
  </si>
  <si>
    <t>26123048@dominos.com</t>
  </si>
  <si>
    <t>华东7营运</t>
  </si>
  <si>
    <t>华东8营运</t>
  </si>
  <si>
    <t>26123080@dominos.com</t>
  </si>
  <si>
    <t>华东9营运</t>
  </si>
  <si>
    <t>26123050@dominos.com</t>
  </si>
  <si>
    <t>华东10营运</t>
  </si>
  <si>
    <t>26123093@dominos.com</t>
  </si>
  <si>
    <t>华东11营运</t>
  </si>
  <si>
    <t>26123029@dominos.com</t>
  </si>
  <si>
    <t>华东12营运</t>
  </si>
  <si>
    <t>华东13营运</t>
  </si>
  <si>
    <t>华东14营运</t>
  </si>
  <si>
    <t>26123105@dominos.com</t>
  </si>
  <si>
    <t>华东15营运</t>
  </si>
  <si>
    <t>26123106@dominos.com</t>
  </si>
  <si>
    <t>华东16营运</t>
  </si>
  <si>
    <t>26123052@dominos.com</t>
  </si>
  <si>
    <t>华东17营运</t>
  </si>
  <si>
    <t>华东18营运</t>
  </si>
  <si>
    <t>参数名</t>
  </si>
  <si>
    <t>参数值</t>
  </si>
  <si>
    <t>薪资年份</t>
  </si>
  <si>
    <t>薪资月份</t>
  </si>
  <si>
    <t>月标准工时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</si>
</sst>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4">
    <fill>
      <patternFill patternType="none"/>
    </fill>
    <fill>
      <patternFill patternType="gray125"/>
    </fill>
    <fill>
      <patternFill patternType="solid">
        <fgColor rgb="FF90EE90"/>
        <bgColor rgb="FF90EE90"/>
      </patternFill>
    </fill>
    <fill>
      <patternFill patternType="solid">
        <fgColor rgb="FFFFD700"/>
        <bgColor rgb="FFFFD7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104"/>
  <sheetViews>
    <sheetView tabSelected="1" workbookViewId="0"/>
  </sheetViews>
  <sheetFormatPr defaultRowHeight="13.5" x14ac:dyDescent="0.15"/>
  <sheetData>
    <row r="1" spans="1:12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row>
    <row r="2" spans="1:122" x14ac:dyDescent="0.15">
      <c r="A2">
        <f>参数!$B$2</f>
        <v>2025</v>
      </c>
      <c r="B2">
        <f>参数!$B$3</f>
        <v>12</v>
      </c>
      <c r="D2" t="s">
        <v>122</v>
      </c>
      <c r="E2" t="s">
        <v>123</v>
      </c>
      <c r="F2" t="str">
        <f>IFERROR(VLOOKUP(K2,源_7银行卡表_Sheet1!$A:$J,6,FALSE),"")</f>
        <v>华东营运</v>
      </c>
      <c r="G2" t="s">
        <v>124</v>
      </c>
      <c r="H2" t="s">
        <v>125</v>
      </c>
      <c r="I2" t="s">
        <v>126</v>
      </c>
      <c r="J2">
        <v>1</v>
      </c>
      <c r="K2">
        <v>26123001</v>
      </c>
      <c r="L2" t="s">
        <v>127</v>
      </c>
      <c r="M2" t="s">
        <v>128</v>
      </c>
      <c r="N2" t="s">
        <v>129</v>
      </c>
      <c r="O2" t="s">
        <v>130</v>
      </c>
      <c r="P2" t="s">
        <v>131</v>
      </c>
      <c r="Q2">
        <f>IF(P2="门店全职",IFERROR(VLOOKUP(K2,源_3考勤报表_考勤表!$F:$BG,34,FALSE),0)+IFERROR(VLOOKUP(K2,源_8补工时表_补当月工时!$A:$AC,14,FALSE),0),IF(P2="门店管理组",IF(IFERROR(VLOOKUP(K2,源_3考勤报表_考勤表!$F:$BG,34,FALSE),0)+IFERROR(VLOOKUP(K2,源_8补工时表_补当月工时!$A:$AC,14,FALSE),0)+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44,FALSE),0)+IFERROR(VLOOKUP(K2,源_8补工时表_补当月工时!$A:$AC,16,FALSE),0)+IFERROR(VLOOKUP(K2,源_3考勤报表_考勤表!$F:$BG,45,FALSE),0)&gt;=参数!$B$4,参数!$B$4-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44,FALSE),0)-IFERROR(VLOOKUP(K2,源_8补工时表_补当月工时!$A:$AC,16,FALSE),0)-IFERROR(VLOOKUP(K2,源_3考勤报表_考勤表!$F:$BG,45,FALSE),0),IFERROR(VLOOKUP(K2,源_3考勤报表_考勤表!$F:$BG,34,FALSE),0)+IFERROR(VLOOKUP(K2,源_8补工时表_补当月工时!$A:$AC,14,FALSE),0)),0))</f>
        <v>168</v>
      </c>
      <c r="R2">
        <v>7514</v>
      </c>
      <c r="S2">
        <v>0</v>
      </c>
      <c r="T2">
        <f>IF(P2="门店全职",R2/参数!$B$4*(Q2-MAX(IFERROR(VLOOKUP(K2,源_3考勤报表_考勤表!$F:$BG,34,FALSE),0)+IFERROR(VLOOKUP(K2,源_8补工时表_补当月工时!$A:$AC,14,FALSE),0)+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参数!$B$4,0)),R2/参数!$B$4*Q2)</f>
        <v>6860.608695652174</v>
      </c>
      <c r="U2">
        <v>0</v>
      </c>
      <c r="V2">
        <v>0</v>
      </c>
      <c r="W2">
        <f t="shared" ref="W2:W33" si="0">X2+Y2+Z2+AA2</f>
        <v>25.5</v>
      </c>
      <c r="X2">
        <f>IFERROR(VLOOKUP(K2,源_4奖金汇总表_拆分手工算!$A:$N,8,FALSE),0)</f>
        <v>25.5</v>
      </c>
      <c r="Y2">
        <f>IFERROR(VLOOKUP(K2,源_5薪资备忘录_工资调整项!$A:$AC,14,FALSE),0)</f>
        <v>0</v>
      </c>
      <c r="Z2">
        <f>IFERROR(VLOOKUP(K2,源_5薪资备忘录_工资调整项!$A:$AC,16,FALSE),0)</f>
        <v>0</v>
      </c>
      <c r="AA2">
        <f>IFERROR(VLOOKUP(K2,源_5薪资备忘录_工资调整项!$A:$AC,15,FALSE),0)</f>
        <v>0</v>
      </c>
      <c r="AB2">
        <f t="shared" ref="AB2:AB33" si="1">AC2+AD2+AF2</f>
        <v>0</v>
      </c>
      <c r="AC2">
        <f>IF(P2="门店全职",R2/174*MAX(IFERROR(VLOOKUP(K2,源_3考勤报表_考勤表!$F:$BG,34,FALSE),0)+IFERROR(VLOOKUP(K2,源_8补工时表_补当月工时!$A:$AC,14,FALSE),0)+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参数!$B$4,0)*1.5,0)</f>
        <v>0</v>
      </c>
      <c r="AD2">
        <v>0</v>
      </c>
      <c r="AE2">
        <f>IFERROR(VLOOKUP(K2,源_3考勤报表_考勤表!$F:$BG,46,FALSE),0)+IFERROR(VLOOKUP(K2,源_8补工时表_补当月工时!$A:$AC,25,FALSE),0)</f>
        <v>0</v>
      </c>
      <c r="AF2">
        <f t="shared" ref="AF2:AF33" si="2">R2/174*AE2*3</f>
        <v>0</v>
      </c>
      <c r="AG2">
        <f>IFERROR(VLOOKUP(K2,源_4奖金汇总表_拆分手工算!$A:$N,10,FALSE),0)</f>
        <v>0</v>
      </c>
      <c r="AH2">
        <f>IFERROR(VLOOKUP(K2,源_4奖金汇总表_拆分手工算!$A:$N,5,FALSE),0)</f>
        <v>0</v>
      </c>
      <c r="AI2">
        <f>IFERROR(VLOOKUP(K2,源_4奖金汇总表_拆分手工算!$A:$N,11,FALSE),0)</f>
        <v>2000</v>
      </c>
      <c r="AJ2">
        <f>IFERROR(VLOOKUP(K2,源_4奖金汇总表_拆分手工算!$A:$N,4,FALSE),0)</f>
        <v>1500</v>
      </c>
      <c r="AK2">
        <f>IFERROR(VLOOKUP(K2,源_4奖金汇总表_拆分手工算!$A:$N,3,FALSE),0)</f>
        <v>9000</v>
      </c>
      <c r="AL2">
        <f>IFERROR(VLOOKUP(K2,源_4奖金汇总表_拆分手工算!$A:$N,6,FALSE),0)</f>
        <v>0</v>
      </c>
      <c r="AM2">
        <f>IFERROR(VLOOKUP(K2,源_5薪资备忘录_工资调整项!$A:$AC,18,FALSE),0)+IFERROR(VLOOKUP(K2,源_4奖金汇总表_拆分手工算!$A:$N,7,FALSE),0)</f>
        <v>0</v>
      </c>
      <c r="AN2">
        <f>IFERROR(VLOOKUP(K2,源_5薪资备忘录_工资调整项!$A:$AC,17,FALSE),0)</f>
        <v>0</v>
      </c>
      <c r="AO2">
        <f>IF(OR(IFERROR(VLOOKUP(K2,源_3考勤报表_考勤表!$F:$BG,39,FALSE),0)+IFERROR(VLOOKUP(K2,源_8补工时表_补当月工时!$A:$AC,24,FALSE),0)&gt;0,IFERROR(VLOOKUP(K2,源_3考勤报表_考勤表!$F:$BG,43,FALSE),0)+IFERROR(VLOOKUP(K2,源_8补工时表_补当月工时!$A:$AC,26,FALSE),0)&gt;0),IF(IFERROR(VLOOKUP(DH2,源_11产假政策_Sheet1!$C:$F,4,FALSE),"")="是",R2/参数!$B$4*(IFERROR(VLOOKUP(K2,源_3考勤报表_考勤表!$F:$BG,39,FALSE),0)+IFERROR(VLOOKUP(K2,源_8补工时表_补当月工时!$A:$AC,24,FALSE),0)+IFERROR(VLOOKUP(K2,源_3考勤报表_考勤表!$F:$BG,43,FALSE),0)+IFERROR(VLOOKUP(K2,源_8补工时表_补当月工时!$A:$AC,26,FALSE),0)),IFERROR(VLOOKUP(K2,源_5薪资备忘录_工资调整项!$A:$AC,19,FALSE),0)),0)</f>
        <v>0</v>
      </c>
      <c r="AP2">
        <v>0</v>
      </c>
      <c r="AQ2">
        <f>IFERROR(VLOOKUP(K2,源_4奖金汇总表_拆分手工算!$A:$N,12,FALSE),0)+IFERROR(VLOOKUP(K2,源_9年终奖表_Sheet1!$A:$E,3,FALSE),0)</f>
        <v>0</v>
      </c>
      <c r="AR2">
        <f>IFERROR(VLOOKUP(K2,源_4奖金汇总表_拆分手工算!$A:$N,13,FALSE),0)+IFERROR(VLOOKUP(K2,源_9年终奖表_Sheet1!$A:$E,4,FALSE),0)</f>
        <v>0</v>
      </c>
      <c r="AS2">
        <f>IFERROR(VLOOKUP(K2,源_4奖金汇总表_拆分手工算!$A:$N,14,FALSE),0)+IFERROR(VLOOKUP(K2,源_9年终奖表_Sheet1!$A:$E,5,FALSE),0)</f>
        <v>0</v>
      </c>
      <c r="AT2">
        <f>IFERROR(VLOOKUP(K2,源_5薪资备忘录_工资调整项!$A:$AC,20,FALSE),0)</f>
        <v>0</v>
      </c>
      <c r="AU2">
        <f>IFERROR(VLOOKUP(K2,源_5薪资备忘录_工资调整项!$A:$AC,21,FALSE),0)+IFERROR(VLOOKUP(K2,源_4奖金汇总表_拆分手工算!$A:$N,9,FALSE),0)</f>
        <v>1733.79</v>
      </c>
      <c r="AV2">
        <f>R2/参数!$B$4*(IFERROR(VLOOKUP(K2,源_3考勤报表_考勤表!$F:$BG,37,FALSE),0)+IFERROR(VLOOKUP(K2,源_8补工时表_补当月工时!$A:$AC,15,FALSE),0))</f>
        <v>653.39130434782612</v>
      </c>
      <c r="AW2">
        <f>R2/174*MIN(IFERROR(VLOOKUP(K2,源_3考勤报表_考勤表!$F:$BG,35,FALSE),0),174)*IF(DATEDIF(N2,DATE(参数!$B$2,参数!$B$3+1,0),"Y")&lt;2,0.6,IF(DATEDIF(N2,DATE(参数!$B$2,参数!$B$3+1,0),"Y")&lt;4,0.7,IF(DATEDIF(N2,DATE(参数!$B$2,参数!$B$3+1,0),"Y")&lt;6,0.8,IF(DATEDIF(N2,DATE(参数!$B$2,参数!$B$3+1,0),"Y")&lt;8,0.9,1))))</f>
        <v>0</v>
      </c>
      <c r="AX2">
        <f>IF(Q2+IFERROR(VLOOKUP(K2,源_3考勤报表_考勤表!$F:$BG,37,FALSE),0)+IFERROR(VLOOKUP(K2,源_8补工时表_补当月工时!$A:$AC,15,FALSE),0)&gt;=参数!$B$4,0,IF(Q2+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lt;=参数!$B$4,R2/参数!$B$4*(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0))</f>
        <v>0</v>
      </c>
      <c r="AY2">
        <v>0</v>
      </c>
      <c r="AZ2">
        <v>0</v>
      </c>
      <c r="BA2">
        <v>0</v>
      </c>
      <c r="BB2">
        <v>0</v>
      </c>
      <c r="BC2">
        <f>IFERROR(VLOOKUP(K2,源_5薪资备忘录_工资调整项!$A:$AC,25,FALSE),0)</f>
        <v>0</v>
      </c>
      <c r="BD2">
        <v>0</v>
      </c>
      <c r="BE2">
        <v>0</v>
      </c>
      <c r="BF2">
        <v>0</v>
      </c>
      <c r="BG2">
        <f>IFERROR(VLOOKUP(K2,源_5薪资备忘录_工资调整项!$A:$AC,22,FALSE),0)+IFERROR(VLOOKUP(K2,源_5薪资备忘录_工资调整项!$A:$AC,23,FALSE),0)+IFERROR(VLOOKUP(K2,源_5薪资备忘录_工资调整项!$A:$AC,24,FALSE),0)</f>
        <v>0</v>
      </c>
      <c r="BH2">
        <f>IFERROR(VLOOKUP(DF2,源_6社保表_Sheet1!$C:$CD,80,FALSE),0)+4.5</f>
        <v>6.5</v>
      </c>
      <c r="BI2">
        <f t="shared" ref="BI2:BI33" si="3">T2+W2+AB2+AG2+AH2+AI2+AJ2+AK2+AL2+AM2+AN2+AO2+AP2+AQ2+AR2+AS2+AT2+AU2+AV2+AW2+AX2+BC2</f>
        <v>21773.290000000005</v>
      </c>
      <c r="BJ2">
        <f>IFERROR(VLOOKUP(DF2,源_6社保表_Sheet1!$C:$BZ,26,FALSE),0)</f>
        <v>782.96</v>
      </c>
      <c r="BK2">
        <f>IFERROR(VLOOKUP(DF2,源_6社保表_Sheet1!$C:$BZ,27,FALSE),0)</f>
        <v>195.74</v>
      </c>
      <c r="BL2">
        <f>IFERROR(VLOOKUP(DF2,源_6社保表_Sheet1!$C:$BZ,28,FALSE),0)</f>
        <v>48.935000000000002</v>
      </c>
      <c r="BM2">
        <f>IFERROR(VLOOKUP(DF2,源_6社保表_Sheet1!$C:$BZ,30,FALSE),0)</f>
        <v>685.09</v>
      </c>
      <c r="BN2">
        <f>IFERROR(VLOOKUP(DF2,源_6社保表_Sheet1!$C:$BZ,29,FALSE),0)</f>
        <v>0</v>
      </c>
      <c r="BO2">
        <f>IFERROR(VLOOKUP(DF2,源_6社保表_Sheet1!$C:$BZ,40,FALSE),0)</f>
        <v>700.96</v>
      </c>
      <c r="BP2">
        <f>IFERROR(VLOOKUP(DF2,源_6社保表_Sheet1!$C:$BZ,41,FALSE),0)</f>
        <v>100.74</v>
      </c>
      <c r="BQ2">
        <f>IFERROR(VLOOKUP(DF2,源_6社保表_Sheet1!$C:$BZ,42,FALSE),0)</f>
        <v>40.935000000000002</v>
      </c>
      <c r="BR2">
        <f>IFERROR(VLOOKUP(DF2,源_6社保表_Sheet1!$C:$BZ,44,FALSE),0)</f>
        <v>600.09</v>
      </c>
      <c r="BS2">
        <f>IFERROR(VLOOKUP(DF2,源_6社保表_Sheet1!$C:$BZ,43,FALSE),0)</f>
        <v>0</v>
      </c>
      <c r="BT2">
        <f t="shared" ref="BT2:BT33" si="4">BJ2+BK2+BL2+BM2+BN2+BO2+BP2+BQ2+BR2+BS2</f>
        <v>3155.45</v>
      </c>
      <c r="BU2">
        <v>0</v>
      </c>
      <c r="BV2">
        <v>0</v>
      </c>
      <c r="BW2">
        <v>0</v>
      </c>
      <c r="BX2">
        <f t="shared" ref="BX2:BX33" si="5">BU2+BV2+BW2</f>
        <v>0</v>
      </c>
      <c r="BY2">
        <v>0</v>
      </c>
      <c r="BZ2">
        <f>IFERROR(VLOOKUP(DF2,源_6社保表_Sheet1!$C:$BZ,18,FALSE),0)</f>
        <v>1565.92</v>
      </c>
      <c r="CA2">
        <f>IFERROR(VLOOKUP(DF2,源_6社保表_Sheet1!$C:$BZ,19,FALSE),0)</f>
        <v>880.83</v>
      </c>
      <c r="CB2">
        <f>IFERROR(VLOOKUP(DF2,源_6社保表_Sheet1!$C:$BZ,24,FALSE),0)</f>
        <v>685.09</v>
      </c>
      <c r="CC2">
        <f>IFERROR(VLOOKUP(DF2,源_6社保表_Sheet1!$C:$BZ,20,FALSE),0)</f>
        <v>48.935000000000002</v>
      </c>
      <c r="CD2">
        <f>IFERROR(VLOOKUP(DF2,源_6社保表_Sheet1!$C:$BZ,21,FALSE),0)</f>
        <v>31.3184</v>
      </c>
      <c r="CE2">
        <f>IFERROR(VLOOKUP(DF2,源_6社保表_Sheet1!$C:$BZ,22,FALSE),0)</f>
        <v>0</v>
      </c>
      <c r="CF2">
        <f>IFERROR(VLOOKUP(DF2,源_6社保表_Sheet1!$C:$BZ,23,FALSE),0)</f>
        <v>0</v>
      </c>
      <c r="CG2">
        <f>IFERROR(VLOOKUP(DF2,源_6社保表_Sheet1!$C:$BZ,32,FALSE),0)</f>
        <v>1500.92</v>
      </c>
      <c r="CH2">
        <f>IFERROR(VLOOKUP(DF2,源_6社保表_Sheet1!$C:$BZ,33,FALSE),0)</f>
        <v>800.83</v>
      </c>
      <c r="CI2">
        <f>IFERROR(VLOOKUP(DF2,源_6社保表_Sheet1!$C:$BZ,34,FALSE),0)</f>
        <v>40.935000000000002</v>
      </c>
      <c r="CJ2">
        <f>IFERROR(VLOOKUP(DF2,源_6社保表_Sheet1!$C:$BZ,38,FALSE),0)</f>
        <v>600.09</v>
      </c>
      <c r="CK2">
        <f>IFERROR(VLOOKUP(DF2,源_6社保表_Sheet1!$C:$BZ,35,FALSE),0)</f>
        <v>30.3184</v>
      </c>
      <c r="CL2">
        <f>IFERROR(VLOOKUP(DF2,源_6社保表_Sheet1!$C:$BZ,36,FALSE),0)</f>
        <v>0</v>
      </c>
      <c r="CM2">
        <f>IFERROR(VLOOKUP(DF2,源_6社保表_Sheet1!$C:$BZ,37,FALSE),0)</f>
        <v>0</v>
      </c>
      <c r="CN2">
        <f t="shared" ref="CN2:CN33" si="6">BZ2+CA2+CB2+CC2+CD2+CE2+CF2+CG2+CH2+CI2+CJ2+CK2+CL2+CM2</f>
        <v>6185.1868000000004</v>
      </c>
      <c r="CO2">
        <f t="shared" ref="CO2:CO33" si="7">BI2+BG2+CN2+BE2+BH2</f>
        <v>27964.976800000004</v>
      </c>
      <c r="CP2">
        <f>IF(IFERROR(VLOOKUP(K2,源_13残疾人信息_残疾人信息!$A:$M,1,FALSE),"")&lt;&gt;"",0,IF(OR(P2="门店全职",P2="门店管理组",P2="全职(非门店)"),(BI2-AT2)*IFERROR(VLOOKUP(D2,源_12计提残保金规则_Sheet1!$A:$E,4,FALSE),0)*IFERROR(VLOOKUP(D2,源_12计提残保金规则_Sheet1!$A:$E,5,FALSE),0),0))</f>
        <v>293.93941500000005</v>
      </c>
      <c r="CQ2">
        <f t="shared" ref="CQ2:CQ33" si="8">IF(M2="行政",0,16.05)</f>
        <v>16.05</v>
      </c>
      <c r="CR2">
        <f t="shared" ref="CR2:CR33" si="9">IF(M2="门卫",0,20.67)</f>
        <v>20.67</v>
      </c>
      <c r="CS2">
        <f>IF(DATEVALUE(N2)&gt;DATE(参数!$B$2,9,30),0,IF(M2="行政",0,IF(O2="",R2/12,IF(MONTH(DATEVALUE(O2))=参数!$B$3,0,IF(DATEVALUE(O2)&lt;DATE(参数!$B$2,参数!$B$3,1),0,R2/12)))))</f>
        <v>0</v>
      </c>
      <c r="CT2">
        <f t="shared" ref="CT2:CT33" si="10">IF(P2="门店管理组",R2*0.12*0.85,0)</f>
        <v>766.42799999999988</v>
      </c>
      <c r="CU2">
        <f>IFERROR(VLOOKUP(DF2,源_6社保表_Sheet1!$C:$I,2,FALSE),0)</f>
        <v>9787</v>
      </c>
      <c r="CV2">
        <f>IFERROR(VLOOKUP(DF2,源_6社保表_Sheet1!$C:$I,7,FALSE),0)</f>
        <v>9787</v>
      </c>
      <c r="CW2">
        <f>IFERROR(VLOOKUP(DF2,源_6社保表_Sheet1!$C:$I,3,FALSE),0)</f>
        <v>9787</v>
      </c>
      <c r="CX2">
        <f>IFERROR(VLOOKUP(DF2,源_6社保表_Sheet1!$C:$I,4,FALSE),0)</f>
        <v>9787</v>
      </c>
      <c r="CY2">
        <f>IFERROR(VLOOKUP(DF2,源_6社保表_Sheet1!$C:$I,5,FALSE),0)</f>
        <v>9787</v>
      </c>
      <c r="CZ2">
        <f>IFERROR(VLOOKUP(DF2,源_6社保表_Sheet1!$C:$I,6,FALSE),0)</f>
        <v>0</v>
      </c>
      <c r="DA2">
        <f t="shared" ref="DA2:DA33" si="11">BI2+CN2-AG2-AH2-AI2-AJ2-AK2-AL2-AM2-AQ2-AR2-AS2-AT2</f>
        <v>15458.476800000004</v>
      </c>
      <c r="DB2">
        <f t="shared" ref="DB2:DB33" si="12">DA2+CP2+CQ2+CR2+CS2+CT2+BH2</f>
        <v>16562.064215000006</v>
      </c>
      <c r="DC2" t="str">
        <f>IFERROR(VLOOKUP(K2,源_7银行卡表_Sheet1!$A:$J,8,FALSE),"")</f>
        <v>招商银行</v>
      </c>
      <c r="DD2" t="str">
        <f>IFERROR(VLOOKUP(K2,源_7银行卡表_Sheet1!$A:$J,9,FALSE),"")</f>
        <v>6684906511538095695</v>
      </c>
      <c r="DE2" t="str">
        <f>IFERROR(VLOOKUP(K2,源_7银行卡表_Sheet1!$A:$J,10,FALSE),"")</f>
        <v>东莞滨海湾新区支行</v>
      </c>
      <c r="DF2" t="s">
        <v>132</v>
      </c>
      <c r="DG2">
        <v>16755985896</v>
      </c>
      <c r="DH2" t="s">
        <v>133</v>
      </c>
      <c r="DI2">
        <v>0</v>
      </c>
      <c r="DJ2">
        <v>0</v>
      </c>
      <c r="DK2">
        <v>0</v>
      </c>
      <c r="DL2">
        <v>0</v>
      </c>
      <c r="DM2">
        <v>0</v>
      </c>
      <c r="DN2">
        <v>0</v>
      </c>
      <c r="DO2">
        <v>0</v>
      </c>
      <c r="DP2">
        <v>0</v>
      </c>
      <c r="DQ2">
        <v>0</v>
      </c>
      <c r="DR2">
        <f>IF(OR(IFERROR(VLOOKUP(K2,源_3考勤报表_考勤表!$F:$BG,39,FALSE),0)+IFERROR(VLOOKUP(K2,源_8补工时表_补当月工时!$A:$AC,24,FALSE),0)=0,IFERROR(VLOOKUP(K2,源_3考勤报表_考勤表!$F:$BG,43,FALSE),0)+IFERROR(VLOOKUP(K2,源_8补工时表_补当月工时!$A:$AC,26,FALSE),0)=0),IF(BI2+BG2-BT2&lt;0,BI2+BG2-BT2,0),0)</f>
        <v>0</v>
      </c>
    </row>
    <row r="3" spans="1:122" x14ac:dyDescent="0.15">
      <c r="A3">
        <f>参数!$B$2</f>
        <v>2025</v>
      </c>
      <c r="B3">
        <f>参数!$B$3</f>
        <v>12</v>
      </c>
      <c r="D3" t="s">
        <v>122</v>
      </c>
      <c r="E3" t="s">
        <v>123</v>
      </c>
      <c r="F3" t="str">
        <f>IFERROR(VLOOKUP(K3,源_7银行卡表_Sheet1!$A:$J,6,FALSE),"")</f>
        <v>华东营运</v>
      </c>
      <c r="G3" t="s">
        <v>124</v>
      </c>
      <c r="H3" t="s">
        <v>134</v>
      </c>
      <c r="I3" t="s">
        <v>126</v>
      </c>
      <c r="J3">
        <v>1</v>
      </c>
      <c r="K3">
        <v>26123002</v>
      </c>
      <c r="L3" t="s">
        <v>135</v>
      </c>
      <c r="M3" t="s">
        <v>128</v>
      </c>
      <c r="N3" t="s">
        <v>136</v>
      </c>
      <c r="P3" t="s">
        <v>131</v>
      </c>
      <c r="Q3">
        <f>IF(P3="门店全职",IFERROR(VLOOKUP(K3,源_3考勤报表_考勤表!$F:$BG,34,FALSE),0)+IFERROR(VLOOKUP(K3,源_8补工时表_补当月工时!$A:$AC,14,FALSE),0),IF(P3="门店管理组",IF(IFERROR(VLOOKUP(K3,源_3考勤报表_考勤表!$F:$BG,34,FALSE),0)+IFERROR(VLOOKUP(K3,源_8补工时表_补当月工时!$A:$AC,14,FALSE),0)+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44,FALSE),0)+IFERROR(VLOOKUP(K3,源_8补工时表_补当月工时!$A:$AC,16,FALSE),0)+IFERROR(VLOOKUP(K3,源_3考勤报表_考勤表!$F:$BG,45,FALSE),0)&gt;=参数!$B$4,参数!$B$4-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44,FALSE),0)-IFERROR(VLOOKUP(K3,源_8补工时表_补当月工时!$A:$AC,16,FALSE),0)-IFERROR(VLOOKUP(K3,源_3考勤报表_考勤表!$F:$BG,45,FALSE),0),IFERROR(VLOOKUP(K3,源_3考勤报表_考勤表!$F:$BG,34,FALSE),0)+IFERROR(VLOOKUP(K3,源_8补工时表_补当月工时!$A:$AC,14,FALSE),0)),0))</f>
        <v>184</v>
      </c>
      <c r="R3">
        <v>7809</v>
      </c>
      <c r="S3">
        <v>0</v>
      </c>
      <c r="T3">
        <f>IF(P3="门店全职",R3/参数!$B$4*(Q3-MAX(IFERROR(VLOOKUP(K3,源_3考勤报表_考勤表!$F:$BG,34,FALSE),0)+IFERROR(VLOOKUP(K3,源_8补工时表_补当月工时!$A:$AC,14,FALSE),0)+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参数!$B$4,0)),R3/参数!$B$4*Q3)</f>
        <v>7809.0000000000009</v>
      </c>
      <c r="U3">
        <v>0</v>
      </c>
      <c r="V3">
        <v>0</v>
      </c>
      <c r="W3">
        <f t="shared" si="0"/>
        <v>7</v>
      </c>
      <c r="X3">
        <f>IFERROR(VLOOKUP(K3,源_4奖金汇总表_拆分手工算!$A:$N,8,FALSE),0)</f>
        <v>7</v>
      </c>
      <c r="Y3">
        <f>IFERROR(VLOOKUP(K3,源_5薪资备忘录_工资调整项!$A:$AC,14,FALSE),0)</f>
        <v>0</v>
      </c>
      <c r="Z3">
        <f>IFERROR(VLOOKUP(K3,源_5薪资备忘录_工资调整项!$A:$AC,16,FALSE),0)</f>
        <v>0</v>
      </c>
      <c r="AA3">
        <f>IFERROR(VLOOKUP(K3,源_5薪资备忘录_工资调整项!$A:$AC,15,FALSE),0)</f>
        <v>0</v>
      </c>
      <c r="AB3">
        <f t="shared" si="1"/>
        <v>0</v>
      </c>
      <c r="AC3">
        <f>IF(P3="门店全职",R3/174*MAX(IFERROR(VLOOKUP(K3,源_3考勤报表_考勤表!$F:$BG,34,FALSE),0)+IFERROR(VLOOKUP(K3,源_8补工时表_补当月工时!$A:$AC,14,FALSE),0)+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参数!$B$4,0)*1.5,0)</f>
        <v>0</v>
      </c>
      <c r="AD3">
        <v>0</v>
      </c>
      <c r="AE3">
        <f>IFERROR(VLOOKUP(K3,源_3考勤报表_考勤表!$F:$BG,46,FALSE),0)+IFERROR(VLOOKUP(K3,源_8补工时表_补当月工时!$A:$AC,25,FALSE),0)</f>
        <v>0</v>
      </c>
      <c r="AF3">
        <f t="shared" si="2"/>
        <v>0</v>
      </c>
      <c r="AG3">
        <f>IFERROR(VLOOKUP(K3,源_4奖金汇总表_拆分手工算!$A:$N,10,FALSE),0)</f>
        <v>0</v>
      </c>
      <c r="AH3">
        <f>IFERROR(VLOOKUP(K3,源_4奖金汇总表_拆分手工算!$A:$N,5,FALSE),0)</f>
        <v>0</v>
      </c>
      <c r="AI3">
        <f>IFERROR(VLOOKUP(K3,源_4奖金汇总表_拆分手工算!$A:$N,11,FALSE),0)</f>
        <v>1500</v>
      </c>
      <c r="AJ3">
        <f>IFERROR(VLOOKUP(K3,源_4奖金汇总表_拆分手工算!$A:$N,4,FALSE),0)</f>
        <v>1000</v>
      </c>
      <c r="AK3">
        <f>IFERROR(VLOOKUP(K3,源_4奖金汇总表_拆分手工算!$A:$N,3,FALSE),0)</f>
        <v>7000</v>
      </c>
      <c r="AL3">
        <f>IFERROR(VLOOKUP(K3,源_4奖金汇总表_拆分手工算!$A:$N,6,FALSE),0)</f>
        <v>100</v>
      </c>
      <c r="AM3">
        <f>IFERROR(VLOOKUP(K3,源_5薪资备忘录_工资调整项!$A:$AC,18,FALSE),0)+IFERROR(VLOOKUP(K3,源_4奖金汇总表_拆分手工算!$A:$N,7,FALSE),0)</f>
        <v>200</v>
      </c>
      <c r="AN3">
        <f>IFERROR(VLOOKUP(K3,源_5薪资备忘录_工资调整项!$A:$AC,17,FALSE),0)</f>
        <v>0</v>
      </c>
      <c r="AO3">
        <f>IF(OR(IFERROR(VLOOKUP(K3,源_3考勤报表_考勤表!$F:$BG,39,FALSE),0)+IFERROR(VLOOKUP(K3,源_8补工时表_补当月工时!$A:$AC,24,FALSE),0)&gt;0,IFERROR(VLOOKUP(K3,源_3考勤报表_考勤表!$F:$BG,43,FALSE),0)+IFERROR(VLOOKUP(K3,源_8补工时表_补当月工时!$A:$AC,26,FALSE),0)&gt;0),IF(IFERROR(VLOOKUP(DH3,源_11产假政策_Sheet1!$C:$F,4,FALSE),"")="是",R3/参数!$B$4*(IFERROR(VLOOKUP(K3,源_3考勤报表_考勤表!$F:$BG,39,FALSE),0)+IFERROR(VLOOKUP(K3,源_8补工时表_补当月工时!$A:$AC,24,FALSE),0)+IFERROR(VLOOKUP(K3,源_3考勤报表_考勤表!$F:$BG,43,FALSE),0)+IFERROR(VLOOKUP(K3,源_8补工时表_补当月工时!$A:$AC,26,FALSE),0)),IFERROR(VLOOKUP(K3,源_5薪资备忘录_工资调整项!$A:$AC,19,FALSE),0)),0)</f>
        <v>0</v>
      </c>
      <c r="AP3">
        <v>0</v>
      </c>
      <c r="AQ3">
        <f>IFERROR(VLOOKUP(K3,源_4奖金汇总表_拆分手工算!$A:$N,12,FALSE),0)+IFERROR(VLOOKUP(K3,源_9年终奖表_Sheet1!$A:$E,3,FALSE),0)</f>
        <v>1200</v>
      </c>
      <c r="AR3">
        <f>IFERROR(VLOOKUP(K3,源_4奖金汇总表_拆分手工算!$A:$N,13,FALSE),0)+IFERROR(VLOOKUP(K3,源_9年终奖表_Sheet1!$A:$E,4,FALSE),0)</f>
        <v>600</v>
      </c>
      <c r="AS3">
        <f>IFERROR(VLOOKUP(K3,源_4奖金汇总表_拆分手工算!$A:$N,14,FALSE),0)+IFERROR(VLOOKUP(K3,源_9年终奖表_Sheet1!$A:$E,5,FALSE),0)</f>
        <v>111</v>
      </c>
      <c r="AT3">
        <f>IFERROR(VLOOKUP(K3,源_5薪资备忘录_工资调整项!$A:$AC,20,FALSE),0)</f>
        <v>0</v>
      </c>
      <c r="AU3">
        <f>IFERROR(VLOOKUP(K3,源_5薪资备忘录_工资调整项!$A:$AC,21,FALSE),0)+IFERROR(VLOOKUP(K3,源_4奖金汇总表_拆分手工算!$A:$N,9,FALSE),0)</f>
        <v>0</v>
      </c>
      <c r="AV3">
        <f>R3/参数!$B$4*(IFERROR(VLOOKUP(K3,源_3考勤报表_考勤表!$F:$BG,37,FALSE),0)+IFERROR(VLOOKUP(K3,源_8补工时表_补当月工时!$A:$AC,15,FALSE),0))</f>
        <v>0</v>
      </c>
      <c r="AW3">
        <f>R3/174*MIN(IFERROR(VLOOKUP(K3,源_3考勤报表_考勤表!$F:$BG,35,FALSE),0),174)*IF(DATEDIF(N3,DATE(参数!$B$2,参数!$B$3+1,0),"Y")&lt;2,0.6,IF(DATEDIF(N3,DATE(参数!$B$2,参数!$B$3+1,0),"Y")&lt;4,0.7,IF(DATEDIF(N3,DATE(参数!$B$2,参数!$B$3+1,0),"Y")&lt;6,0.8,IF(DATEDIF(N3,DATE(参数!$B$2,参数!$B$3+1,0),"Y")&lt;8,0.9,1))))</f>
        <v>0</v>
      </c>
      <c r="AX3">
        <f>IF(Q3+IFERROR(VLOOKUP(K3,源_3考勤报表_考勤表!$F:$BG,37,FALSE),0)+IFERROR(VLOOKUP(K3,源_8补工时表_补当月工时!$A:$AC,15,FALSE),0)&gt;=参数!$B$4,0,IF(Q3+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lt;=参数!$B$4,R3/参数!$B$4*(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0))</f>
        <v>0</v>
      </c>
      <c r="AY3">
        <v>0</v>
      </c>
      <c r="AZ3">
        <v>0</v>
      </c>
      <c r="BA3">
        <v>0</v>
      </c>
      <c r="BB3">
        <v>0</v>
      </c>
      <c r="BC3">
        <f>IFERROR(VLOOKUP(K3,源_5薪资备忘录_工资调整项!$A:$AC,25,FALSE),0)</f>
        <v>0</v>
      </c>
      <c r="BD3">
        <v>0</v>
      </c>
      <c r="BE3">
        <v>0</v>
      </c>
      <c r="BF3">
        <v>0</v>
      </c>
      <c r="BG3">
        <f>IFERROR(VLOOKUP(K3,源_5薪资备忘录_工资调整项!$A:$AC,22,FALSE),0)+IFERROR(VLOOKUP(K3,源_5薪资备忘录_工资调整项!$A:$AC,23,FALSE),0)+IFERROR(VLOOKUP(K3,源_5薪资备忘录_工资调整项!$A:$AC,24,FALSE),0)</f>
        <v>0</v>
      </c>
      <c r="BH3">
        <f>IFERROR(VLOOKUP(DF3,源_6社保表_Sheet1!$C:$CD,80,FALSE),0)+4.5</f>
        <v>6.5</v>
      </c>
      <c r="BI3">
        <f t="shared" si="3"/>
        <v>19527</v>
      </c>
      <c r="BJ3">
        <f>IFERROR(VLOOKUP(DF3,源_6社保表_Sheet1!$C:$BZ,26,FALSE),0)</f>
        <v>797.68</v>
      </c>
      <c r="BK3">
        <f>IFERROR(VLOOKUP(DF3,源_6社保表_Sheet1!$C:$BZ,27,FALSE),0)</f>
        <v>199.42</v>
      </c>
      <c r="BL3">
        <f>IFERROR(VLOOKUP(DF3,源_6社保表_Sheet1!$C:$BZ,28,FALSE),0)</f>
        <v>49.854999999999997</v>
      </c>
      <c r="BM3">
        <f>IFERROR(VLOOKUP(DF3,源_6社保表_Sheet1!$C:$BZ,30,FALSE),0)</f>
        <v>697.97</v>
      </c>
      <c r="BN3">
        <f>IFERROR(VLOOKUP(DF3,源_6社保表_Sheet1!$C:$BZ,29,FALSE),0)</f>
        <v>0</v>
      </c>
      <c r="BO3">
        <f>IFERROR(VLOOKUP(DF3,源_6社保表_Sheet1!$C:$BZ,40,FALSE),0)</f>
        <v>0</v>
      </c>
      <c r="BP3">
        <f>IFERROR(VLOOKUP(DF3,源_6社保表_Sheet1!$C:$BZ,41,FALSE),0)</f>
        <v>0</v>
      </c>
      <c r="BQ3">
        <f>IFERROR(VLOOKUP(DF3,源_6社保表_Sheet1!$C:$BZ,42,FALSE),0)</f>
        <v>0</v>
      </c>
      <c r="BR3">
        <f>IFERROR(VLOOKUP(DF3,源_6社保表_Sheet1!$C:$BZ,44,FALSE),0)</f>
        <v>0</v>
      </c>
      <c r="BS3">
        <f>IFERROR(VLOOKUP(DF3,源_6社保表_Sheet1!$C:$BZ,43,FALSE),0)</f>
        <v>0</v>
      </c>
      <c r="BT3">
        <f t="shared" si="4"/>
        <v>1744.925</v>
      </c>
      <c r="BU3">
        <v>0</v>
      </c>
      <c r="BV3">
        <v>0</v>
      </c>
      <c r="BW3">
        <v>0</v>
      </c>
      <c r="BX3">
        <f t="shared" si="5"/>
        <v>0</v>
      </c>
      <c r="BY3">
        <v>0</v>
      </c>
      <c r="BZ3">
        <f>IFERROR(VLOOKUP(DF3,源_6社保表_Sheet1!$C:$BZ,18,FALSE),0)</f>
        <v>1595.36</v>
      </c>
      <c r="CA3">
        <f>IFERROR(VLOOKUP(DF3,源_6社保表_Sheet1!$C:$BZ,19,FALSE),0)</f>
        <v>897.39</v>
      </c>
      <c r="CB3">
        <f>IFERROR(VLOOKUP(DF3,源_6社保表_Sheet1!$C:$BZ,24,FALSE),0)</f>
        <v>697.97</v>
      </c>
      <c r="CC3">
        <f>IFERROR(VLOOKUP(DF3,源_6社保表_Sheet1!$C:$BZ,20,FALSE),0)</f>
        <v>49.854999999999997</v>
      </c>
      <c r="CD3">
        <f>IFERROR(VLOOKUP(DF3,源_6社保表_Sheet1!$C:$BZ,21,FALSE),0)</f>
        <v>31.9072</v>
      </c>
      <c r="CE3">
        <f>IFERROR(VLOOKUP(DF3,源_6社保表_Sheet1!$C:$BZ,22,FALSE),0)</f>
        <v>0</v>
      </c>
      <c r="CF3">
        <f>IFERROR(VLOOKUP(DF3,源_6社保表_Sheet1!$C:$BZ,23,FALSE),0)</f>
        <v>0</v>
      </c>
      <c r="CG3">
        <f>IFERROR(VLOOKUP(DF3,源_6社保表_Sheet1!$C:$BZ,32,FALSE),0)</f>
        <v>0</v>
      </c>
      <c r="CH3">
        <f>IFERROR(VLOOKUP(DF3,源_6社保表_Sheet1!$C:$BZ,33,FALSE),0)</f>
        <v>0</v>
      </c>
      <c r="CI3">
        <f>IFERROR(VLOOKUP(DF3,源_6社保表_Sheet1!$C:$BZ,34,FALSE),0)</f>
        <v>0</v>
      </c>
      <c r="CJ3">
        <f>IFERROR(VLOOKUP(DF3,源_6社保表_Sheet1!$C:$BZ,38,FALSE),0)</f>
        <v>0</v>
      </c>
      <c r="CK3">
        <f>IFERROR(VLOOKUP(DF3,源_6社保表_Sheet1!$C:$BZ,35,FALSE),0)</f>
        <v>0</v>
      </c>
      <c r="CL3">
        <f>IFERROR(VLOOKUP(DF3,源_6社保表_Sheet1!$C:$BZ,36,FALSE),0)</f>
        <v>0</v>
      </c>
      <c r="CM3">
        <f>IFERROR(VLOOKUP(DF3,源_6社保表_Sheet1!$C:$BZ,37,FALSE),0)</f>
        <v>0</v>
      </c>
      <c r="CN3">
        <f t="shared" si="6"/>
        <v>3272.4822000000004</v>
      </c>
      <c r="CO3">
        <f t="shared" si="7"/>
        <v>22805.982199999999</v>
      </c>
      <c r="CP3">
        <f>IF(IFERROR(VLOOKUP(K3,源_13残疾人信息_残疾人信息!$A:$M,1,FALSE),"")&lt;&gt;"",0,IF(OR(P3="门店全职",P3="门店管理组",P3="全职(非门店)"),(BI3-AT3)*IFERROR(VLOOKUP(D3,源_12计提残保金规则_Sheet1!$A:$E,4,FALSE),0)*IFERROR(VLOOKUP(D3,源_12计提残保金规则_Sheet1!$A:$E,5,FALSE),0),0))</f>
        <v>263.61449999999996</v>
      </c>
      <c r="CQ3">
        <f t="shared" si="8"/>
        <v>16.05</v>
      </c>
      <c r="CR3">
        <f t="shared" si="9"/>
        <v>20.67</v>
      </c>
      <c r="CS3">
        <f>IF(DATEVALUE(N3)&gt;DATE(参数!$B$2,9,30),0,IF(M3="行政",0,IF(O3="",R3/12,IF(MONTH(DATEVALUE(O3))=参数!$B$3,0,IF(DATEVALUE(O3)&lt;DATE(参数!$B$2,参数!$B$3,1),0,R3/12)))))</f>
        <v>650.75</v>
      </c>
      <c r="CT3">
        <f t="shared" si="10"/>
        <v>796.51799999999992</v>
      </c>
      <c r="CU3">
        <f>IFERROR(VLOOKUP(DF3,源_6社保表_Sheet1!$C:$I,2,FALSE),0)</f>
        <v>9971</v>
      </c>
      <c r="CV3">
        <f>IFERROR(VLOOKUP(DF3,源_6社保表_Sheet1!$C:$I,7,FALSE),0)</f>
        <v>9971</v>
      </c>
      <c r="CW3">
        <f>IFERROR(VLOOKUP(DF3,源_6社保表_Sheet1!$C:$I,3,FALSE),0)</f>
        <v>9971</v>
      </c>
      <c r="CX3">
        <f>IFERROR(VLOOKUP(DF3,源_6社保表_Sheet1!$C:$I,4,FALSE),0)</f>
        <v>9971</v>
      </c>
      <c r="CY3">
        <f>IFERROR(VLOOKUP(DF3,源_6社保表_Sheet1!$C:$I,5,FALSE),0)</f>
        <v>9971</v>
      </c>
      <c r="CZ3">
        <f>IFERROR(VLOOKUP(DF3,源_6社保表_Sheet1!$C:$I,6,FALSE),0)</f>
        <v>0</v>
      </c>
      <c r="DA3">
        <f t="shared" si="11"/>
        <v>11088.482199999999</v>
      </c>
      <c r="DB3">
        <f t="shared" si="12"/>
        <v>12842.584699999998</v>
      </c>
      <c r="DC3" t="str">
        <f>IFERROR(VLOOKUP(K3,源_7银行卡表_Sheet1!$A:$J,8,FALSE),"")</f>
        <v>招商银行</v>
      </c>
      <c r="DD3" t="str">
        <f>IFERROR(VLOOKUP(K3,源_7银行卡表_Sheet1!$A:$J,9,FALSE),"")</f>
        <v>6686494367435887888</v>
      </c>
      <c r="DE3" t="str">
        <f>IFERROR(VLOOKUP(K3,源_7银行卡表_Sheet1!$A:$J,10,FALSE),"")</f>
        <v>广西自贸试验区南宁片区五</v>
      </c>
      <c r="DF3" t="s">
        <v>137</v>
      </c>
      <c r="DG3">
        <v>13789690671</v>
      </c>
      <c r="DH3" t="s">
        <v>133</v>
      </c>
      <c r="DI3">
        <v>0</v>
      </c>
      <c r="DJ3">
        <v>0</v>
      </c>
      <c r="DK3">
        <v>0</v>
      </c>
      <c r="DL3">
        <v>0</v>
      </c>
      <c r="DM3">
        <v>0</v>
      </c>
      <c r="DN3">
        <v>0</v>
      </c>
      <c r="DO3">
        <v>0</v>
      </c>
      <c r="DP3">
        <v>0</v>
      </c>
      <c r="DQ3">
        <v>0</v>
      </c>
      <c r="DR3">
        <f>IF(OR(IFERROR(VLOOKUP(K3,源_3考勤报表_考勤表!$F:$BG,39,FALSE),0)+IFERROR(VLOOKUP(K3,源_8补工时表_补当月工时!$A:$AC,24,FALSE),0)=0,IFERROR(VLOOKUP(K3,源_3考勤报表_考勤表!$F:$BG,43,FALSE),0)+IFERROR(VLOOKUP(K3,源_8补工时表_补当月工时!$A:$AC,26,FALSE),0)=0),IF(BI3+BG3-BT3&lt;0,BI3+BG3-BT3,0),0)</f>
        <v>0</v>
      </c>
    </row>
    <row r="4" spans="1:122" x14ac:dyDescent="0.15">
      <c r="A4">
        <f>参数!$B$2</f>
        <v>2025</v>
      </c>
      <c r="B4">
        <f>参数!$B$3</f>
        <v>12</v>
      </c>
      <c r="D4" t="s">
        <v>122</v>
      </c>
      <c r="E4" t="s">
        <v>123</v>
      </c>
      <c r="F4" t="str">
        <f>IFERROR(VLOOKUP(K4,源_7银行卡表_Sheet1!$A:$J,6,FALSE),"")</f>
        <v>华东营运</v>
      </c>
      <c r="G4" t="s">
        <v>124</v>
      </c>
      <c r="H4" t="s">
        <v>138</v>
      </c>
      <c r="I4" t="s">
        <v>126</v>
      </c>
      <c r="J4">
        <v>1</v>
      </c>
      <c r="K4">
        <v>26123003</v>
      </c>
      <c r="L4" t="s">
        <v>139</v>
      </c>
      <c r="M4" t="s">
        <v>140</v>
      </c>
      <c r="N4" t="s">
        <v>141</v>
      </c>
      <c r="P4" t="s">
        <v>131</v>
      </c>
      <c r="Q4">
        <f>IF(P4="门店全职",IFERROR(VLOOKUP(K4,源_3考勤报表_考勤表!$F:$BG,34,FALSE),0)+IFERROR(VLOOKUP(K4,源_8补工时表_补当月工时!$A:$AC,14,FALSE),0),IF(P4="门店管理组",IF(IFERROR(VLOOKUP(K4,源_3考勤报表_考勤表!$F:$BG,34,FALSE),0)+IFERROR(VLOOKUP(K4,源_8补工时表_补当月工时!$A:$AC,14,FALSE),0)+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44,FALSE),0)+IFERROR(VLOOKUP(K4,源_8补工时表_补当月工时!$A:$AC,16,FALSE),0)+IFERROR(VLOOKUP(K4,源_3考勤报表_考勤表!$F:$BG,45,FALSE),0)&gt;=参数!$B$4,参数!$B$4-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44,FALSE),0)-IFERROR(VLOOKUP(K4,源_8补工时表_补当月工时!$A:$AC,16,FALSE),0)-IFERROR(VLOOKUP(K4,源_3考勤报表_考勤表!$F:$BG,45,FALSE),0),IFERROR(VLOOKUP(K4,源_3考勤报表_考勤表!$F:$BG,34,FALSE),0)+IFERROR(VLOOKUP(K4,源_8补工时表_补当月工时!$A:$AC,14,FALSE),0)),0))</f>
        <v>110</v>
      </c>
      <c r="R4">
        <v>5693</v>
      </c>
      <c r="S4">
        <v>0</v>
      </c>
      <c r="T4">
        <f>IF(P4="门店全职",R4/参数!$B$4*(Q4-MAX(IFERROR(VLOOKUP(K4,源_3考勤报表_考勤表!$F:$BG,34,FALSE),0)+IFERROR(VLOOKUP(K4,源_8补工时表_补当月工时!$A:$AC,14,FALSE),0)+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参数!$B$4,0)),R4/参数!$B$4*Q4)</f>
        <v>3403.423913043478</v>
      </c>
      <c r="U4">
        <v>0</v>
      </c>
      <c r="V4">
        <v>0</v>
      </c>
      <c r="W4">
        <f t="shared" si="0"/>
        <v>11.5</v>
      </c>
      <c r="X4">
        <f>IFERROR(VLOOKUP(K4,源_4奖金汇总表_拆分手工算!$A:$N,8,FALSE),0)</f>
        <v>11.5</v>
      </c>
      <c r="Y4">
        <f>IFERROR(VLOOKUP(K4,源_5薪资备忘录_工资调整项!$A:$AC,14,FALSE),0)</f>
        <v>0</v>
      </c>
      <c r="Z4">
        <f>IFERROR(VLOOKUP(K4,源_5薪资备忘录_工资调整项!$A:$AC,16,FALSE),0)</f>
        <v>0</v>
      </c>
      <c r="AA4">
        <f>IFERROR(VLOOKUP(K4,源_5薪资备忘录_工资调整项!$A:$AC,15,FALSE),0)</f>
        <v>0</v>
      </c>
      <c r="AB4">
        <f t="shared" si="1"/>
        <v>294.4655172413793</v>
      </c>
      <c r="AC4">
        <f>IF(P4="门店全职",R4/174*MAX(IFERROR(VLOOKUP(K4,源_3考勤报表_考勤表!$F:$BG,34,FALSE),0)+IFERROR(VLOOKUP(K4,源_8补工时表_补当月工时!$A:$AC,14,FALSE),0)+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参数!$B$4,0)*1.5,0)</f>
        <v>0</v>
      </c>
      <c r="AD4">
        <v>0</v>
      </c>
      <c r="AE4">
        <f>IFERROR(VLOOKUP(K4,源_3考勤报表_考勤表!$F:$BG,46,FALSE),0)+IFERROR(VLOOKUP(K4,源_8补工时表_补当月工时!$A:$AC,25,FALSE),0)</f>
        <v>3</v>
      </c>
      <c r="AF4">
        <f t="shared" si="2"/>
        <v>294.4655172413793</v>
      </c>
      <c r="AG4">
        <f>IFERROR(VLOOKUP(K4,源_4奖金汇总表_拆分手工算!$A:$N,10,FALSE),0)</f>
        <v>0</v>
      </c>
      <c r="AH4">
        <f>IFERROR(VLOOKUP(K4,源_4奖金汇总表_拆分手工算!$A:$N,5,FALSE),0)</f>
        <v>0</v>
      </c>
      <c r="AI4">
        <f>IFERROR(VLOOKUP(K4,源_4奖金汇总表_拆分手工算!$A:$N,11,FALSE),0)</f>
        <v>0</v>
      </c>
      <c r="AJ4">
        <f>IFERROR(VLOOKUP(K4,源_4奖金汇总表_拆分手工算!$A:$N,4,FALSE),0)</f>
        <v>0</v>
      </c>
      <c r="AK4">
        <f>IFERROR(VLOOKUP(K4,源_4奖金汇总表_拆分手工算!$A:$N,3,FALSE),0)</f>
        <v>0</v>
      </c>
      <c r="AL4">
        <f>IFERROR(VLOOKUP(K4,源_4奖金汇总表_拆分手工算!$A:$N,6,FALSE),0)</f>
        <v>212.5</v>
      </c>
      <c r="AM4">
        <f>IFERROR(VLOOKUP(K4,源_5薪资备忘录_工资调整项!$A:$AC,18,FALSE),0)+IFERROR(VLOOKUP(K4,源_4奖金汇总表_拆分手工算!$A:$N,7,FALSE),0)</f>
        <v>200</v>
      </c>
      <c r="AN4">
        <f>IFERROR(VLOOKUP(K4,源_5薪资备忘录_工资调整项!$A:$AC,17,FALSE),0)</f>
        <v>0</v>
      </c>
      <c r="AO4">
        <f>IF(OR(IFERROR(VLOOKUP(K4,源_3考勤报表_考勤表!$F:$BG,39,FALSE),0)+IFERROR(VLOOKUP(K4,源_8补工时表_补当月工时!$A:$AC,24,FALSE),0)&gt;0,IFERROR(VLOOKUP(K4,源_3考勤报表_考勤表!$F:$BG,43,FALSE),0)+IFERROR(VLOOKUP(K4,源_8补工时表_补当月工时!$A:$AC,26,FALSE),0)&gt;0),IF(IFERROR(VLOOKUP(DH4,源_11产假政策_Sheet1!$C:$F,4,FALSE),"")="是",R4/参数!$B$4*(IFERROR(VLOOKUP(K4,源_3考勤报表_考勤表!$F:$BG,39,FALSE),0)+IFERROR(VLOOKUP(K4,源_8补工时表_补当月工时!$A:$AC,24,FALSE),0)+IFERROR(VLOOKUP(K4,源_3考勤报表_考勤表!$F:$BG,43,FALSE),0)+IFERROR(VLOOKUP(K4,源_8补工时表_补当月工时!$A:$AC,26,FALSE),0)),IFERROR(VLOOKUP(K4,源_5薪资备忘录_工资调整项!$A:$AC,19,FALSE),0)),0)</f>
        <v>0</v>
      </c>
      <c r="AP4">
        <v>0</v>
      </c>
      <c r="AQ4">
        <f>IFERROR(VLOOKUP(K4,源_4奖金汇总表_拆分手工算!$A:$N,12,FALSE),0)+IFERROR(VLOOKUP(K4,源_9年终奖表_Sheet1!$A:$E,3,FALSE),0)</f>
        <v>1200</v>
      </c>
      <c r="AR4">
        <f>IFERROR(VLOOKUP(K4,源_4奖金汇总表_拆分手工算!$A:$N,13,FALSE),0)+IFERROR(VLOOKUP(K4,源_9年终奖表_Sheet1!$A:$E,4,FALSE),0)</f>
        <v>600</v>
      </c>
      <c r="AS4">
        <f>IFERROR(VLOOKUP(K4,源_4奖金汇总表_拆分手工算!$A:$N,14,FALSE),0)+IFERROR(VLOOKUP(K4,源_9年终奖表_Sheet1!$A:$E,5,FALSE),0)</f>
        <v>222</v>
      </c>
      <c r="AT4">
        <f>IFERROR(VLOOKUP(K4,源_5薪资备忘录_工资调整项!$A:$AC,20,FALSE),0)</f>
        <v>0</v>
      </c>
      <c r="AU4">
        <f>IFERROR(VLOOKUP(K4,源_5薪资备忘录_工资调整项!$A:$AC,21,FALSE),0)+IFERROR(VLOOKUP(K4,源_4奖金汇总表_拆分手工算!$A:$N,9,FALSE),0)</f>
        <v>0</v>
      </c>
      <c r="AV4">
        <f>R4/参数!$B$4*(IFERROR(VLOOKUP(K4,源_3考勤报表_考勤表!$F:$BG,37,FALSE),0)+IFERROR(VLOOKUP(K4,源_8补工时表_补当月工时!$A:$AC,15,FALSE),0))</f>
        <v>0</v>
      </c>
      <c r="AW4">
        <f>R4/174*MIN(IFERROR(VLOOKUP(K4,源_3考勤报表_考勤表!$F:$BG,35,FALSE),0),174)*IF(DATEDIF(N4,DATE(参数!$B$2,参数!$B$3+1,0),"Y")&lt;2,0.6,IF(DATEDIF(N4,DATE(参数!$B$2,参数!$B$3+1,0),"Y")&lt;4,0.7,IF(DATEDIF(N4,DATE(参数!$B$2,参数!$B$3+1,0),"Y")&lt;6,0.8,IF(DATEDIF(N4,DATE(参数!$B$2,参数!$B$3+1,0),"Y")&lt;8,0.9,1))))</f>
        <v>261.74712643678163</v>
      </c>
      <c r="AX4">
        <f>IF(Q4+IFERROR(VLOOKUP(K4,源_3考勤报表_考勤表!$F:$BG,37,FALSE),0)+IFERROR(VLOOKUP(K4,源_8补工时表_补当月工时!$A:$AC,15,FALSE),0)&gt;=参数!$B$4,0,IF(Q4+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lt;=参数!$B$4,R4/参数!$B$4*(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0))</f>
        <v>0</v>
      </c>
      <c r="AY4">
        <v>0</v>
      </c>
      <c r="AZ4">
        <v>0</v>
      </c>
      <c r="BA4">
        <v>0</v>
      </c>
      <c r="BB4">
        <v>0</v>
      </c>
      <c r="BC4">
        <f>IFERROR(VLOOKUP(K4,源_5薪资备忘录_工资调整项!$A:$AC,25,FALSE),0)</f>
        <v>0</v>
      </c>
      <c r="BD4">
        <v>0</v>
      </c>
      <c r="BE4">
        <v>0</v>
      </c>
      <c r="BF4">
        <v>0</v>
      </c>
      <c r="BG4">
        <f>IFERROR(VLOOKUP(K4,源_5薪资备忘录_工资调整项!$A:$AC,22,FALSE),0)+IFERROR(VLOOKUP(K4,源_5薪资备忘录_工资调整项!$A:$AC,23,FALSE),0)+IFERROR(VLOOKUP(K4,源_5薪资备忘录_工资调整项!$A:$AC,24,FALSE),0)</f>
        <v>0</v>
      </c>
      <c r="BH4">
        <f>IFERROR(VLOOKUP(DF4,源_6社保表_Sheet1!$C:$CD,80,FALSE),0)+4.5</f>
        <v>6.5</v>
      </c>
      <c r="BI4">
        <f t="shared" si="3"/>
        <v>6405.636556721639</v>
      </c>
      <c r="BJ4">
        <f>IFERROR(VLOOKUP(DF4,源_6社保表_Sheet1!$C:$BZ,26,FALSE),0)</f>
        <v>522.20000000000005</v>
      </c>
      <c r="BK4">
        <f>IFERROR(VLOOKUP(DF4,源_6社保表_Sheet1!$C:$BZ,27,FALSE),0)</f>
        <v>74.599999999999994</v>
      </c>
      <c r="BL4">
        <f>IFERROR(VLOOKUP(DF4,源_6社保表_Sheet1!$C:$BZ,28,FALSE),0)</f>
        <v>37.299999999999997</v>
      </c>
      <c r="BM4">
        <f>IFERROR(VLOOKUP(DF4,源_6社保表_Sheet1!$C:$BZ,30,FALSE),0)</f>
        <v>437.04</v>
      </c>
      <c r="BN4">
        <f>IFERROR(VLOOKUP(DF4,源_6社保表_Sheet1!$C:$BZ,29,FALSE),0)</f>
        <v>0</v>
      </c>
      <c r="BO4">
        <f>IFERROR(VLOOKUP(DF4,源_6社保表_Sheet1!$C:$BZ,40,FALSE),0)</f>
        <v>0</v>
      </c>
      <c r="BP4">
        <f>IFERROR(VLOOKUP(DF4,源_6社保表_Sheet1!$C:$BZ,41,FALSE),0)</f>
        <v>0</v>
      </c>
      <c r="BQ4">
        <f>IFERROR(VLOOKUP(DF4,源_6社保表_Sheet1!$C:$BZ,42,FALSE),0)</f>
        <v>0</v>
      </c>
      <c r="BR4">
        <f>IFERROR(VLOOKUP(DF4,源_6社保表_Sheet1!$C:$BZ,44,FALSE),0)</f>
        <v>0</v>
      </c>
      <c r="BS4">
        <f>IFERROR(VLOOKUP(DF4,源_6社保表_Sheet1!$C:$BZ,43,FALSE),0)</f>
        <v>0</v>
      </c>
      <c r="BT4">
        <f t="shared" si="4"/>
        <v>1071.1400000000001</v>
      </c>
      <c r="BU4">
        <v>0</v>
      </c>
      <c r="BV4">
        <v>0</v>
      </c>
      <c r="BW4">
        <v>0</v>
      </c>
      <c r="BX4">
        <f t="shared" si="5"/>
        <v>0</v>
      </c>
      <c r="BY4">
        <v>0</v>
      </c>
      <c r="BZ4">
        <f>IFERROR(VLOOKUP(DF4,源_6社保表_Sheet1!$C:$BZ,18,FALSE),0)</f>
        <v>1119</v>
      </c>
      <c r="CA4">
        <f>IFERROR(VLOOKUP(DF4,源_6社保表_Sheet1!$C:$BZ,19,FALSE),0)</f>
        <v>596.79999999999995</v>
      </c>
      <c r="CB4">
        <f>IFERROR(VLOOKUP(DF4,源_6社保表_Sheet1!$C:$BZ,24,FALSE),0)</f>
        <v>437.04</v>
      </c>
      <c r="CC4">
        <f>IFERROR(VLOOKUP(DF4,源_6社保表_Sheet1!$C:$BZ,20,FALSE),0)</f>
        <v>37.299999999999997</v>
      </c>
      <c r="CD4">
        <f>IFERROR(VLOOKUP(DF4,源_6社保表_Sheet1!$C:$BZ,21,FALSE),0)</f>
        <v>23.872</v>
      </c>
      <c r="CE4">
        <f>IFERROR(VLOOKUP(DF4,源_6社保表_Sheet1!$C:$BZ,22,FALSE),0)</f>
        <v>0</v>
      </c>
      <c r="CF4">
        <f>IFERROR(VLOOKUP(DF4,源_6社保表_Sheet1!$C:$BZ,23,FALSE),0)</f>
        <v>0</v>
      </c>
      <c r="CG4">
        <f>IFERROR(VLOOKUP(DF4,源_6社保表_Sheet1!$C:$BZ,32,FALSE),0)</f>
        <v>0</v>
      </c>
      <c r="CH4">
        <f>IFERROR(VLOOKUP(DF4,源_6社保表_Sheet1!$C:$BZ,33,FALSE),0)</f>
        <v>0</v>
      </c>
      <c r="CI4">
        <f>IFERROR(VLOOKUP(DF4,源_6社保表_Sheet1!$C:$BZ,34,FALSE),0)</f>
        <v>0</v>
      </c>
      <c r="CJ4">
        <f>IFERROR(VLOOKUP(DF4,源_6社保表_Sheet1!$C:$BZ,38,FALSE),0)</f>
        <v>0</v>
      </c>
      <c r="CK4">
        <f>IFERROR(VLOOKUP(DF4,源_6社保表_Sheet1!$C:$BZ,35,FALSE),0)</f>
        <v>0</v>
      </c>
      <c r="CL4">
        <f>IFERROR(VLOOKUP(DF4,源_6社保表_Sheet1!$C:$BZ,36,FALSE),0)</f>
        <v>0</v>
      </c>
      <c r="CM4">
        <f>IFERROR(VLOOKUP(DF4,源_6社保表_Sheet1!$C:$BZ,37,FALSE),0)</f>
        <v>0</v>
      </c>
      <c r="CN4">
        <f t="shared" si="6"/>
        <v>2214.0120000000002</v>
      </c>
      <c r="CO4">
        <f t="shared" si="7"/>
        <v>8626.1485567216387</v>
      </c>
      <c r="CP4">
        <f>IF(IFERROR(VLOOKUP(K4,源_13残疾人信息_残疾人信息!$A:$M,1,FALSE),"")&lt;&gt;"",0,IF(OR(P4="门店全职",P4="门店管理组",P4="全职(非门店)"),(BI4-AT4)*IFERROR(VLOOKUP(D4,源_12计提残保金规则_Sheet1!$A:$E,4,FALSE),0)*IFERROR(VLOOKUP(D4,源_12计提残保金规则_Sheet1!$A:$E,5,FALSE),0),0))</f>
        <v>86.476093515742122</v>
      </c>
      <c r="CQ4">
        <f t="shared" si="8"/>
        <v>16.05</v>
      </c>
      <c r="CR4">
        <f t="shared" si="9"/>
        <v>20.67</v>
      </c>
      <c r="CS4">
        <f>IF(DATEVALUE(N4)&gt;DATE(参数!$B$2,9,30),0,IF(M4="行政",0,IF(O4="",R4/12,IF(MONTH(DATEVALUE(O4))=参数!$B$3,0,IF(DATEVALUE(O4)&lt;DATE(参数!$B$2,参数!$B$3,1),0,R4/12)))))</f>
        <v>474.41666666666669</v>
      </c>
      <c r="CT4">
        <f t="shared" si="10"/>
        <v>580.68599999999992</v>
      </c>
      <c r="CU4">
        <f>IFERROR(VLOOKUP(DF4,源_6社保表_Sheet1!$C:$I,2,FALSE),0)</f>
        <v>7460</v>
      </c>
      <c r="CV4">
        <f>IFERROR(VLOOKUP(DF4,源_6社保表_Sheet1!$C:$I,7,FALSE),0)</f>
        <v>7284</v>
      </c>
      <c r="CW4">
        <f>IFERROR(VLOOKUP(DF4,源_6社保表_Sheet1!$C:$I,3,FALSE),0)</f>
        <v>7460</v>
      </c>
      <c r="CX4">
        <f>IFERROR(VLOOKUP(DF4,源_6社保表_Sheet1!$C:$I,4,FALSE),0)</f>
        <v>7460</v>
      </c>
      <c r="CY4">
        <f>IFERROR(VLOOKUP(DF4,源_6社保表_Sheet1!$C:$I,5,FALSE),0)</f>
        <v>7460</v>
      </c>
      <c r="CZ4">
        <f>IFERROR(VLOOKUP(DF4,源_6社保表_Sheet1!$C:$I,6,FALSE),0)</f>
        <v>0</v>
      </c>
      <c r="DA4">
        <f t="shared" si="11"/>
        <v>6185.1485567216387</v>
      </c>
      <c r="DB4">
        <f t="shared" si="12"/>
        <v>7369.9473169040475</v>
      </c>
      <c r="DC4" t="str">
        <f>IFERROR(VLOOKUP(K4,源_7银行卡表_Sheet1!$A:$J,8,FALSE),"")</f>
        <v>招商银行</v>
      </c>
      <c r="DD4" t="str">
        <f>IFERROR(VLOOKUP(K4,源_7银行卡表_Sheet1!$A:$J,9,FALSE),"")</f>
        <v>6687807193600801610</v>
      </c>
      <c r="DE4" t="str">
        <f>IFERROR(VLOOKUP(K4,源_7银行卡表_Sheet1!$A:$J,10,FALSE),"")</f>
        <v>成都蜀都中心支行</v>
      </c>
      <c r="DF4" t="s">
        <v>142</v>
      </c>
      <c r="DG4">
        <v>17603289482</v>
      </c>
      <c r="DH4" t="s">
        <v>133</v>
      </c>
      <c r="DI4">
        <v>0</v>
      </c>
      <c r="DJ4">
        <v>0</v>
      </c>
      <c r="DK4">
        <v>0</v>
      </c>
      <c r="DL4">
        <v>0</v>
      </c>
      <c r="DM4">
        <v>0</v>
      </c>
      <c r="DN4">
        <v>0</v>
      </c>
      <c r="DO4">
        <v>0</v>
      </c>
      <c r="DP4">
        <v>0</v>
      </c>
      <c r="DQ4">
        <v>0</v>
      </c>
      <c r="DR4">
        <f>IF(OR(IFERROR(VLOOKUP(K4,源_3考勤报表_考勤表!$F:$BG,39,FALSE),0)+IFERROR(VLOOKUP(K4,源_8补工时表_补当月工时!$A:$AC,24,FALSE),0)=0,IFERROR(VLOOKUP(K4,源_3考勤报表_考勤表!$F:$BG,43,FALSE),0)+IFERROR(VLOOKUP(K4,源_8补工时表_补当月工时!$A:$AC,26,FALSE),0)=0),IF(BI4+BG4-BT4&lt;0,BI4+BG4-BT4,0),0)</f>
        <v>0</v>
      </c>
    </row>
    <row r="5" spans="1:122" x14ac:dyDescent="0.15">
      <c r="A5">
        <f>参数!$B$2</f>
        <v>2025</v>
      </c>
      <c r="B5">
        <f>参数!$B$3</f>
        <v>12</v>
      </c>
      <c r="D5" t="s">
        <v>122</v>
      </c>
      <c r="E5" t="s">
        <v>123</v>
      </c>
      <c r="F5" t="str">
        <f>IFERROR(VLOOKUP(K5,源_7银行卡表_Sheet1!$A:$J,6,FALSE),"")</f>
        <v>华东营运</v>
      </c>
      <c r="G5" t="s">
        <v>124</v>
      </c>
      <c r="H5" t="s">
        <v>143</v>
      </c>
      <c r="I5" t="s">
        <v>126</v>
      </c>
      <c r="J5">
        <v>1</v>
      </c>
      <c r="K5">
        <v>26123004</v>
      </c>
      <c r="L5" t="s">
        <v>144</v>
      </c>
      <c r="M5" t="s">
        <v>128</v>
      </c>
      <c r="N5" t="s">
        <v>145</v>
      </c>
      <c r="P5" t="s">
        <v>131</v>
      </c>
      <c r="Q5">
        <f>IF(P5="门店全职",IFERROR(VLOOKUP(K5,源_3考勤报表_考勤表!$F:$BG,34,FALSE),0)+IFERROR(VLOOKUP(K5,源_8补工时表_补当月工时!$A:$AC,14,FALSE),0),IF(P5="门店管理组",IF(IFERROR(VLOOKUP(K5,源_3考勤报表_考勤表!$F:$BG,34,FALSE),0)+IFERROR(VLOOKUP(K5,源_8补工时表_补当月工时!$A:$AC,14,FALSE),0)+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44,FALSE),0)+IFERROR(VLOOKUP(K5,源_8补工时表_补当月工时!$A:$AC,16,FALSE),0)+IFERROR(VLOOKUP(K5,源_3考勤报表_考勤表!$F:$BG,45,FALSE),0)&gt;=参数!$B$4,参数!$B$4-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44,FALSE),0)-IFERROR(VLOOKUP(K5,源_8补工时表_补当月工时!$A:$AC,16,FALSE),0)-IFERROR(VLOOKUP(K5,源_3考勤报表_考勤表!$F:$BG,45,FALSE),0),IFERROR(VLOOKUP(K5,源_3考勤报表_考勤表!$F:$BG,34,FALSE),0)+IFERROR(VLOOKUP(K5,源_8补工时表_补当月工时!$A:$AC,14,FALSE),0)),0))</f>
        <v>184</v>
      </c>
      <c r="R5">
        <v>7980</v>
      </c>
      <c r="S5">
        <v>0</v>
      </c>
      <c r="T5">
        <f>IF(P5="门店全职",R5/参数!$B$4*(Q5-MAX(IFERROR(VLOOKUP(K5,源_3考勤报表_考勤表!$F:$BG,34,FALSE),0)+IFERROR(VLOOKUP(K5,源_8补工时表_补当月工时!$A:$AC,14,FALSE),0)+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参数!$B$4,0)),R5/参数!$B$4*Q5)</f>
        <v>7980</v>
      </c>
      <c r="U5">
        <v>0</v>
      </c>
      <c r="V5">
        <v>0</v>
      </c>
      <c r="W5">
        <f t="shared" si="0"/>
        <v>53</v>
      </c>
      <c r="X5">
        <f>IFERROR(VLOOKUP(K5,源_4奖金汇总表_拆分手工算!$A:$N,8,FALSE),0)</f>
        <v>53</v>
      </c>
      <c r="Y5">
        <f>IFERROR(VLOOKUP(K5,源_5薪资备忘录_工资调整项!$A:$AC,14,FALSE),0)</f>
        <v>0</v>
      </c>
      <c r="Z5">
        <f>IFERROR(VLOOKUP(K5,源_5薪资备忘录_工资调整项!$A:$AC,16,FALSE),0)</f>
        <v>0</v>
      </c>
      <c r="AA5">
        <f>IFERROR(VLOOKUP(K5,源_5薪资备忘录_工资调整项!$A:$AC,15,FALSE),0)</f>
        <v>0</v>
      </c>
      <c r="AB5">
        <f t="shared" si="1"/>
        <v>0</v>
      </c>
      <c r="AC5">
        <f>IF(P5="门店全职",R5/174*MAX(IFERROR(VLOOKUP(K5,源_3考勤报表_考勤表!$F:$BG,34,FALSE),0)+IFERROR(VLOOKUP(K5,源_8补工时表_补当月工时!$A:$AC,14,FALSE),0)+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参数!$B$4,0)*1.5,0)</f>
        <v>0</v>
      </c>
      <c r="AD5">
        <v>0</v>
      </c>
      <c r="AE5">
        <f>IFERROR(VLOOKUP(K5,源_3考勤报表_考勤表!$F:$BG,46,FALSE),0)+IFERROR(VLOOKUP(K5,源_8补工时表_补当月工时!$A:$AC,25,FALSE),0)</f>
        <v>0</v>
      </c>
      <c r="AF5">
        <f t="shared" si="2"/>
        <v>0</v>
      </c>
      <c r="AG5">
        <f>IFERROR(VLOOKUP(K5,源_4奖金汇总表_拆分手工算!$A:$N,10,FALSE),0)</f>
        <v>0</v>
      </c>
      <c r="AH5">
        <f>IFERROR(VLOOKUP(K5,源_4奖金汇总表_拆分手工算!$A:$N,5,FALSE),0)</f>
        <v>250</v>
      </c>
      <c r="AI5">
        <f>IFERROR(VLOOKUP(K5,源_4奖金汇总表_拆分手工算!$A:$N,11,FALSE),0)</f>
        <v>0</v>
      </c>
      <c r="AJ5">
        <f>IFERROR(VLOOKUP(K5,源_4奖金汇总表_拆分手工算!$A:$N,4,FALSE),0)</f>
        <v>0</v>
      </c>
      <c r="AK5">
        <f>IFERROR(VLOOKUP(K5,源_4奖金汇总表_拆分手工算!$A:$N,3,FALSE),0)</f>
        <v>0</v>
      </c>
      <c r="AL5">
        <f>IFERROR(VLOOKUP(K5,源_4奖金汇总表_拆分手工算!$A:$N,6,FALSE),0)</f>
        <v>0</v>
      </c>
      <c r="AM5">
        <f>IFERROR(VLOOKUP(K5,源_5薪资备忘录_工资调整项!$A:$AC,18,FALSE),0)+IFERROR(VLOOKUP(K5,源_4奖金汇总表_拆分手工算!$A:$N,7,FALSE),0)</f>
        <v>0</v>
      </c>
      <c r="AN5">
        <f>IFERROR(VLOOKUP(K5,源_5薪资备忘录_工资调整项!$A:$AC,17,FALSE),0)</f>
        <v>0</v>
      </c>
      <c r="AO5">
        <f>IF(OR(IFERROR(VLOOKUP(K5,源_3考勤报表_考勤表!$F:$BG,39,FALSE),0)+IFERROR(VLOOKUP(K5,源_8补工时表_补当月工时!$A:$AC,24,FALSE),0)&gt;0,IFERROR(VLOOKUP(K5,源_3考勤报表_考勤表!$F:$BG,43,FALSE),0)+IFERROR(VLOOKUP(K5,源_8补工时表_补当月工时!$A:$AC,26,FALSE),0)&gt;0),IF(IFERROR(VLOOKUP(DH5,源_11产假政策_Sheet1!$C:$F,4,FALSE),"")="是",R5/参数!$B$4*(IFERROR(VLOOKUP(K5,源_3考勤报表_考勤表!$F:$BG,39,FALSE),0)+IFERROR(VLOOKUP(K5,源_8补工时表_补当月工时!$A:$AC,24,FALSE),0)+IFERROR(VLOOKUP(K5,源_3考勤报表_考勤表!$F:$BG,43,FALSE),0)+IFERROR(VLOOKUP(K5,源_8补工时表_补当月工时!$A:$AC,26,FALSE),0)),IFERROR(VLOOKUP(K5,源_5薪资备忘录_工资调整项!$A:$AC,19,FALSE),0)),0)</f>
        <v>0</v>
      </c>
      <c r="AP5">
        <v>0</v>
      </c>
      <c r="AQ5">
        <f>IFERROR(VLOOKUP(K5,源_4奖金汇总表_拆分手工算!$A:$N,12,FALSE),0)+IFERROR(VLOOKUP(K5,源_9年终奖表_Sheet1!$A:$E,3,FALSE),0)</f>
        <v>1200</v>
      </c>
      <c r="AR5">
        <f>IFERROR(VLOOKUP(K5,源_4奖金汇总表_拆分手工算!$A:$N,13,FALSE),0)+IFERROR(VLOOKUP(K5,源_9年终奖表_Sheet1!$A:$E,4,FALSE),0)</f>
        <v>600</v>
      </c>
      <c r="AS5">
        <f>IFERROR(VLOOKUP(K5,源_4奖金汇总表_拆分手工算!$A:$N,14,FALSE),0)+IFERROR(VLOOKUP(K5,源_9年终奖表_Sheet1!$A:$E,5,FALSE),0)</f>
        <v>111</v>
      </c>
      <c r="AT5">
        <f>IFERROR(VLOOKUP(K5,源_5薪资备忘录_工资调整项!$A:$AC,20,FALSE),0)</f>
        <v>0</v>
      </c>
      <c r="AU5">
        <f>IFERROR(VLOOKUP(K5,源_5薪资备忘录_工资调整项!$A:$AC,21,FALSE),0)+IFERROR(VLOOKUP(K5,源_4奖金汇总表_拆分手工算!$A:$N,9,FALSE),0)</f>
        <v>1456.81</v>
      </c>
      <c r="AV5">
        <f>R5/参数!$B$4*(IFERROR(VLOOKUP(K5,源_3考勤报表_考勤表!$F:$BG,37,FALSE),0)+IFERROR(VLOOKUP(K5,源_8补工时表_补当月工时!$A:$AC,15,FALSE),0))</f>
        <v>0</v>
      </c>
      <c r="AW5">
        <f>R5/174*MIN(IFERROR(VLOOKUP(K5,源_3考勤报表_考勤表!$F:$BG,35,FALSE),0),174)*IF(DATEDIF(N5,DATE(参数!$B$2,参数!$B$3+1,0),"Y")&lt;2,0.6,IF(DATEDIF(N5,DATE(参数!$B$2,参数!$B$3+1,0),"Y")&lt;4,0.7,IF(DATEDIF(N5,DATE(参数!$B$2,参数!$B$3+1,0),"Y")&lt;6,0.8,IF(DATEDIF(N5,DATE(参数!$B$2,参数!$B$3+1,0),"Y")&lt;8,0.9,1))))</f>
        <v>0</v>
      </c>
      <c r="AX5">
        <f>IF(Q5+IFERROR(VLOOKUP(K5,源_3考勤报表_考勤表!$F:$BG,37,FALSE),0)+IFERROR(VLOOKUP(K5,源_8补工时表_补当月工时!$A:$AC,15,FALSE),0)&gt;=参数!$B$4,0,IF(Q5+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lt;=参数!$B$4,R5/参数!$B$4*(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0))</f>
        <v>0</v>
      </c>
      <c r="AY5">
        <v>0</v>
      </c>
      <c r="AZ5">
        <v>0</v>
      </c>
      <c r="BA5">
        <v>0</v>
      </c>
      <c r="BB5">
        <v>0</v>
      </c>
      <c r="BC5">
        <f>IFERROR(VLOOKUP(K5,源_5薪资备忘录_工资调整项!$A:$AC,25,FALSE),0)</f>
        <v>0</v>
      </c>
      <c r="BD5">
        <v>0</v>
      </c>
      <c r="BE5">
        <v>0</v>
      </c>
      <c r="BF5">
        <v>0</v>
      </c>
      <c r="BG5">
        <f>IFERROR(VLOOKUP(K5,源_5薪资备忘录_工资调整项!$A:$AC,22,FALSE),0)+IFERROR(VLOOKUP(K5,源_5薪资备忘录_工资调整项!$A:$AC,23,FALSE),0)+IFERROR(VLOOKUP(K5,源_5薪资备忘录_工资调整项!$A:$AC,24,FALSE),0)</f>
        <v>0</v>
      </c>
      <c r="BH5">
        <f>IFERROR(VLOOKUP(DF5,源_6社保表_Sheet1!$C:$CD,80,FALSE),0)+4.5</f>
        <v>6.5</v>
      </c>
      <c r="BI5">
        <f t="shared" si="3"/>
        <v>11650.81</v>
      </c>
      <c r="BJ5">
        <f>IFERROR(VLOOKUP(DF5,源_6社保表_Sheet1!$C:$BZ,26,FALSE),0)</f>
        <v>671.76</v>
      </c>
      <c r="BK5">
        <f>IFERROR(VLOOKUP(DF5,源_6社保表_Sheet1!$C:$BZ,27,FALSE),0)</f>
        <v>167.94</v>
      </c>
      <c r="BL5">
        <f>IFERROR(VLOOKUP(DF5,源_6社保表_Sheet1!$C:$BZ,28,FALSE),0)</f>
        <v>41.984999999999999</v>
      </c>
      <c r="BM5">
        <f>IFERROR(VLOOKUP(DF5,源_6社保表_Sheet1!$C:$BZ,30,FALSE),0)</f>
        <v>587.79</v>
      </c>
      <c r="BN5">
        <f>IFERROR(VLOOKUP(DF5,源_6社保表_Sheet1!$C:$BZ,29,FALSE),0)</f>
        <v>0</v>
      </c>
      <c r="BO5">
        <f>IFERROR(VLOOKUP(DF5,源_6社保表_Sheet1!$C:$BZ,40,FALSE),0)</f>
        <v>0</v>
      </c>
      <c r="BP5">
        <f>IFERROR(VLOOKUP(DF5,源_6社保表_Sheet1!$C:$BZ,41,FALSE),0)</f>
        <v>0</v>
      </c>
      <c r="BQ5">
        <f>IFERROR(VLOOKUP(DF5,源_6社保表_Sheet1!$C:$BZ,42,FALSE),0)</f>
        <v>0</v>
      </c>
      <c r="BR5">
        <f>IFERROR(VLOOKUP(DF5,源_6社保表_Sheet1!$C:$BZ,44,FALSE),0)</f>
        <v>0</v>
      </c>
      <c r="BS5">
        <f>IFERROR(VLOOKUP(DF5,源_6社保表_Sheet1!$C:$BZ,43,FALSE),0)</f>
        <v>0</v>
      </c>
      <c r="BT5">
        <f t="shared" si="4"/>
        <v>1469.4749999999999</v>
      </c>
      <c r="BU5">
        <v>0</v>
      </c>
      <c r="BV5">
        <v>0</v>
      </c>
      <c r="BW5">
        <v>0</v>
      </c>
      <c r="BX5">
        <f t="shared" si="5"/>
        <v>0</v>
      </c>
      <c r="BY5">
        <v>0</v>
      </c>
      <c r="BZ5">
        <f>IFERROR(VLOOKUP(DF5,源_6社保表_Sheet1!$C:$BZ,18,FALSE),0)</f>
        <v>1343.52</v>
      </c>
      <c r="CA5">
        <f>IFERROR(VLOOKUP(DF5,源_6社保表_Sheet1!$C:$BZ,19,FALSE),0)</f>
        <v>755.73</v>
      </c>
      <c r="CB5">
        <f>IFERROR(VLOOKUP(DF5,源_6社保表_Sheet1!$C:$BZ,24,FALSE),0)</f>
        <v>587.79</v>
      </c>
      <c r="CC5">
        <f>IFERROR(VLOOKUP(DF5,源_6社保表_Sheet1!$C:$BZ,20,FALSE),0)</f>
        <v>41.984999999999999</v>
      </c>
      <c r="CD5">
        <f>IFERROR(VLOOKUP(DF5,源_6社保表_Sheet1!$C:$BZ,21,FALSE),0)</f>
        <v>26.8704</v>
      </c>
      <c r="CE5">
        <f>IFERROR(VLOOKUP(DF5,源_6社保表_Sheet1!$C:$BZ,22,FALSE),0)</f>
        <v>0</v>
      </c>
      <c r="CF5">
        <f>IFERROR(VLOOKUP(DF5,源_6社保表_Sheet1!$C:$BZ,23,FALSE),0)</f>
        <v>0</v>
      </c>
      <c r="CG5">
        <f>IFERROR(VLOOKUP(DF5,源_6社保表_Sheet1!$C:$BZ,32,FALSE),0)</f>
        <v>0</v>
      </c>
      <c r="CH5">
        <f>IFERROR(VLOOKUP(DF5,源_6社保表_Sheet1!$C:$BZ,33,FALSE),0)</f>
        <v>0</v>
      </c>
      <c r="CI5">
        <f>IFERROR(VLOOKUP(DF5,源_6社保表_Sheet1!$C:$BZ,34,FALSE),0)</f>
        <v>0</v>
      </c>
      <c r="CJ5">
        <f>IFERROR(VLOOKUP(DF5,源_6社保表_Sheet1!$C:$BZ,38,FALSE),0)</f>
        <v>0</v>
      </c>
      <c r="CK5">
        <f>IFERROR(VLOOKUP(DF5,源_6社保表_Sheet1!$C:$BZ,35,FALSE),0)</f>
        <v>0</v>
      </c>
      <c r="CL5">
        <f>IFERROR(VLOOKUP(DF5,源_6社保表_Sheet1!$C:$BZ,36,FALSE),0)</f>
        <v>0</v>
      </c>
      <c r="CM5">
        <f>IFERROR(VLOOKUP(DF5,源_6社保表_Sheet1!$C:$BZ,37,FALSE),0)</f>
        <v>0</v>
      </c>
      <c r="CN5">
        <f t="shared" si="6"/>
        <v>2755.8953999999999</v>
      </c>
      <c r="CO5">
        <f t="shared" si="7"/>
        <v>14413.205399999999</v>
      </c>
      <c r="CP5">
        <f>IF(IFERROR(VLOOKUP(K5,源_13残疾人信息_残疾人信息!$A:$M,1,FALSE),"")&lt;&gt;"",0,IF(OR(P5="门店全职",P5="门店管理组",P5="全职(非门店)"),(BI5-AT5)*IFERROR(VLOOKUP(D5,源_12计提残保金规则_Sheet1!$A:$E,4,FALSE),0)*IFERROR(VLOOKUP(D5,源_12计提残保金规则_Sheet1!$A:$E,5,FALSE),0),0))</f>
        <v>157.28593499999999</v>
      </c>
      <c r="CQ5">
        <f t="shared" si="8"/>
        <v>16.05</v>
      </c>
      <c r="CR5">
        <f t="shared" si="9"/>
        <v>20.67</v>
      </c>
      <c r="CS5">
        <f>IF(DATEVALUE(N5)&gt;DATE(参数!$B$2,9,30),0,IF(M5="行政",0,IF(O5="",R5/12,IF(MONTH(DATEVALUE(O5))=参数!$B$3,0,IF(DATEVALUE(O5)&lt;DATE(参数!$B$2,参数!$B$3,1),0,R5/12)))))</f>
        <v>665</v>
      </c>
      <c r="CT5">
        <f t="shared" si="10"/>
        <v>813.95999999999992</v>
      </c>
      <c r="CU5">
        <f>IFERROR(VLOOKUP(DF5,源_6社保表_Sheet1!$C:$I,2,FALSE),0)</f>
        <v>8397</v>
      </c>
      <c r="CV5">
        <f>IFERROR(VLOOKUP(DF5,源_6社保表_Sheet1!$C:$I,7,FALSE),0)</f>
        <v>8397</v>
      </c>
      <c r="CW5">
        <f>IFERROR(VLOOKUP(DF5,源_6社保表_Sheet1!$C:$I,3,FALSE),0)</f>
        <v>8397</v>
      </c>
      <c r="CX5">
        <f>IFERROR(VLOOKUP(DF5,源_6社保表_Sheet1!$C:$I,4,FALSE),0)</f>
        <v>8397</v>
      </c>
      <c r="CY5">
        <f>IFERROR(VLOOKUP(DF5,源_6社保表_Sheet1!$C:$I,5,FALSE),0)</f>
        <v>8397</v>
      </c>
      <c r="CZ5">
        <f>IFERROR(VLOOKUP(DF5,源_6社保表_Sheet1!$C:$I,6,FALSE),0)</f>
        <v>0</v>
      </c>
      <c r="DA5">
        <f t="shared" si="11"/>
        <v>12245.705399999999</v>
      </c>
      <c r="DB5">
        <f t="shared" si="12"/>
        <v>13925.171334999997</v>
      </c>
      <c r="DC5" t="str">
        <f>IFERROR(VLOOKUP(K5,源_7银行卡表_Sheet1!$A:$J,8,FALSE),"")</f>
        <v>招商银行</v>
      </c>
      <c r="DD5" t="str">
        <f>IFERROR(VLOOKUP(K5,源_7银行卡表_Sheet1!$A:$J,9,FALSE),"")</f>
        <v>6681360063544614654</v>
      </c>
      <c r="DE5" t="str">
        <f>IFERROR(VLOOKUP(K5,源_7银行卡表_Sheet1!$A:$J,10,FALSE),"")</f>
        <v>成都星宸国际支行</v>
      </c>
      <c r="DF5" t="s">
        <v>146</v>
      </c>
      <c r="DG5">
        <v>13793270325</v>
      </c>
      <c r="DH5" t="s">
        <v>133</v>
      </c>
      <c r="DI5">
        <v>0</v>
      </c>
      <c r="DJ5">
        <v>0</v>
      </c>
      <c r="DK5">
        <v>0</v>
      </c>
      <c r="DL5">
        <v>0</v>
      </c>
      <c r="DM5">
        <v>0</v>
      </c>
      <c r="DN5">
        <v>0</v>
      </c>
      <c r="DO5">
        <v>0</v>
      </c>
      <c r="DP5">
        <v>0</v>
      </c>
      <c r="DQ5">
        <v>0</v>
      </c>
      <c r="DR5">
        <f>IF(OR(IFERROR(VLOOKUP(K5,源_3考勤报表_考勤表!$F:$BG,39,FALSE),0)+IFERROR(VLOOKUP(K5,源_8补工时表_补当月工时!$A:$AC,24,FALSE),0)=0,IFERROR(VLOOKUP(K5,源_3考勤报表_考勤表!$F:$BG,43,FALSE),0)+IFERROR(VLOOKUP(K5,源_8补工时表_补当月工时!$A:$AC,26,FALSE),0)=0),IF(BI5+BG5-BT5&lt;0,BI5+BG5-BT5,0),0)</f>
        <v>0</v>
      </c>
    </row>
    <row r="6" spans="1:122" x14ac:dyDescent="0.15">
      <c r="A6">
        <f>参数!$B$2</f>
        <v>2025</v>
      </c>
      <c r="B6">
        <f>参数!$B$3</f>
        <v>12</v>
      </c>
      <c r="D6" t="s">
        <v>147</v>
      </c>
      <c r="E6" t="s">
        <v>123</v>
      </c>
      <c r="F6" t="str">
        <f>IFERROR(VLOOKUP(K6,源_7银行卡表_Sheet1!$A:$J,6,FALSE),"")</f>
        <v>华北营运</v>
      </c>
      <c r="G6" t="s">
        <v>148</v>
      </c>
      <c r="H6" t="s">
        <v>149</v>
      </c>
      <c r="I6" t="s">
        <v>150</v>
      </c>
      <c r="J6">
        <v>1</v>
      </c>
      <c r="K6">
        <v>26123005</v>
      </c>
      <c r="L6" t="s">
        <v>151</v>
      </c>
      <c r="M6" t="s">
        <v>152</v>
      </c>
      <c r="N6" t="s">
        <v>153</v>
      </c>
      <c r="P6" t="s">
        <v>154</v>
      </c>
      <c r="Q6">
        <f>IF(P6="门店全职",IFERROR(VLOOKUP(K6,源_3考勤报表_考勤表!$F:$BG,34,FALSE),0)+IFERROR(VLOOKUP(K6,源_8补工时表_补当月工时!$A:$AC,14,FALSE),0),IF(P6="门店管理组",IF(IFERROR(VLOOKUP(K6,源_3考勤报表_考勤表!$F:$BG,34,FALSE),0)+IFERROR(VLOOKUP(K6,源_8补工时表_补当月工时!$A:$AC,14,FALSE),0)+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44,FALSE),0)+IFERROR(VLOOKUP(K6,源_8补工时表_补当月工时!$A:$AC,16,FALSE),0)+IFERROR(VLOOKUP(K6,源_3考勤报表_考勤表!$F:$BG,45,FALSE),0)&gt;=参数!$B$4,参数!$B$4-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44,FALSE),0)-IFERROR(VLOOKUP(K6,源_8补工时表_补当月工时!$A:$AC,16,FALSE),0)-IFERROR(VLOOKUP(K6,源_3考勤报表_考勤表!$F:$BG,45,FALSE),0),IFERROR(VLOOKUP(K6,源_3考勤报表_考勤表!$F:$BG,34,FALSE),0)+IFERROR(VLOOKUP(K6,源_8补工时表_补当月工时!$A:$AC,14,FALSE),0)),0))</f>
        <v>200</v>
      </c>
      <c r="R6">
        <v>3861</v>
      </c>
      <c r="S6">
        <v>0</v>
      </c>
      <c r="T6">
        <f>IF(P6="门店全职",R6/参数!$B$4*(Q6-MAX(IFERROR(VLOOKUP(K6,源_3考勤报表_考勤表!$F:$BG,34,FALSE),0)+IFERROR(VLOOKUP(K6,源_8补工时表_补当月工时!$A:$AC,14,FALSE),0)+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参数!$B$4,0)),R6/参数!$B$4*Q6)</f>
        <v>3861</v>
      </c>
      <c r="U6">
        <v>0</v>
      </c>
      <c r="V6">
        <v>0</v>
      </c>
      <c r="W6">
        <f t="shared" si="0"/>
        <v>0</v>
      </c>
      <c r="X6">
        <f>IFERROR(VLOOKUP(K6,源_4奖金汇总表_拆分手工算!$A:$N,8,FALSE),0)</f>
        <v>0</v>
      </c>
      <c r="Y6">
        <f>IFERROR(VLOOKUP(K6,源_5薪资备忘录_工资调整项!$A:$AC,14,FALSE),0)</f>
        <v>0</v>
      </c>
      <c r="Z6">
        <f>IFERROR(VLOOKUP(K6,源_5薪资备忘录_工资调整项!$A:$AC,16,FALSE),0)</f>
        <v>0</v>
      </c>
      <c r="AA6">
        <f>IFERROR(VLOOKUP(K6,源_5薪资备忘录_工资调整项!$A:$AC,15,FALSE),0)</f>
        <v>0</v>
      </c>
      <c r="AB6">
        <f t="shared" si="1"/>
        <v>532.55172413793105</v>
      </c>
      <c r="AC6">
        <f>IF(P6="门店全职",R6/174*MAX(IFERROR(VLOOKUP(K6,源_3考勤报表_考勤表!$F:$BG,34,FALSE),0)+IFERROR(VLOOKUP(K6,源_8补工时表_补当月工时!$A:$AC,14,FALSE),0)+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参数!$B$4,0)*1.5,0)</f>
        <v>532.55172413793105</v>
      </c>
      <c r="AD6">
        <v>0</v>
      </c>
      <c r="AE6">
        <f>IFERROR(VLOOKUP(K6,源_3考勤报表_考勤表!$F:$BG,46,FALSE),0)+IFERROR(VLOOKUP(K6,源_8补工时表_补当月工时!$A:$AC,25,FALSE),0)</f>
        <v>0</v>
      </c>
      <c r="AF6">
        <f t="shared" si="2"/>
        <v>0</v>
      </c>
      <c r="AG6">
        <f>IFERROR(VLOOKUP(K6,源_4奖金汇总表_拆分手工算!$A:$N,10,FALSE),0)</f>
        <v>3</v>
      </c>
      <c r="AH6">
        <f>IFERROR(VLOOKUP(K6,源_4奖金汇总表_拆分手工算!$A:$N,5,FALSE),0)</f>
        <v>0</v>
      </c>
      <c r="AI6">
        <f>IFERROR(VLOOKUP(K6,源_4奖金汇总表_拆分手工算!$A:$N,11,FALSE),0)</f>
        <v>0</v>
      </c>
      <c r="AJ6">
        <f>IFERROR(VLOOKUP(K6,源_4奖金汇总表_拆分手工算!$A:$N,4,FALSE),0)</f>
        <v>0</v>
      </c>
      <c r="AK6">
        <f>IFERROR(VLOOKUP(K6,源_4奖金汇总表_拆分手工算!$A:$N,3,FALSE),0)</f>
        <v>0</v>
      </c>
      <c r="AL6">
        <f>IFERROR(VLOOKUP(K6,源_4奖金汇总表_拆分手工算!$A:$N,6,FALSE),0)</f>
        <v>0</v>
      </c>
      <c r="AM6">
        <f>IFERROR(VLOOKUP(K6,源_5薪资备忘录_工资调整项!$A:$AC,18,FALSE),0)+IFERROR(VLOOKUP(K6,源_4奖金汇总表_拆分手工算!$A:$N,7,FALSE),0)</f>
        <v>0</v>
      </c>
      <c r="AN6">
        <f>IFERROR(VLOOKUP(K6,源_5薪资备忘录_工资调整项!$A:$AC,17,FALSE),0)</f>
        <v>0</v>
      </c>
      <c r="AO6">
        <f>IF(OR(IFERROR(VLOOKUP(K6,源_3考勤报表_考勤表!$F:$BG,39,FALSE),0)+IFERROR(VLOOKUP(K6,源_8补工时表_补当月工时!$A:$AC,24,FALSE),0)&gt;0,IFERROR(VLOOKUP(K6,源_3考勤报表_考勤表!$F:$BG,43,FALSE),0)+IFERROR(VLOOKUP(K6,源_8补工时表_补当月工时!$A:$AC,26,FALSE),0)&gt;0),IF(IFERROR(VLOOKUP(DH6,源_11产假政策_Sheet1!$C:$F,4,FALSE),"")="是",R6/参数!$B$4*(IFERROR(VLOOKUP(K6,源_3考勤报表_考勤表!$F:$BG,39,FALSE),0)+IFERROR(VLOOKUP(K6,源_8补工时表_补当月工时!$A:$AC,24,FALSE),0)+IFERROR(VLOOKUP(K6,源_3考勤报表_考勤表!$F:$BG,43,FALSE),0)+IFERROR(VLOOKUP(K6,源_8补工时表_补当月工时!$A:$AC,26,FALSE),0)),IFERROR(VLOOKUP(K6,源_5薪资备忘录_工资调整项!$A:$AC,19,FALSE),0)),0)</f>
        <v>0</v>
      </c>
      <c r="AP6">
        <v>0</v>
      </c>
      <c r="AQ6">
        <f>IFERROR(VLOOKUP(K6,源_4奖金汇总表_拆分手工算!$A:$N,12,FALSE),0)+IFERROR(VLOOKUP(K6,源_9年终奖表_Sheet1!$A:$E,3,FALSE),0)</f>
        <v>0</v>
      </c>
      <c r="AR6">
        <f>IFERROR(VLOOKUP(K6,源_4奖金汇总表_拆分手工算!$A:$N,13,FALSE),0)+IFERROR(VLOOKUP(K6,源_9年终奖表_Sheet1!$A:$E,4,FALSE),0)</f>
        <v>0</v>
      </c>
      <c r="AS6">
        <f>IFERROR(VLOOKUP(K6,源_4奖金汇总表_拆分手工算!$A:$N,14,FALSE),0)+IFERROR(VLOOKUP(K6,源_9年终奖表_Sheet1!$A:$E,5,FALSE),0)</f>
        <v>0</v>
      </c>
      <c r="AT6">
        <f>IFERROR(VLOOKUP(K6,源_5薪资备忘录_工资调整项!$A:$AC,20,FALSE),0)</f>
        <v>0</v>
      </c>
      <c r="AU6">
        <f>IFERROR(VLOOKUP(K6,源_5薪资备忘录_工资调整项!$A:$AC,21,FALSE),0)+IFERROR(VLOOKUP(K6,源_4奖金汇总表_拆分手工算!$A:$N,9,FALSE),0)</f>
        <v>1456.81</v>
      </c>
      <c r="AV6">
        <f>R6/参数!$B$4*(IFERROR(VLOOKUP(K6,源_3考勤报表_考勤表!$F:$BG,37,FALSE),0)+IFERROR(VLOOKUP(K6,源_8补工时表_补当月工时!$A:$AC,15,FALSE),0))</f>
        <v>0</v>
      </c>
      <c r="AW6">
        <f>R6/174*MIN(IFERROR(VLOOKUP(K6,源_3考勤报表_考勤表!$F:$BG,35,FALSE),0),174)*IF(DATEDIF(N6,DATE(参数!$B$2,参数!$B$3+1,0),"Y")&lt;2,0.6,IF(DATEDIF(N6,DATE(参数!$B$2,参数!$B$3+1,0),"Y")&lt;4,0.7,IF(DATEDIF(N6,DATE(参数!$B$2,参数!$B$3+1,0),"Y")&lt;6,0.8,IF(DATEDIF(N6,DATE(参数!$B$2,参数!$B$3+1,0),"Y")&lt;8,0.9,1))))</f>
        <v>0</v>
      </c>
      <c r="AX6">
        <f>IF(Q6+IFERROR(VLOOKUP(K6,源_3考勤报表_考勤表!$F:$BG,37,FALSE),0)+IFERROR(VLOOKUP(K6,源_8补工时表_补当月工时!$A:$AC,15,FALSE),0)&gt;=参数!$B$4,0,IF(Q6+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lt;=参数!$B$4,R6/参数!$B$4*(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0))</f>
        <v>0</v>
      </c>
      <c r="AY6">
        <v>0</v>
      </c>
      <c r="AZ6">
        <v>0</v>
      </c>
      <c r="BA6">
        <v>0</v>
      </c>
      <c r="BB6">
        <v>0</v>
      </c>
      <c r="BC6">
        <f>IFERROR(VLOOKUP(K6,源_5薪资备忘录_工资调整项!$A:$AC,25,FALSE),0)</f>
        <v>0</v>
      </c>
      <c r="BD6">
        <v>0</v>
      </c>
      <c r="BE6">
        <f>(T6+W6+AB6+AG6+AH6+AI6+AJ6+AK6+AL6+AM6+AN6+AO6+AP6+AU6+AV6+AW6+AX6+BC6-IFERROR(VLOOKUP(DF6,源_6社保表_Sheet1!$C:$BZ,76,FALSE),0))*0.02</f>
        <v>97.834634482758617</v>
      </c>
      <c r="BF6">
        <v>0</v>
      </c>
      <c r="BG6">
        <f>IFERROR(VLOOKUP(K6,源_5薪资备忘录_工资调整项!$A:$AC,22,FALSE),0)+IFERROR(VLOOKUP(K6,源_5薪资备忘录_工资调整项!$A:$AC,23,FALSE),0)+IFERROR(VLOOKUP(K6,源_5薪资备忘录_工资调整项!$A:$AC,24,FALSE),0)</f>
        <v>0</v>
      </c>
      <c r="BH6">
        <f>IFERROR(VLOOKUP(DF6,源_6社保表_Sheet1!$C:$CD,80,FALSE),0)+4.5</f>
        <v>6.5</v>
      </c>
      <c r="BI6">
        <f t="shared" si="3"/>
        <v>5853.3617241379307</v>
      </c>
      <c r="BJ6">
        <f>IFERROR(VLOOKUP(DF6,源_6社保表_Sheet1!$C:$BZ,26,FALSE),0)</f>
        <v>501.34</v>
      </c>
      <c r="BK6">
        <f>IFERROR(VLOOKUP(DF6,源_6社保表_Sheet1!$C:$BZ,27,FALSE),0)</f>
        <v>71.62</v>
      </c>
      <c r="BL6">
        <f>IFERROR(VLOOKUP(DF6,源_6社保表_Sheet1!$C:$BZ,28,FALSE),0)</f>
        <v>35.81</v>
      </c>
      <c r="BM6">
        <f>IFERROR(VLOOKUP(DF6,源_6社保表_Sheet1!$C:$BZ,30,FALSE),0)</f>
        <v>352.86</v>
      </c>
      <c r="BN6">
        <f>IFERROR(VLOOKUP(DF6,源_6社保表_Sheet1!$C:$BZ,29,FALSE),0)</f>
        <v>0</v>
      </c>
      <c r="BO6">
        <f>IFERROR(VLOOKUP(DF6,源_6社保表_Sheet1!$C:$BZ,40,FALSE),0)</f>
        <v>0</v>
      </c>
      <c r="BP6">
        <f>IFERROR(VLOOKUP(DF6,源_6社保表_Sheet1!$C:$BZ,41,FALSE),0)</f>
        <v>0</v>
      </c>
      <c r="BQ6">
        <f>IFERROR(VLOOKUP(DF6,源_6社保表_Sheet1!$C:$BZ,42,FALSE),0)</f>
        <v>0</v>
      </c>
      <c r="BR6">
        <f>IFERROR(VLOOKUP(DF6,源_6社保表_Sheet1!$C:$BZ,44,FALSE),0)</f>
        <v>0</v>
      </c>
      <c r="BS6">
        <f>IFERROR(VLOOKUP(DF6,源_6社保表_Sheet1!$C:$BZ,43,FALSE),0)</f>
        <v>0</v>
      </c>
      <c r="BT6">
        <f t="shared" si="4"/>
        <v>961.63</v>
      </c>
      <c r="BU6">
        <v>0</v>
      </c>
      <c r="BV6">
        <v>0</v>
      </c>
      <c r="BW6">
        <v>0</v>
      </c>
      <c r="BX6">
        <f t="shared" si="5"/>
        <v>0</v>
      </c>
      <c r="BY6">
        <v>0</v>
      </c>
      <c r="BZ6">
        <f>IFERROR(VLOOKUP(DF6,源_6社保表_Sheet1!$C:$BZ,18,FALSE),0)</f>
        <v>1074.3</v>
      </c>
      <c r="CA6">
        <f>IFERROR(VLOOKUP(DF6,源_6社保表_Sheet1!$C:$BZ,19,FALSE),0)</f>
        <v>572.96</v>
      </c>
      <c r="CB6">
        <f>IFERROR(VLOOKUP(DF6,源_6社保表_Sheet1!$C:$BZ,24,FALSE),0)</f>
        <v>352.86</v>
      </c>
      <c r="CC6">
        <f>IFERROR(VLOOKUP(DF6,源_6社保表_Sheet1!$C:$BZ,20,FALSE),0)</f>
        <v>35.81</v>
      </c>
      <c r="CD6">
        <f>IFERROR(VLOOKUP(DF6,源_6社保表_Sheet1!$C:$BZ,21,FALSE),0)</f>
        <v>22.918399999999998</v>
      </c>
      <c r="CE6">
        <f>IFERROR(VLOOKUP(DF6,源_6社保表_Sheet1!$C:$BZ,22,FALSE),0)</f>
        <v>0</v>
      </c>
      <c r="CF6">
        <f>IFERROR(VLOOKUP(DF6,源_6社保表_Sheet1!$C:$BZ,23,FALSE),0)</f>
        <v>0</v>
      </c>
      <c r="CG6">
        <f>IFERROR(VLOOKUP(DF6,源_6社保表_Sheet1!$C:$BZ,32,FALSE),0)</f>
        <v>0</v>
      </c>
      <c r="CH6">
        <f>IFERROR(VLOOKUP(DF6,源_6社保表_Sheet1!$C:$BZ,33,FALSE),0)</f>
        <v>0</v>
      </c>
      <c r="CI6">
        <f>IFERROR(VLOOKUP(DF6,源_6社保表_Sheet1!$C:$BZ,34,FALSE),0)</f>
        <v>0</v>
      </c>
      <c r="CJ6">
        <f>IFERROR(VLOOKUP(DF6,源_6社保表_Sheet1!$C:$BZ,38,FALSE),0)</f>
        <v>0</v>
      </c>
      <c r="CK6">
        <f>IFERROR(VLOOKUP(DF6,源_6社保表_Sheet1!$C:$BZ,35,FALSE),0)</f>
        <v>0</v>
      </c>
      <c r="CL6">
        <f>IFERROR(VLOOKUP(DF6,源_6社保表_Sheet1!$C:$BZ,36,FALSE),0)</f>
        <v>0</v>
      </c>
      <c r="CM6">
        <f>IFERROR(VLOOKUP(DF6,源_6社保表_Sheet1!$C:$BZ,37,FALSE),0)</f>
        <v>0</v>
      </c>
      <c r="CN6">
        <f t="shared" si="6"/>
        <v>2058.8483999999999</v>
      </c>
      <c r="CO6">
        <f t="shared" si="7"/>
        <v>8016.5447586206892</v>
      </c>
      <c r="CP6">
        <f>IF(IFERROR(VLOOKUP(K6,源_13残疾人信息_残疾人信息!$A:$M,1,FALSE),"")&lt;&gt;"",0,IF(OR(P6="门店全职",P6="门店管理组",P6="全职(非门店)"),(BI6-AT6)*IFERROR(VLOOKUP(D6,源_12计提残保金规则_Sheet1!$A:$E,4,FALSE),0)*IFERROR(VLOOKUP(D6,源_12计提残保金规则_Sheet1!$A:$E,5,FALSE),0),0))</f>
        <v>79.020383275862073</v>
      </c>
      <c r="CQ6">
        <f t="shared" si="8"/>
        <v>16.05</v>
      </c>
      <c r="CR6">
        <f t="shared" si="9"/>
        <v>20.67</v>
      </c>
      <c r="CS6">
        <f>IF(DATEVALUE(N6)&gt;DATE(参数!$B$2,9,30),0,IF(M6="行政",0,IF(O6="",R6/12,IF(MONTH(DATEVALUE(O6))=参数!$B$3,0,IF(DATEVALUE(O6)&lt;DATE(参数!$B$2,参数!$B$3,1),0,R6/12)))))</f>
        <v>321.75</v>
      </c>
      <c r="CT6">
        <f t="shared" si="10"/>
        <v>0</v>
      </c>
      <c r="CU6">
        <f>IFERROR(VLOOKUP(DF6,源_6社保表_Sheet1!$C:$I,2,FALSE),0)</f>
        <v>7162</v>
      </c>
      <c r="CV6">
        <f>IFERROR(VLOOKUP(DF6,源_6社保表_Sheet1!$C:$I,7,FALSE),0)</f>
        <v>5881</v>
      </c>
      <c r="CW6">
        <f>IFERROR(VLOOKUP(DF6,源_6社保表_Sheet1!$C:$I,3,FALSE),0)</f>
        <v>7162</v>
      </c>
      <c r="CX6">
        <f>IFERROR(VLOOKUP(DF6,源_6社保表_Sheet1!$C:$I,4,FALSE),0)</f>
        <v>7162</v>
      </c>
      <c r="CY6">
        <f>IFERROR(VLOOKUP(DF6,源_6社保表_Sheet1!$C:$I,5,FALSE),0)</f>
        <v>7162</v>
      </c>
      <c r="CZ6">
        <f>IFERROR(VLOOKUP(DF6,源_6社保表_Sheet1!$C:$I,6,FALSE),0)</f>
        <v>0</v>
      </c>
      <c r="DA6">
        <f t="shared" si="11"/>
        <v>7909.2101241379305</v>
      </c>
      <c r="DB6">
        <f t="shared" si="12"/>
        <v>8353.2005074137924</v>
      </c>
      <c r="DC6" t="str">
        <f>IFERROR(VLOOKUP(K6,源_7银行卡表_Sheet1!$A:$J,8,FALSE),"")</f>
        <v>招商银行</v>
      </c>
      <c r="DD6" t="str">
        <f>IFERROR(VLOOKUP(K6,源_7银行卡表_Sheet1!$A:$J,9,FALSE),"")</f>
        <v>6688666641373608696</v>
      </c>
      <c r="DE6" t="str">
        <f>IFERROR(VLOOKUP(K6,源_7银行卡表_Sheet1!$A:$J,10,FALSE),"")</f>
        <v>重庆永川支行</v>
      </c>
      <c r="DF6" t="s">
        <v>155</v>
      </c>
      <c r="DG6">
        <v>15659025342</v>
      </c>
      <c r="DH6" t="s">
        <v>148</v>
      </c>
      <c r="DI6">
        <v>0</v>
      </c>
      <c r="DJ6">
        <v>0</v>
      </c>
      <c r="DK6">
        <v>0</v>
      </c>
      <c r="DL6">
        <v>0</v>
      </c>
      <c r="DM6">
        <v>0</v>
      </c>
      <c r="DN6">
        <v>0</v>
      </c>
      <c r="DO6">
        <v>0</v>
      </c>
      <c r="DP6">
        <v>0</v>
      </c>
      <c r="DQ6">
        <v>0</v>
      </c>
      <c r="DR6">
        <f>IF(OR(IFERROR(VLOOKUP(K6,源_3考勤报表_考勤表!$F:$BG,39,FALSE),0)+IFERROR(VLOOKUP(K6,源_8补工时表_补当月工时!$A:$AC,24,FALSE),0)=0,IFERROR(VLOOKUP(K6,源_3考勤报表_考勤表!$F:$BG,43,FALSE),0)+IFERROR(VLOOKUP(K6,源_8补工时表_补当月工时!$A:$AC,26,FALSE),0)=0),IF(BI6+BG6-BT6&lt;0,BI6+BG6-BT6,0),0)</f>
        <v>0</v>
      </c>
    </row>
    <row r="7" spans="1:122" x14ac:dyDescent="0.15">
      <c r="A7">
        <f>参数!$B$2</f>
        <v>2025</v>
      </c>
      <c r="B7">
        <f>参数!$B$3</f>
        <v>12</v>
      </c>
      <c r="D7" t="s">
        <v>122</v>
      </c>
      <c r="E7" t="s">
        <v>123</v>
      </c>
      <c r="F7" t="str">
        <f>IFERROR(VLOOKUP(K7,源_7银行卡表_Sheet1!$A:$J,6,FALSE),"")</f>
        <v>华东营运</v>
      </c>
      <c r="G7" t="s">
        <v>156</v>
      </c>
      <c r="H7" t="s">
        <v>157</v>
      </c>
      <c r="I7" t="s">
        <v>126</v>
      </c>
      <c r="J7">
        <v>1</v>
      </c>
      <c r="K7">
        <v>26123006</v>
      </c>
      <c r="L7" t="s">
        <v>158</v>
      </c>
      <c r="M7" t="s">
        <v>128</v>
      </c>
      <c r="N7" t="s">
        <v>159</v>
      </c>
      <c r="P7" t="s">
        <v>131</v>
      </c>
      <c r="Q7">
        <f>IF(P7="门店全职",IFERROR(VLOOKUP(K7,源_3考勤报表_考勤表!$F:$BG,34,FALSE),0)+IFERROR(VLOOKUP(K7,源_8补工时表_补当月工时!$A:$AC,14,FALSE),0),IF(P7="门店管理组",IF(IFERROR(VLOOKUP(K7,源_3考勤报表_考勤表!$F:$BG,34,FALSE),0)+IFERROR(VLOOKUP(K7,源_8补工时表_补当月工时!$A:$AC,14,FALSE),0)+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44,FALSE),0)+IFERROR(VLOOKUP(K7,源_8补工时表_补当月工时!$A:$AC,16,FALSE),0)+IFERROR(VLOOKUP(K7,源_3考勤报表_考勤表!$F:$BG,45,FALSE),0)&gt;=参数!$B$4,参数!$B$4-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44,FALSE),0)-IFERROR(VLOOKUP(K7,源_8补工时表_补当月工时!$A:$AC,16,FALSE),0)-IFERROR(VLOOKUP(K7,源_3考勤报表_考勤表!$F:$BG,45,FALSE),0),IFERROR(VLOOKUP(K7,源_3考勤报表_考勤表!$F:$BG,34,FALSE),0)+IFERROR(VLOOKUP(K7,源_8补工时表_补当月工时!$A:$AC,14,FALSE),0)),0))</f>
        <v>182</v>
      </c>
      <c r="R7">
        <v>8039</v>
      </c>
      <c r="S7">
        <v>20</v>
      </c>
      <c r="T7">
        <f>IF(P7="门店全职",R7/参数!$B$4*(Q7-MAX(IFERROR(VLOOKUP(K7,源_3考勤报表_考勤表!$F:$BG,34,FALSE),0)+IFERROR(VLOOKUP(K7,源_8补工时表_补当月工时!$A:$AC,14,FALSE),0)+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参数!$B$4,0)),R7/参数!$B$4*Q7)</f>
        <v>7951.6195652173919</v>
      </c>
      <c r="U7">
        <v>0</v>
      </c>
      <c r="V7">
        <v>0</v>
      </c>
      <c r="W7">
        <f t="shared" si="0"/>
        <v>19</v>
      </c>
      <c r="X7">
        <f>IFERROR(VLOOKUP(K7,源_4奖金汇总表_拆分手工算!$A:$N,8,FALSE),0)</f>
        <v>19</v>
      </c>
      <c r="Y7">
        <f>IFERROR(VLOOKUP(K7,源_5薪资备忘录_工资调整项!$A:$AC,14,FALSE),0)</f>
        <v>0</v>
      </c>
      <c r="Z7">
        <f>IFERROR(VLOOKUP(K7,源_5薪资备忘录_工资调整项!$A:$AC,16,FALSE),0)</f>
        <v>0</v>
      </c>
      <c r="AA7">
        <f>IFERROR(VLOOKUP(K7,源_5薪资备忘录_工资调整项!$A:$AC,15,FALSE),0)</f>
        <v>0</v>
      </c>
      <c r="AB7">
        <f t="shared" si="1"/>
        <v>0</v>
      </c>
      <c r="AC7">
        <f>IF(P7="门店全职",R7/174*MAX(IFERROR(VLOOKUP(K7,源_3考勤报表_考勤表!$F:$BG,34,FALSE),0)+IFERROR(VLOOKUP(K7,源_8补工时表_补当月工时!$A:$AC,14,FALSE),0)+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参数!$B$4,0)*1.5,0)</f>
        <v>0</v>
      </c>
      <c r="AD7">
        <v>0</v>
      </c>
      <c r="AE7">
        <f>IFERROR(VLOOKUP(K7,源_3考勤报表_考勤表!$F:$BG,46,FALSE),0)+IFERROR(VLOOKUP(K7,源_8补工时表_补当月工时!$A:$AC,25,FALSE),0)</f>
        <v>0</v>
      </c>
      <c r="AF7">
        <f t="shared" si="2"/>
        <v>0</v>
      </c>
      <c r="AG7">
        <f>IFERROR(VLOOKUP(K7,源_4奖金汇总表_拆分手工算!$A:$N,10,FALSE),0)</f>
        <v>0</v>
      </c>
      <c r="AH7">
        <f>IFERROR(VLOOKUP(K7,源_4奖金汇总表_拆分手工算!$A:$N,5,FALSE),0)</f>
        <v>0</v>
      </c>
      <c r="AI7">
        <f>IFERROR(VLOOKUP(K7,源_4奖金汇总表_拆分手工算!$A:$N,11,FALSE),0)</f>
        <v>0</v>
      </c>
      <c r="AJ7">
        <f>IFERROR(VLOOKUP(K7,源_4奖金汇总表_拆分手工算!$A:$N,4,FALSE),0)</f>
        <v>0</v>
      </c>
      <c r="AK7">
        <f>IFERROR(VLOOKUP(K7,源_4奖金汇总表_拆分手工算!$A:$N,3,FALSE),0)</f>
        <v>0</v>
      </c>
      <c r="AL7">
        <f>IFERROR(VLOOKUP(K7,源_4奖金汇总表_拆分手工算!$A:$N,6,FALSE),0)</f>
        <v>80</v>
      </c>
      <c r="AM7">
        <f>IFERROR(VLOOKUP(K7,源_5薪资备忘录_工资调整项!$A:$AC,18,FALSE),0)+IFERROR(VLOOKUP(K7,源_4奖金汇总表_拆分手工算!$A:$N,7,FALSE),0)</f>
        <v>0</v>
      </c>
      <c r="AN7">
        <f>IFERROR(VLOOKUP(K7,源_5薪资备忘录_工资调整项!$A:$AC,17,FALSE),0)</f>
        <v>0</v>
      </c>
      <c r="AO7">
        <f>IF(OR(IFERROR(VLOOKUP(K7,源_3考勤报表_考勤表!$F:$BG,39,FALSE),0)+IFERROR(VLOOKUP(K7,源_8补工时表_补当月工时!$A:$AC,24,FALSE),0)&gt;0,IFERROR(VLOOKUP(K7,源_3考勤报表_考勤表!$F:$BG,43,FALSE),0)+IFERROR(VLOOKUP(K7,源_8补工时表_补当月工时!$A:$AC,26,FALSE),0)&gt;0),IF(IFERROR(VLOOKUP(DH7,源_11产假政策_Sheet1!$C:$F,4,FALSE),"")="是",R7/参数!$B$4*(IFERROR(VLOOKUP(K7,源_3考勤报表_考勤表!$F:$BG,39,FALSE),0)+IFERROR(VLOOKUP(K7,源_8补工时表_补当月工时!$A:$AC,24,FALSE),0)+IFERROR(VLOOKUP(K7,源_3考勤报表_考勤表!$F:$BG,43,FALSE),0)+IFERROR(VLOOKUP(K7,源_8补工时表_补当月工时!$A:$AC,26,FALSE),0)),IFERROR(VLOOKUP(K7,源_5薪资备忘录_工资调整项!$A:$AC,19,FALSE),0)),0)</f>
        <v>0</v>
      </c>
      <c r="AP7">
        <v>0</v>
      </c>
      <c r="AQ7">
        <f>IFERROR(VLOOKUP(K7,源_4奖金汇总表_拆分手工算!$A:$N,12,FALSE),0)+IFERROR(VLOOKUP(K7,源_9年终奖表_Sheet1!$A:$E,3,FALSE),0)</f>
        <v>1200</v>
      </c>
      <c r="AR7">
        <f>IFERROR(VLOOKUP(K7,源_4奖金汇总表_拆分手工算!$A:$N,13,FALSE),0)+IFERROR(VLOOKUP(K7,源_9年终奖表_Sheet1!$A:$E,4,FALSE),0)</f>
        <v>600</v>
      </c>
      <c r="AS7">
        <f>IFERROR(VLOOKUP(K7,源_4奖金汇总表_拆分手工算!$A:$N,14,FALSE),0)+IFERROR(VLOOKUP(K7,源_9年终奖表_Sheet1!$A:$E,5,FALSE),0)</f>
        <v>222</v>
      </c>
      <c r="AT7">
        <f>IFERROR(VLOOKUP(K7,源_5薪资备忘录_工资调整项!$A:$AC,20,FALSE),0)</f>
        <v>0</v>
      </c>
      <c r="AU7">
        <f>IFERROR(VLOOKUP(K7,源_5薪资备忘录_工资调整项!$A:$AC,21,FALSE),0)+IFERROR(VLOOKUP(K7,源_4奖金汇总表_拆分手工算!$A:$N,9,FALSE),0)</f>
        <v>692.2</v>
      </c>
      <c r="AV7">
        <f>R7/参数!$B$4*(IFERROR(VLOOKUP(K7,源_3考勤报表_考勤表!$F:$BG,37,FALSE),0)+IFERROR(VLOOKUP(K7,源_8补工时表_补当月工时!$A:$AC,15,FALSE),0))</f>
        <v>0</v>
      </c>
      <c r="AW7">
        <f>R7/174*MIN(IFERROR(VLOOKUP(K7,源_3考勤报表_考勤表!$F:$BG,35,FALSE),0),174)*IF(DATEDIF(N7,DATE(参数!$B$2,参数!$B$3+1,0),"Y")&lt;2,0.6,IF(DATEDIF(N7,DATE(参数!$B$2,参数!$B$3+1,0),"Y")&lt;4,0.7,IF(DATEDIF(N7,DATE(参数!$B$2,参数!$B$3+1,0),"Y")&lt;6,0.8,IF(DATEDIF(N7,DATE(参数!$B$2,参数!$B$3+1,0),"Y")&lt;8,0.9,1))))</f>
        <v>0</v>
      </c>
      <c r="AX7">
        <f>IF(Q7+IFERROR(VLOOKUP(K7,源_3考勤报表_考勤表!$F:$BG,37,FALSE),0)+IFERROR(VLOOKUP(K7,源_8补工时表_补当月工时!$A:$AC,15,FALSE),0)&gt;=参数!$B$4,0,IF(Q7+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lt;=参数!$B$4,R7/参数!$B$4*(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0))</f>
        <v>87.380434782608702</v>
      </c>
      <c r="AY7">
        <v>0</v>
      </c>
      <c r="AZ7">
        <v>0</v>
      </c>
      <c r="BA7">
        <v>0</v>
      </c>
      <c r="BB7">
        <v>0</v>
      </c>
      <c r="BC7">
        <f>IFERROR(VLOOKUP(K7,源_5薪资备忘录_工资调整项!$A:$AC,25,FALSE),0)</f>
        <v>0</v>
      </c>
      <c r="BD7">
        <v>0</v>
      </c>
      <c r="BE7">
        <v>0</v>
      </c>
      <c r="BF7">
        <v>0</v>
      </c>
      <c r="BG7">
        <f>IFERROR(VLOOKUP(K7,源_5薪资备忘录_工资调整项!$A:$AC,22,FALSE),0)+IFERROR(VLOOKUP(K7,源_5薪资备忘录_工资调整项!$A:$AC,23,FALSE),0)+IFERROR(VLOOKUP(K7,源_5薪资备忘录_工资调整项!$A:$AC,24,FALSE),0)</f>
        <v>0</v>
      </c>
      <c r="BH7">
        <f>IFERROR(VLOOKUP(DF7,源_6社保表_Sheet1!$C:$CD,80,FALSE),0)+4.5</f>
        <v>6.5</v>
      </c>
      <c r="BI7">
        <f t="shared" si="3"/>
        <v>10852.2</v>
      </c>
      <c r="BJ7">
        <f>IFERROR(VLOOKUP(DF7,源_6社保表_Sheet1!$C:$BZ,26,FALSE),0)</f>
        <v>782.72</v>
      </c>
      <c r="BK7">
        <f>IFERROR(VLOOKUP(DF7,源_6社保表_Sheet1!$C:$BZ,27,FALSE),0)</f>
        <v>195.68</v>
      </c>
      <c r="BL7">
        <f>IFERROR(VLOOKUP(DF7,源_6社保表_Sheet1!$C:$BZ,28,FALSE),0)</f>
        <v>48.92</v>
      </c>
      <c r="BM7">
        <f>IFERROR(VLOOKUP(DF7,源_6社保表_Sheet1!$C:$BZ,30,FALSE),0)</f>
        <v>684.88</v>
      </c>
      <c r="BN7">
        <f>IFERROR(VLOOKUP(DF7,源_6社保表_Sheet1!$C:$BZ,29,FALSE),0)</f>
        <v>0</v>
      </c>
      <c r="BO7">
        <f>IFERROR(VLOOKUP(DF7,源_6社保表_Sheet1!$C:$BZ,40,FALSE),0)</f>
        <v>0</v>
      </c>
      <c r="BP7">
        <f>IFERROR(VLOOKUP(DF7,源_6社保表_Sheet1!$C:$BZ,41,FALSE),0)</f>
        <v>0</v>
      </c>
      <c r="BQ7">
        <f>IFERROR(VLOOKUP(DF7,源_6社保表_Sheet1!$C:$BZ,42,FALSE),0)</f>
        <v>0</v>
      </c>
      <c r="BR7">
        <f>IFERROR(VLOOKUP(DF7,源_6社保表_Sheet1!$C:$BZ,44,FALSE),0)</f>
        <v>0</v>
      </c>
      <c r="BS7">
        <f>IFERROR(VLOOKUP(DF7,源_6社保表_Sheet1!$C:$BZ,43,FALSE),0)</f>
        <v>0</v>
      </c>
      <c r="BT7">
        <f t="shared" si="4"/>
        <v>1712.2000000000003</v>
      </c>
      <c r="BU7">
        <v>0</v>
      </c>
      <c r="BV7">
        <v>0</v>
      </c>
      <c r="BW7">
        <v>0</v>
      </c>
      <c r="BX7">
        <f t="shared" si="5"/>
        <v>0</v>
      </c>
      <c r="BY7">
        <v>0</v>
      </c>
      <c r="BZ7">
        <f>IFERROR(VLOOKUP(DF7,源_6社保表_Sheet1!$C:$BZ,18,FALSE),0)</f>
        <v>1565.44</v>
      </c>
      <c r="CA7">
        <f>IFERROR(VLOOKUP(DF7,源_6社保表_Sheet1!$C:$BZ,19,FALSE),0)</f>
        <v>880.56</v>
      </c>
      <c r="CB7">
        <f>IFERROR(VLOOKUP(DF7,源_6社保表_Sheet1!$C:$BZ,24,FALSE),0)</f>
        <v>684.88</v>
      </c>
      <c r="CC7">
        <f>IFERROR(VLOOKUP(DF7,源_6社保表_Sheet1!$C:$BZ,20,FALSE),0)</f>
        <v>48.92</v>
      </c>
      <c r="CD7">
        <f>IFERROR(VLOOKUP(DF7,源_6社保表_Sheet1!$C:$BZ,21,FALSE),0)</f>
        <v>31.308800000000002</v>
      </c>
      <c r="CE7">
        <f>IFERROR(VLOOKUP(DF7,源_6社保表_Sheet1!$C:$BZ,22,FALSE),0)</f>
        <v>0</v>
      </c>
      <c r="CF7">
        <f>IFERROR(VLOOKUP(DF7,源_6社保表_Sheet1!$C:$BZ,23,FALSE),0)</f>
        <v>0</v>
      </c>
      <c r="CG7">
        <f>IFERROR(VLOOKUP(DF7,源_6社保表_Sheet1!$C:$BZ,32,FALSE),0)</f>
        <v>0</v>
      </c>
      <c r="CH7">
        <f>IFERROR(VLOOKUP(DF7,源_6社保表_Sheet1!$C:$BZ,33,FALSE),0)</f>
        <v>0</v>
      </c>
      <c r="CI7">
        <f>IFERROR(VLOOKUP(DF7,源_6社保表_Sheet1!$C:$BZ,34,FALSE),0)</f>
        <v>0</v>
      </c>
      <c r="CJ7">
        <f>IFERROR(VLOOKUP(DF7,源_6社保表_Sheet1!$C:$BZ,38,FALSE),0)</f>
        <v>0</v>
      </c>
      <c r="CK7">
        <f>IFERROR(VLOOKUP(DF7,源_6社保表_Sheet1!$C:$BZ,35,FALSE),0)</f>
        <v>0</v>
      </c>
      <c r="CL7">
        <f>IFERROR(VLOOKUP(DF7,源_6社保表_Sheet1!$C:$BZ,36,FALSE),0)</f>
        <v>0</v>
      </c>
      <c r="CM7">
        <f>IFERROR(VLOOKUP(DF7,源_6社保表_Sheet1!$C:$BZ,37,FALSE),0)</f>
        <v>0</v>
      </c>
      <c r="CN7">
        <f t="shared" si="6"/>
        <v>3211.1088</v>
      </c>
      <c r="CO7">
        <f t="shared" si="7"/>
        <v>14069.808800000001</v>
      </c>
      <c r="CP7">
        <f>IF(IFERROR(VLOOKUP(K7,源_13残疾人信息_残疾人信息!$A:$M,1,FALSE),"")&lt;&gt;"",0,IF(OR(P7="门店全职",P7="门店管理组",P7="全职(非门店)"),(BI7-AT7)*IFERROR(VLOOKUP(D7,源_12计提残保金规则_Sheet1!$A:$E,4,FALSE),0)*IFERROR(VLOOKUP(D7,源_12计提残保金规则_Sheet1!$A:$E,5,FALSE),0),0))</f>
        <v>146.50470000000001</v>
      </c>
      <c r="CQ7">
        <f t="shared" si="8"/>
        <v>16.05</v>
      </c>
      <c r="CR7">
        <f t="shared" si="9"/>
        <v>20.67</v>
      </c>
      <c r="CS7">
        <f>IF(DATEVALUE(N7)&gt;DATE(参数!$B$2,9,30),0,IF(M7="行政",0,IF(O7="",R7/12,IF(MONTH(DATEVALUE(O7))=参数!$B$3,0,IF(DATEVALUE(O7)&lt;DATE(参数!$B$2,参数!$B$3,1),0,R7/12)))))</f>
        <v>669.91666666666663</v>
      </c>
      <c r="CT7">
        <f t="shared" si="10"/>
        <v>819.97799999999995</v>
      </c>
      <c r="CU7">
        <f>IFERROR(VLOOKUP(DF7,源_6社保表_Sheet1!$C:$I,2,FALSE),0)</f>
        <v>9784</v>
      </c>
      <c r="CV7">
        <f>IFERROR(VLOOKUP(DF7,源_6社保表_Sheet1!$C:$I,7,FALSE),0)</f>
        <v>9784</v>
      </c>
      <c r="CW7">
        <f>IFERROR(VLOOKUP(DF7,源_6社保表_Sheet1!$C:$I,3,FALSE),0)</f>
        <v>9784</v>
      </c>
      <c r="CX7">
        <f>IFERROR(VLOOKUP(DF7,源_6社保表_Sheet1!$C:$I,4,FALSE),0)</f>
        <v>9784</v>
      </c>
      <c r="CY7">
        <f>IFERROR(VLOOKUP(DF7,源_6社保表_Sheet1!$C:$I,5,FALSE),0)</f>
        <v>9784</v>
      </c>
      <c r="CZ7">
        <f>IFERROR(VLOOKUP(DF7,源_6社保表_Sheet1!$C:$I,6,FALSE),0)</f>
        <v>0</v>
      </c>
      <c r="DA7">
        <f t="shared" si="11"/>
        <v>11961.308800000001</v>
      </c>
      <c r="DB7">
        <f t="shared" si="12"/>
        <v>13640.928166666665</v>
      </c>
      <c r="DC7" t="str">
        <f>IFERROR(VLOOKUP(K7,源_7银行卡表_Sheet1!$A:$J,8,FALSE),"")</f>
        <v>招商银行</v>
      </c>
      <c r="DD7" t="str">
        <f>IFERROR(VLOOKUP(K7,源_7银行卡表_Sheet1!$A:$J,9,FALSE),"")</f>
        <v>6684067585518680718</v>
      </c>
      <c r="DE7" t="str">
        <f>IFERROR(VLOOKUP(K7,源_7银行卡表_Sheet1!$A:$J,10,FALSE),"")</f>
        <v>泸州江阳支行</v>
      </c>
      <c r="DF7" t="s">
        <v>160</v>
      </c>
      <c r="DG7">
        <v>17632896120</v>
      </c>
      <c r="DH7" t="s">
        <v>133</v>
      </c>
      <c r="DI7">
        <v>0</v>
      </c>
      <c r="DJ7">
        <v>0</v>
      </c>
      <c r="DK7">
        <v>0</v>
      </c>
      <c r="DL7">
        <v>0</v>
      </c>
      <c r="DM7">
        <v>0</v>
      </c>
      <c r="DN7">
        <v>0</v>
      </c>
      <c r="DO7">
        <v>0</v>
      </c>
      <c r="DP7">
        <v>0</v>
      </c>
      <c r="DQ7">
        <v>0</v>
      </c>
      <c r="DR7">
        <f>IF(OR(IFERROR(VLOOKUP(K7,源_3考勤报表_考勤表!$F:$BG,39,FALSE),0)+IFERROR(VLOOKUP(K7,源_8补工时表_补当月工时!$A:$AC,24,FALSE),0)=0,IFERROR(VLOOKUP(K7,源_3考勤报表_考勤表!$F:$BG,43,FALSE),0)+IFERROR(VLOOKUP(K7,源_8补工时表_补当月工时!$A:$AC,26,FALSE),0)=0),IF(BI7+BG7-BT7&lt;0,BI7+BG7-BT7,0),0)</f>
        <v>0</v>
      </c>
    </row>
    <row r="8" spans="1:122" x14ac:dyDescent="0.15">
      <c r="A8">
        <f>参数!$B$2</f>
        <v>2025</v>
      </c>
      <c r="B8">
        <f>参数!$B$3</f>
        <v>12</v>
      </c>
      <c r="D8" t="s">
        <v>147</v>
      </c>
      <c r="E8" t="s">
        <v>123</v>
      </c>
      <c r="F8" t="str">
        <f>IFERROR(VLOOKUP(K8,源_7银行卡表_Sheet1!$A:$J,6,FALSE),"")</f>
        <v>华北营运</v>
      </c>
      <c r="G8" t="s">
        <v>148</v>
      </c>
      <c r="H8" t="s">
        <v>161</v>
      </c>
      <c r="I8" t="s">
        <v>150</v>
      </c>
      <c r="J8">
        <v>1</v>
      </c>
      <c r="K8">
        <v>26123007</v>
      </c>
      <c r="L8" t="s">
        <v>162</v>
      </c>
      <c r="M8" t="s">
        <v>140</v>
      </c>
      <c r="N8" t="s">
        <v>163</v>
      </c>
      <c r="P8" t="s">
        <v>131</v>
      </c>
      <c r="Q8">
        <f>IF(P8="门店全职",IFERROR(VLOOKUP(K8,源_3考勤报表_考勤表!$F:$BG,34,FALSE),0)+IFERROR(VLOOKUP(K8,源_8补工时表_补当月工时!$A:$AC,14,FALSE),0),IF(P8="门店管理组",IF(IFERROR(VLOOKUP(K8,源_3考勤报表_考勤表!$F:$BG,34,FALSE),0)+IFERROR(VLOOKUP(K8,源_8补工时表_补当月工时!$A:$AC,14,FALSE),0)+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44,FALSE),0)+IFERROR(VLOOKUP(K8,源_8补工时表_补当月工时!$A:$AC,16,FALSE),0)+IFERROR(VLOOKUP(K8,源_3考勤报表_考勤表!$F:$BG,45,FALSE),0)&gt;=参数!$B$4,参数!$B$4-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44,FALSE),0)-IFERROR(VLOOKUP(K8,源_8补工时表_补当月工时!$A:$AC,16,FALSE),0)-IFERROR(VLOOKUP(K8,源_3考勤报表_考勤表!$F:$BG,45,FALSE),0),IFERROR(VLOOKUP(K8,源_3考勤报表_考勤表!$F:$BG,34,FALSE),0)+IFERROR(VLOOKUP(K8,源_8补工时表_补当月工时!$A:$AC,14,FALSE),0)),0))</f>
        <v>184</v>
      </c>
      <c r="R8">
        <v>5600</v>
      </c>
      <c r="S8">
        <v>0</v>
      </c>
      <c r="T8">
        <f>IF(P8="门店全职",R8/参数!$B$4*(Q8-MAX(IFERROR(VLOOKUP(K8,源_3考勤报表_考勤表!$F:$BG,34,FALSE),0)+IFERROR(VLOOKUP(K8,源_8补工时表_补当月工时!$A:$AC,14,FALSE),0)+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参数!$B$4,0)),R8/参数!$B$4*Q8)</f>
        <v>5600</v>
      </c>
      <c r="U8">
        <v>0</v>
      </c>
      <c r="V8">
        <v>0</v>
      </c>
      <c r="W8">
        <f t="shared" si="0"/>
        <v>11.5</v>
      </c>
      <c r="X8">
        <f>IFERROR(VLOOKUP(K8,源_4奖金汇总表_拆分手工算!$A:$N,8,FALSE),0)</f>
        <v>11.5</v>
      </c>
      <c r="Y8">
        <f>IFERROR(VLOOKUP(K8,源_5薪资备忘录_工资调整项!$A:$AC,14,FALSE),0)</f>
        <v>0</v>
      </c>
      <c r="Z8">
        <f>IFERROR(VLOOKUP(K8,源_5薪资备忘录_工资调整项!$A:$AC,16,FALSE),0)</f>
        <v>0</v>
      </c>
      <c r="AA8">
        <f>IFERROR(VLOOKUP(K8,源_5薪资备忘录_工资调整项!$A:$AC,15,FALSE),0)</f>
        <v>0</v>
      </c>
      <c r="AB8">
        <f t="shared" si="1"/>
        <v>0</v>
      </c>
      <c r="AC8">
        <f>IF(P8="门店全职",R8/174*MAX(IFERROR(VLOOKUP(K8,源_3考勤报表_考勤表!$F:$BG,34,FALSE),0)+IFERROR(VLOOKUP(K8,源_8补工时表_补当月工时!$A:$AC,14,FALSE),0)+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参数!$B$4,0)*1.5,0)</f>
        <v>0</v>
      </c>
      <c r="AD8">
        <v>0</v>
      </c>
      <c r="AE8">
        <f>IFERROR(VLOOKUP(K8,源_3考勤报表_考勤表!$F:$BG,46,FALSE),0)+IFERROR(VLOOKUP(K8,源_8补工时表_补当月工时!$A:$AC,25,FALSE),0)</f>
        <v>0</v>
      </c>
      <c r="AF8">
        <f t="shared" si="2"/>
        <v>0</v>
      </c>
      <c r="AG8">
        <f>IFERROR(VLOOKUP(K8,源_4奖金汇总表_拆分手工算!$A:$N,10,FALSE),0)</f>
        <v>0</v>
      </c>
      <c r="AH8">
        <f>IFERROR(VLOOKUP(K8,源_4奖金汇总表_拆分手工算!$A:$N,5,FALSE),0)</f>
        <v>0</v>
      </c>
      <c r="AI8">
        <f>IFERROR(VLOOKUP(K8,源_4奖金汇总表_拆分手工算!$A:$N,11,FALSE),0)</f>
        <v>0</v>
      </c>
      <c r="AJ8">
        <f>IFERROR(VLOOKUP(K8,源_4奖金汇总表_拆分手工算!$A:$N,4,FALSE),0)</f>
        <v>0</v>
      </c>
      <c r="AK8">
        <f>IFERROR(VLOOKUP(K8,源_4奖金汇总表_拆分手工算!$A:$N,3,FALSE),0)</f>
        <v>6000</v>
      </c>
      <c r="AL8">
        <f>IFERROR(VLOOKUP(K8,源_4奖金汇总表_拆分手工算!$A:$N,6,FALSE),0)</f>
        <v>100</v>
      </c>
      <c r="AM8">
        <f>IFERROR(VLOOKUP(K8,源_5薪资备忘录_工资调整项!$A:$AC,18,FALSE),0)+IFERROR(VLOOKUP(K8,源_4奖金汇总表_拆分手工算!$A:$N,7,FALSE),0)</f>
        <v>800</v>
      </c>
      <c r="AN8">
        <f>IFERROR(VLOOKUP(K8,源_5薪资备忘录_工资调整项!$A:$AC,17,FALSE),0)</f>
        <v>0</v>
      </c>
      <c r="AO8">
        <f>IF(OR(IFERROR(VLOOKUP(K8,源_3考勤报表_考勤表!$F:$BG,39,FALSE),0)+IFERROR(VLOOKUP(K8,源_8补工时表_补当月工时!$A:$AC,24,FALSE),0)&gt;0,IFERROR(VLOOKUP(K8,源_3考勤报表_考勤表!$F:$BG,43,FALSE),0)+IFERROR(VLOOKUP(K8,源_8补工时表_补当月工时!$A:$AC,26,FALSE),0)&gt;0),IF(IFERROR(VLOOKUP(DH8,源_11产假政策_Sheet1!$C:$F,4,FALSE),"")="是",R8/参数!$B$4*(IFERROR(VLOOKUP(K8,源_3考勤报表_考勤表!$F:$BG,39,FALSE),0)+IFERROR(VLOOKUP(K8,源_8补工时表_补当月工时!$A:$AC,24,FALSE),0)+IFERROR(VLOOKUP(K8,源_3考勤报表_考勤表!$F:$BG,43,FALSE),0)+IFERROR(VLOOKUP(K8,源_8补工时表_补当月工时!$A:$AC,26,FALSE),0)),IFERROR(VLOOKUP(K8,源_5薪资备忘录_工资调整项!$A:$AC,19,FALSE),0)),0)</f>
        <v>0</v>
      </c>
      <c r="AP8">
        <v>0</v>
      </c>
      <c r="AQ8">
        <f>IFERROR(VLOOKUP(K8,源_4奖金汇总表_拆分手工算!$A:$N,12,FALSE),0)+IFERROR(VLOOKUP(K8,源_9年终奖表_Sheet1!$A:$E,3,FALSE),0)</f>
        <v>1200</v>
      </c>
      <c r="AR8">
        <f>IFERROR(VLOOKUP(K8,源_4奖金汇总表_拆分手工算!$A:$N,13,FALSE),0)+IFERROR(VLOOKUP(K8,源_9年终奖表_Sheet1!$A:$E,4,FALSE),0)</f>
        <v>600</v>
      </c>
      <c r="AS8">
        <f>IFERROR(VLOOKUP(K8,源_4奖金汇总表_拆分手工算!$A:$N,14,FALSE),0)+IFERROR(VLOOKUP(K8,源_9年终奖表_Sheet1!$A:$E,5,FALSE),0)</f>
        <v>111</v>
      </c>
      <c r="AT8">
        <f>IFERROR(VLOOKUP(K8,源_5薪资备忘录_工资调整项!$A:$AC,20,FALSE),0)</f>
        <v>0</v>
      </c>
      <c r="AU8">
        <f>IFERROR(VLOOKUP(K8,源_5薪资备忘录_工资调整项!$A:$AC,21,FALSE),0)+IFERROR(VLOOKUP(K8,源_4奖金汇总表_拆分手工算!$A:$N,9,FALSE),0)</f>
        <v>0</v>
      </c>
      <c r="AV8">
        <f>R8/参数!$B$4*(IFERROR(VLOOKUP(K8,源_3考勤报表_考勤表!$F:$BG,37,FALSE),0)+IFERROR(VLOOKUP(K8,源_8补工时表_补当月工时!$A:$AC,15,FALSE),0))</f>
        <v>0</v>
      </c>
      <c r="AW8">
        <f>R8/174*MIN(IFERROR(VLOOKUP(K8,源_3考勤报表_考勤表!$F:$BG,35,FALSE),0),174)*IF(DATEDIF(N8,DATE(参数!$B$2,参数!$B$3+1,0),"Y")&lt;2,0.6,IF(DATEDIF(N8,DATE(参数!$B$2,参数!$B$3+1,0),"Y")&lt;4,0.7,IF(DATEDIF(N8,DATE(参数!$B$2,参数!$B$3+1,0),"Y")&lt;6,0.8,IF(DATEDIF(N8,DATE(参数!$B$2,参数!$B$3+1,0),"Y")&lt;8,0.9,1))))</f>
        <v>0</v>
      </c>
      <c r="AX8">
        <f>IF(Q8+IFERROR(VLOOKUP(K8,源_3考勤报表_考勤表!$F:$BG,37,FALSE),0)+IFERROR(VLOOKUP(K8,源_8补工时表_补当月工时!$A:$AC,15,FALSE),0)&gt;=参数!$B$4,0,IF(Q8+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lt;=参数!$B$4,R8/参数!$B$4*(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0))</f>
        <v>0</v>
      </c>
      <c r="AY8">
        <v>0</v>
      </c>
      <c r="AZ8">
        <v>0</v>
      </c>
      <c r="BA8">
        <v>0</v>
      </c>
      <c r="BB8">
        <v>0</v>
      </c>
      <c r="BC8">
        <f>IFERROR(VLOOKUP(K8,源_5薪资备忘录_工资调整项!$A:$AC,25,FALSE),0)</f>
        <v>0</v>
      </c>
      <c r="BD8">
        <v>0</v>
      </c>
      <c r="BE8">
        <f>(T8+W8+AB8+AG8+AH8+AI8+AJ8+AK8+AL8+AM8+AN8+AO8+AP8+AU8+AV8+AW8+AX8+BC8-IFERROR(VLOOKUP(DF8,源_6社保表_Sheet1!$C:$BZ,76,FALSE),0))*0.02</f>
        <v>230.39380000000003</v>
      </c>
      <c r="BF8">
        <v>0</v>
      </c>
      <c r="BG8">
        <f>IFERROR(VLOOKUP(K8,源_5薪资备忘录_工资调整项!$A:$AC,22,FALSE),0)+IFERROR(VLOOKUP(K8,源_5薪资备忘录_工资调整项!$A:$AC,23,FALSE),0)+IFERROR(VLOOKUP(K8,源_5薪资备忘录_工资调整项!$A:$AC,24,FALSE),0)</f>
        <v>0</v>
      </c>
      <c r="BH8">
        <f>IFERROR(VLOOKUP(DF8,源_6社保表_Sheet1!$C:$CD,80,FALSE),0)+4.5</f>
        <v>6.5</v>
      </c>
      <c r="BI8">
        <f t="shared" si="3"/>
        <v>14422.5</v>
      </c>
      <c r="BJ8">
        <f>IFERROR(VLOOKUP(DF8,源_6社保表_Sheet1!$C:$BZ,26,FALSE),0)</f>
        <v>501.34</v>
      </c>
      <c r="BK8">
        <f>IFERROR(VLOOKUP(DF8,源_6社保表_Sheet1!$C:$BZ,27,FALSE),0)</f>
        <v>71.62</v>
      </c>
      <c r="BL8">
        <f>IFERROR(VLOOKUP(DF8,源_6社保表_Sheet1!$C:$BZ,28,FALSE),0)</f>
        <v>35.81</v>
      </c>
      <c r="BM8">
        <f>IFERROR(VLOOKUP(DF8,源_6社保表_Sheet1!$C:$BZ,30,FALSE),0)</f>
        <v>383.04</v>
      </c>
      <c r="BN8">
        <f>IFERROR(VLOOKUP(DF8,源_6社保表_Sheet1!$C:$BZ,29,FALSE),0)</f>
        <v>0</v>
      </c>
      <c r="BO8">
        <f>IFERROR(VLOOKUP(DF8,源_6社保表_Sheet1!$C:$BZ,40,FALSE),0)</f>
        <v>0</v>
      </c>
      <c r="BP8">
        <f>IFERROR(VLOOKUP(DF8,源_6社保表_Sheet1!$C:$BZ,41,FALSE),0)</f>
        <v>0</v>
      </c>
      <c r="BQ8">
        <f>IFERROR(VLOOKUP(DF8,源_6社保表_Sheet1!$C:$BZ,42,FALSE),0)</f>
        <v>0</v>
      </c>
      <c r="BR8">
        <f>IFERROR(VLOOKUP(DF8,源_6社保表_Sheet1!$C:$BZ,44,FALSE),0)</f>
        <v>0</v>
      </c>
      <c r="BS8">
        <f>IFERROR(VLOOKUP(DF8,源_6社保表_Sheet1!$C:$BZ,43,FALSE),0)</f>
        <v>0</v>
      </c>
      <c r="BT8">
        <f t="shared" si="4"/>
        <v>991.81</v>
      </c>
      <c r="BU8">
        <v>0</v>
      </c>
      <c r="BV8">
        <v>0</v>
      </c>
      <c r="BW8">
        <v>0</v>
      </c>
      <c r="BX8">
        <f t="shared" si="5"/>
        <v>0</v>
      </c>
      <c r="BY8">
        <v>0</v>
      </c>
      <c r="BZ8">
        <f>IFERROR(VLOOKUP(DF8,源_6社保表_Sheet1!$C:$BZ,18,FALSE),0)</f>
        <v>1074.3</v>
      </c>
      <c r="CA8">
        <f>IFERROR(VLOOKUP(DF8,源_6社保表_Sheet1!$C:$BZ,19,FALSE),0)</f>
        <v>572.96</v>
      </c>
      <c r="CB8">
        <f>IFERROR(VLOOKUP(DF8,源_6社保表_Sheet1!$C:$BZ,24,FALSE),0)</f>
        <v>383.04</v>
      </c>
      <c r="CC8">
        <f>IFERROR(VLOOKUP(DF8,源_6社保表_Sheet1!$C:$BZ,20,FALSE),0)</f>
        <v>35.81</v>
      </c>
      <c r="CD8">
        <f>IFERROR(VLOOKUP(DF8,源_6社保表_Sheet1!$C:$BZ,21,FALSE),0)</f>
        <v>22.918399999999998</v>
      </c>
      <c r="CE8">
        <f>IFERROR(VLOOKUP(DF8,源_6社保表_Sheet1!$C:$BZ,22,FALSE),0)</f>
        <v>0</v>
      </c>
      <c r="CF8">
        <f>IFERROR(VLOOKUP(DF8,源_6社保表_Sheet1!$C:$BZ,23,FALSE),0)</f>
        <v>0</v>
      </c>
      <c r="CG8">
        <f>IFERROR(VLOOKUP(DF8,源_6社保表_Sheet1!$C:$BZ,32,FALSE),0)</f>
        <v>0</v>
      </c>
      <c r="CH8">
        <f>IFERROR(VLOOKUP(DF8,源_6社保表_Sheet1!$C:$BZ,33,FALSE),0)</f>
        <v>0</v>
      </c>
      <c r="CI8">
        <f>IFERROR(VLOOKUP(DF8,源_6社保表_Sheet1!$C:$BZ,34,FALSE),0)</f>
        <v>0</v>
      </c>
      <c r="CJ8">
        <f>IFERROR(VLOOKUP(DF8,源_6社保表_Sheet1!$C:$BZ,38,FALSE),0)</f>
        <v>0</v>
      </c>
      <c r="CK8">
        <f>IFERROR(VLOOKUP(DF8,源_6社保表_Sheet1!$C:$BZ,35,FALSE),0)</f>
        <v>0</v>
      </c>
      <c r="CL8">
        <f>IFERROR(VLOOKUP(DF8,源_6社保表_Sheet1!$C:$BZ,36,FALSE),0)</f>
        <v>0</v>
      </c>
      <c r="CM8">
        <f>IFERROR(VLOOKUP(DF8,源_6社保表_Sheet1!$C:$BZ,37,FALSE),0)</f>
        <v>0</v>
      </c>
      <c r="CN8">
        <f t="shared" si="6"/>
        <v>2089.0284000000001</v>
      </c>
      <c r="CO8">
        <f t="shared" si="7"/>
        <v>16748.422200000001</v>
      </c>
      <c r="CP8">
        <f>IF(IFERROR(VLOOKUP(K8,源_13残疾人信息_残疾人信息!$A:$M,1,FALSE),"")&lt;&gt;"",0,IF(OR(P8="门店全职",P8="门店管理组",P8="全职(非门店)"),(BI8-AT8)*IFERROR(VLOOKUP(D8,源_12计提残保金规则_Sheet1!$A:$E,4,FALSE),0)*IFERROR(VLOOKUP(D8,源_12计提残保金规则_Sheet1!$A:$E,5,FALSE),0),0))</f>
        <v>194.70375000000001</v>
      </c>
      <c r="CQ8">
        <f t="shared" si="8"/>
        <v>16.05</v>
      </c>
      <c r="CR8">
        <f t="shared" si="9"/>
        <v>20.67</v>
      </c>
      <c r="CS8">
        <f>IF(DATEVALUE(N8)&gt;DATE(参数!$B$2,9,30),0,IF(M8="行政",0,IF(O8="",R8/12,IF(MONTH(DATEVALUE(O8))=参数!$B$3,0,IF(DATEVALUE(O8)&lt;DATE(参数!$B$2,参数!$B$3,1),0,R8/12)))))</f>
        <v>466.66666666666669</v>
      </c>
      <c r="CT8">
        <f t="shared" si="10"/>
        <v>571.19999999999993</v>
      </c>
      <c r="CU8">
        <f>IFERROR(VLOOKUP(DF8,源_6社保表_Sheet1!$C:$I,2,FALSE),0)</f>
        <v>7162</v>
      </c>
      <c r="CV8">
        <f>IFERROR(VLOOKUP(DF8,源_6社保表_Sheet1!$C:$I,7,FALSE),0)</f>
        <v>6384</v>
      </c>
      <c r="CW8">
        <f>IFERROR(VLOOKUP(DF8,源_6社保表_Sheet1!$C:$I,3,FALSE),0)</f>
        <v>7162</v>
      </c>
      <c r="CX8">
        <f>IFERROR(VLOOKUP(DF8,源_6社保表_Sheet1!$C:$I,4,FALSE),0)</f>
        <v>7162</v>
      </c>
      <c r="CY8">
        <f>IFERROR(VLOOKUP(DF8,源_6社保表_Sheet1!$C:$I,5,FALSE),0)</f>
        <v>7162</v>
      </c>
      <c r="CZ8">
        <f>IFERROR(VLOOKUP(DF8,源_6社保表_Sheet1!$C:$I,6,FALSE),0)</f>
        <v>0</v>
      </c>
      <c r="DA8">
        <f t="shared" si="11"/>
        <v>7700.5283999999992</v>
      </c>
      <c r="DB8">
        <f t="shared" si="12"/>
        <v>8976.318816666666</v>
      </c>
      <c r="DC8" t="str">
        <f>IFERROR(VLOOKUP(K8,源_7银行卡表_Sheet1!$A:$J,8,FALSE),"")</f>
        <v>农业银行</v>
      </c>
      <c r="DD8" t="str">
        <f>IFERROR(VLOOKUP(K8,源_7银行卡表_Sheet1!$A:$J,9,FALSE),"")</f>
        <v>6684663836620784469</v>
      </c>
      <c r="DE8" t="str">
        <f>IFERROR(VLOOKUP(K8,源_7银行卡表_Sheet1!$A:$J,10,FALSE),"")</f>
        <v>中国农业银行太原西中环路支行</v>
      </c>
      <c r="DF8" t="s">
        <v>164</v>
      </c>
      <c r="DG8">
        <v>18306627579</v>
      </c>
      <c r="DH8" t="s">
        <v>148</v>
      </c>
      <c r="DI8">
        <v>0</v>
      </c>
      <c r="DJ8">
        <v>0</v>
      </c>
      <c r="DK8">
        <v>0</v>
      </c>
      <c r="DL8">
        <v>0</v>
      </c>
      <c r="DM8">
        <v>0</v>
      </c>
      <c r="DN8">
        <v>0</v>
      </c>
      <c r="DO8">
        <v>0</v>
      </c>
      <c r="DP8">
        <v>0</v>
      </c>
      <c r="DQ8">
        <v>0</v>
      </c>
      <c r="DR8">
        <f>IF(OR(IFERROR(VLOOKUP(K8,源_3考勤报表_考勤表!$F:$BG,39,FALSE),0)+IFERROR(VLOOKUP(K8,源_8补工时表_补当月工时!$A:$AC,24,FALSE),0)=0,IFERROR(VLOOKUP(K8,源_3考勤报表_考勤表!$F:$BG,43,FALSE),0)+IFERROR(VLOOKUP(K8,源_8补工时表_补当月工时!$A:$AC,26,FALSE),0)=0),IF(BI8+BG8-BT8&lt;0,BI8+BG8-BT8,0),0)</f>
        <v>0</v>
      </c>
    </row>
    <row r="9" spans="1:122" x14ac:dyDescent="0.15">
      <c r="A9">
        <f>参数!$B$2</f>
        <v>2025</v>
      </c>
      <c r="B9">
        <f>参数!$B$3</f>
        <v>12</v>
      </c>
      <c r="D9" t="s">
        <v>165</v>
      </c>
      <c r="E9" t="s">
        <v>123</v>
      </c>
      <c r="F9" t="str">
        <f>IFERROR(VLOOKUP(K9,源_7银行卡表_Sheet1!$A:$J,6,FALSE),"")</f>
        <v>华北营运</v>
      </c>
      <c r="G9" t="s">
        <v>166</v>
      </c>
      <c r="H9" t="s">
        <v>167</v>
      </c>
      <c r="I9" t="s">
        <v>168</v>
      </c>
      <c r="J9">
        <v>1</v>
      </c>
      <c r="K9">
        <v>26123008</v>
      </c>
      <c r="L9" t="s">
        <v>169</v>
      </c>
      <c r="M9" t="s">
        <v>170</v>
      </c>
      <c r="N9" t="s">
        <v>171</v>
      </c>
      <c r="P9" t="s">
        <v>154</v>
      </c>
      <c r="Q9">
        <f>IF(P9="门店全职",IFERROR(VLOOKUP(K9,源_3考勤报表_考勤表!$F:$BG,34,FALSE),0)+IFERROR(VLOOKUP(K9,源_8补工时表_补当月工时!$A:$AC,14,FALSE),0),IF(P9="门店管理组",IF(IFERROR(VLOOKUP(K9,源_3考勤报表_考勤表!$F:$BG,34,FALSE),0)+IFERROR(VLOOKUP(K9,源_8补工时表_补当月工时!$A:$AC,14,FALSE),0)+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44,FALSE),0)+IFERROR(VLOOKUP(K9,源_8补工时表_补当月工时!$A:$AC,16,FALSE),0)+IFERROR(VLOOKUP(K9,源_3考勤报表_考勤表!$F:$BG,45,FALSE),0)&gt;=参数!$B$4,参数!$B$4-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44,FALSE),0)-IFERROR(VLOOKUP(K9,源_8补工时表_补当月工时!$A:$AC,16,FALSE),0)-IFERROR(VLOOKUP(K9,源_3考勤报表_考勤表!$F:$BG,45,FALSE),0),IFERROR(VLOOKUP(K9,源_3考勤报表_考勤表!$F:$BG,34,FALSE),0)+IFERROR(VLOOKUP(K9,源_8补工时表_补当月工时!$A:$AC,14,FALSE),0)),0))</f>
        <v>184</v>
      </c>
      <c r="R9">
        <v>3130</v>
      </c>
      <c r="S9">
        <v>0</v>
      </c>
      <c r="T9">
        <f>IF(P9="门店全职",R9/参数!$B$4*(Q9-MAX(IFERROR(VLOOKUP(K9,源_3考勤报表_考勤表!$F:$BG,34,FALSE),0)+IFERROR(VLOOKUP(K9,源_8补工时表_补当月工时!$A:$AC,14,FALSE),0)+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参数!$B$4,0)),R9/参数!$B$4*Q9)</f>
        <v>3130</v>
      </c>
      <c r="U9">
        <v>0</v>
      </c>
      <c r="V9">
        <v>0</v>
      </c>
      <c r="W9">
        <f t="shared" si="0"/>
        <v>0</v>
      </c>
      <c r="X9">
        <f>IFERROR(VLOOKUP(K9,源_4奖金汇总表_拆分手工算!$A:$N,8,FALSE),0)</f>
        <v>0</v>
      </c>
      <c r="Y9">
        <f>IFERROR(VLOOKUP(K9,源_5薪资备忘录_工资调整项!$A:$AC,14,FALSE),0)</f>
        <v>0</v>
      </c>
      <c r="Z9">
        <f>IFERROR(VLOOKUP(K9,源_5薪资备忘录_工资调整项!$A:$AC,16,FALSE),0)</f>
        <v>0</v>
      </c>
      <c r="AA9">
        <f>IFERROR(VLOOKUP(K9,源_5薪资备忘录_工资调整项!$A:$AC,15,FALSE),0)</f>
        <v>0</v>
      </c>
      <c r="AB9">
        <f t="shared" si="1"/>
        <v>0</v>
      </c>
      <c r="AC9">
        <f>IF(P9="门店全职",R9/174*MAX(IFERROR(VLOOKUP(K9,源_3考勤报表_考勤表!$F:$BG,34,FALSE),0)+IFERROR(VLOOKUP(K9,源_8补工时表_补当月工时!$A:$AC,14,FALSE),0)+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参数!$B$4,0)*1.5,0)</f>
        <v>0</v>
      </c>
      <c r="AD9">
        <v>0</v>
      </c>
      <c r="AE9">
        <f>IFERROR(VLOOKUP(K9,源_3考勤报表_考勤表!$F:$BG,46,FALSE),0)+IFERROR(VLOOKUP(K9,源_8补工时表_补当月工时!$A:$AC,25,FALSE),0)</f>
        <v>0</v>
      </c>
      <c r="AF9">
        <f t="shared" si="2"/>
        <v>0</v>
      </c>
      <c r="AG9">
        <f>IFERROR(VLOOKUP(K9,源_4奖金汇总表_拆分手工算!$A:$N,10,FALSE),0)</f>
        <v>96</v>
      </c>
      <c r="AH9">
        <f>IFERROR(VLOOKUP(K9,源_4奖金汇总表_拆分手工算!$A:$N,5,FALSE),0)</f>
        <v>0</v>
      </c>
      <c r="AI9">
        <f>IFERROR(VLOOKUP(K9,源_4奖金汇总表_拆分手工算!$A:$N,11,FALSE),0)</f>
        <v>0</v>
      </c>
      <c r="AJ9">
        <f>IFERROR(VLOOKUP(K9,源_4奖金汇总表_拆分手工算!$A:$N,4,FALSE),0)</f>
        <v>0</v>
      </c>
      <c r="AK9">
        <f>IFERROR(VLOOKUP(K9,源_4奖金汇总表_拆分手工算!$A:$N,3,FALSE),0)</f>
        <v>0</v>
      </c>
      <c r="AL9">
        <f>IFERROR(VLOOKUP(K9,源_4奖金汇总表_拆分手工算!$A:$N,6,FALSE),0)</f>
        <v>0</v>
      </c>
      <c r="AM9">
        <f>IFERROR(VLOOKUP(K9,源_5薪资备忘录_工资调整项!$A:$AC,18,FALSE),0)+IFERROR(VLOOKUP(K9,源_4奖金汇总表_拆分手工算!$A:$N,7,FALSE),0)</f>
        <v>0</v>
      </c>
      <c r="AN9">
        <f>IFERROR(VLOOKUP(K9,源_5薪资备忘录_工资调整项!$A:$AC,17,FALSE),0)</f>
        <v>0</v>
      </c>
      <c r="AO9">
        <f>IF(OR(IFERROR(VLOOKUP(K9,源_3考勤报表_考勤表!$F:$BG,39,FALSE),0)+IFERROR(VLOOKUP(K9,源_8补工时表_补当月工时!$A:$AC,24,FALSE),0)&gt;0,IFERROR(VLOOKUP(K9,源_3考勤报表_考勤表!$F:$BG,43,FALSE),0)+IFERROR(VLOOKUP(K9,源_8补工时表_补当月工时!$A:$AC,26,FALSE),0)&gt;0),IF(IFERROR(VLOOKUP(DH9,源_11产假政策_Sheet1!$C:$F,4,FALSE),"")="是",R9/参数!$B$4*(IFERROR(VLOOKUP(K9,源_3考勤报表_考勤表!$F:$BG,39,FALSE),0)+IFERROR(VLOOKUP(K9,源_8补工时表_补当月工时!$A:$AC,24,FALSE),0)+IFERROR(VLOOKUP(K9,源_3考勤报表_考勤表!$F:$BG,43,FALSE),0)+IFERROR(VLOOKUP(K9,源_8补工时表_补当月工时!$A:$AC,26,FALSE),0)),IFERROR(VLOOKUP(K9,源_5薪资备忘录_工资调整项!$A:$AC,19,FALSE),0)),0)</f>
        <v>0</v>
      </c>
      <c r="AP9">
        <v>0</v>
      </c>
      <c r="AQ9">
        <f>IFERROR(VLOOKUP(K9,源_4奖金汇总表_拆分手工算!$A:$N,12,FALSE),0)+IFERROR(VLOOKUP(K9,源_9年终奖表_Sheet1!$A:$E,3,FALSE),0)</f>
        <v>0</v>
      </c>
      <c r="AR9">
        <f>IFERROR(VLOOKUP(K9,源_4奖金汇总表_拆分手工算!$A:$N,13,FALSE),0)+IFERROR(VLOOKUP(K9,源_9年终奖表_Sheet1!$A:$E,4,FALSE),0)</f>
        <v>0</v>
      </c>
      <c r="AS9">
        <f>IFERROR(VLOOKUP(K9,源_4奖金汇总表_拆分手工算!$A:$N,14,FALSE),0)+IFERROR(VLOOKUP(K9,源_9年终奖表_Sheet1!$A:$E,5,FALSE),0)</f>
        <v>0</v>
      </c>
      <c r="AT9">
        <f>IFERROR(VLOOKUP(K9,源_5薪资备忘录_工资调整项!$A:$AC,20,FALSE),0)</f>
        <v>0</v>
      </c>
      <c r="AU9">
        <f>IFERROR(VLOOKUP(K9,源_5薪资备忘录_工资调整项!$A:$AC,21,FALSE),0)+IFERROR(VLOOKUP(K9,源_4奖金汇总表_拆分手工算!$A:$N,9,FALSE),0)</f>
        <v>0</v>
      </c>
      <c r="AV9">
        <f>R9/参数!$B$4*(IFERROR(VLOOKUP(K9,源_3考勤报表_考勤表!$F:$BG,37,FALSE),0)+IFERROR(VLOOKUP(K9,源_8补工时表_补当月工时!$A:$AC,15,FALSE),0))</f>
        <v>0</v>
      </c>
      <c r="AW9">
        <f>R9/174*MIN(IFERROR(VLOOKUP(K9,源_3考勤报表_考勤表!$F:$BG,35,FALSE),0),174)*IF(DATEDIF(N9,DATE(参数!$B$2,参数!$B$3+1,0),"Y")&lt;2,0.6,IF(DATEDIF(N9,DATE(参数!$B$2,参数!$B$3+1,0),"Y")&lt;4,0.7,IF(DATEDIF(N9,DATE(参数!$B$2,参数!$B$3+1,0),"Y")&lt;6,0.8,IF(DATEDIF(N9,DATE(参数!$B$2,参数!$B$3+1,0),"Y")&lt;8,0.9,1))))</f>
        <v>0</v>
      </c>
      <c r="AX9">
        <f>IF(Q9+IFERROR(VLOOKUP(K9,源_3考勤报表_考勤表!$F:$BG,37,FALSE),0)+IFERROR(VLOOKUP(K9,源_8补工时表_补当月工时!$A:$AC,15,FALSE),0)&gt;=参数!$B$4,0,IF(Q9+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lt;=参数!$B$4,R9/参数!$B$4*(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0))</f>
        <v>0</v>
      </c>
      <c r="AY9">
        <v>0</v>
      </c>
      <c r="AZ9">
        <v>0</v>
      </c>
      <c r="BA9">
        <v>0</v>
      </c>
      <c r="BB9">
        <v>0</v>
      </c>
      <c r="BC9">
        <f>IFERROR(VLOOKUP(K9,源_5薪资备忘录_工资调整项!$A:$AC,25,FALSE),0)</f>
        <v>0</v>
      </c>
      <c r="BD9">
        <v>0</v>
      </c>
      <c r="BE9">
        <v>0</v>
      </c>
      <c r="BF9">
        <v>0</v>
      </c>
      <c r="BG9">
        <f>IFERROR(VLOOKUP(K9,源_5薪资备忘录_工资调整项!$A:$AC,22,FALSE),0)+IFERROR(VLOOKUP(K9,源_5薪资备忘录_工资调整项!$A:$AC,23,FALSE),0)+IFERROR(VLOOKUP(K9,源_5薪资备忘录_工资调整项!$A:$AC,24,FALSE),0)</f>
        <v>0</v>
      </c>
      <c r="BH9">
        <f>IFERROR(VLOOKUP(DF9,源_6社保表_Sheet1!$C:$CD,80,FALSE),0)+4.5</f>
        <v>6.5</v>
      </c>
      <c r="BI9">
        <f t="shared" si="3"/>
        <v>3226</v>
      </c>
      <c r="BJ9">
        <f>IFERROR(VLOOKUP(DF9,源_6社保表_Sheet1!$C:$BZ,26,FALSE),0)</f>
        <v>358.68</v>
      </c>
      <c r="BK9">
        <f>IFERROR(VLOOKUP(DF9,源_6社保表_Sheet1!$C:$BZ,27,FALSE),0)</f>
        <v>51.24</v>
      </c>
      <c r="BL9">
        <f>IFERROR(VLOOKUP(DF9,源_6社保表_Sheet1!$C:$BZ,28,FALSE),0)</f>
        <v>25.62</v>
      </c>
      <c r="BM9">
        <f>IFERROR(VLOOKUP(DF9,源_6社保表_Sheet1!$C:$BZ,30,FALSE),0)</f>
        <v>252.9</v>
      </c>
      <c r="BN9">
        <f>IFERROR(VLOOKUP(DF9,源_6社保表_Sheet1!$C:$BZ,29,FALSE),0)</f>
        <v>0</v>
      </c>
      <c r="BO9">
        <f>IFERROR(VLOOKUP(DF9,源_6社保表_Sheet1!$C:$BZ,40,FALSE),0)</f>
        <v>0</v>
      </c>
      <c r="BP9">
        <f>IFERROR(VLOOKUP(DF9,源_6社保表_Sheet1!$C:$BZ,41,FALSE),0)</f>
        <v>0</v>
      </c>
      <c r="BQ9">
        <f>IFERROR(VLOOKUP(DF9,源_6社保表_Sheet1!$C:$BZ,42,FALSE),0)</f>
        <v>0</v>
      </c>
      <c r="BR9">
        <f>IFERROR(VLOOKUP(DF9,源_6社保表_Sheet1!$C:$BZ,44,FALSE),0)</f>
        <v>0</v>
      </c>
      <c r="BS9">
        <f>IFERROR(VLOOKUP(DF9,源_6社保表_Sheet1!$C:$BZ,43,FALSE),0)</f>
        <v>0</v>
      </c>
      <c r="BT9">
        <f t="shared" si="4"/>
        <v>688.44</v>
      </c>
      <c r="BU9">
        <v>0</v>
      </c>
      <c r="BV9">
        <v>0</v>
      </c>
      <c r="BW9">
        <v>0</v>
      </c>
      <c r="BX9">
        <f t="shared" si="5"/>
        <v>0</v>
      </c>
      <c r="BY9">
        <v>0</v>
      </c>
      <c r="BZ9">
        <f>IFERROR(VLOOKUP(DF9,源_6社保表_Sheet1!$C:$BZ,18,FALSE),0)</f>
        <v>768.6</v>
      </c>
      <c r="CA9">
        <f>IFERROR(VLOOKUP(DF9,源_6社保表_Sheet1!$C:$BZ,19,FALSE),0)</f>
        <v>409.92</v>
      </c>
      <c r="CB9">
        <f>IFERROR(VLOOKUP(DF9,源_6社保表_Sheet1!$C:$BZ,24,FALSE),0)</f>
        <v>252.9</v>
      </c>
      <c r="CC9">
        <f>IFERROR(VLOOKUP(DF9,源_6社保表_Sheet1!$C:$BZ,20,FALSE),0)</f>
        <v>25.62</v>
      </c>
      <c r="CD9">
        <f>IFERROR(VLOOKUP(DF9,源_6社保表_Sheet1!$C:$BZ,21,FALSE),0)</f>
        <v>16.396799999999999</v>
      </c>
      <c r="CE9">
        <f>IFERROR(VLOOKUP(DF9,源_6社保表_Sheet1!$C:$BZ,22,FALSE),0)</f>
        <v>0</v>
      </c>
      <c r="CF9">
        <f>IFERROR(VLOOKUP(DF9,源_6社保表_Sheet1!$C:$BZ,23,FALSE),0)</f>
        <v>0</v>
      </c>
      <c r="CG9">
        <f>IFERROR(VLOOKUP(DF9,源_6社保表_Sheet1!$C:$BZ,32,FALSE),0)</f>
        <v>0</v>
      </c>
      <c r="CH9">
        <f>IFERROR(VLOOKUP(DF9,源_6社保表_Sheet1!$C:$BZ,33,FALSE),0)</f>
        <v>0</v>
      </c>
      <c r="CI9">
        <f>IFERROR(VLOOKUP(DF9,源_6社保表_Sheet1!$C:$BZ,34,FALSE),0)</f>
        <v>0</v>
      </c>
      <c r="CJ9">
        <f>IFERROR(VLOOKUP(DF9,源_6社保表_Sheet1!$C:$BZ,38,FALSE),0)</f>
        <v>0</v>
      </c>
      <c r="CK9">
        <f>IFERROR(VLOOKUP(DF9,源_6社保表_Sheet1!$C:$BZ,35,FALSE),0)</f>
        <v>0</v>
      </c>
      <c r="CL9">
        <f>IFERROR(VLOOKUP(DF9,源_6社保表_Sheet1!$C:$BZ,36,FALSE),0)</f>
        <v>0</v>
      </c>
      <c r="CM9">
        <f>IFERROR(VLOOKUP(DF9,源_6社保表_Sheet1!$C:$BZ,37,FALSE),0)</f>
        <v>0</v>
      </c>
      <c r="CN9">
        <f t="shared" si="6"/>
        <v>1473.4367999999999</v>
      </c>
      <c r="CO9">
        <f t="shared" si="7"/>
        <v>4705.9367999999995</v>
      </c>
      <c r="CP9">
        <f>IF(IFERROR(VLOOKUP(K9,源_13残疾人信息_残疾人信息!$A:$M,1,FALSE),"")&lt;&gt;"",0,IF(OR(P9="门店全职",P9="门店管理组",P9="全职(非门店)"),(BI9-AT9)*IFERROR(VLOOKUP(D9,源_12计提残保金规则_Sheet1!$A:$E,4,FALSE),0)*IFERROR(VLOOKUP(D9,源_12计提残保金规则_Sheet1!$A:$E,5,FALSE),0),0))</f>
        <v>43.551000000000002</v>
      </c>
      <c r="CQ9">
        <f t="shared" si="8"/>
        <v>16.05</v>
      </c>
      <c r="CR9">
        <f t="shared" si="9"/>
        <v>20.67</v>
      </c>
      <c r="CS9">
        <f>IF(DATEVALUE(N9)&gt;DATE(参数!$B$2,9,30),0,IF(M9="行政",0,IF(O9="",R9/12,IF(MONTH(DATEVALUE(O9))=参数!$B$3,0,IF(DATEVALUE(O9)&lt;DATE(参数!$B$2,参数!$B$3,1),0,R9/12)))))</f>
        <v>260.83333333333331</v>
      </c>
      <c r="CT9">
        <f t="shared" si="10"/>
        <v>0</v>
      </c>
      <c r="CU9">
        <f>IFERROR(VLOOKUP(DF9,源_6社保表_Sheet1!$C:$I,2,FALSE),0)</f>
        <v>5124</v>
      </c>
      <c r="CV9">
        <f>IFERROR(VLOOKUP(DF9,源_6社保表_Sheet1!$C:$I,7,FALSE),0)</f>
        <v>4215</v>
      </c>
      <c r="CW9">
        <f>IFERROR(VLOOKUP(DF9,源_6社保表_Sheet1!$C:$I,3,FALSE),0)</f>
        <v>5124</v>
      </c>
      <c r="CX9">
        <f>IFERROR(VLOOKUP(DF9,源_6社保表_Sheet1!$C:$I,4,FALSE),0)</f>
        <v>5124</v>
      </c>
      <c r="CY9">
        <f>IFERROR(VLOOKUP(DF9,源_6社保表_Sheet1!$C:$I,5,FALSE),0)</f>
        <v>5124</v>
      </c>
      <c r="CZ9">
        <f>IFERROR(VLOOKUP(DF9,源_6社保表_Sheet1!$C:$I,6,FALSE),0)</f>
        <v>0</v>
      </c>
      <c r="DA9">
        <f t="shared" si="11"/>
        <v>4603.4367999999995</v>
      </c>
      <c r="DB9">
        <f t="shared" si="12"/>
        <v>4951.0411333333332</v>
      </c>
      <c r="DC9" t="str">
        <f>IFERROR(VLOOKUP(K9,源_7银行卡表_Sheet1!$A:$J,8,FALSE),"")</f>
        <v>农业银行</v>
      </c>
      <c r="DD9" t="str">
        <f>IFERROR(VLOOKUP(K9,源_7银行卡表_Sheet1!$A:$J,9,FALSE),"")</f>
        <v>6687209669546365542</v>
      </c>
      <c r="DE9" t="str">
        <f>IFERROR(VLOOKUP(K9,源_7银行卡表_Sheet1!$A:$J,10,FALSE),"")</f>
        <v>中国农业银行娄烦云水支行</v>
      </c>
      <c r="DF9" t="s">
        <v>172</v>
      </c>
      <c r="DG9">
        <v>18731710130</v>
      </c>
      <c r="DH9" t="s">
        <v>166</v>
      </c>
      <c r="DI9">
        <v>0</v>
      </c>
      <c r="DJ9">
        <v>0</v>
      </c>
      <c r="DK9">
        <v>0</v>
      </c>
      <c r="DL9">
        <v>0</v>
      </c>
      <c r="DM9">
        <v>0</v>
      </c>
      <c r="DN9">
        <v>0</v>
      </c>
      <c r="DO9">
        <v>0</v>
      </c>
      <c r="DP9">
        <v>0</v>
      </c>
      <c r="DQ9">
        <v>0</v>
      </c>
      <c r="DR9">
        <f>IF(OR(IFERROR(VLOOKUP(K9,源_3考勤报表_考勤表!$F:$BG,39,FALSE),0)+IFERROR(VLOOKUP(K9,源_8补工时表_补当月工时!$A:$AC,24,FALSE),0)=0,IFERROR(VLOOKUP(K9,源_3考勤报表_考勤表!$F:$BG,43,FALSE),0)+IFERROR(VLOOKUP(K9,源_8补工时表_补当月工时!$A:$AC,26,FALSE),0)=0),IF(BI9+BG9-BT9&lt;0,BI9+BG9-BT9,0),0)</f>
        <v>0</v>
      </c>
    </row>
    <row r="10" spans="1:122" x14ac:dyDescent="0.15">
      <c r="A10">
        <f>参数!$B$2</f>
        <v>2025</v>
      </c>
      <c r="B10">
        <f>参数!$B$3</f>
        <v>12</v>
      </c>
      <c r="D10" t="s">
        <v>173</v>
      </c>
      <c r="E10" t="s">
        <v>123</v>
      </c>
      <c r="F10" t="str">
        <f>IFERROR(VLOOKUP(K10,源_7银行卡表_Sheet1!$A:$J,6,FALSE),"")</f>
        <v>华东营运</v>
      </c>
      <c r="G10" t="s">
        <v>174</v>
      </c>
      <c r="H10" t="s">
        <v>175</v>
      </c>
      <c r="I10" t="s">
        <v>176</v>
      </c>
      <c r="J10">
        <v>1</v>
      </c>
      <c r="K10">
        <v>26123009</v>
      </c>
      <c r="L10" t="s">
        <v>177</v>
      </c>
      <c r="M10" t="s">
        <v>140</v>
      </c>
      <c r="N10" t="s">
        <v>178</v>
      </c>
      <c r="P10" t="s">
        <v>131</v>
      </c>
      <c r="Q10">
        <f>IF(P10="门店全职",IFERROR(VLOOKUP(K10,源_3考勤报表_考勤表!$F:$BG,34,FALSE),0)+IFERROR(VLOOKUP(K10,源_8补工时表_补当月工时!$A:$AC,14,FALSE),0),IF(P10="门店管理组",IF(IFERROR(VLOOKUP(K10,源_3考勤报表_考勤表!$F:$BG,34,FALSE),0)+IFERROR(VLOOKUP(K10,源_8补工时表_补当月工时!$A:$AC,14,FALSE),0)+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44,FALSE),0)+IFERROR(VLOOKUP(K10,源_8补工时表_补当月工时!$A:$AC,16,FALSE),0)+IFERROR(VLOOKUP(K10,源_3考勤报表_考勤表!$F:$BG,45,FALSE),0)&gt;=参数!$B$4,参数!$B$4-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44,FALSE),0)-IFERROR(VLOOKUP(K10,源_8补工时表_补当月工时!$A:$AC,16,FALSE),0)-IFERROR(VLOOKUP(K10,源_3考勤报表_考勤表!$F:$BG,45,FALSE),0),IFERROR(VLOOKUP(K10,源_3考勤报表_考勤表!$F:$BG,34,FALSE),0)+IFERROR(VLOOKUP(K10,源_8补工时表_补当月工时!$A:$AC,14,FALSE),0)),0))</f>
        <v>170</v>
      </c>
      <c r="R10">
        <v>5468</v>
      </c>
      <c r="S10">
        <v>0</v>
      </c>
      <c r="T10">
        <f>IF(P10="门店全职",R10/参数!$B$4*(Q10-MAX(IFERROR(VLOOKUP(K10,源_3考勤报表_考勤表!$F:$BG,34,FALSE),0)+IFERROR(VLOOKUP(K10,源_8补工时表_补当月工时!$A:$AC,14,FALSE),0)+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参数!$B$4,0)),R10/参数!$B$4*Q10)</f>
        <v>5051.95652173913</v>
      </c>
      <c r="U10">
        <v>0</v>
      </c>
      <c r="V10">
        <v>0</v>
      </c>
      <c r="W10">
        <f t="shared" si="0"/>
        <v>0</v>
      </c>
      <c r="X10">
        <f>IFERROR(VLOOKUP(K10,源_4奖金汇总表_拆分手工算!$A:$N,8,FALSE),0)</f>
        <v>0</v>
      </c>
      <c r="Y10">
        <f>IFERROR(VLOOKUP(K10,源_5薪资备忘录_工资调整项!$A:$AC,14,FALSE),0)</f>
        <v>0</v>
      </c>
      <c r="Z10">
        <f>IFERROR(VLOOKUP(K10,源_5薪资备忘录_工资调整项!$A:$AC,16,FALSE),0)</f>
        <v>0</v>
      </c>
      <c r="AA10">
        <f>IFERROR(VLOOKUP(K10,源_5薪资备忘录_工资调整项!$A:$AC,15,FALSE),0)</f>
        <v>0</v>
      </c>
      <c r="AB10">
        <f t="shared" si="1"/>
        <v>0</v>
      </c>
      <c r="AC10">
        <f>IF(P10="门店全职",R10/174*MAX(IFERROR(VLOOKUP(K10,源_3考勤报表_考勤表!$F:$BG,34,FALSE),0)+IFERROR(VLOOKUP(K10,源_8补工时表_补当月工时!$A:$AC,14,FALSE),0)+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参数!$B$4,0)*1.5,0)</f>
        <v>0</v>
      </c>
      <c r="AD10">
        <v>0</v>
      </c>
      <c r="AE10">
        <f>IFERROR(VLOOKUP(K10,源_3考勤报表_考勤表!$F:$BG,46,FALSE),0)+IFERROR(VLOOKUP(K10,源_8补工时表_补当月工时!$A:$AC,25,FALSE),0)</f>
        <v>0</v>
      </c>
      <c r="AF10">
        <f t="shared" si="2"/>
        <v>0</v>
      </c>
      <c r="AG10">
        <f>IFERROR(VLOOKUP(K10,源_4奖金汇总表_拆分手工算!$A:$N,10,FALSE),0)</f>
        <v>0</v>
      </c>
      <c r="AH10">
        <f>IFERROR(VLOOKUP(K10,源_4奖金汇总表_拆分手工算!$A:$N,5,FALSE),0)</f>
        <v>0</v>
      </c>
      <c r="AI10">
        <f>IFERROR(VLOOKUP(K10,源_4奖金汇总表_拆分手工算!$A:$N,11,FALSE),0)</f>
        <v>1500</v>
      </c>
      <c r="AJ10">
        <f>IFERROR(VLOOKUP(K10,源_4奖金汇总表_拆分手工算!$A:$N,4,FALSE),0)</f>
        <v>1500</v>
      </c>
      <c r="AK10">
        <f>IFERROR(VLOOKUP(K10,源_4奖金汇总表_拆分手工算!$A:$N,3,FALSE),0)</f>
        <v>0</v>
      </c>
      <c r="AL10">
        <f>IFERROR(VLOOKUP(K10,源_4奖金汇总表_拆分手工算!$A:$N,6,FALSE),0)</f>
        <v>0</v>
      </c>
      <c r="AM10">
        <f>IFERROR(VLOOKUP(K10,源_5薪资备忘录_工资调整项!$A:$AC,18,FALSE),0)+IFERROR(VLOOKUP(K10,源_4奖金汇总表_拆分手工算!$A:$N,7,FALSE),0)</f>
        <v>0</v>
      </c>
      <c r="AN10">
        <f>IFERROR(VLOOKUP(K10,源_5薪资备忘录_工资调整项!$A:$AC,17,FALSE),0)</f>
        <v>0</v>
      </c>
      <c r="AO10">
        <f>IF(OR(IFERROR(VLOOKUP(K10,源_3考勤报表_考勤表!$F:$BG,39,FALSE),0)+IFERROR(VLOOKUP(K10,源_8补工时表_补当月工时!$A:$AC,24,FALSE),0)&gt;0,IFERROR(VLOOKUP(K10,源_3考勤报表_考勤表!$F:$BG,43,FALSE),0)+IFERROR(VLOOKUP(K10,源_8补工时表_补当月工时!$A:$AC,26,FALSE),0)&gt;0),IF(IFERROR(VLOOKUP(DH10,源_11产假政策_Sheet1!$C:$F,4,FALSE),"")="是",R10/参数!$B$4*(IFERROR(VLOOKUP(K10,源_3考勤报表_考勤表!$F:$BG,39,FALSE),0)+IFERROR(VLOOKUP(K10,源_8补工时表_补当月工时!$A:$AC,24,FALSE),0)+IFERROR(VLOOKUP(K10,源_3考勤报表_考勤表!$F:$BG,43,FALSE),0)+IFERROR(VLOOKUP(K10,源_8补工时表_补当月工时!$A:$AC,26,FALSE),0)),IFERROR(VLOOKUP(K10,源_5薪资备忘录_工资调整项!$A:$AC,19,FALSE),0)),0)</f>
        <v>0</v>
      </c>
      <c r="AP10">
        <v>0</v>
      </c>
      <c r="AQ10">
        <f>IFERROR(VLOOKUP(K10,源_4奖金汇总表_拆分手工算!$A:$N,12,FALSE),0)+IFERROR(VLOOKUP(K10,源_9年终奖表_Sheet1!$A:$E,3,FALSE),0)</f>
        <v>1200</v>
      </c>
      <c r="AR10">
        <f>IFERROR(VLOOKUP(K10,源_4奖金汇总表_拆分手工算!$A:$N,13,FALSE),0)+IFERROR(VLOOKUP(K10,源_9年终奖表_Sheet1!$A:$E,4,FALSE),0)</f>
        <v>600</v>
      </c>
      <c r="AS10">
        <f>IFERROR(VLOOKUP(K10,源_4奖金汇总表_拆分手工算!$A:$N,14,FALSE),0)+IFERROR(VLOOKUP(K10,源_9年终奖表_Sheet1!$A:$E,5,FALSE),0)</f>
        <v>222</v>
      </c>
      <c r="AT10">
        <f>IFERROR(VLOOKUP(K10,源_5薪资备忘录_工资调整项!$A:$AC,20,FALSE),0)</f>
        <v>0</v>
      </c>
      <c r="AU10">
        <f>IFERROR(VLOOKUP(K10,源_5薪资备忘录_工资调整项!$A:$AC,21,FALSE),0)+IFERROR(VLOOKUP(K10,源_4奖金汇总表_拆分手工算!$A:$N,9,FALSE),0)</f>
        <v>0</v>
      </c>
      <c r="AV10">
        <f>R10/参数!$B$4*(IFERROR(VLOOKUP(K10,源_3考勤报表_考勤表!$F:$BG,37,FALSE),0)+IFERROR(VLOOKUP(K10,源_8补工时表_补当月工时!$A:$AC,15,FALSE),0))</f>
        <v>356.60869565217388</v>
      </c>
      <c r="AW10">
        <f>R10/174*MIN(IFERROR(VLOOKUP(K10,源_3考勤报表_考勤表!$F:$BG,35,FALSE),0),174)*IF(DATEDIF(N10,DATE(参数!$B$2,参数!$B$3+1,0),"Y")&lt;2,0.6,IF(DATEDIF(N10,DATE(参数!$B$2,参数!$B$3+1,0),"Y")&lt;4,0.7,IF(DATEDIF(N10,DATE(参数!$B$2,参数!$B$3+1,0),"Y")&lt;6,0.8,IF(DATEDIF(N10,DATE(参数!$B$2,参数!$B$3+1,0),"Y")&lt;8,0.9,1))))</f>
        <v>0</v>
      </c>
      <c r="AX10">
        <f>IF(Q10+IFERROR(VLOOKUP(K10,源_3考勤报表_考勤表!$F:$BG,37,FALSE),0)+IFERROR(VLOOKUP(K10,源_8补工时表_补当月工时!$A:$AC,15,FALSE),0)&gt;=参数!$B$4,0,IF(Q10+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lt;=参数!$B$4,R10/参数!$B$4*(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0))</f>
        <v>59.434782608695649</v>
      </c>
      <c r="AY10">
        <v>0</v>
      </c>
      <c r="AZ10">
        <v>0</v>
      </c>
      <c r="BA10">
        <v>0</v>
      </c>
      <c r="BB10">
        <v>0</v>
      </c>
      <c r="BC10">
        <f>IFERROR(VLOOKUP(K10,源_5薪资备忘录_工资调整项!$A:$AC,25,FALSE),0)</f>
        <v>0</v>
      </c>
      <c r="BD10">
        <v>0</v>
      </c>
      <c r="BE10">
        <v>0</v>
      </c>
      <c r="BF10">
        <v>0</v>
      </c>
      <c r="BG10">
        <f>IFERROR(VLOOKUP(K10,源_5薪资备忘录_工资调整项!$A:$AC,22,FALSE),0)+IFERROR(VLOOKUP(K10,源_5薪资备忘录_工资调整项!$A:$AC,23,FALSE),0)+IFERROR(VLOOKUP(K10,源_5薪资备忘录_工资调整项!$A:$AC,24,FALSE),0)</f>
        <v>0</v>
      </c>
      <c r="BH10">
        <f>IFERROR(VLOOKUP(DF10,源_6社保表_Sheet1!$C:$CD,80,FALSE),0)+4.5</f>
        <v>6.5</v>
      </c>
      <c r="BI10">
        <f t="shared" si="3"/>
        <v>10490</v>
      </c>
      <c r="BJ10">
        <f>IFERROR(VLOOKUP(DF10,源_6社保表_Sheet1!$C:$BZ,26,FALSE),0)</f>
        <v>482.3</v>
      </c>
      <c r="BK10">
        <f>IFERROR(VLOOKUP(DF10,源_6社保表_Sheet1!$C:$BZ,27,FALSE),0)</f>
        <v>68.900000000000006</v>
      </c>
      <c r="BL10">
        <f>IFERROR(VLOOKUP(DF10,源_6社保表_Sheet1!$C:$BZ,28,FALSE),0)</f>
        <v>34.450000000000003</v>
      </c>
      <c r="BM10">
        <f>IFERROR(VLOOKUP(DF10,源_6社保表_Sheet1!$C:$BZ,30,FALSE),0)</f>
        <v>413.4</v>
      </c>
      <c r="BN10">
        <f>IFERROR(VLOOKUP(DF10,源_6社保表_Sheet1!$C:$BZ,29,FALSE),0)</f>
        <v>0</v>
      </c>
      <c r="BO10">
        <f>IFERROR(VLOOKUP(DF10,源_6社保表_Sheet1!$C:$BZ,40,FALSE),0)</f>
        <v>0</v>
      </c>
      <c r="BP10">
        <f>IFERROR(VLOOKUP(DF10,源_6社保表_Sheet1!$C:$BZ,41,FALSE),0)</f>
        <v>0</v>
      </c>
      <c r="BQ10">
        <f>IFERROR(VLOOKUP(DF10,源_6社保表_Sheet1!$C:$BZ,42,FALSE),0)</f>
        <v>0</v>
      </c>
      <c r="BR10">
        <f>IFERROR(VLOOKUP(DF10,源_6社保表_Sheet1!$C:$BZ,44,FALSE),0)</f>
        <v>0</v>
      </c>
      <c r="BS10">
        <f>IFERROR(VLOOKUP(DF10,源_6社保表_Sheet1!$C:$BZ,43,FALSE),0)</f>
        <v>0</v>
      </c>
      <c r="BT10">
        <f t="shared" si="4"/>
        <v>999.05000000000007</v>
      </c>
      <c r="BU10">
        <v>0</v>
      </c>
      <c r="BV10">
        <v>0</v>
      </c>
      <c r="BW10">
        <v>0</v>
      </c>
      <c r="BX10">
        <f t="shared" si="5"/>
        <v>0</v>
      </c>
      <c r="BY10">
        <v>0</v>
      </c>
      <c r="BZ10">
        <f>IFERROR(VLOOKUP(DF10,源_6社保表_Sheet1!$C:$BZ,18,FALSE),0)</f>
        <v>1033.5</v>
      </c>
      <c r="CA10">
        <f>IFERROR(VLOOKUP(DF10,源_6社保表_Sheet1!$C:$BZ,19,FALSE),0)</f>
        <v>551.20000000000005</v>
      </c>
      <c r="CB10">
        <f>IFERROR(VLOOKUP(DF10,源_6社保表_Sheet1!$C:$BZ,24,FALSE),0)</f>
        <v>413.4</v>
      </c>
      <c r="CC10">
        <f>IFERROR(VLOOKUP(DF10,源_6社保表_Sheet1!$C:$BZ,20,FALSE),0)</f>
        <v>34.450000000000003</v>
      </c>
      <c r="CD10">
        <f>IFERROR(VLOOKUP(DF10,源_6社保表_Sheet1!$C:$BZ,21,FALSE),0)</f>
        <v>22.047999999999998</v>
      </c>
      <c r="CE10">
        <f>IFERROR(VLOOKUP(DF10,源_6社保表_Sheet1!$C:$BZ,22,FALSE),0)</f>
        <v>0</v>
      </c>
      <c r="CF10">
        <f>IFERROR(VLOOKUP(DF10,源_6社保表_Sheet1!$C:$BZ,23,FALSE),0)</f>
        <v>0</v>
      </c>
      <c r="CG10">
        <f>IFERROR(VLOOKUP(DF10,源_6社保表_Sheet1!$C:$BZ,32,FALSE),0)</f>
        <v>0</v>
      </c>
      <c r="CH10">
        <f>IFERROR(VLOOKUP(DF10,源_6社保表_Sheet1!$C:$BZ,33,FALSE),0)</f>
        <v>0</v>
      </c>
      <c r="CI10">
        <f>IFERROR(VLOOKUP(DF10,源_6社保表_Sheet1!$C:$BZ,34,FALSE),0)</f>
        <v>0</v>
      </c>
      <c r="CJ10">
        <f>IFERROR(VLOOKUP(DF10,源_6社保表_Sheet1!$C:$BZ,38,FALSE),0)</f>
        <v>0</v>
      </c>
      <c r="CK10">
        <f>IFERROR(VLOOKUP(DF10,源_6社保表_Sheet1!$C:$BZ,35,FALSE),0)</f>
        <v>0</v>
      </c>
      <c r="CL10">
        <f>IFERROR(VLOOKUP(DF10,源_6社保表_Sheet1!$C:$BZ,36,FALSE),0)</f>
        <v>0</v>
      </c>
      <c r="CM10">
        <f>IFERROR(VLOOKUP(DF10,源_6社保表_Sheet1!$C:$BZ,37,FALSE),0)</f>
        <v>0</v>
      </c>
      <c r="CN10">
        <f t="shared" si="6"/>
        <v>2054.598</v>
      </c>
      <c r="CO10">
        <f t="shared" si="7"/>
        <v>12551.098</v>
      </c>
      <c r="CP10">
        <f>IF(IFERROR(VLOOKUP(K10,源_13残疾人信息_残疾人信息!$A:$M,1,FALSE),"")&lt;&gt;"",0,IF(OR(P10="门店全职",P10="门店管理组",P10="全职(非门店)"),(BI10-AT10)*IFERROR(VLOOKUP(D10,源_12计提残保金规则_Sheet1!$A:$E,4,FALSE),0)*IFERROR(VLOOKUP(D10,源_12计提残保金规则_Sheet1!$A:$E,5,FALSE),0),0))</f>
        <v>141.61500000000001</v>
      </c>
      <c r="CQ10">
        <f t="shared" si="8"/>
        <v>16.05</v>
      </c>
      <c r="CR10">
        <f t="shared" si="9"/>
        <v>20.67</v>
      </c>
      <c r="CS10">
        <f>IF(DATEVALUE(N10)&gt;DATE(参数!$B$2,9,30),0,IF(M10="行政",0,IF(O10="",R10/12,IF(MONTH(DATEVALUE(O10))=参数!$B$3,0,IF(DATEVALUE(O10)&lt;DATE(参数!$B$2,参数!$B$3,1),0,R10/12)))))</f>
        <v>455.66666666666669</v>
      </c>
      <c r="CT10">
        <f t="shared" si="10"/>
        <v>557.73599999999999</v>
      </c>
      <c r="CU10">
        <f>IFERROR(VLOOKUP(DF10,源_6社保表_Sheet1!$C:$I,2,FALSE),0)</f>
        <v>6890</v>
      </c>
      <c r="CV10">
        <f>IFERROR(VLOOKUP(DF10,源_6社保表_Sheet1!$C:$I,7,FALSE),0)</f>
        <v>6890</v>
      </c>
      <c r="CW10">
        <f>IFERROR(VLOOKUP(DF10,源_6社保表_Sheet1!$C:$I,3,FALSE),0)</f>
        <v>6890</v>
      </c>
      <c r="CX10">
        <f>IFERROR(VLOOKUP(DF10,源_6社保表_Sheet1!$C:$I,4,FALSE),0)</f>
        <v>6890</v>
      </c>
      <c r="CY10">
        <f>IFERROR(VLOOKUP(DF10,源_6社保表_Sheet1!$C:$I,5,FALSE),0)</f>
        <v>6890</v>
      </c>
      <c r="CZ10">
        <f>IFERROR(VLOOKUP(DF10,源_6社保表_Sheet1!$C:$I,6,FALSE),0)</f>
        <v>0</v>
      </c>
      <c r="DA10">
        <f t="shared" si="11"/>
        <v>7522.598</v>
      </c>
      <c r="DB10">
        <f t="shared" si="12"/>
        <v>8720.8356666666677</v>
      </c>
      <c r="DC10" t="str">
        <f>IFERROR(VLOOKUP(K10,源_7银行卡表_Sheet1!$A:$J,8,FALSE),"")</f>
        <v>农业银行</v>
      </c>
      <c r="DD10" t="str">
        <f>IFERROR(VLOOKUP(K10,源_7银行卡表_Sheet1!$A:$J,9,FALSE),"")</f>
        <v>6686205549557568463</v>
      </c>
      <c r="DE10" t="str">
        <f>IFERROR(VLOOKUP(K10,源_7银行卡表_Sheet1!$A:$J,10,FALSE),"")</f>
        <v>中国农业银行太原黑土巷支行</v>
      </c>
      <c r="DF10" t="s">
        <v>179</v>
      </c>
      <c r="DG10">
        <v>15696434652</v>
      </c>
      <c r="DH10" t="s">
        <v>180</v>
      </c>
      <c r="DI10">
        <v>0</v>
      </c>
      <c r="DJ10">
        <v>0</v>
      </c>
      <c r="DK10">
        <v>0</v>
      </c>
      <c r="DL10">
        <v>0</v>
      </c>
      <c r="DM10">
        <v>0</v>
      </c>
      <c r="DN10">
        <v>0</v>
      </c>
      <c r="DO10">
        <v>0</v>
      </c>
      <c r="DP10">
        <v>0</v>
      </c>
      <c r="DQ10">
        <v>0</v>
      </c>
      <c r="DR10">
        <f>IF(OR(IFERROR(VLOOKUP(K10,源_3考勤报表_考勤表!$F:$BG,39,FALSE),0)+IFERROR(VLOOKUP(K10,源_8补工时表_补当月工时!$A:$AC,24,FALSE),0)=0,IFERROR(VLOOKUP(K10,源_3考勤报表_考勤表!$F:$BG,43,FALSE),0)+IFERROR(VLOOKUP(K10,源_8补工时表_补当月工时!$A:$AC,26,FALSE),0)=0),IF(BI10+BG10-BT10&lt;0,BI10+BG10-BT10,0),0)</f>
        <v>0</v>
      </c>
    </row>
    <row r="11" spans="1:122" x14ac:dyDescent="0.15">
      <c r="A11">
        <f>参数!$B$2</f>
        <v>2025</v>
      </c>
      <c r="B11">
        <f>参数!$B$3</f>
        <v>12</v>
      </c>
      <c r="D11" t="s">
        <v>147</v>
      </c>
      <c r="E11" t="s">
        <v>123</v>
      </c>
      <c r="F11" t="str">
        <f>IFERROR(VLOOKUP(K11,源_7银行卡表_Sheet1!$A:$J,6,FALSE),"")</f>
        <v>华北营运</v>
      </c>
      <c r="G11" t="s">
        <v>148</v>
      </c>
      <c r="H11" t="s">
        <v>181</v>
      </c>
      <c r="I11" t="s">
        <v>150</v>
      </c>
      <c r="J11">
        <v>1</v>
      </c>
      <c r="K11">
        <v>26123010</v>
      </c>
      <c r="L11" t="s">
        <v>182</v>
      </c>
      <c r="M11" t="s">
        <v>152</v>
      </c>
      <c r="N11" t="s">
        <v>183</v>
      </c>
      <c r="P11" t="s">
        <v>154</v>
      </c>
      <c r="Q11">
        <f>IF(P11="门店全职",IFERROR(VLOOKUP(K11,源_3考勤报表_考勤表!$F:$BG,34,FALSE),0)+IFERROR(VLOOKUP(K11,源_8补工时表_补当月工时!$A:$AC,14,FALSE),0),IF(P11="门店管理组",IF(IFERROR(VLOOKUP(K11,源_3考勤报表_考勤表!$F:$BG,34,FALSE),0)+IFERROR(VLOOKUP(K11,源_8补工时表_补当月工时!$A:$AC,14,FALSE),0)+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44,FALSE),0)+IFERROR(VLOOKUP(K11,源_8补工时表_补当月工时!$A:$AC,16,FALSE),0)+IFERROR(VLOOKUP(K11,源_3考勤报表_考勤表!$F:$BG,45,FALSE),0)&gt;=参数!$B$4,参数!$B$4-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44,FALSE),0)-IFERROR(VLOOKUP(K11,源_8补工时表_补当月工时!$A:$AC,16,FALSE),0)-IFERROR(VLOOKUP(K11,源_3考勤报表_考勤表!$F:$BG,45,FALSE),0),IFERROR(VLOOKUP(K11,源_3考勤报表_考勤表!$F:$BG,34,FALSE),0)+IFERROR(VLOOKUP(K11,源_8补工时表_补当月工时!$A:$AC,14,FALSE),0)),0))</f>
        <v>0</v>
      </c>
      <c r="R11">
        <v>3730</v>
      </c>
      <c r="S11">
        <v>0</v>
      </c>
      <c r="T11">
        <f>IF(P11="门店全职",R11/参数!$B$4*(Q11-MAX(IFERROR(VLOOKUP(K11,源_3考勤报表_考勤表!$F:$BG,34,FALSE),0)+IFERROR(VLOOKUP(K11,源_8补工时表_补当月工时!$A:$AC,14,FALSE),0)+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参数!$B$4,0)),R11/参数!$B$4*Q11)</f>
        <v>0</v>
      </c>
      <c r="U11">
        <v>0</v>
      </c>
      <c r="V11">
        <v>0</v>
      </c>
      <c r="W11">
        <f t="shared" si="0"/>
        <v>0</v>
      </c>
      <c r="X11">
        <f>IFERROR(VLOOKUP(K11,源_4奖金汇总表_拆分手工算!$A:$N,8,FALSE),0)</f>
        <v>0</v>
      </c>
      <c r="Y11">
        <f>IFERROR(VLOOKUP(K11,源_5薪资备忘录_工资调整项!$A:$AC,14,FALSE),0)</f>
        <v>0</v>
      </c>
      <c r="Z11">
        <f>IFERROR(VLOOKUP(K11,源_5薪资备忘录_工资调整项!$A:$AC,16,FALSE),0)</f>
        <v>0</v>
      </c>
      <c r="AA11">
        <f>IFERROR(VLOOKUP(K11,源_5薪资备忘录_工资调整项!$A:$AC,15,FALSE),0)</f>
        <v>0</v>
      </c>
      <c r="AB11">
        <f t="shared" si="1"/>
        <v>0</v>
      </c>
      <c r="AC11">
        <f>IF(P11="门店全职",R11/174*MAX(IFERROR(VLOOKUP(K11,源_3考勤报表_考勤表!$F:$BG,34,FALSE),0)+IFERROR(VLOOKUP(K11,源_8补工时表_补当月工时!$A:$AC,14,FALSE),0)+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参数!$B$4,0)*1.5,0)</f>
        <v>0</v>
      </c>
      <c r="AD11">
        <v>0</v>
      </c>
      <c r="AE11">
        <f>IFERROR(VLOOKUP(K11,源_3考勤报表_考勤表!$F:$BG,46,FALSE),0)+IFERROR(VLOOKUP(K11,源_8补工时表_补当月工时!$A:$AC,25,FALSE),0)</f>
        <v>0</v>
      </c>
      <c r="AF11">
        <f t="shared" si="2"/>
        <v>0</v>
      </c>
      <c r="AG11">
        <f>IFERROR(VLOOKUP(K11,源_4奖金汇总表_拆分手工算!$A:$N,10,FALSE),0)</f>
        <v>9</v>
      </c>
      <c r="AH11">
        <f>IFERROR(VLOOKUP(K11,源_4奖金汇总表_拆分手工算!$A:$N,5,FALSE),0)</f>
        <v>0</v>
      </c>
      <c r="AI11">
        <f>IFERROR(VLOOKUP(K11,源_4奖金汇总表_拆分手工算!$A:$N,11,FALSE),0)</f>
        <v>0</v>
      </c>
      <c r="AJ11">
        <f>IFERROR(VLOOKUP(K11,源_4奖金汇总表_拆分手工算!$A:$N,4,FALSE),0)</f>
        <v>0</v>
      </c>
      <c r="AK11">
        <f>IFERROR(VLOOKUP(K11,源_4奖金汇总表_拆分手工算!$A:$N,3,FALSE),0)</f>
        <v>0</v>
      </c>
      <c r="AL11">
        <f>IFERROR(VLOOKUP(K11,源_4奖金汇总表_拆分手工算!$A:$N,6,FALSE),0)</f>
        <v>0</v>
      </c>
      <c r="AM11">
        <f>IFERROR(VLOOKUP(K11,源_5薪资备忘录_工资调整项!$A:$AC,18,FALSE),0)+IFERROR(VLOOKUP(K11,源_4奖金汇总表_拆分手工算!$A:$N,7,FALSE),0)</f>
        <v>0</v>
      </c>
      <c r="AN11">
        <f>IFERROR(VLOOKUP(K11,源_5薪资备忘录_工资调整项!$A:$AC,17,FALSE),0)</f>
        <v>0</v>
      </c>
      <c r="AO11">
        <f>IF(OR(IFERROR(VLOOKUP(K11,源_3考勤报表_考勤表!$F:$BG,39,FALSE),0)+IFERROR(VLOOKUP(K11,源_8补工时表_补当月工时!$A:$AC,24,FALSE),0)&gt;0,IFERROR(VLOOKUP(K11,源_3考勤报表_考勤表!$F:$BG,43,FALSE),0)+IFERROR(VLOOKUP(K11,源_8补工时表_补当月工时!$A:$AC,26,FALSE),0)&gt;0),IF(IFERROR(VLOOKUP(DH11,源_11产假政策_Sheet1!$C:$F,4,FALSE),"")="是",R11/参数!$B$4*(IFERROR(VLOOKUP(K11,源_3考勤报表_考勤表!$F:$BG,39,FALSE),0)+IFERROR(VLOOKUP(K11,源_8补工时表_补当月工时!$A:$AC,24,FALSE),0)+IFERROR(VLOOKUP(K11,源_3考勤报表_考勤表!$F:$BG,43,FALSE),0)+IFERROR(VLOOKUP(K11,源_8补工时表_补当月工时!$A:$AC,26,FALSE),0)),IFERROR(VLOOKUP(K11,源_5薪资备忘录_工资调整项!$A:$AC,19,FALSE),0)),0)</f>
        <v>0</v>
      </c>
      <c r="AP11">
        <v>0</v>
      </c>
      <c r="AQ11">
        <f>IFERROR(VLOOKUP(K11,源_4奖金汇总表_拆分手工算!$A:$N,12,FALSE),0)+IFERROR(VLOOKUP(K11,源_9年终奖表_Sheet1!$A:$E,3,FALSE),0)</f>
        <v>0</v>
      </c>
      <c r="AR11">
        <f>IFERROR(VLOOKUP(K11,源_4奖金汇总表_拆分手工算!$A:$N,13,FALSE),0)+IFERROR(VLOOKUP(K11,源_9年终奖表_Sheet1!$A:$E,4,FALSE),0)</f>
        <v>0</v>
      </c>
      <c r="AS11">
        <f>IFERROR(VLOOKUP(K11,源_4奖金汇总表_拆分手工算!$A:$N,14,FALSE),0)+IFERROR(VLOOKUP(K11,源_9年终奖表_Sheet1!$A:$E,5,FALSE),0)</f>
        <v>0</v>
      </c>
      <c r="AT11">
        <f>IFERROR(VLOOKUP(K11,源_5薪资备忘录_工资调整项!$A:$AC,20,FALSE),0)</f>
        <v>0</v>
      </c>
      <c r="AU11">
        <f>IFERROR(VLOOKUP(K11,源_5薪资备忘录_工资调整项!$A:$AC,21,FALSE),0)+IFERROR(VLOOKUP(K11,源_4奖金汇总表_拆分手工算!$A:$N,9,FALSE),0)</f>
        <v>0</v>
      </c>
      <c r="AV11">
        <f>R11/参数!$B$4*(IFERROR(VLOOKUP(K11,源_3考勤报表_考勤表!$F:$BG,37,FALSE),0)+IFERROR(VLOOKUP(K11,源_8补工时表_补当月工时!$A:$AC,15,FALSE),0))</f>
        <v>0</v>
      </c>
      <c r="AW11">
        <f>R11/174*MIN(IFERROR(VLOOKUP(K11,源_3考勤报表_考勤表!$F:$BG,35,FALSE),0),174)*IF(DATEDIF(N11,DATE(参数!$B$2,参数!$B$3+1,0),"Y")&lt;2,0.6,IF(DATEDIF(N11,DATE(参数!$B$2,参数!$B$3+1,0),"Y")&lt;4,0.7,IF(DATEDIF(N11,DATE(参数!$B$2,参数!$B$3+1,0),"Y")&lt;6,0.8,IF(DATEDIF(N11,DATE(参数!$B$2,参数!$B$3+1,0),"Y")&lt;8,0.9,1))))</f>
        <v>0</v>
      </c>
      <c r="AX11">
        <f>IF(Q11+IFERROR(VLOOKUP(K11,源_3考勤报表_考勤表!$F:$BG,37,FALSE),0)+IFERROR(VLOOKUP(K11,源_8补工时表_补当月工时!$A:$AC,15,FALSE),0)&gt;=参数!$B$4,0,IF(Q11+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lt;=参数!$B$4,R11/参数!$B$4*(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0))</f>
        <v>0</v>
      </c>
      <c r="AY11">
        <v>0</v>
      </c>
      <c r="AZ11">
        <v>0</v>
      </c>
      <c r="BA11">
        <v>0</v>
      </c>
      <c r="BB11">
        <v>0</v>
      </c>
      <c r="BC11">
        <f>IFERROR(VLOOKUP(K11,源_5薪资备忘录_工资调整项!$A:$AC,25,FALSE),0)</f>
        <v>0</v>
      </c>
      <c r="BD11">
        <v>0</v>
      </c>
      <c r="BE11">
        <f>(T11+W11+AB11+AG11+AH11+AI11+AJ11+AK11+AL11+AM11+AN11+AO11+AP11+AU11+AV11+AW11+AX11+BC11-IFERROR(VLOOKUP(DF11,源_6社保表_Sheet1!$C:$BZ,76,FALSE),0))*0.02</f>
        <v>-17.381</v>
      </c>
      <c r="BF11">
        <v>0</v>
      </c>
      <c r="BG11">
        <f>IFERROR(VLOOKUP(K11,源_5薪资备忘录_工资调整项!$A:$AC,22,FALSE),0)+IFERROR(VLOOKUP(K11,源_5薪资备忘录_工资调整项!$A:$AC,23,FALSE),0)+IFERROR(VLOOKUP(K11,源_5薪资备忘录_工资调整项!$A:$AC,24,FALSE),0)</f>
        <v>0</v>
      </c>
      <c r="BH11">
        <f>IFERROR(VLOOKUP(DF11,源_6社保表_Sheet1!$C:$CD,80,FALSE),0)+4.5</f>
        <v>6.5</v>
      </c>
      <c r="BI11">
        <f t="shared" si="3"/>
        <v>9</v>
      </c>
      <c r="BJ11">
        <f>IFERROR(VLOOKUP(DF11,源_6社保表_Sheet1!$C:$BZ,26,FALSE),0)</f>
        <v>501.34</v>
      </c>
      <c r="BK11">
        <f>IFERROR(VLOOKUP(DF11,源_6社保表_Sheet1!$C:$BZ,27,FALSE),0)</f>
        <v>71.62</v>
      </c>
      <c r="BL11">
        <f>IFERROR(VLOOKUP(DF11,源_6社保表_Sheet1!$C:$BZ,28,FALSE),0)</f>
        <v>35.81</v>
      </c>
      <c r="BM11">
        <f>IFERROR(VLOOKUP(DF11,源_6社保表_Sheet1!$C:$BZ,30,FALSE),0)</f>
        <v>269.27999999999997</v>
      </c>
      <c r="BN11">
        <f>IFERROR(VLOOKUP(DF11,源_6社保表_Sheet1!$C:$BZ,29,FALSE),0)</f>
        <v>0</v>
      </c>
      <c r="BO11">
        <f>IFERROR(VLOOKUP(DF11,源_6社保表_Sheet1!$C:$BZ,40,FALSE),0)</f>
        <v>0</v>
      </c>
      <c r="BP11">
        <f>IFERROR(VLOOKUP(DF11,源_6社保表_Sheet1!$C:$BZ,41,FALSE),0)</f>
        <v>0</v>
      </c>
      <c r="BQ11">
        <f>IFERROR(VLOOKUP(DF11,源_6社保表_Sheet1!$C:$BZ,42,FALSE),0)</f>
        <v>0</v>
      </c>
      <c r="BR11">
        <f>IFERROR(VLOOKUP(DF11,源_6社保表_Sheet1!$C:$BZ,44,FALSE),0)</f>
        <v>0</v>
      </c>
      <c r="BS11">
        <f>IFERROR(VLOOKUP(DF11,源_6社保表_Sheet1!$C:$BZ,43,FALSE),0)</f>
        <v>0</v>
      </c>
      <c r="BT11">
        <f t="shared" si="4"/>
        <v>878.05</v>
      </c>
      <c r="BU11">
        <v>0</v>
      </c>
      <c r="BV11">
        <v>0</v>
      </c>
      <c r="BW11">
        <v>0</v>
      </c>
      <c r="BX11">
        <f t="shared" si="5"/>
        <v>0</v>
      </c>
      <c r="BY11">
        <v>0</v>
      </c>
      <c r="BZ11">
        <f>IFERROR(VLOOKUP(DF11,源_6社保表_Sheet1!$C:$BZ,18,FALSE),0)</f>
        <v>1074.3</v>
      </c>
      <c r="CA11">
        <f>IFERROR(VLOOKUP(DF11,源_6社保表_Sheet1!$C:$BZ,19,FALSE),0)</f>
        <v>572.96</v>
      </c>
      <c r="CB11">
        <f>IFERROR(VLOOKUP(DF11,源_6社保表_Sheet1!$C:$BZ,24,FALSE),0)</f>
        <v>269.27999999999997</v>
      </c>
      <c r="CC11">
        <f>IFERROR(VLOOKUP(DF11,源_6社保表_Sheet1!$C:$BZ,20,FALSE),0)</f>
        <v>35.81</v>
      </c>
      <c r="CD11">
        <f>IFERROR(VLOOKUP(DF11,源_6社保表_Sheet1!$C:$BZ,21,FALSE),0)</f>
        <v>22.918399999999998</v>
      </c>
      <c r="CE11">
        <f>IFERROR(VLOOKUP(DF11,源_6社保表_Sheet1!$C:$BZ,22,FALSE),0)</f>
        <v>0</v>
      </c>
      <c r="CF11">
        <f>IFERROR(VLOOKUP(DF11,源_6社保表_Sheet1!$C:$BZ,23,FALSE),0)</f>
        <v>0</v>
      </c>
      <c r="CG11">
        <f>IFERROR(VLOOKUP(DF11,源_6社保表_Sheet1!$C:$BZ,32,FALSE),0)</f>
        <v>0</v>
      </c>
      <c r="CH11">
        <f>IFERROR(VLOOKUP(DF11,源_6社保表_Sheet1!$C:$BZ,33,FALSE),0)</f>
        <v>0</v>
      </c>
      <c r="CI11">
        <f>IFERROR(VLOOKUP(DF11,源_6社保表_Sheet1!$C:$BZ,34,FALSE),0)</f>
        <v>0</v>
      </c>
      <c r="CJ11">
        <f>IFERROR(VLOOKUP(DF11,源_6社保表_Sheet1!$C:$BZ,38,FALSE),0)</f>
        <v>0</v>
      </c>
      <c r="CK11">
        <f>IFERROR(VLOOKUP(DF11,源_6社保表_Sheet1!$C:$BZ,35,FALSE),0)</f>
        <v>0</v>
      </c>
      <c r="CL11">
        <f>IFERROR(VLOOKUP(DF11,源_6社保表_Sheet1!$C:$BZ,36,FALSE),0)</f>
        <v>0</v>
      </c>
      <c r="CM11">
        <f>IFERROR(VLOOKUP(DF11,源_6社保表_Sheet1!$C:$BZ,37,FALSE),0)</f>
        <v>0</v>
      </c>
      <c r="CN11">
        <f t="shared" si="6"/>
        <v>1975.2683999999999</v>
      </c>
      <c r="CO11">
        <f t="shared" si="7"/>
        <v>1973.3873999999998</v>
      </c>
      <c r="CP11">
        <f>IF(IFERROR(VLOOKUP(K11,源_13残疾人信息_残疾人信息!$A:$M,1,FALSE),"")&lt;&gt;"",0,IF(OR(P11="门店全职",P11="门店管理组",P11="全职(非门店)"),(BI11-AT11)*IFERROR(VLOOKUP(D11,源_12计提残保金规则_Sheet1!$A:$E,4,FALSE),0)*IFERROR(VLOOKUP(D11,源_12计提残保金规则_Sheet1!$A:$E,5,FALSE),0),0))</f>
        <v>0</v>
      </c>
      <c r="CQ11">
        <f t="shared" si="8"/>
        <v>16.05</v>
      </c>
      <c r="CR11">
        <f t="shared" si="9"/>
        <v>20.67</v>
      </c>
      <c r="CS11">
        <f>IF(DATEVALUE(N11)&gt;DATE(参数!$B$2,9,30),0,IF(M11="行政",0,IF(O11="",R11/12,IF(MONTH(DATEVALUE(O11))=参数!$B$3,0,IF(DATEVALUE(O11)&lt;DATE(参数!$B$2,参数!$B$3,1),0,R11/12)))))</f>
        <v>310.83333333333331</v>
      </c>
      <c r="CT11">
        <f t="shared" si="10"/>
        <v>0</v>
      </c>
      <c r="CU11">
        <f>IFERROR(VLOOKUP(DF11,源_6社保表_Sheet1!$C:$I,2,FALSE),0)</f>
        <v>7162</v>
      </c>
      <c r="CV11">
        <f>IFERROR(VLOOKUP(DF11,源_6社保表_Sheet1!$C:$I,7,FALSE),0)</f>
        <v>4488</v>
      </c>
      <c r="CW11">
        <f>IFERROR(VLOOKUP(DF11,源_6社保表_Sheet1!$C:$I,3,FALSE),0)</f>
        <v>7162</v>
      </c>
      <c r="CX11">
        <f>IFERROR(VLOOKUP(DF11,源_6社保表_Sheet1!$C:$I,4,FALSE),0)</f>
        <v>7162</v>
      </c>
      <c r="CY11">
        <f>IFERROR(VLOOKUP(DF11,源_6社保表_Sheet1!$C:$I,5,FALSE),0)</f>
        <v>7162</v>
      </c>
      <c r="CZ11">
        <f>IFERROR(VLOOKUP(DF11,源_6社保表_Sheet1!$C:$I,6,FALSE),0)</f>
        <v>0</v>
      </c>
      <c r="DA11">
        <f t="shared" si="11"/>
        <v>1975.2683999999999</v>
      </c>
      <c r="DB11">
        <f t="shared" si="12"/>
        <v>2329.3217333333332</v>
      </c>
      <c r="DC11" t="str">
        <f>IFERROR(VLOOKUP(K11,源_7银行卡表_Sheet1!$A:$J,8,FALSE),"")</f>
        <v>农业银行</v>
      </c>
      <c r="DD11" t="str">
        <f>IFERROR(VLOOKUP(K11,源_7银行卡表_Sheet1!$A:$J,9,FALSE),"")</f>
        <v>6688893450796909070</v>
      </c>
      <c r="DE11" t="str">
        <f>IFERROR(VLOOKUP(K11,源_7银行卡表_Sheet1!$A:$J,10,FALSE),"")</f>
        <v>中国农业银行长治北郊分理处</v>
      </c>
      <c r="DF11" t="s">
        <v>184</v>
      </c>
      <c r="DG11">
        <v>13802615927</v>
      </c>
      <c r="DH11" t="s">
        <v>148</v>
      </c>
      <c r="DI11">
        <v>0</v>
      </c>
      <c r="DJ11">
        <v>0</v>
      </c>
      <c r="DK11">
        <v>0</v>
      </c>
      <c r="DL11">
        <v>0</v>
      </c>
      <c r="DM11">
        <v>0</v>
      </c>
      <c r="DN11">
        <v>0</v>
      </c>
      <c r="DO11">
        <v>0</v>
      </c>
      <c r="DP11">
        <v>0</v>
      </c>
      <c r="DQ11">
        <v>0</v>
      </c>
      <c r="DR11">
        <f>IF(OR(IFERROR(VLOOKUP(K11,源_3考勤报表_考勤表!$F:$BG,39,FALSE),0)+IFERROR(VLOOKUP(K11,源_8补工时表_补当月工时!$A:$AC,24,FALSE),0)=0,IFERROR(VLOOKUP(K11,源_3考勤报表_考勤表!$F:$BG,43,FALSE),0)+IFERROR(VLOOKUP(K11,源_8补工时表_补当月工时!$A:$AC,26,FALSE),0)=0),IF(BI11+BG11-BT11&lt;0,BI11+BG11-BT11,0),0)</f>
        <v>-869.05</v>
      </c>
    </row>
    <row r="12" spans="1:122" x14ac:dyDescent="0.15">
      <c r="A12">
        <f>参数!$B$2</f>
        <v>2025</v>
      </c>
      <c r="B12">
        <f>参数!$B$3</f>
        <v>12</v>
      </c>
      <c r="D12" t="s">
        <v>122</v>
      </c>
      <c r="E12" t="s">
        <v>123</v>
      </c>
      <c r="F12" t="str">
        <f>IFERROR(VLOOKUP(K12,源_7银行卡表_Sheet1!$A:$J,6,FALSE),"")</f>
        <v>华东营运</v>
      </c>
      <c r="G12" t="s">
        <v>156</v>
      </c>
      <c r="H12" t="s">
        <v>185</v>
      </c>
      <c r="I12" t="s">
        <v>126</v>
      </c>
      <c r="J12">
        <v>1</v>
      </c>
      <c r="K12">
        <v>26123011</v>
      </c>
      <c r="L12" t="s">
        <v>186</v>
      </c>
      <c r="M12" t="s">
        <v>187</v>
      </c>
      <c r="N12" t="s">
        <v>188</v>
      </c>
      <c r="P12" t="s">
        <v>154</v>
      </c>
      <c r="Q12">
        <f>IF(P12="门店全职",IFERROR(VLOOKUP(K12,源_3考勤报表_考勤表!$F:$BG,34,FALSE),0)+IFERROR(VLOOKUP(K12,源_8补工时表_补当月工时!$A:$AC,14,FALSE),0),IF(P12="门店管理组",IF(IFERROR(VLOOKUP(K12,源_3考勤报表_考勤表!$F:$BG,34,FALSE),0)+IFERROR(VLOOKUP(K12,源_8补工时表_补当月工时!$A:$AC,14,FALSE),0)+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44,FALSE),0)+IFERROR(VLOOKUP(K12,源_8补工时表_补当月工时!$A:$AC,16,FALSE),0)+IFERROR(VLOOKUP(K12,源_3考勤报表_考勤表!$F:$BG,45,FALSE),0)&gt;=参数!$B$4,参数!$B$4-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44,FALSE),0)-IFERROR(VLOOKUP(K12,源_8补工时表_补当月工时!$A:$AC,16,FALSE),0)-IFERROR(VLOOKUP(K12,源_3考勤报表_考勤表!$F:$BG,45,FALSE),0),IFERROR(VLOOKUP(K12,源_3考勤报表_考勤表!$F:$BG,34,FALSE),0)+IFERROR(VLOOKUP(K12,源_8补工时表_补当月工时!$A:$AC,14,FALSE),0)),0))</f>
        <v>0</v>
      </c>
      <c r="R12">
        <v>4190</v>
      </c>
      <c r="S12">
        <v>21</v>
      </c>
      <c r="T12">
        <f>IF(P12="门店全职",R12/参数!$B$4*(Q12-MAX(IFERROR(VLOOKUP(K12,源_3考勤报表_考勤表!$F:$BG,34,FALSE),0)+IFERROR(VLOOKUP(K12,源_8补工时表_补当月工时!$A:$AC,14,FALSE),0)+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参数!$B$4,0)),R12/参数!$B$4*Q12)</f>
        <v>0</v>
      </c>
      <c r="U12">
        <v>0</v>
      </c>
      <c r="V12">
        <v>0</v>
      </c>
      <c r="W12">
        <f t="shared" si="0"/>
        <v>0</v>
      </c>
      <c r="X12">
        <f>IFERROR(VLOOKUP(K12,源_4奖金汇总表_拆分手工算!$A:$N,8,FALSE),0)</f>
        <v>0</v>
      </c>
      <c r="Y12">
        <f>IFERROR(VLOOKUP(K12,源_5薪资备忘录_工资调整项!$A:$AC,14,FALSE),0)</f>
        <v>0</v>
      </c>
      <c r="Z12">
        <f>IFERROR(VLOOKUP(K12,源_5薪资备忘录_工资调整项!$A:$AC,16,FALSE),0)</f>
        <v>0</v>
      </c>
      <c r="AA12">
        <f>IFERROR(VLOOKUP(K12,源_5薪资备忘录_工资调整项!$A:$AC,15,FALSE),0)</f>
        <v>0</v>
      </c>
      <c r="AB12">
        <f t="shared" si="1"/>
        <v>0</v>
      </c>
      <c r="AC12">
        <f>IF(P12="门店全职",R12/174*MAX(IFERROR(VLOOKUP(K12,源_3考勤报表_考勤表!$F:$BG,34,FALSE),0)+IFERROR(VLOOKUP(K12,源_8补工时表_补当月工时!$A:$AC,14,FALSE),0)+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参数!$B$4,0)*1.5,0)</f>
        <v>0</v>
      </c>
      <c r="AD12">
        <v>0</v>
      </c>
      <c r="AE12">
        <f>IFERROR(VLOOKUP(K12,源_3考勤报表_考勤表!$F:$BG,46,FALSE),0)+IFERROR(VLOOKUP(K12,源_8补工时表_补当月工时!$A:$AC,25,FALSE),0)</f>
        <v>0</v>
      </c>
      <c r="AF12">
        <f t="shared" si="2"/>
        <v>0</v>
      </c>
      <c r="AG12">
        <f>IFERROR(VLOOKUP(K12,源_4奖金汇总表_拆分手工算!$A:$N,10,FALSE),0)</f>
        <v>36</v>
      </c>
      <c r="AH12">
        <f>IFERROR(VLOOKUP(K12,源_4奖金汇总表_拆分手工算!$A:$N,5,FALSE),0)</f>
        <v>0</v>
      </c>
      <c r="AI12">
        <f>IFERROR(VLOOKUP(K12,源_4奖金汇总表_拆分手工算!$A:$N,11,FALSE),0)</f>
        <v>0</v>
      </c>
      <c r="AJ12">
        <f>IFERROR(VLOOKUP(K12,源_4奖金汇总表_拆分手工算!$A:$N,4,FALSE),0)</f>
        <v>0</v>
      </c>
      <c r="AK12">
        <f>IFERROR(VLOOKUP(K12,源_4奖金汇总表_拆分手工算!$A:$N,3,FALSE),0)</f>
        <v>0</v>
      </c>
      <c r="AL12">
        <f>IFERROR(VLOOKUP(K12,源_4奖金汇总表_拆分手工算!$A:$N,6,FALSE),0)</f>
        <v>0</v>
      </c>
      <c r="AM12">
        <f>IFERROR(VLOOKUP(K12,源_5薪资备忘录_工资调整项!$A:$AC,18,FALSE),0)+IFERROR(VLOOKUP(K12,源_4奖金汇总表_拆分手工算!$A:$N,7,FALSE),0)</f>
        <v>0</v>
      </c>
      <c r="AN12">
        <f>IFERROR(VLOOKUP(K12,源_5薪资备忘录_工资调整项!$A:$AC,17,FALSE),0)</f>
        <v>0</v>
      </c>
      <c r="AO12">
        <f>IF(OR(IFERROR(VLOOKUP(K12,源_3考勤报表_考勤表!$F:$BG,39,FALSE),0)+IFERROR(VLOOKUP(K12,源_8补工时表_补当月工时!$A:$AC,24,FALSE),0)&gt;0,IFERROR(VLOOKUP(K12,源_3考勤报表_考勤表!$F:$BG,43,FALSE),0)+IFERROR(VLOOKUP(K12,源_8补工时表_补当月工时!$A:$AC,26,FALSE),0)&gt;0),IF(IFERROR(VLOOKUP(DH12,源_11产假政策_Sheet1!$C:$F,4,FALSE),"")="是",R12/参数!$B$4*(IFERROR(VLOOKUP(K12,源_3考勤报表_考勤表!$F:$BG,39,FALSE),0)+IFERROR(VLOOKUP(K12,源_8补工时表_补当月工时!$A:$AC,24,FALSE),0)+IFERROR(VLOOKUP(K12,源_3考勤报表_考勤表!$F:$BG,43,FALSE),0)+IFERROR(VLOOKUP(K12,源_8补工时表_补当月工时!$A:$AC,26,FALSE),0)),IFERROR(VLOOKUP(K12,源_5薪资备忘录_工资调整项!$A:$AC,19,FALSE),0)),0)</f>
        <v>0</v>
      </c>
      <c r="AP12">
        <v>0</v>
      </c>
      <c r="AQ12">
        <f>IFERROR(VLOOKUP(K12,源_4奖金汇总表_拆分手工算!$A:$N,12,FALSE),0)+IFERROR(VLOOKUP(K12,源_9年终奖表_Sheet1!$A:$E,3,FALSE),0)</f>
        <v>0</v>
      </c>
      <c r="AR12">
        <f>IFERROR(VLOOKUP(K12,源_4奖金汇总表_拆分手工算!$A:$N,13,FALSE),0)+IFERROR(VLOOKUP(K12,源_9年终奖表_Sheet1!$A:$E,4,FALSE),0)</f>
        <v>0</v>
      </c>
      <c r="AS12">
        <f>IFERROR(VLOOKUP(K12,源_4奖金汇总表_拆分手工算!$A:$N,14,FALSE),0)+IFERROR(VLOOKUP(K12,源_9年终奖表_Sheet1!$A:$E,5,FALSE),0)</f>
        <v>0</v>
      </c>
      <c r="AT12">
        <f>IFERROR(VLOOKUP(K12,源_5薪资备忘录_工资调整项!$A:$AC,20,FALSE),0)</f>
        <v>0</v>
      </c>
      <c r="AU12">
        <f>IFERROR(VLOOKUP(K12,源_5薪资备忘录_工资调整项!$A:$AC,21,FALSE),0)+IFERROR(VLOOKUP(K12,源_4奖金汇总表_拆分手工算!$A:$N,9,FALSE),0)</f>
        <v>0</v>
      </c>
      <c r="AV12">
        <f>R12/参数!$B$4*(IFERROR(VLOOKUP(K12,源_3考勤报表_考勤表!$F:$BG,37,FALSE),0)+IFERROR(VLOOKUP(K12,源_8补工时表_补当月工时!$A:$AC,15,FALSE),0))</f>
        <v>0</v>
      </c>
      <c r="AW12">
        <f>R12/174*MIN(IFERROR(VLOOKUP(K12,源_3考勤报表_考勤表!$F:$BG,35,FALSE),0),174)*IF(DATEDIF(N12,DATE(参数!$B$2,参数!$B$3+1,0),"Y")&lt;2,0.6,IF(DATEDIF(N12,DATE(参数!$B$2,参数!$B$3+1,0),"Y")&lt;4,0.7,IF(DATEDIF(N12,DATE(参数!$B$2,参数!$B$3+1,0),"Y")&lt;6,0.8,IF(DATEDIF(N12,DATE(参数!$B$2,参数!$B$3+1,0),"Y")&lt;8,0.9,1))))</f>
        <v>0</v>
      </c>
      <c r="AX12">
        <f>IF(Q12+IFERROR(VLOOKUP(K12,源_3考勤报表_考勤表!$F:$BG,37,FALSE),0)+IFERROR(VLOOKUP(K12,源_8补工时表_补当月工时!$A:$AC,15,FALSE),0)&gt;=参数!$B$4,0,IF(Q12+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lt;=参数!$B$4,R12/参数!$B$4*(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0))</f>
        <v>0</v>
      </c>
      <c r="AY12">
        <v>0</v>
      </c>
      <c r="AZ12">
        <v>0</v>
      </c>
      <c r="BA12">
        <v>0</v>
      </c>
      <c r="BB12">
        <v>0</v>
      </c>
      <c r="BC12">
        <f>IFERROR(VLOOKUP(K12,源_5薪资备忘录_工资调整项!$A:$AC,25,FALSE),0)</f>
        <v>0</v>
      </c>
      <c r="BD12">
        <v>0</v>
      </c>
      <c r="BE12">
        <v>0</v>
      </c>
      <c r="BF12">
        <v>0</v>
      </c>
      <c r="BG12">
        <f>IFERROR(VLOOKUP(K12,源_5薪资备忘录_工资调整项!$A:$AC,22,FALSE),0)+IFERROR(VLOOKUP(K12,源_5薪资备忘录_工资调整项!$A:$AC,23,FALSE),0)+IFERROR(VLOOKUP(K12,源_5薪资备忘录_工资调整项!$A:$AC,24,FALSE),0)</f>
        <v>0</v>
      </c>
      <c r="BH12">
        <f>IFERROR(VLOOKUP(DF12,源_6社保表_Sheet1!$C:$CD,80,FALSE),0)+4.5</f>
        <v>6.5</v>
      </c>
      <c r="BI12">
        <f t="shared" si="3"/>
        <v>36</v>
      </c>
      <c r="BJ12">
        <f>IFERROR(VLOOKUP(DF12,源_6社保表_Sheet1!$C:$BZ,26,FALSE),0)</f>
        <v>522.20000000000005</v>
      </c>
      <c r="BK12">
        <f>IFERROR(VLOOKUP(DF12,源_6社保表_Sheet1!$C:$BZ,27,FALSE),0)</f>
        <v>74.599999999999994</v>
      </c>
      <c r="BL12">
        <f>IFERROR(VLOOKUP(DF12,源_6社保表_Sheet1!$C:$BZ,28,FALSE),0)</f>
        <v>37.299999999999997</v>
      </c>
      <c r="BM12">
        <f>IFERROR(VLOOKUP(DF12,源_6社保表_Sheet1!$C:$BZ,30,FALSE),0)</f>
        <v>281.10000000000002</v>
      </c>
      <c r="BN12">
        <f>IFERROR(VLOOKUP(DF12,源_6社保表_Sheet1!$C:$BZ,29,FALSE),0)</f>
        <v>0</v>
      </c>
      <c r="BO12">
        <f>IFERROR(VLOOKUP(DF12,源_6社保表_Sheet1!$C:$BZ,40,FALSE),0)</f>
        <v>0</v>
      </c>
      <c r="BP12">
        <f>IFERROR(VLOOKUP(DF12,源_6社保表_Sheet1!$C:$BZ,41,FALSE),0)</f>
        <v>0</v>
      </c>
      <c r="BQ12">
        <f>IFERROR(VLOOKUP(DF12,源_6社保表_Sheet1!$C:$BZ,42,FALSE),0)</f>
        <v>0</v>
      </c>
      <c r="BR12">
        <f>IFERROR(VLOOKUP(DF12,源_6社保表_Sheet1!$C:$BZ,44,FALSE),0)</f>
        <v>0</v>
      </c>
      <c r="BS12">
        <f>IFERROR(VLOOKUP(DF12,源_6社保表_Sheet1!$C:$BZ,43,FALSE),0)</f>
        <v>0</v>
      </c>
      <c r="BT12">
        <f t="shared" si="4"/>
        <v>915.2</v>
      </c>
      <c r="BU12">
        <v>0</v>
      </c>
      <c r="BV12">
        <v>0</v>
      </c>
      <c r="BW12">
        <v>0</v>
      </c>
      <c r="BX12">
        <f t="shared" si="5"/>
        <v>0</v>
      </c>
      <c r="BY12">
        <v>0</v>
      </c>
      <c r="BZ12">
        <f>IFERROR(VLOOKUP(DF12,源_6社保表_Sheet1!$C:$BZ,18,FALSE),0)</f>
        <v>1119</v>
      </c>
      <c r="CA12">
        <f>IFERROR(VLOOKUP(DF12,源_6社保表_Sheet1!$C:$BZ,19,FALSE),0)</f>
        <v>596.79999999999995</v>
      </c>
      <c r="CB12">
        <f>IFERROR(VLOOKUP(DF12,源_6社保表_Sheet1!$C:$BZ,24,FALSE),0)</f>
        <v>281.10000000000002</v>
      </c>
      <c r="CC12">
        <f>IFERROR(VLOOKUP(DF12,源_6社保表_Sheet1!$C:$BZ,20,FALSE),0)</f>
        <v>37.299999999999997</v>
      </c>
      <c r="CD12">
        <f>IFERROR(VLOOKUP(DF12,源_6社保表_Sheet1!$C:$BZ,21,FALSE),0)</f>
        <v>23.872</v>
      </c>
      <c r="CE12">
        <f>IFERROR(VLOOKUP(DF12,源_6社保表_Sheet1!$C:$BZ,22,FALSE),0)</f>
        <v>0</v>
      </c>
      <c r="CF12">
        <f>IFERROR(VLOOKUP(DF12,源_6社保表_Sheet1!$C:$BZ,23,FALSE),0)</f>
        <v>0</v>
      </c>
      <c r="CG12">
        <f>IFERROR(VLOOKUP(DF12,源_6社保表_Sheet1!$C:$BZ,32,FALSE),0)</f>
        <v>0</v>
      </c>
      <c r="CH12">
        <f>IFERROR(VLOOKUP(DF12,源_6社保表_Sheet1!$C:$BZ,33,FALSE),0)</f>
        <v>0</v>
      </c>
      <c r="CI12">
        <f>IFERROR(VLOOKUP(DF12,源_6社保表_Sheet1!$C:$BZ,34,FALSE),0)</f>
        <v>0</v>
      </c>
      <c r="CJ12">
        <f>IFERROR(VLOOKUP(DF12,源_6社保表_Sheet1!$C:$BZ,38,FALSE),0)</f>
        <v>0</v>
      </c>
      <c r="CK12">
        <f>IFERROR(VLOOKUP(DF12,源_6社保表_Sheet1!$C:$BZ,35,FALSE),0)</f>
        <v>0</v>
      </c>
      <c r="CL12">
        <f>IFERROR(VLOOKUP(DF12,源_6社保表_Sheet1!$C:$BZ,36,FALSE),0)</f>
        <v>0</v>
      </c>
      <c r="CM12">
        <f>IFERROR(VLOOKUP(DF12,源_6社保表_Sheet1!$C:$BZ,37,FALSE),0)</f>
        <v>0</v>
      </c>
      <c r="CN12">
        <f t="shared" si="6"/>
        <v>2058.0720000000001</v>
      </c>
      <c r="CO12">
        <f t="shared" si="7"/>
        <v>2100.5720000000001</v>
      </c>
      <c r="CP12">
        <f>IF(IFERROR(VLOOKUP(K12,源_13残疾人信息_残疾人信息!$A:$M,1,FALSE),"")&lt;&gt;"",0,IF(OR(P12="门店全职",P12="门店管理组",P12="全职(非门店)"),(BI12-AT12)*IFERROR(VLOOKUP(D12,源_12计提残保金规则_Sheet1!$A:$E,4,FALSE),0)*IFERROR(VLOOKUP(D12,源_12计提残保金规则_Sheet1!$A:$E,5,FALSE),0),0))</f>
        <v>0</v>
      </c>
      <c r="CQ12">
        <f t="shared" si="8"/>
        <v>16.05</v>
      </c>
      <c r="CR12">
        <f t="shared" si="9"/>
        <v>20.67</v>
      </c>
      <c r="CS12">
        <f>IF(DATEVALUE(N12)&gt;DATE(参数!$B$2,9,30),0,IF(M12="行政",0,IF(O12="",R12/12,IF(MONTH(DATEVALUE(O12))=参数!$B$3,0,IF(DATEVALUE(O12)&lt;DATE(参数!$B$2,参数!$B$3,1),0,R12/12)))))</f>
        <v>349.16666666666669</v>
      </c>
      <c r="CT12">
        <f t="shared" si="10"/>
        <v>0</v>
      </c>
      <c r="CU12">
        <f>IFERROR(VLOOKUP(DF12,源_6社保表_Sheet1!$C:$I,2,FALSE),0)</f>
        <v>7460</v>
      </c>
      <c r="CV12">
        <f>IFERROR(VLOOKUP(DF12,源_6社保表_Sheet1!$C:$I,7,FALSE),0)</f>
        <v>4685</v>
      </c>
      <c r="CW12">
        <f>IFERROR(VLOOKUP(DF12,源_6社保表_Sheet1!$C:$I,3,FALSE),0)</f>
        <v>7460</v>
      </c>
      <c r="CX12">
        <f>IFERROR(VLOOKUP(DF12,源_6社保表_Sheet1!$C:$I,4,FALSE),0)</f>
        <v>7460</v>
      </c>
      <c r="CY12">
        <f>IFERROR(VLOOKUP(DF12,源_6社保表_Sheet1!$C:$I,5,FALSE),0)</f>
        <v>7460</v>
      </c>
      <c r="CZ12">
        <f>IFERROR(VLOOKUP(DF12,源_6社保表_Sheet1!$C:$I,6,FALSE),0)</f>
        <v>0</v>
      </c>
      <c r="DA12">
        <f t="shared" si="11"/>
        <v>2058.0720000000001</v>
      </c>
      <c r="DB12">
        <f t="shared" si="12"/>
        <v>2450.4586666666669</v>
      </c>
      <c r="DC12" t="str">
        <f>IFERROR(VLOOKUP(K12,源_7银行卡表_Sheet1!$A:$J,8,FALSE),"")</f>
        <v>农业银行</v>
      </c>
      <c r="DD12" t="str">
        <f>IFERROR(VLOOKUP(K12,源_7银行卡表_Sheet1!$A:$J,9,FALSE),"")</f>
        <v>6686635752998250677</v>
      </c>
      <c r="DE12" t="str">
        <f>IFERROR(VLOOKUP(K12,源_7银行卡表_Sheet1!$A:$J,10,FALSE),"")</f>
        <v>中国农业银行长治鹿家庄分理处</v>
      </c>
      <c r="DF12" t="s">
        <v>189</v>
      </c>
      <c r="DG12">
        <v>15355302246</v>
      </c>
      <c r="DH12" t="s">
        <v>133</v>
      </c>
      <c r="DI12">
        <v>0</v>
      </c>
      <c r="DJ12">
        <v>0</v>
      </c>
      <c r="DK12">
        <v>0</v>
      </c>
      <c r="DL12">
        <v>0</v>
      </c>
      <c r="DM12">
        <v>0</v>
      </c>
      <c r="DN12">
        <v>0</v>
      </c>
      <c r="DO12">
        <v>0</v>
      </c>
      <c r="DP12">
        <v>0</v>
      </c>
      <c r="DQ12">
        <v>0</v>
      </c>
      <c r="DR12">
        <f>IF(OR(IFERROR(VLOOKUP(K12,源_3考勤报表_考勤表!$F:$BG,39,FALSE),0)+IFERROR(VLOOKUP(K12,源_8补工时表_补当月工时!$A:$AC,24,FALSE),0)=0,IFERROR(VLOOKUP(K12,源_3考勤报表_考勤表!$F:$BG,43,FALSE),0)+IFERROR(VLOOKUP(K12,源_8补工时表_补当月工时!$A:$AC,26,FALSE),0)=0),IF(BI12+BG12-BT12&lt;0,BI12+BG12-BT12,0),0)</f>
        <v>-879.2</v>
      </c>
    </row>
    <row r="13" spans="1:122" x14ac:dyDescent="0.15">
      <c r="A13">
        <f>参数!$B$2</f>
        <v>2025</v>
      </c>
      <c r="B13">
        <f>参数!$B$3</f>
        <v>12</v>
      </c>
      <c r="D13" t="s">
        <v>165</v>
      </c>
      <c r="E13" t="s">
        <v>123</v>
      </c>
      <c r="F13" t="str">
        <f>IFERROR(VLOOKUP(K13,源_7银行卡表_Sheet1!$A:$J,6,FALSE),"")</f>
        <v>华北营运</v>
      </c>
      <c r="G13" t="s">
        <v>166</v>
      </c>
      <c r="H13" t="s">
        <v>190</v>
      </c>
      <c r="I13" t="s">
        <v>168</v>
      </c>
      <c r="J13">
        <v>1</v>
      </c>
      <c r="K13">
        <v>26123012</v>
      </c>
      <c r="L13" t="s">
        <v>191</v>
      </c>
      <c r="M13" t="s">
        <v>140</v>
      </c>
      <c r="N13" t="s">
        <v>192</v>
      </c>
      <c r="P13" t="s">
        <v>131</v>
      </c>
      <c r="Q13">
        <f>IF(P13="门店全职",IFERROR(VLOOKUP(K13,源_3考勤报表_考勤表!$F:$BG,34,FALSE),0)+IFERROR(VLOOKUP(K13,源_8补工时表_补当月工时!$A:$AC,14,FALSE),0),IF(P13="门店管理组",IF(IFERROR(VLOOKUP(K13,源_3考勤报表_考勤表!$F:$BG,34,FALSE),0)+IFERROR(VLOOKUP(K13,源_8补工时表_补当月工时!$A:$AC,14,FALSE),0)+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44,FALSE),0)+IFERROR(VLOOKUP(K13,源_8补工时表_补当月工时!$A:$AC,16,FALSE),0)+IFERROR(VLOOKUP(K13,源_3考勤报表_考勤表!$F:$BG,45,FALSE),0)&gt;=参数!$B$4,参数!$B$4-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44,FALSE),0)-IFERROR(VLOOKUP(K13,源_8补工时表_补当月工时!$A:$AC,16,FALSE),0)-IFERROR(VLOOKUP(K13,源_3考勤报表_考勤表!$F:$BG,45,FALSE),0),IFERROR(VLOOKUP(K13,源_3考勤报表_考勤表!$F:$BG,34,FALSE),0)+IFERROR(VLOOKUP(K13,源_8补工时表_补当月工时!$A:$AC,14,FALSE),0)),0))</f>
        <v>0</v>
      </c>
      <c r="R13">
        <v>5431</v>
      </c>
      <c r="S13">
        <v>0</v>
      </c>
      <c r="T13">
        <f>IF(P13="门店全职",R13/参数!$B$4*(Q13-MAX(IFERROR(VLOOKUP(K13,源_3考勤报表_考勤表!$F:$BG,34,FALSE),0)+IFERROR(VLOOKUP(K13,源_8补工时表_补当月工时!$A:$AC,14,FALSE),0)+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参数!$B$4,0)),R13/参数!$B$4*Q13)</f>
        <v>0</v>
      </c>
      <c r="U13">
        <v>0</v>
      </c>
      <c r="V13">
        <v>0</v>
      </c>
      <c r="W13">
        <f t="shared" si="0"/>
        <v>102</v>
      </c>
      <c r="X13">
        <f>IFERROR(VLOOKUP(K13,源_4奖金汇总表_拆分手工算!$A:$N,8,FALSE),0)</f>
        <v>102</v>
      </c>
      <c r="Y13">
        <f>IFERROR(VLOOKUP(K13,源_5薪资备忘录_工资调整项!$A:$AC,14,FALSE),0)</f>
        <v>0</v>
      </c>
      <c r="Z13">
        <f>IFERROR(VLOOKUP(K13,源_5薪资备忘录_工资调整项!$A:$AC,16,FALSE),0)</f>
        <v>0</v>
      </c>
      <c r="AA13">
        <f>IFERROR(VLOOKUP(K13,源_5薪资备忘录_工资调整项!$A:$AC,15,FALSE),0)</f>
        <v>0</v>
      </c>
      <c r="AB13">
        <f t="shared" si="1"/>
        <v>0</v>
      </c>
      <c r="AC13">
        <f>IF(P13="门店全职",R13/174*MAX(IFERROR(VLOOKUP(K13,源_3考勤报表_考勤表!$F:$BG,34,FALSE),0)+IFERROR(VLOOKUP(K13,源_8补工时表_补当月工时!$A:$AC,14,FALSE),0)+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参数!$B$4,0)*1.5,0)</f>
        <v>0</v>
      </c>
      <c r="AD13">
        <v>0</v>
      </c>
      <c r="AE13">
        <f>IFERROR(VLOOKUP(K13,源_3考勤报表_考勤表!$F:$BG,46,FALSE),0)+IFERROR(VLOOKUP(K13,源_8补工时表_补当月工时!$A:$AC,25,FALSE),0)</f>
        <v>0</v>
      </c>
      <c r="AF13">
        <f t="shared" si="2"/>
        <v>0</v>
      </c>
      <c r="AG13">
        <f>IFERROR(VLOOKUP(K13,源_4奖金汇总表_拆分手工算!$A:$N,10,FALSE),0)</f>
        <v>0</v>
      </c>
      <c r="AH13">
        <f>IFERROR(VLOOKUP(K13,源_4奖金汇总表_拆分手工算!$A:$N,5,FALSE),0)</f>
        <v>0</v>
      </c>
      <c r="AI13">
        <f>IFERROR(VLOOKUP(K13,源_4奖金汇总表_拆分手工算!$A:$N,11,FALSE),0)</f>
        <v>0</v>
      </c>
      <c r="AJ13">
        <f>IFERROR(VLOOKUP(K13,源_4奖金汇总表_拆分手工算!$A:$N,4,FALSE),0)</f>
        <v>0</v>
      </c>
      <c r="AK13">
        <f>IFERROR(VLOOKUP(K13,源_4奖金汇总表_拆分手工算!$A:$N,3,FALSE),0)</f>
        <v>0</v>
      </c>
      <c r="AL13">
        <f>IFERROR(VLOOKUP(K13,源_4奖金汇总表_拆分手工算!$A:$N,6,FALSE),0)</f>
        <v>150</v>
      </c>
      <c r="AM13">
        <f>IFERROR(VLOOKUP(K13,源_5薪资备忘录_工资调整项!$A:$AC,18,FALSE),0)+IFERROR(VLOOKUP(K13,源_4奖金汇总表_拆分手工算!$A:$N,7,FALSE),0)</f>
        <v>0</v>
      </c>
      <c r="AN13">
        <f>IFERROR(VLOOKUP(K13,源_5薪资备忘录_工资调整项!$A:$AC,17,FALSE),0)</f>
        <v>0</v>
      </c>
      <c r="AO13">
        <f>IF(OR(IFERROR(VLOOKUP(K13,源_3考勤报表_考勤表!$F:$BG,39,FALSE),0)+IFERROR(VLOOKUP(K13,源_8补工时表_补当月工时!$A:$AC,24,FALSE),0)&gt;0,IFERROR(VLOOKUP(K13,源_3考勤报表_考勤表!$F:$BG,43,FALSE),0)+IFERROR(VLOOKUP(K13,源_8补工时表_补当月工时!$A:$AC,26,FALSE),0)&gt;0),IF(IFERROR(VLOOKUP(DH13,源_11产假政策_Sheet1!$C:$F,4,FALSE),"")="是",R13/参数!$B$4*(IFERROR(VLOOKUP(K13,源_3考勤报表_考勤表!$F:$BG,39,FALSE),0)+IFERROR(VLOOKUP(K13,源_8补工时表_补当月工时!$A:$AC,24,FALSE),0)+IFERROR(VLOOKUP(K13,源_3考勤报表_考勤表!$F:$BG,43,FALSE),0)+IFERROR(VLOOKUP(K13,源_8补工时表_补当月工时!$A:$AC,26,FALSE),0)),IFERROR(VLOOKUP(K13,源_5薪资备忘录_工资调整项!$A:$AC,19,FALSE),0)),0)</f>
        <v>0</v>
      </c>
      <c r="AP13">
        <v>0</v>
      </c>
      <c r="AQ13">
        <f>IFERROR(VLOOKUP(K13,源_4奖金汇总表_拆分手工算!$A:$N,12,FALSE),0)+IFERROR(VLOOKUP(K13,源_9年终奖表_Sheet1!$A:$E,3,FALSE),0)</f>
        <v>1000</v>
      </c>
      <c r="AR13">
        <f>IFERROR(VLOOKUP(K13,源_4奖金汇总表_拆分手工算!$A:$N,13,FALSE),0)+IFERROR(VLOOKUP(K13,源_9年终奖表_Sheet1!$A:$E,4,FALSE),0)</f>
        <v>600</v>
      </c>
      <c r="AS13">
        <f>IFERROR(VLOOKUP(K13,源_4奖金汇总表_拆分手工算!$A:$N,14,FALSE),0)+IFERROR(VLOOKUP(K13,源_9年终奖表_Sheet1!$A:$E,5,FALSE),0)</f>
        <v>111</v>
      </c>
      <c r="AT13">
        <f>IFERROR(VLOOKUP(K13,源_5薪资备忘录_工资调整项!$A:$AC,20,FALSE),0)</f>
        <v>0</v>
      </c>
      <c r="AU13">
        <f>IFERROR(VLOOKUP(K13,源_5薪资备忘录_工资调整项!$A:$AC,21,FALSE),0)+IFERROR(VLOOKUP(K13,源_4奖金汇总表_拆分手工算!$A:$N,9,FALSE),0)</f>
        <v>1733.79</v>
      </c>
      <c r="AV13">
        <f>R13/参数!$B$4*(IFERROR(VLOOKUP(K13,源_3考勤报表_考勤表!$F:$BG,37,FALSE),0)+IFERROR(VLOOKUP(K13,源_8补工时表_补当月工时!$A:$AC,15,FALSE),0))</f>
        <v>0</v>
      </c>
      <c r="AW13">
        <f>R13/174*MIN(IFERROR(VLOOKUP(K13,源_3考勤报表_考勤表!$F:$BG,35,FALSE),0),174)*IF(DATEDIF(N13,DATE(参数!$B$2,参数!$B$3+1,0),"Y")&lt;2,0.6,IF(DATEDIF(N13,DATE(参数!$B$2,参数!$B$3+1,0),"Y")&lt;4,0.7,IF(DATEDIF(N13,DATE(参数!$B$2,参数!$B$3+1,0),"Y")&lt;6,0.8,IF(DATEDIF(N13,DATE(参数!$B$2,参数!$B$3+1,0),"Y")&lt;8,0.9,1))))</f>
        <v>0</v>
      </c>
      <c r="AX13">
        <f>IF(Q13+IFERROR(VLOOKUP(K13,源_3考勤报表_考勤表!$F:$BG,37,FALSE),0)+IFERROR(VLOOKUP(K13,源_8补工时表_补当月工时!$A:$AC,15,FALSE),0)&gt;=参数!$B$4,0,IF(Q13+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lt;=参数!$B$4,R13/参数!$B$4*(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0))</f>
        <v>0</v>
      </c>
      <c r="AY13">
        <v>0</v>
      </c>
      <c r="AZ13">
        <v>0</v>
      </c>
      <c r="BA13">
        <v>0</v>
      </c>
      <c r="BB13">
        <v>0</v>
      </c>
      <c r="BC13">
        <f>IFERROR(VLOOKUP(K13,源_5薪资备忘录_工资调整项!$A:$AC,25,FALSE),0)</f>
        <v>0</v>
      </c>
      <c r="BD13">
        <v>0</v>
      </c>
      <c r="BE13">
        <v>0</v>
      </c>
      <c r="BF13">
        <v>0</v>
      </c>
      <c r="BG13">
        <f>IFERROR(VLOOKUP(K13,源_5薪资备忘录_工资调整项!$A:$AC,22,FALSE),0)+IFERROR(VLOOKUP(K13,源_5薪资备忘录_工资调整项!$A:$AC,23,FALSE),0)+IFERROR(VLOOKUP(K13,源_5薪资备忘录_工资调整项!$A:$AC,24,FALSE),0)</f>
        <v>0</v>
      </c>
      <c r="BH13">
        <f>IFERROR(VLOOKUP(DF13,源_6社保表_Sheet1!$C:$CD,80,FALSE),0)+4.5</f>
        <v>6.5</v>
      </c>
      <c r="BI13">
        <f t="shared" si="3"/>
        <v>3696.79</v>
      </c>
      <c r="BJ13">
        <f>IFERROR(VLOOKUP(DF13,源_6社保表_Sheet1!$C:$BZ,26,FALSE),0)</f>
        <v>557.13</v>
      </c>
      <c r="BK13">
        <f>IFERROR(VLOOKUP(DF13,源_6社保表_Sheet1!$C:$BZ,27,FALSE),0)</f>
        <v>79.59</v>
      </c>
      <c r="BL13">
        <f>IFERROR(VLOOKUP(DF13,源_6社保表_Sheet1!$C:$BZ,28,FALSE),0)</f>
        <v>39.795000000000002</v>
      </c>
      <c r="BM13">
        <f>IFERROR(VLOOKUP(DF13,源_6社保表_Sheet1!$C:$BZ,30,FALSE),0)</f>
        <v>477.54</v>
      </c>
      <c r="BN13">
        <f>IFERROR(VLOOKUP(DF13,源_6社保表_Sheet1!$C:$BZ,29,FALSE),0)</f>
        <v>0</v>
      </c>
      <c r="BO13">
        <f>IFERROR(VLOOKUP(DF13,源_6社保表_Sheet1!$C:$BZ,40,FALSE),0)</f>
        <v>0</v>
      </c>
      <c r="BP13">
        <f>IFERROR(VLOOKUP(DF13,源_6社保表_Sheet1!$C:$BZ,41,FALSE),0)</f>
        <v>0</v>
      </c>
      <c r="BQ13">
        <f>IFERROR(VLOOKUP(DF13,源_6社保表_Sheet1!$C:$BZ,42,FALSE),0)</f>
        <v>0</v>
      </c>
      <c r="BR13">
        <f>IFERROR(VLOOKUP(DF13,源_6社保表_Sheet1!$C:$BZ,44,FALSE),0)</f>
        <v>0</v>
      </c>
      <c r="BS13">
        <f>IFERROR(VLOOKUP(DF13,源_6社保表_Sheet1!$C:$BZ,43,FALSE),0)</f>
        <v>0</v>
      </c>
      <c r="BT13">
        <f t="shared" si="4"/>
        <v>1154.0550000000001</v>
      </c>
      <c r="BU13">
        <v>0</v>
      </c>
      <c r="BV13">
        <v>0</v>
      </c>
      <c r="BW13">
        <v>0</v>
      </c>
      <c r="BX13">
        <f t="shared" si="5"/>
        <v>0</v>
      </c>
      <c r="BY13">
        <v>0</v>
      </c>
      <c r="BZ13">
        <f>IFERROR(VLOOKUP(DF13,源_6社保表_Sheet1!$C:$BZ,18,FALSE),0)</f>
        <v>1193.8499999999999</v>
      </c>
      <c r="CA13">
        <f>IFERROR(VLOOKUP(DF13,源_6社保表_Sheet1!$C:$BZ,19,FALSE),0)</f>
        <v>636.72</v>
      </c>
      <c r="CB13">
        <f>IFERROR(VLOOKUP(DF13,源_6社保表_Sheet1!$C:$BZ,24,FALSE),0)</f>
        <v>477.54</v>
      </c>
      <c r="CC13">
        <f>IFERROR(VLOOKUP(DF13,源_6社保表_Sheet1!$C:$BZ,20,FALSE),0)</f>
        <v>39.795000000000002</v>
      </c>
      <c r="CD13">
        <f>IFERROR(VLOOKUP(DF13,源_6社保表_Sheet1!$C:$BZ,21,FALSE),0)</f>
        <v>25.468800000000002</v>
      </c>
      <c r="CE13">
        <f>IFERROR(VLOOKUP(DF13,源_6社保表_Sheet1!$C:$BZ,22,FALSE),0)</f>
        <v>0</v>
      </c>
      <c r="CF13">
        <f>IFERROR(VLOOKUP(DF13,源_6社保表_Sheet1!$C:$BZ,23,FALSE),0)</f>
        <v>0</v>
      </c>
      <c r="CG13">
        <f>IFERROR(VLOOKUP(DF13,源_6社保表_Sheet1!$C:$BZ,32,FALSE),0)</f>
        <v>0</v>
      </c>
      <c r="CH13">
        <f>IFERROR(VLOOKUP(DF13,源_6社保表_Sheet1!$C:$BZ,33,FALSE),0)</f>
        <v>0</v>
      </c>
      <c r="CI13">
        <f>IFERROR(VLOOKUP(DF13,源_6社保表_Sheet1!$C:$BZ,34,FALSE),0)</f>
        <v>0</v>
      </c>
      <c r="CJ13">
        <f>IFERROR(VLOOKUP(DF13,源_6社保表_Sheet1!$C:$BZ,38,FALSE),0)</f>
        <v>0</v>
      </c>
      <c r="CK13">
        <f>IFERROR(VLOOKUP(DF13,源_6社保表_Sheet1!$C:$BZ,35,FALSE),0)</f>
        <v>0</v>
      </c>
      <c r="CL13">
        <f>IFERROR(VLOOKUP(DF13,源_6社保表_Sheet1!$C:$BZ,36,FALSE),0)</f>
        <v>0</v>
      </c>
      <c r="CM13">
        <f>IFERROR(VLOOKUP(DF13,源_6社保表_Sheet1!$C:$BZ,37,FALSE),0)</f>
        <v>0</v>
      </c>
      <c r="CN13">
        <f t="shared" si="6"/>
        <v>2373.3738000000003</v>
      </c>
      <c r="CO13">
        <f t="shared" si="7"/>
        <v>6076.6638000000003</v>
      </c>
      <c r="CP13">
        <f>IF(IFERROR(VLOOKUP(K13,源_13残疾人信息_残疾人信息!$A:$M,1,FALSE),"")&lt;&gt;"",0,IF(OR(P13="门店全职",P13="门店管理组",P13="全职(非门店)"),(BI13-AT13)*IFERROR(VLOOKUP(D13,源_12计提残保金规则_Sheet1!$A:$E,4,FALSE),0)*IFERROR(VLOOKUP(D13,源_12计提残保金规则_Sheet1!$A:$E,5,FALSE),0),0))</f>
        <v>49.906665000000004</v>
      </c>
      <c r="CQ13">
        <f t="shared" si="8"/>
        <v>16.05</v>
      </c>
      <c r="CR13">
        <f t="shared" si="9"/>
        <v>20.67</v>
      </c>
      <c r="CS13">
        <f>IF(DATEVALUE(N13)&gt;DATE(参数!$B$2,9,30),0,IF(M13="行政",0,IF(O13="",R13/12,IF(MONTH(DATEVALUE(O13))=参数!$B$3,0,IF(DATEVALUE(O13)&lt;DATE(参数!$B$2,参数!$B$3,1),0,R13/12)))))</f>
        <v>452.58333333333331</v>
      </c>
      <c r="CT13">
        <f t="shared" si="10"/>
        <v>553.96199999999999</v>
      </c>
      <c r="CU13">
        <f>IFERROR(VLOOKUP(DF13,源_6社保表_Sheet1!$C:$I,2,FALSE),0)</f>
        <v>7959</v>
      </c>
      <c r="CV13">
        <f>IFERROR(VLOOKUP(DF13,源_6社保表_Sheet1!$C:$I,7,FALSE),0)</f>
        <v>7959</v>
      </c>
      <c r="CW13">
        <f>IFERROR(VLOOKUP(DF13,源_6社保表_Sheet1!$C:$I,3,FALSE),0)</f>
        <v>7959</v>
      </c>
      <c r="CX13">
        <f>IFERROR(VLOOKUP(DF13,源_6社保表_Sheet1!$C:$I,4,FALSE),0)</f>
        <v>7959</v>
      </c>
      <c r="CY13">
        <f>IFERROR(VLOOKUP(DF13,源_6社保表_Sheet1!$C:$I,5,FALSE),0)</f>
        <v>7959</v>
      </c>
      <c r="CZ13">
        <f>IFERROR(VLOOKUP(DF13,源_6社保表_Sheet1!$C:$I,6,FALSE),0)</f>
        <v>0</v>
      </c>
      <c r="DA13">
        <f t="shared" si="11"/>
        <v>4209.1638000000003</v>
      </c>
      <c r="DB13">
        <f t="shared" si="12"/>
        <v>5308.8357983333335</v>
      </c>
      <c r="DC13" t="str">
        <f>IFERROR(VLOOKUP(K13,源_7银行卡表_Sheet1!$A:$J,8,FALSE),"")</f>
        <v>农业银行</v>
      </c>
      <c r="DD13" t="str">
        <f>IFERROR(VLOOKUP(K13,源_7银行卡表_Sheet1!$A:$J,9,FALSE),"")</f>
        <v>6688665832537793920</v>
      </c>
      <c r="DE13" t="str">
        <f>IFERROR(VLOOKUP(K13,源_7银行卡表_Sheet1!$A:$J,10,FALSE),"")</f>
        <v>中国农业银行长治故县支行</v>
      </c>
      <c r="DF13" t="s">
        <v>193</v>
      </c>
      <c r="DG13">
        <v>18682732412</v>
      </c>
      <c r="DH13" t="s">
        <v>166</v>
      </c>
      <c r="DI13">
        <v>0</v>
      </c>
      <c r="DJ13">
        <v>0</v>
      </c>
      <c r="DK13">
        <v>0</v>
      </c>
      <c r="DL13">
        <v>0</v>
      </c>
      <c r="DM13">
        <v>0</v>
      </c>
      <c r="DN13">
        <v>0</v>
      </c>
      <c r="DO13">
        <v>0</v>
      </c>
      <c r="DP13">
        <v>0</v>
      </c>
      <c r="DQ13">
        <v>0</v>
      </c>
      <c r="DR13">
        <f>IF(OR(IFERROR(VLOOKUP(K13,源_3考勤报表_考勤表!$F:$BG,39,FALSE),0)+IFERROR(VLOOKUP(K13,源_8补工时表_补当月工时!$A:$AC,24,FALSE),0)=0,IFERROR(VLOOKUP(K13,源_3考勤报表_考勤表!$F:$BG,43,FALSE),0)+IFERROR(VLOOKUP(K13,源_8补工时表_补当月工时!$A:$AC,26,FALSE),0)=0),IF(BI13+BG13-BT13&lt;0,BI13+BG13-BT13,0),0)</f>
        <v>0</v>
      </c>
    </row>
    <row r="14" spans="1:122" x14ac:dyDescent="0.15">
      <c r="A14">
        <f>参数!$B$2</f>
        <v>2025</v>
      </c>
      <c r="B14">
        <f>参数!$B$3</f>
        <v>12</v>
      </c>
      <c r="D14" t="s">
        <v>147</v>
      </c>
      <c r="E14" t="s">
        <v>123</v>
      </c>
      <c r="F14" t="str">
        <f>IFERROR(VLOOKUP(K14,源_7银行卡表_Sheet1!$A:$J,6,FALSE),"")</f>
        <v>华北营运</v>
      </c>
      <c r="G14" t="s">
        <v>148</v>
      </c>
      <c r="H14" t="s">
        <v>194</v>
      </c>
      <c r="I14" t="s">
        <v>150</v>
      </c>
      <c r="J14">
        <v>1</v>
      </c>
      <c r="K14">
        <v>26123013</v>
      </c>
      <c r="L14" t="s">
        <v>195</v>
      </c>
      <c r="M14" t="s">
        <v>128</v>
      </c>
      <c r="N14" t="s">
        <v>196</v>
      </c>
      <c r="P14" t="s">
        <v>131</v>
      </c>
      <c r="Q14">
        <f>IF(P14="门店全职",IFERROR(VLOOKUP(K14,源_3考勤报表_考勤表!$F:$BG,34,FALSE),0)+IFERROR(VLOOKUP(K14,源_8补工时表_补当月工时!$A:$AC,14,FALSE),0),IF(P14="门店管理组",IF(IFERROR(VLOOKUP(K14,源_3考勤报表_考勤表!$F:$BG,34,FALSE),0)+IFERROR(VLOOKUP(K14,源_8补工时表_补当月工时!$A:$AC,14,FALSE),0)+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44,FALSE),0)+IFERROR(VLOOKUP(K14,源_8补工时表_补当月工时!$A:$AC,16,FALSE),0)+IFERROR(VLOOKUP(K14,源_3考勤报表_考勤表!$F:$BG,45,FALSE),0)&gt;=参数!$B$4,参数!$B$4-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44,FALSE),0)-IFERROR(VLOOKUP(K14,源_8补工时表_补当月工时!$A:$AC,16,FALSE),0)-IFERROR(VLOOKUP(K14,源_3考勤报表_考勤表!$F:$BG,45,FALSE),0),IFERROR(VLOOKUP(K14,源_3考勤报表_考勤表!$F:$BG,34,FALSE),0)+IFERROR(VLOOKUP(K14,源_8补工时表_补当月工时!$A:$AC,14,FALSE),0)),0))</f>
        <v>184</v>
      </c>
      <c r="R14">
        <v>7352</v>
      </c>
      <c r="S14">
        <v>0</v>
      </c>
      <c r="T14">
        <f>IF(P14="门店全职",R14/参数!$B$4*(Q14-MAX(IFERROR(VLOOKUP(K14,源_3考勤报表_考勤表!$F:$BG,34,FALSE),0)+IFERROR(VLOOKUP(K14,源_8补工时表_补当月工时!$A:$AC,14,FALSE),0)+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参数!$B$4,0)),R14/参数!$B$4*Q14)</f>
        <v>7352</v>
      </c>
      <c r="U14">
        <v>0</v>
      </c>
      <c r="V14">
        <v>0</v>
      </c>
      <c r="W14">
        <f t="shared" si="0"/>
        <v>0</v>
      </c>
      <c r="X14">
        <f>IFERROR(VLOOKUP(K14,源_4奖金汇总表_拆分手工算!$A:$N,8,FALSE),0)</f>
        <v>0</v>
      </c>
      <c r="Y14">
        <f>IFERROR(VLOOKUP(K14,源_5薪资备忘录_工资调整项!$A:$AC,14,FALSE),0)</f>
        <v>0</v>
      </c>
      <c r="Z14">
        <f>IFERROR(VLOOKUP(K14,源_5薪资备忘录_工资调整项!$A:$AC,16,FALSE),0)</f>
        <v>0</v>
      </c>
      <c r="AA14">
        <f>IFERROR(VLOOKUP(K14,源_5薪资备忘录_工资调整项!$A:$AC,15,FALSE),0)</f>
        <v>0</v>
      </c>
      <c r="AB14">
        <f t="shared" si="1"/>
        <v>0</v>
      </c>
      <c r="AC14">
        <f>IF(P14="门店全职",R14/174*MAX(IFERROR(VLOOKUP(K14,源_3考勤报表_考勤表!$F:$BG,34,FALSE),0)+IFERROR(VLOOKUP(K14,源_8补工时表_补当月工时!$A:$AC,14,FALSE),0)+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参数!$B$4,0)*1.5,0)</f>
        <v>0</v>
      </c>
      <c r="AD14">
        <v>0</v>
      </c>
      <c r="AE14">
        <f>IFERROR(VLOOKUP(K14,源_3考勤报表_考勤表!$F:$BG,46,FALSE),0)+IFERROR(VLOOKUP(K14,源_8补工时表_补当月工时!$A:$AC,25,FALSE),0)</f>
        <v>0</v>
      </c>
      <c r="AF14">
        <f t="shared" si="2"/>
        <v>0</v>
      </c>
      <c r="AG14">
        <f>IFERROR(VLOOKUP(K14,源_4奖金汇总表_拆分手工算!$A:$N,10,FALSE),0)</f>
        <v>0</v>
      </c>
      <c r="AH14">
        <f>IFERROR(VLOOKUP(K14,源_4奖金汇总表_拆分手工算!$A:$N,5,FALSE),0)</f>
        <v>0</v>
      </c>
      <c r="AI14">
        <f>IFERROR(VLOOKUP(K14,源_4奖金汇总表_拆分手工算!$A:$N,11,FALSE),0)</f>
        <v>1500</v>
      </c>
      <c r="AJ14">
        <f>IFERROR(VLOOKUP(K14,源_4奖金汇总表_拆分手工算!$A:$N,4,FALSE),0)</f>
        <v>0</v>
      </c>
      <c r="AK14">
        <f>IFERROR(VLOOKUP(K14,源_4奖金汇总表_拆分手工算!$A:$N,3,FALSE),0)</f>
        <v>0</v>
      </c>
      <c r="AL14">
        <f>IFERROR(VLOOKUP(K14,源_4奖金汇总表_拆分手工算!$A:$N,6,FALSE),0)</f>
        <v>0</v>
      </c>
      <c r="AM14">
        <f>IFERROR(VLOOKUP(K14,源_5薪资备忘录_工资调整项!$A:$AC,18,FALSE),0)+IFERROR(VLOOKUP(K14,源_4奖金汇总表_拆分手工算!$A:$N,7,FALSE),0)</f>
        <v>0</v>
      </c>
      <c r="AN14">
        <f>IFERROR(VLOOKUP(K14,源_5薪资备忘录_工资调整项!$A:$AC,17,FALSE),0)</f>
        <v>0</v>
      </c>
      <c r="AO14">
        <f>IF(OR(IFERROR(VLOOKUP(K14,源_3考勤报表_考勤表!$F:$BG,39,FALSE),0)+IFERROR(VLOOKUP(K14,源_8补工时表_补当月工时!$A:$AC,24,FALSE),0)&gt;0,IFERROR(VLOOKUP(K14,源_3考勤报表_考勤表!$F:$BG,43,FALSE),0)+IFERROR(VLOOKUP(K14,源_8补工时表_补当月工时!$A:$AC,26,FALSE),0)&gt;0),IF(IFERROR(VLOOKUP(DH14,源_11产假政策_Sheet1!$C:$F,4,FALSE),"")="是",R14/参数!$B$4*(IFERROR(VLOOKUP(K14,源_3考勤报表_考勤表!$F:$BG,39,FALSE),0)+IFERROR(VLOOKUP(K14,源_8补工时表_补当月工时!$A:$AC,24,FALSE),0)+IFERROR(VLOOKUP(K14,源_3考勤报表_考勤表!$F:$BG,43,FALSE),0)+IFERROR(VLOOKUP(K14,源_8补工时表_补当月工时!$A:$AC,26,FALSE),0)),IFERROR(VLOOKUP(K14,源_5薪资备忘录_工资调整项!$A:$AC,19,FALSE),0)),0)</f>
        <v>0</v>
      </c>
      <c r="AP14">
        <v>0</v>
      </c>
      <c r="AQ14">
        <f>IFERROR(VLOOKUP(K14,源_4奖金汇总表_拆分手工算!$A:$N,12,FALSE),0)+IFERROR(VLOOKUP(K14,源_9年终奖表_Sheet1!$A:$E,3,FALSE),0)</f>
        <v>0</v>
      </c>
      <c r="AR14">
        <f>IFERROR(VLOOKUP(K14,源_4奖金汇总表_拆分手工算!$A:$N,13,FALSE),0)+IFERROR(VLOOKUP(K14,源_9年终奖表_Sheet1!$A:$E,4,FALSE),0)</f>
        <v>0</v>
      </c>
      <c r="AS14">
        <f>IFERROR(VLOOKUP(K14,源_4奖金汇总表_拆分手工算!$A:$N,14,FALSE),0)+IFERROR(VLOOKUP(K14,源_9年终奖表_Sheet1!$A:$E,5,FALSE),0)</f>
        <v>0</v>
      </c>
      <c r="AT14">
        <f>IFERROR(VLOOKUP(K14,源_5薪资备忘录_工资调整项!$A:$AC,20,FALSE),0)</f>
        <v>0</v>
      </c>
      <c r="AU14">
        <f>IFERROR(VLOOKUP(K14,源_5薪资备忘录_工资调整项!$A:$AC,21,FALSE),0)+IFERROR(VLOOKUP(K14,源_4奖金汇总表_拆分手工算!$A:$N,9,FALSE),0)</f>
        <v>7418.55</v>
      </c>
      <c r="AV14">
        <f>R14/参数!$B$4*(IFERROR(VLOOKUP(K14,源_3考勤报表_考勤表!$F:$BG,37,FALSE),0)+IFERROR(VLOOKUP(K14,源_8补工时表_补当月工时!$A:$AC,15,FALSE),0))</f>
        <v>0</v>
      </c>
      <c r="AW14">
        <f>R14/174*MIN(IFERROR(VLOOKUP(K14,源_3考勤报表_考勤表!$F:$BG,35,FALSE),0),174)*IF(DATEDIF(N14,DATE(参数!$B$2,参数!$B$3+1,0),"Y")&lt;2,0.6,IF(DATEDIF(N14,DATE(参数!$B$2,参数!$B$3+1,0),"Y")&lt;4,0.7,IF(DATEDIF(N14,DATE(参数!$B$2,参数!$B$3+1,0),"Y")&lt;6,0.8,IF(DATEDIF(N14,DATE(参数!$B$2,参数!$B$3+1,0),"Y")&lt;8,0.9,1))))</f>
        <v>0</v>
      </c>
      <c r="AX14">
        <f>IF(Q14+IFERROR(VLOOKUP(K14,源_3考勤报表_考勤表!$F:$BG,37,FALSE),0)+IFERROR(VLOOKUP(K14,源_8补工时表_补当月工时!$A:$AC,15,FALSE),0)&gt;=参数!$B$4,0,IF(Q14+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lt;=参数!$B$4,R14/参数!$B$4*(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0))</f>
        <v>0</v>
      </c>
      <c r="AY14">
        <v>0</v>
      </c>
      <c r="AZ14">
        <v>0</v>
      </c>
      <c r="BA14">
        <v>0</v>
      </c>
      <c r="BB14">
        <v>0</v>
      </c>
      <c r="BC14">
        <f>IFERROR(VLOOKUP(K14,源_5薪资备忘录_工资调整项!$A:$AC,25,FALSE),0)</f>
        <v>0</v>
      </c>
      <c r="BD14">
        <f>IF(R14&lt;=1000,5,IF(R14&lt;=2000,6,IF(R14&lt;=3000,7,8)))</f>
        <v>8</v>
      </c>
      <c r="BE14">
        <f>(T14+W14+AB14+AG14+AH14+AI14+AJ14+AK14+AL14+AM14+AN14+AO14+AP14+AU14+AV14+AW14+AX14+BC14-IFERROR(VLOOKUP(DF14,源_6社保表_Sheet1!$C:$BZ,76,FALSE),0))*0.02</f>
        <v>292.77699999999999</v>
      </c>
      <c r="BF14">
        <v>0</v>
      </c>
      <c r="BG14">
        <f>IFERROR(VLOOKUP(K14,源_5薪资备忘录_工资调整项!$A:$AC,22,FALSE),0)+IFERROR(VLOOKUP(K14,源_5薪资备忘录_工资调整项!$A:$AC,23,FALSE),0)+IFERROR(VLOOKUP(K14,源_5薪资备忘录_工资调整项!$A:$AC,24,FALSE),0)</f>
        <v>0</v>
      </c>
      <c r="BH14">
        <f>IFERROR(VLOOKUP(DF14,源_6社保表_Sheet1!$C:$CD,80,FALSE),0)+4.5</f>
        <v>6.5</v>
      </c>
      <c r="BI14">
        <f t="shared" si="3"/>
        <v>16270.55</v>
      </c>
      <c r="BJ14">
        <f>IFERROR(VLOOKUP(DF14,源_6社保表_Sheet1!$C:$BZ,26,FALSE),0)</f>
        <v>745.92</v>
      </c>
      <c r="BK14">
        <f>IFERROR(VLOOKUP(DF14,源_6社保表_Sheet1!$C:$BZ,27,FALSE),0)</f>
        <v>186.48</v>
      </c>
      <c r="BL14">
        <f>IFERROR(VLOOKUP(DF14,源_6社保表_Sheet1!$C:$BZ,28,FALSE),0)</f>
        <v>46.62</v>
      </c>
      <c r="BM14">
        <f>IFERROR(VLOOKUP(DF14,源_6社保表_Sheet1!$C:$BZ,30,FALSE),0)</f>
        <v>652.67999999999995</v>
      </c>
      <c r="BN14">
        <f>IFERROR(VLOOKUP(DF14,源_6社保表_Sheet1!$C:$BZ,29,FALSE),0)</f>
        <v>0</v>
      </c>
      <c r="BO14">
        <f>IFERROR(VLOOKUP(DF14,源_6社保表_Sheet1!$C:$BZ,40,FALSE),0)</f>
        <v>0</v>
      </c>
      <c r="BP14">
        <f>IFERROR(VLOOKUP(DF14,源_6社保表_Sheet1!$C:$BZ,41,FALSE),0)</f>
        <v>0</v>
      </c>
      <c r="BQ14">
        <f>IFERROR(VLOOKUP(DF14,源_6社保表_Sheet1!$C:$BZ,42,FALSE),0)</f>
        <v>0</v>
      </c>
      <c r="BR14">
        <f>IFERROR(VLOOKUP(DF14,源_6社保表_Sheet1!$C:$BZ,44,FALSE),0)</f>
        <v>0</v>
      </c>
      <c r="BS14">
        <f>IFERROR(VLOOKUP(DF14,源_6社保表_Sheet1!$C:$BZ,43,FALSE),0)</f>
        <v>0</v>
      </c>
      <c r="BT14">
        <f t="shared" si="4"/>
        <v>1631.6999999999998</v>
      </c>
      <c r="BU14">
        <v>0</v>
      </c>
      <c r="BV14">
        <v>0</v>
      </c>
      <c r="BW14">
        <v>0</v>
      </c>
      <c r="BX14">
        <f t="shared" si="5"/>
        <v>0</v>
      </c>
      <c r="BY14">
        <v>0</v>
      </c>
      <c r="BZ14">
        <f>IFERROR(VLOOKUP(DF14,源_6社保表_Sheet1!$C:$BZ,18,FALSE),0)</f>
        <v>1491.84</v>
      </c>
      <c r="CA14">
        <f>IFERROR(VLOOKUP(DF14,源_6社保表_Sheet1!$C:$BZ,19,FALSE),0)</f>
        <v>839.16</v>
      </c>
      <c r="CB14">
        <f>IFERROR(VLOOKUP(DF14,源_6社保表_Sheet1!$C:$BZ,24,FALSE),0)</f>
        <v>652.67999999999995</v>
      </c>
      <c r="CC14">
        <f>IFERROR(VLOOKUP(DF14,源_6社保表_Sheet1!$C:$BZ,20,FALSE),0)</f>
        <v>46.62</v>
      </c>
      <c r="CD14">
        <f>IFERROR(VLOOKUP(DF14,源_6社保表_Sheet1!$C:$BZ,21,FALSE),0)</f>
        <v>29.8368</v>
      </c>
      <c r="CE14">
        <f>IFERROR(VLOOKUP(DF14,源_6社保表_Sheet1!$C:$BZ,22,FALSE),0)</f>
        <v>0</v>
      </c>
      <c r="CF14">
        <f>IFERROR(VLOOKUP(DF14,源_6社保表_Sheet1!$C:$BZ,23,FALSE),0)</f>
        <v>0</v>
      </c>
      <c r="CG14">
        <f>IFERROR(VLOOKUP(DF14,源_6社保表_Sheet1!$C:$BZ,32,FALSE),0)</f>
        <v>0</v>
      </c>
      <c r="CH14">
        <f>IFERROR(VLOOKUP(DF14,源_6社保表_Sheet1!$C:$BZ,33,FALSE),0)</f>
        <v>0</v>
      </c>
      <c r="CI14">
        <f>IFERROR(VLOOKUP(DF14,源_6社保表_Sheet1!$C:$BZ,34,FALSE),0)</f>
        <v>0</v>
      </c>
      <c r="CJ14">
        <f>IFERROR(VLOOKUP(DF14,源_6社保表_Sheet1!$C:$BZ,38,FALSE),0)</f>
        <v>0</v>
      </c>
      <c r="CK14">
        <f>IFERROR(VLOOKUP(DF14,源_6社保表_Sheet1!$C:$BZ,35,FALSE),0)</f>
        <v>0</v>
      </c>
      <c r="CL14">
        <f>IFERROR(VLOOKUP(DF14,源_6社保表_Sheet1!$C:$BZ,36,FALSE),0)</f>
        <v>0</v>
      </c>
      <c r="CM14">
        <f>IFERROR(VLOOKUP(DF14,源_6社保表_Sheet1!$C:$BZ,37,FALSE),0)</f>
        <v>0</v>
      </c>
      <c r="CN14">
        <f t="shared" si="6"/>
        <v>3060.1367999999998</v>
      </c>
      <c r="CO14">
        <f t="shared" si="7"/>
        <v>19629.963799999998</v>
      </c>
      <c r="CP14">
        <f>IF(IFERROR(VLOOKUP(K14,源_13残疾人信息_残疾人信息!$A:$M,1,FALSE),"")&lt;&gt;"",0,IF(OR(P14="门店全职",P14="门店管理组",P14="全职(非门店)"),(BI14-AT14)*IFERROR(VLOOKUP(D14,源_12计提残保金规则_Sheet1!$A:$E,4,FALSE),0)*IFERROR(VLOOKUP(D14,源_12计提残保金规则_Sheet1!$A:$E,5,FALSE),0),0))</f>
        <v>219.65242499999999</v>
      </c>
      <c r="CQ14">
        <f t="shared" si="8"/>
        <v>16.05</v>
      </c>
      <c r="CR14">
        <f t="shared" si="9"/>
        <v>20.67</v>
      </c>
      <c r="CS14">
        <f>IF(DATEVALUE(N14)&gt;DATE(参数!$B$2,9,30),0,IF(M14="行政",0,IF(O14="",R14/12,IF(MONTH(DATEVALUE(O14))=参数!$B$3,0,IF(DATEVALUE(O14)&lt;DATE(参数!$B$2,参数!$B$3,1),0,R14/12)))))</f>
        <v>612.66666666666663</v>
      </c>
      <c r="CT14">
        <f t="shared" si="10"/>
        <v>749.904</v>
      </c>
      <c r="CU14">
        <f>IFERROR(VLOOKUP(DF14,源_6社保表_Sheet1!$C:$I,2,FALSE),0)</f>
        <v>9324</v>
      </c>
      <c r="CV14">
        <f>IFERROR(VLOOKUP(DF14,源_6社保表_Sheet1!$C:$I,7,FALSE),0)</f>
        <v>9324</v>
      </c>
      <c r="CW14">
        <f>IFERROR(VLOOKUP(DF14,源_6社保表_Sheet1!$C:$I,3,FALSE),0)</f>
        <v>9324</v>
      </c>
      <c r="CX14">
        <f>IFERROR(VLOOKUP(DF14,源_6社保表_Sheet1!$C:$I,4,FALSE),0)</f>
        <v>9324</v>
      </c>
      <c r="CY14">
        <f>IFERROR(VLOOKUP(DF14,源_6社保表_Sheet1!$C:$I,5,FALSE),0)</f>
        <v>9324</v>
      </c>
      <c r="CZ14">
        <f>IFERROR(VLOOKUP(DF14,源_6社保表_Sheet1!$C:$I,6,FALSE),0)</f>
        <v>0</v>
      </c>
      <c r="DA14">
        <f t="shared" si="11"/>
        <v>17830.686799999999</v>
      </c>
      <c r="DB14">
        <f t="shared" si="12"/>
        <v>19456.129891666664</v>
      </c>
      <c r="DC14" t="str">
        <f>IFERROR(VLOOKUP(K14,源_7银行卡表_Sheet1!$A:$J,8,FALSE),"")</f>
        <v>农业银行</v>
      </c>
      <c r="DD14" t="str">
        <f>IFERROR(VLOOKUP(K14,源_7银行卡表_Sheet1!$A:$J,9,FALSE),"")</f>
        <v>6682462769453468066</v>
      </c>
      <c r="DE14" t="str">
        <f>IFERROR(VLOOKUP(K14,源_7银行卡表_Sheet1!$A:$J,10,FALSE),"")</f>
        <v>中国农业银行武乡广场分理处</v>
      </c>
      <c r="DF14" t="s">
        <v>197</v>
      </c>
      <c r="DG14">
        <v>17394807156</v>
      </c>
      <c r="DH14" t="s">
        <v>148</v>
      </c>
      <c r="DI14">
        <v>0</v>
      </c>
      <c r="DJ14">
        <v>0</v>
      </c>
      <c r="DK14">
        <v>0</v>
      </c>
      <c r="DL14">
        <v>0</v>
      </c>
      <c r="DM14">
        <v>0</v>
      </c>
      <c r="DN14">
        <v>0</v>
      </c>
      <c r="DO14">
        <v>0</v>
      </c>
      <c r="DP14">
        <v>0</v>
      </c>
      <c r="DQ14">
        <v>0</v>
      </c>
      <c r="DR14">
        <f>IF(OR(IFERROR(VLOOKUP(K14,源_3考勤报表_考勤表!$F:$BG,39,FALSE),0)+IFERROR(VLOOKUP(K14,源_8补工时表_补当月工时!$A:$AC,24,FALSE),0)=0,IFERROR(VLOOKUP(K14,源_3考勤报表_考勤表!$F:$BG,43,FALSE),0)+IFERROR(VLOOKUP(K14,源_8补工时表_补当月工时!$A:$AC,26,FALSE),0)=0),IF(BI14+BG14-BT14&lt;0,BI14+BG14-BT14,0),0)</f>
        <v>0</v>
      </c>
    </row>
    <row r="15" spans="1:122" x14ac:dyDescent="0.15">
      <c r="A15">
        <f>参数!$B$2</f>
        <v>2025</v>
      </c>
      <c r="B15">
        <f>参数!$B$3</f>
        <v>12</v>
      </c>
      <c r="D15" t="s">
        <v>173</v>
      </c>
      <c r="E15" t="s">
        <v>123</v>
      </c>
      <c r="F15" t="str">
        <f>IFERROR(VLOOKUP(K15,源_7银行卡表_Sheet1!$A:$J,6,FALSE),"")</f>
        <v>华东营运</v>
      </c>
      <c r="G15" t="s">
        <v>180</v>
      </c>
      <c r="H15" t="s">
        <v>198</v>
      </c>
      <c r="I15" t="s">
        <v>176</v>
      </c>
      <c r="J15">
        <v>1</v>
      </c>
      <c r="K15">
        <v>26123014</v>
      </c>
      <c r="L15" t="s">
        <v>199</v>
      </c>
      <c r="M15" t="s">
        <v>128</v>
      </c>
      <c r="N15" t="s">
        <v>200</v>
      </c>
      <c r="P15" t="s">
        <v>131</v>
      </c>
      <c r="Q15">
        <f>IF(P15="门店全职",IFERROR(VLOOKUP(K15,源_3考勤报表_考勤表!$F:$BG,34,FALSE),0)+IFERROR(VLOOKUP(K15,源_8补工时表_补当月工时!$A:$AC,14,FALSE),0),IF(P15="门店管理组",IF(IFERROR(VLOOKUP(K15,源_3考勤报表_考勤表!$F:$BG,34,FALSE),0)+IFERROR(VLOOKUP(K15,源_8补工时表_补当月工时!$A:$AC,14,FALSE),0)+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44,FALSE),0)+IFERROR(VLOOKUP(K15,源_8补工时表_补当月工时!$A:$AC,16,FALSE),0)+IFERROR(VLOOKUP(K15,源_3考勤报表_考勤表!$F:$BG,45,FALSE),0)&gt;=参数!$B$4,参数!$B$4-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44,FALSE),0)-IFERROR(VLOOKUP(K15,源_8补工时表_补当月工时!$A:$AC,16,FALSE),0)-IFERROR(VLOOKUP(K15,源_3考勤报表_考勤表!$F:$BG,45,FALSE),0),IFERROR(VLOOKUP(K15,源_3考勤报表_考勤表!$F:$BG,34,FALSE),0)+IFERROR(VLOOKUP(K15,源_8补工时表_补当月工时!$A:$AC,14,FALSE),0)),0))</f>
        <v>160</v>
      </c>
      <c r="R15">
        <v>6948</v>
      </c>
      <c r="S15">
        <v>19</v>
      </c>
      <c r="T15">
        <f>IF(P15="门店全职",R15/参数!$B$4*(Q15-MAX(IFERROR(VLOOKUP(K15,源_3考勤报表_考勤表!$F:$BG,34,FALSE),0)+IFERROR(VLOOKUP(K15,源_8补工时表_补当月工时!$A:$AC,14,FALSE),0)+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参数!$B$4,0)),R15/参数!$B$4*Q15)</f>
        <v>6041.7391304347821</v>
      </c>
      <c r="U15">
        <v>0</v>
      </c>
      <c r="V15">
        <v>0</v>
      </c>
      <c r="W15">
        <f t="shared" si="0"/>
        <v>25.5</v>
      </c>
      <c r="X15">
        <f>IFERROR(VLOOKUP(K15,源_4奖金汇总表_拆分手工算!$A:$N,8,FALSE),0)</f>
        <v>25.5</v>
      </c>
      <c r="Y15">
        <f>IFERROR(VLOOKUP(K15,源_5薪资备忘录_工资调整项!$A:$AC,14,FALSE),0)</f>
        <v>0</v>
      </c>
      <c r="Z15">
        <f>IFERROR(VLOOKUP(K15,源_5薪资备忘录_工资调整项!$A:$AC,16,FALSE),0)</f>
        <v>0</v>
      </c>
      <c r="AA15">
        <f>IFERROR(VLOOKUP(K15,源_5薪资备忘录_工资调整项!$A:$AC,15,FALSE),0)</f>
        <v>0</v>
      </c>
      <c r="AB15">
        <f t="shared" si="1"/>
        <v>0</v>
      </c>
      <c r="AC15">
        <f>IF(P15="门店全职",R15/174*MAX(IFERROR(VLOOKUP(K15,源_3考勤报表_考勤表!$F:$BG,34,FALSE),0)+IFERROR(VLOOKUP(K15,源_8补工时表_补当月工时!$A:$AC,14,FALSE),0)+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参数!$B$4,0)*1.5,0)</f>
        <v>0</v>
      </c>
      <c r="AD15">
        <v>0</v>
      </c>
      <c r="AE15">
        <f>IFERROR(VLOOKUP(K15,源_3考勤报表_考勤表!$F:$BG,46,FALSE),0)+IFERROR(VLOOKUP(K15,源_8补工时表_补当月工时!$A:$AC,25,FALSE),0)</f>
        <v>0</v>
      </c>
      <c r="AF15">
        <f t="shared" si="2"/>
        <v>0</v>
      </c>
      <c r="AG15">
        <f>IFERROR(VLOOKUP(K15,源_4奖金汇总表_拆分手工算!$A:$N,10,FALSE),0)</f>
        <v>0</v>
      </c>
      <c r="AH15">
        <f>IFERROR(VLOOKUP(K15,源_4奖金汇总表_拆分手工算!$A:$N,5,FALSE),0)</f>
        <v>0</v>
      </c>
      <c r="AI15">
        <f>IFERROR(VLOOKUP(K15,源_4奖金汇总表_拆分手工算!$A:$N,11,FALSE),0)</f>
        <v>0</v>
      </c>
      <c r="AJ15">
        <f>IFERROR(VLOOKUP(K15,源_4奖金汇总表_拆分手工算!$A:$N,4,FALSE),0)</f>
        <v>0</v>
      </c>
      <c r="AK15">
        <f>IFERROR(VLOOKUP(K15,源_4奖金汇总表_拆分手工算!$A:$N,3,FALSE),0)</f>
        <v>0</v>
      </c>
      <c r="AL15">
        <f>IFERROR(VLOOKUP(K15,源_4奖金汇总表_拆分手工算!$A:$N,6,FALSE),0)</f>
        <v>0</v>
      </c>
      <c r="AM15">
        <f>IFERROR(VLOOKUP(K15,源_5薪资备忘录_工资调整项!$A:$AC,18,FALSE),0)+IFERROR(VLOOKUP(K15,源_4奖金汇总表_拆分手工算!$A:$N,7,FALSE),0)</f>
        <v>66</v>
      </c>
      <c r="AN15">
        <f>IFERROR(VLOOKUP(K15,源_5薪资备忘录_工资调整项!$A:$AC,17,FALSE),0)</f>
        <v>100</v>
      </c>
      <c r="AO15">
        <f>IF(OR(IFERROR(VLOOKUP(K15,源_3考勤报表_考勤表!$F:$BG,39,FALSE),0)+IFERROR(VLOOKUP(K15,源_8补工时表_补当月工时!$A:$AC,24,FALSE),0)&gt;0,IFERROR(VLOOKUP(K15,源_3考勤报表_考勤表!$F:$BG,43,FALSE),0)+IFERROR(VLOOKUP(K15,源_8补工时表_补当月工时!$A:$AC,26,FALSE),0)&gt;0),IF(IFERROR(VLOOKUP(DH15,源_11产假政策_Sheet1!$C:$F,4,FALSE),"")="是",R15/参数!$B$4*(IFERROR(VLOOKUP(K15,源_3考勤报表_考勤表!$F:$BG,39,FALSE),0)+IFERROR(VLOOKUP(K15,源_8补工时表_补当月工时!$A:$AC,24,FALSE),0)+IFERROR(VLOOKUP(K15,源_3考勤报表_考勤表!$F:$BG,43,FALSE),0)+IFERROR(VLOOKUP(K15,源_8补工时表_补当月工时!$A:$AC,26,FALSE),0)),IFERROR(VLOOKUP(K15,源_5薪资备忘录_工资调整项!$A:$AC,19,FALSE),0)),0)</f>
        <v>0</v>
      </c>
      <c r="AP15">
        <v>0</v>
      </c>
      <c r="AQ15">
        <f>IFERROR(VLOOKUP(K15,源_4奖金汇总表_拆分手工算!$A:$N,12,FALSE),0)+IFERROR(VLOOKUP(K15,源_9年终奖表_Sheet1!$A:$E,3,FALSE),0)</f>
        <v>0</v>
      </c>
      <c r="AR15">
        <f>IFERROR(VLOOKUP(K15,源_4奖金汇总表_拆分手工算!$A:$N,13,FALSE),0)+IFERROR(VLOOKUP(K15,源_9年终奖表_Sheet1!$A:$E,4,FALSE),0)</f>
        <v>0</v>
      </c>
      <c r="AS15">
        <f>IFERROR(VLOOKUP(K15,源_4奖金汇总表_拆分手工算!$A:$N,14,FALSE),0)+IFERROR(VLOOKUP(K15,源_9年终奖表_Sheet1!$A:$E,5,FALSE),0)</f>
        <v>0</v>
      </c>
      <c r="AT15">
        <f>IFERROR(VLOOKUP(K15,源_5薪资备忘录_工资调整项!$A:$AC,20,FALSE),0)</f>
        <v>0</v>
      </c>
      <c r="AU15">
        <f>IFERROR(VLOOKUP(K15,源_5薪资备忘录_工资调整项!$A:$AC,21,FALSE),0)+IFERROR(VLOOKUP(K15,源_4奖金汇总表_拆分手工算!$A:$N,9,FALSE),0)</f>
        <v>0</v>
      </c>
      <c r="AV15">
        <f>R15/参数!$B$4*(IFERROR(VLOOKUP(K15,源_3考勤报表_考勤表!$F:$BG,37,FALSE),0)+IFERROR(VLOOKUP(K15,源_8补工时表_补当月工时!$A:$AC,15,FALSE),0))</f>
        <v>302.08695652173913</v>
      </c>
      <c r="AW15">
        <f>R15/174*MIN(IFERROR(VLOOKUP(K15,源_3考勤报表_考勤表!$F:$BG,35,FALSE),0),174)*IF(DATEDIF(N15,DATE(参数!$B$2,参数!$B$3+1,0),"Y")&lt;2,0.6,IF(DATEDIF(N15,DATE(参数!$B$2,参数!$B$3+1,0),"Y")&lt;4,0.7,IF(DATEDIF(N15,DATE(参数!$B$2,参数!$B$3+1,0),"Y")&lt;6,0.8,IF(DATEDIF(N15,DATE(参数!$B$2,参数!$B$3+1,0),"Y")&lt;8,0.9,1))))</f>
        <v>4695.8896551724138</v>
      </c>
      <c r="AX15">
        <f>IF(Q15+IFERROR(VLOOKUP(K15,源_3考勤报表_考勤表!$F:$BG,37,FALSE),0)+IFERROR(VLOOKUP(K15,源_8补工时表_补当月工时!$A:$AC,15,FALSE),0)&gt;=参数!$B$4,0,IF(Q15+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lt;=参数!$B$4,R15/参数!$B$4*(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0))</f>
        <v>0</v>
      </c>
      <c r="AY15">
        <v>0</v>
      </c>
      <c r="AZ15">
        <v>0</v>
      </c>
      <c r="BA15">
        <v>0</v>
      </c>
      <c r="BB15">
        <v>0</v>
      </c>
      <c r="BC15">
        <f>IFERROR(VLOOKUP(K15,源_5薪资备忘录_工资调整项!$A:$AC,25,FALSE),0)</f>
        <v>0</v>
      </c>
      <c r="BD15">
        <v>0</v>
      </c>
      <c r="BE15">
        <v>0</v>
      </c>
      <c r="BF15">
        <v>0</v>
      </c>
      <c r="BG15">
        <f>IFERROR(VLOOKUP(K15,源_5薪资备忘录_工资调整项!$A:$AC,22,FALSE),0)+IFERROR(VLOOKUP(K15,源_5薪资备忘录_工资调整项!$A:$AC,23,FALSE),0)+IFERROR(VLOOKUP(K15,源_5薪资备忘录_工资调整项!$A:$AC,24,FALSE),0)</f>
        <v>0</v>
      </c>
      <c r="BH15">
        <f>IFERROR(VLOOKUP(DF15,源_6社保表_Sheet1!$C:$CD,80,FALSE),0)+4.5</f>
        <v>6.5</v>
      </c>
      <c r="BI15">
        <f t="shared" si="3"/>
        <v>11231.215742128934</v>
      </c>
      <c r="BJ15">
        <f>IFERROR(VLOOKUP(DF15,源_6社保表_Sheet1!$C:$BZ,26,FALSE),0)</f>
        <v>707.36</v>
      </c>
      <c r="BK15">
        <f>IFERROR(VLOOKUP(DF15,源_6社保表_Sheet1!$C:$BZ,27,FALSE),0)</f>
        <v>176.84</v>
      </c>
      <c r="BL15">
        <f>IFERROR(VLOOKUP(DF15,源_6社保表_Sheet1!$C:$BZ,28,FALSE),0)</f>
        <v>44.21</v>
      </c>
      <c r="BM15">
        <f>IFERROR(VLOOKUP(DF15,源_6社保表_Sheet1!$C:$BZ,30,FALSE),0)</f>
        <v>618.94000000000005</v>
      </c>
      <c r="BN15">
        <f>IFERROR(VLOOKUP(DF15,源_6社保表_Sheet1!$C:$BZ,29,FALSE),0)</f>
        <v>0</v>
      </c>
      <c r="BO15">
        <f>IFERROR(VLOOKUP(DF15,源_6社保表_Sheet1!$C:$BZ,40,FALSE),0)</f>
        <v>0</v>
      </c>
      <c r="BP15">
        <f>IFERROR(VLOOKUP(DF15,源_6社保表_Sheet1!$C:$BZ,41,FALSE),0)</f>
        <v>0</v>
      </c>
      <c r="BQ15">
        <f>IFERROR(VLOOKUP(DF15,源_6社保表_Sheet1!$C:$BZ,42,FALSE),0)</f>
        <v>0</v>
      </c>
      <c r="BR15">
        <f>IFERROR(VLOOKUP(DF15,源_6社保表_Sheet1!$C:$BZ,44,FALSE),0)</f>
        <v>0</v>
      </c>
      <c r="BS15">
        <f>IFERROR(VLOOKUP(DF15,源_6社保表_Sheet1!$C:$BZ,43,FALSE),0)</f>
        <v>0</v>
      </c>
      <c r="BT15">
        <f t="shared" si="4"/>
        <v>1547.3500000000001</v>
      </c>
      <c r="BU15">
        <v>0</v>
      </c>
      <c r="BV15">
        <v>0</v>
      </c>
      <c r="BW15">
        <v>0</v>
      </c>
      <c r="BX15">
        <f t="shared" si="5"/>
        <v>0</v>
      </c>
      <c r="BY15">
        <v>0</v>
      </c>
      <c r="BZ15">
        <f>IFERROR(VLOOKUP(DF15,源_6社保表_Sheet1!$C:$BZ,18,FALSE),0)</f>
        <v>1414.72</v>
      </c>
      <c r="CA15">
        <f>IFERROR(VLOOKUP(DF15,源_6社保表_Sheet1!$C:$BZ,19,FALSE),0)</f>
        <v>795.78</v>
      </c>
      <c r="CB15">
        <f>IFERROR(VLOOKUP(DF15,源_6社保表_Sheet1!$C:$BZ,24,FALSE),0)</f>
        <v>618.94000000000005</v>
      </c>
      <c r="CC15">
        <f>IFERROR(VLOOKUP(DF15,源_6社保表_Sheet1!$C:$BZ,20,FALSE),0)</f>
        <v>44.21</v>
      </c>
      <c r="CD15">
        <f>IFERROR(VLOOKUP(DF15,源_6社保表_Sheet1!$C:$BZ,21,FALSE),0)</f>
        <v>28.2944</v>
      </c>
      <c r="CE15">
        <f>IFERROR(VLOOKUP(DF15,源_6社保表_Sheet1!$C:$BZ,22,FALSE),0)</f>
        <v>0</v>
      </c>
      <c r="CF15">
        <f>IFERROR(VLOOKUP(DF15,源_6社保表_Sheet1!$C:$BZ,23,FALSE),0)</f>
        <v>0</v>
      </c>
      <c r="CG15">
        <f>IFERROR(VLOOKUP(DF15,源_6社保表_Sheet1!$C:$BZ,32,FALSE),0)</f>
        <v>0</v>
      </c>
      <c r="CH15">
        <f>IFERROR(VLOOKUP(DF15,源_6社保表_Sheet1!$C:$BZ,33,FALSE),0)</f>
        <v>0</v>
      </c>
      <c r="CI15">
        <f>IFERROR(VLOOKUP(DF15,源_6社保表_Sheet1!$C:$BZ,34,FALSE),0)</f>
        <v>0</v>
      </c>
      <c r="CJ15">
        <f>IFERROR(VLOOKUP(DF15,源_6社保表_Sheet1!$C:$BZ,38,FALSE),0)</f>
        <v>0</v>
      </c>
      <c r="CK15">
        <f>IFERROR(VLOOKUP(DF15,源_6社保表_Sheet1!$C:$BZ,35,FALSE),0)</f>
        <v>0</v>
      </c>
      <c r="CL15">
        <f>IFERROR(VLOOKUP(DF15,源_6社保表_Sheet1!$C:$BZ,36,FALSE),0)</f>
        <v>0</v>
      </c>
      <c r="CM15">
        <f>IFERROR(VLOOKUP(DF15,源_6社保表_Sheet1!$C:$BZ,37,FALSE),0)</f>
        <v>0</v>
      </c>
      <c r="CN15">
        <f t="shared" si="6"/>
        <v>2901.9444000000003</v>
      </c>
      <c r="CO15">
        <f t="shared" si="7"/>
        <v>14139.660142128934</v>
      </c>
      <c r="CP15">
        <f>IF(IFERROR(VLOOKUP(K15,源_13残疾人信息_残疾人信息!$A:$M,1,FALSE),"")&lt;&gt;"",0,IF(OR(P15="门店全职",P15="门店管理组",P15="全职(非门店)"),(BI15-AT15)*IFERROR(VLOOKUP(D15,源_12计提残保金规则_Sheet1!$A:$E,4,FALSE),0)*IFERROR(VLOOKUP(D15,源_12计提残保金规则_Sheet1!$A:$E,5,FALSE),0),0))</f>
        <v>151.62141251874058</v>
      </c>
      <c r="CQ15">
        <f t="shared" si="8"/>
        <v>16.05</v>
      </c>
      <c r="CR15">
        <f t="shared" si="9"/>
        <v>20.67</v>
      </c>
      <c r="CS15">
        <f>IF(DATEVALUE(N15)&gt;DATE(参数!$B$2,9,30),0,IF(M15="行政",0,IF(O15="",R15/12,IF(MONTH(DATEVALUE(O15))=参数!$B$3,0,IF(DATEVALUE(O15)&lt;DATE(参数!$B$2,参数!$B$3,1),0,R15/12)))))</f>
        <v>579</v>
      </c>
      <c r="CT15">
        <f t="shared" si="10"/>
        <v>708.69600000000003</v>
      </c>
      <c r="CU15">
        <f>IFERROR(VLOOKUP(DF15,源_6社保表_Sheet1!$C:$I,2,FALSE),0)</f>
        <v>8842</v>
      </c>
      <c r="CV15">
        <f>IFERROR(VLOOKUP(DF15,源_6社保表_Sheet1!$C:$I,7,FALSE),0)</f>
        <v>8842</v>
      </c>
      <c r="CW15">
        <f>IFERROR(VLOOKUP(DF15,源_6社保表_Sheet1!$C:$I,3,FALSE),0)</f>
        <v>8842</v>
      </c>
      <c r="CX15">
        <f>IFERROR(VLOOKUP(DF15,源_6社保表_Sheet1!$C:$I,4,FALSE),0)</f>
        <v>8842</v>
      </c>
      <c r="CY15">
        <f>IFERROR(VLOOKUP(DF15,源_6社保表_Sheet1!$C:$I,5,FALSE),0)</f>
        <v>8842</v>
      </c>
      <c r="CZ15">
        <f>IFERROR(VLOOKUP(DF15,源_6社保表_Sheet1!$C:$I,6,FALSE),0)</f>
        <v>0</v>
      </c>
      <c r="DA15">
        <f t="shared" si="11"/>
        <v>14067.160142128934</v>
      </c>
      <c r="DB15">
        <f t="shared" si="12"/>
        <v>15549.697554647673</v>
      </c>
      <c r="DC15" t="str">
        <f>IFERROR(VLOOKUP(K15,源_7银行卡表_Sheet1!$A:$J,8,FALSE),"")</f>
        <v>农业银行</v>
      </c>
      <c r="DD15" t="str">
        <f>IFERROR(VLOOKUP(K15,源_7银行卡表_Sheet1!$A:$J,9,FALSE),"")</f>
        <v>6682600495578259256</v>
      </c>
      <c r="DE15" t="str">
        <f>IFERROR(VLOOKUP(K15,源_7银行卡表_Sheet1!$A:$J,10,FALSE),"")</f>
        <v>中国农业银行忻州经济开发区支行</v>
      </c>
      <c r="DF15" t="s">
        <v>201</v>
      </c>
      <c r="DG15">
        <v>16385630324</v>
      </c>
      <c r="DH15" t="s">
        <v>180</v>
      </c>
      <c r="DI15">
        <v>0</v>
      </c>
      <c r="DJ15">
        <v>0</v>
      </c>
      <c r="DK15">
        <v>0</v>
      </c>
      <c r="DL15">
        <v>0</v>
      </c>
      <c r="DM15">
        <v>0</v>
      </c>
      <c r="DN15">
        <v>0</v>
      </c>
      <c r="DO15">
        <v>0</v>
      </c>
      <c r="DP15">
        <v>0</v>
      </c>
      <c r="DQ15">
        <v>0</v>
      </c>
      <c r="DR15">
        <f>IF(OR(IFERROR(VLOOKUP(K15,源_3考勤报表_考勤表!$F:$BG,39,FALSE),0)+IFERROR(VLOOKUP(K15,源_8补工时表_补当月工时!$A:$AC,24,FALSE),0)=0,IFERROR(VLOOKUP(K15,源_3考勤报表_考勤表!$F:$BG,43,FALSE),0)+IFERROR(VLOOKUP(K15,源_8补工时表_补当月工时!$A:$AC,26,FALSE),0)=0),IF(BI15+BG15-BT15&lt;0,BI15+BG15-BT15,0),0)</f>
        <v>0</v>
      </c>
    </row>
    <row r="16" spans="1:122" x14ac:dyDescent="0.15">
      <c r="A16">
        <f>参数!$B$2</f>
        <v>2025</v>
      </c>
      <c r="B16">
        <f>参数!$B$3</f>
        <v>12</v>
      </c>
      <c r="D16" t="s">
        <v>202</v>
      </c>
      <c r="E16" t="s">
        <v>123</v>
      </c>
      <c r="F16" t="str">
        <f>IFERROR(VLOOKUP(K16,源_7银行卡表_Sheet1!$A:$J,6,FALSE),"")</f>
        <v>华东营运</v>
      </c>
      <c r="G16" t="s">
        <v>203</v>
      </c>
      <c r="H16" t="s">
        <v>204</v>
      </c>
      <c r="I16" t="s">
        <v>205</v>
      </c>
      <c r="J16">
        <v>1</v>
      </c>
      <c r="K16">
        <v>26123015</v>
      </c>
      <c r="L16" t="s">
        <v>206</v>
      </c>
      <c r="M16" t="s">
        <v>128</v>
      </c>
      <c r="N16" t="s">
        <v>207</v>
      </c>
      <c r="P16" t="s">
        <v>131</v>
      </c>
      <c r="Q16">
        <f>IF(P16="门店全职",IFERROR(VLOOKUP(K16,源_3考勤报表_考勤表!$F:$BG,34,FALSE),0)+IFERROR(VLOOKUP(K16,源_8补工时表_补当月工时!$A:$AC,14,FALSE),0),IF(P16="门店管理组",IF(IFERROR(VLOOKUP(K16,源_3考勤报表_考勤表!$F:$BG,34,FALSE),0)+IFERROR(VLOOKUP(K16,源_8补工时表_补当月工时!$A:$AC,14,FALSE),0)+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44,FALSE),0)+IFERROR(VLOOKUP(K16,源_8补工时表_补当月工时!$A:$AC,16,FALSE),0)+IFERROR(VLOOKUP(K16,源_3考勤报表_考勤表!$F:$BG,45,FALSE),0)&gt;=参数!$B$4,参数!$B$4-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44,FALSE),0)-IFERROR(VLOOKUP(K16,源_8补工时表_补当月工时!$A:$AC,16,FALSE),0)-IFERROR(VLOOKUP(K16,源_3考勤报表_考勤表!$F:$BG,45,FALSE),0),IFERROR(VLOOKUP(K16,源_3考勤报表_考勤表!$F:$BG,34,FALSE),0)+IFERROR(VLOOKUP(K16,源_8补工时表_补当月工时!$A:$AC,14,FALSE),0)),0))</f>
        <v>116</v>
      </c>
      <c r="R16">
        <v>6500</v>
      </c>
      <c r="S16">
        <v>24</v>
      </c>
      <c r="T16">
        <f>IF(P16="门店全职",R16/参数!$B$4*(Q16-MAX(IFERROR(VLOOKUP(K16,源_3考勤报表_考勤表!$F:$BG,34,FALSE),0)+IFERROR(VLOOKUP(K16,源_8补工时表_补当月工时!$A:$AC,14,FALSE),0)+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参数!$B$4,0)),R16/参数!$B$4*Q16)</f>
        <v>4097.826086956522</v>
      </c>
      <c r="U16">
        <v>0</v>
      </c>
      <c r="V16">
        <v>0</v>
      </c>
      <c r="W16">
        <f t="shared" si="0"/>
        <v>1000</v>
      </c>
      <c r="X16">
        <f>IFERROR(VLOOKUP(K16,源_4奖金汇总表_拆分手工算!$A:$N,8,FALSE),0)</f>
        <v>0</v>
      </c>
      <c r="Y16">
        <f>IFERROR(VLOOKUP(K16,源_5薪资备忘录_工资调整项!$A:$AC,14,FALSE),0)</f>
        <v>0</v>
      </c>
      <c r="Z16">
        <f>IFERROR(VLOOKUP(K16,源_5薪资备忘录_工资调整项!$A:$AC,16,FALSE),0)</f>
        <v>0</v>
      </c>
      <c r="AA16">
        <f>IFERROR(VLOOKUP(K16,源_5薪资备忘录_工资调整项!$A:$AC,15,FALSE),0)</f>
        <v>1000</v>
      </c>
      <c r="AB16">
        <f t="shared" si="1"/>
        <v>896.55172413793093</v>
      </c>
      <c r="AC16">
        <f>IF(P16="门店全职",R16/174*MAX(IFERROR(VLOOKUP(K16,源_3考勤报表_考勤表!$F:$BG,34,FALSE),0)+IFERROR(VLOOKUP(K16,源_8补工时表_补当月工时!$A:$AC,14,FALSE),0)+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参数!$B$4,0)*1.5,0)</f>
        <v>0</v>
      </c>
      <c r="AD16">
        <v>0</v>
      </c>
      <c r="AE16">
        <f>IFERROR(VLOOKUP(K16,源_3考勤报表_考勤表!$F:$BG,46,FALSE),0)+IFERROR(VLOOKUP(K16,源_8补工时表_补当月工时!$A:$AC,25,FALSE),0)</f>
        <v>8</v>
      </c>
      <c r="AF16">
        <f t="shared" si="2"/>
        <v>896.55172413793093</v>
      </c>
      <c r="AG16">
        <f>IFERROR(VLOOKUP(K16,源_4奖金汇总表_拆分手工算!$A:$N,10,FALSE),0)</f>
        <v>0</v>
      </c>
      <c r="AH16">
        <f>IFERROR(VLOOKUP(K16,源_4奖金汇总表_拆分手工算!$A:$N,5,FALSE),0)</f>
        <v>0</v>
      </c>
      <c r="AI16">
        <f>IFERROR(VLOOKUP(K16,源_4奖金汇总表_拆分手工算!$A:$N,11,FALSE),0)</f>
        <v>0</v>
      </c>
      <c r="AJ16">
        <f>IFERROR(VLOOKUP(K16,源_4奖金汇总表_拆分手工算!$A:$N,4,FALSE),0)</f>
        <v>0</v>
      </c>
      <c r="AK16">
        <f>IFERROR(VLOOKUP(K16,源_4奖金汇总表_拆分手工算!$A:$N,3,FALSE),0)</f>
        <v>0</v>
      </c>
      <c r="AL16">
        <f>IFERROR(VLOOKUP(K16,源_4奖金汇总表_拆分手工算!$A:$N,6,FALSE),0)</f>
        <v>0</v>
      </c>
      <c r="AM16">
        <f>IFERROR(VLOOKUP(K16,源_5薪资备忘录_工资调整项!$A:$AC,18,FALSE),0)+IFERROR(VLOOKUP(K16,源_4奖金汇总表_拆分手工算!$A:$N,7,FALSE),0)</f>
        <v>200</v>
      </c>
      <c r="AN16">
        <f>IFERROR(VLOOKUP(K16,源_5薪资备忘录_工资调整项!$A:$AC,17,FALSE),0)</f>
        <v>0</v>
      </c>
      <c r="AO16">
        <f>IF(OR(IFERROR(VLOOKUP(K16,源_3考勤报表_考勤表!$F:$BG,39,FALSE),0)+IFERROR(VLOOKUP(K16,源_8补工时表_补当月工时!$A:$AC,24,FALSE),0)&gt;0,IFERROR(VLOOKUP(K16,源_3考勤报表_考勤表!$F:$BG,43,FALSE),0)+IFERROR(VLOOKUP(K16,源_8补工时表_补当月工时!$A:$AC,26,FALSE),0)&gt;0),IF(IFERROR(VLOOKUP(DH16,源_11产假政策_Sheet1!$C:$F,4,FALSE),"")="是",R16/参数!$B$4*(IFERROR(VLOOKUP(K16,源_3考勤报表_考勤表!$F:$BG,39,FALSE),0)+IFERROR(VLOOKUP(K16,源_8补工时表_补当月工时!$A:$AC,24,FALSE),0)+IFERROR(VLOOKUP(K16,源_3考勤报表_考勤表!$F:$BG,43,FALSE),0)+IFERROR(VLOOKUP(K16,源_8补工时表_补当月工时!$A:$AC,26,FALSE),0)),IFERROR(VLOOKUP(K16,源_5薪资备忘录_工资调整项!$A:$AC,19,FALSE),0)),0)</f>
        <v>0</v>
      </c>
      <c r="AP16">
        <v>0</v>
      </c>
      <c r="AQ16">
        <f>IFERROR(VLOOKUP(K16,源_4奖金汇总表_拆分手工算!$A:$N,12,FALSE),0)+IFERROR(VLOOKUP(K16,源_9年终奖表_Sheet1!$A:$E,3,FALSE),0)</f>
        <v>0</v>
      </c>
      <c r="AR16">
        <f>IFERROR(VLOOKUP(K16,源_4奖金汇总表_拆分手工算!$A:$N,13,FALSE),0)+IFERROR(VLOOKUP(K16,源_9年终奖表_Sheet1!$A:$E,4,FALSE),0)</f>
        <v>0</v>
      </c>
      <c r="AS16">
        <f>IFERROR(VLOOKUP(K16,源_4奖金汇总表_拆分手工算!$A:$N,14,FALSE),0)+IFERROR(VLOOKUP(K16,源_9年终奖表_Sheet1!$A:$E,5,FALSE),0)</f>
        <v>0</v>
      </c>
      <c r="AT16">
        <f>IFERROR(VLOOKUP(K16,源_5薪资备忘录_工资调整项!$A:$AC,20,FALSE),0)</f>
        <v>100</v>
      </c>
      <c r="AU16">
        <f>IFERROR(VLOOKUP(K16,源_5薪资备忘录_工资调整项!$A:$AC,21,FALSE),0)+IFERROR(VLOOKUP(K16,源_4奖金汇总表_拆分手工算!$A:$N,9,FALSE),0)</f>
        <v>0</v>
      </c>
      <c r="AV16">
        <f>R16/参数!$B$4*(IFERROR(VLOOKUP(K16,源_3考勤报表_考勤表!$F:$BG,37,FALSE),0)+IFERROR(VLOOKUP(K16,源_8补工时表_补当月工时!$A:$AC,15,FALSE),0))</f>
        <v>1413.0434782608697</v>
      </c>
      <c r="AW16">
        <f>R16/174*MIN(IFERROR(VLOOKUP(K16,源_3考勤报表_考勤表!$F:$BG,35,FALSE),0),174)*IF(DATEDIF(N16,DATE(参数!$B$2,参数!$B$3+1,0),"Y")&lt;2,0.6,IF(DATEDIF(N16,DATE(参数!$B$2,参数!$B$3+1,0),"Y")&lt;4,0.7,IF(DATEDIF(N16,DATE(参数!$B$2,参数!$B$3+1,0),"Y")&lt;6,0.8,IF(DATEDIF(N16,DATE(参数!$B$2,参数!$B$3+1,0),"Y")&lt;8,0.9,1))))</f>
        <v>627.58620689655163</v>
      </c>
      <c r="AX16">
        <f>IF(Q16+IFERROR(VLOOKUP(K16,源_3考勤报表_考勤表!$F:$BG,37,FALSE),0)+IFERROR(VLOOKUP(K16,源_8补工时表_补当月工时!$A:$AC,15,FALSE),0)&gt;=参数!$B$4,0,IF(Q16+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lt;=参数!$B$4,R16/参数!$B$4*(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0))</f>
        <v>0</v>
      </c>
      <c r="AY16">
        <v>0</v>
      </c>
      <c r="AZ16">
        <v>0</v>
      </c>
      <c r="BA16">
        <v>0</v>
      </c>
      <c r="BB16">
        <v>0</v>
      </c>
      <c r="BC16">
        <f>IFERROR(VLOOKUP(K16,源_5薪资备忘录_工资调整项!$A:$AC,25,FALSE),0)</f>
        <v>600</v>
      </c>
      <c r="BD16">
        <v>0</v>
      </c>
      <c r="BE16">
        <v>0</v>
      </c>
      <c r="BF16">
        <v>0</v>
      </c>
      <c r="BG16">
        <f>IFERROR(VLOOKUP(K16,源_5薪资备忘录_工资调整项!$A:$AC,22,FALSE),0)+IFERROR(VLOOKUP(K16,源_5薪资备忘录_工资调整项!$A:$AC,23,FALSE),0)+IFERROR(VLOOKUP(K16,源_5薪资备忘录_工资调整项!$A:$AC,24,FALSE),0)</f>
        <v>0</v>
      </c>
      <c r="BH16">
        <f>IFERROR(VLOOKUP(DF16,源_6社保表_Sheet1!$C:$CD,80,FALSE),0)+4.5</f>
        <v>6.5</v>
      </c>
      <c r="BI16">
        <f t="shared" si="3"/>
        <v>8935.0074962518738</v>
      </c>
      <c r="BJ16">
        <f>IFERROR(VLOOKUP(DF16,源_6社保表_Sheet1!$C:$BZ,26,FALSE),0)</f>
        <v>434.84</v>
      </c>
      <c r="BK16">
        <f>IFERROR(VLOOKUP(DF16,源_6社保表_Sheet1!$C:$BZ,27,FALSE),0)</f>
        <v>62.12</v>
      </c>
      <c r="BL16">
        <f>IFERROR(VLOOKUP(DF16,源_6社保表_Sheet1!$C:$BZ,28,FALSE),0)</f>
        <v>31.06</v>
      </c>
      <c r="BM16">
        <f>IFERROR(VLOOKUP(DF16,源_6社保表_Sheet1!$C:$BZ,30,FALSE),0)</f>
        <v>372.72</v>
      </c>
      <c r="BN16">
        <f>IFERROR(VLOOKUP(DF16,源_6社保表_Sheet1!$C:$BZ,29,FALSE),0)</f>
        <v>0</v>
      </c>
      <c r="BO16">
        <f>IFERROR(VLOOKUP(DF16,源_6社保表_Sheet1!$C:$BZ,40,FALSE),0)</f>
        <v>0</v>
      </c>
      <c r="BP16">
        <f>IFERROR(VLOOKUP(DF16,源_6社保表_Sheet1!$C:$BZ,41,FALSE),0)</f>
        <v>0</v>
      </c>
      <c r="BQ16">
        <f>IFERROR(VLOOKUP(DF16,源_6社保表_Sheet1!$C:$BZ,42,FALSE),0)</f>
        <v>0</v>
      </c>
      <c r="BR16">
        <f>IFERROR(VLOOKUP(DF16,源_6社保表_Sheet1!$C:$BZ,44,FALSE),0)</f>
        <v>0</v>
      </c>
      <c r="BS16">
        <f>IFERROR(VLOOKUP(DF16,源_6社保表_Sheet1!$C:$BZ,43,FALSE),0)</f>
        <v>0</v>
      </c>
      <c r="BT16">
        <f t="shared" si="4"/>
        <v>900.74</v>
      </c>
      <c r="BU16">
        <v>0</v>
      </c>
      <c r="BV16">
        <v>0</v>
      </c>
      <c r="BW16">
        <v>0</v>
      </c>
      <c r="BX16">
        <f t="shared" si="5"/>
        <v>0</v>
      </c>
      <c r="BY16">
        <v>0</v>
      </c>
      <c r="BZ16">
        <f>IFERROR(VLOOKUP(DF16,源_6社保表_Sheet1!$C:$BZ,18,FALSE),0)</f>
        <v>931.8</v>
      </c>
      <c r="CA16">
        <f>IFERROR(VLOOKUP(DF16,源_6社保表_Sheet1!$C:$BZ,19,FALSE),0)</f>
        <v>496.96</v>
      </c>
      <c r="CB16">
        <f>IFERROR(VLOOKUP(DF16,源_6社保表_Sheet1!$C:$BZ,24,FALSE),0)</f>
        <v>372.72</v>
      </c>
      <c r="CC16">
        <f>IFERROR(VLOOKUP(DF16,源_6社保表_Sheet1!$C:$BZ,20,FALSE),0)</f>
        <v>31.06</v>
      </c>
      <c r="CD16">
        <f>IFERROR(VLOOKUP(DF16,源_6社保表_Sheet1!$C:$BZ,21,FALSE),0)</f>
        <v>19.878399999999999</v>
      </c>
      <c r="CE16">
        <f>IFERROR(VLOOKUP(DF16,源_6社保表_Sheet1!$C:$BZ,22,FALSE),0)</f>
        <v>0</v>
      </c>
      <c r="CF16">
        <f>IFERROR(VLOOKUP(DF16,源_6社保表_Sheet1!$C:$BZ,23,FALSE),0)</f>
        <v>0</v>
      </c>
      <c r="CG16">
        <f>IFERROR(VLOOKUP(DF16,源_6社保表_Sheet1!$C:$BZ,32,FALSE),0)</f>
        <v>0</v>
      </c>
      <c r="CH16">
        <f>IFERROR(VLOOKUP(DF16,源_6社保表_Sheet1!$C:$BZ,33,FALSE),0)</f>
        <v>0</v>
      </c>
      <c r="CI16">
        <f>IFERROR(VLOOKUP(DF16,源_6社保表_Sheet1!$C:$BZ,34,FALSE),0)</f>
        <v>0</v>
      </c>
      <c r="CJ16">
        <f>IFERROR(VLOOKUP(DF16,源_6社保表_Sheet1!$C:$BZ,38,FALSE),0)</f>
        <v>0</v>
      </c>
      <c r="CK16">
        <f>IFERROR(VLOOKUP(DF16,源_6社保表_Sheet1!$C:$BZ,35,FALSE),0)</f>
        <v>0</v>
      </c>
      <c r="CL16">
        <f>IFERROR(VLOOKUP(DF16,源_6社保表_Sheet1!$C:$BZ,36,FALSE),0)</f>
        <v>0</v>
      </c>
      <c r="CM16">
        <f>IFERROR(VLOOKUP(DF16,源_6社保表_Sheet1!$C:$BZ,37,FALSE),0)</f>
        <v>0</v>
      </c>
      <c r="CN16">
        <f t="shared" si="6"/>
        <v>1852.4184</v>
      </c>
      <c r="CO16">
        <f t="shared" si="7"/>
        <v>10793.925896251874</v>
      </c>
      <c r="CP16">
        <f>IF(IFERROR(VLOOKUP(K16,源_13残疾人信息_残疾人信息!$A:$M,1,FALSE),"")&lt;&gt;"",0,IF(OR(P16="门店全职",P16="门店管理组",P16="全职(非门店)"),(BI16-AT16)*IFERROR(VLOOKUP(D16,源_12计提残保金规则_Sheet1!$A:$E,4,FALSE),0)*IFERROR(VLOOKUP(D16,源_12计提残保金规则_Sheet1!$A:$E,5,FALSE),0),0))</f>
        <v>18.553515742128937</v>
      </c>
      <c r="CQ16">
        <f t="shared" si="8"/>
        <v>16.05</v>
      </c>
      <c r="CR16">
        <f t="shared" si="9"/>
        <v>20.67</v>
      </c>
      <c r="CS16">
        <f>IF(DATEVALUE(N16)&gt;DATE(参数!$B$2,9,30),0,IF(M16="行政",0,IF(O16="",R16/12,IF(MONTH(DATEVALUE(O16))=参数!$B$3,0,IF(DATEVALUE(O16)&lt;DATE(参数!$B$2,参数!$B$3,1),0,R16/12)))))</f>
        <v>541.66666666666663</v>
      </c>
      <c r="CT16">
        <f t="shared" si="10"/>
        <v>663</v>
      </c>
      <c r="CU16">
        <f>IFERROR(VLOOKUP(DF16,源_6社保表_Sheet1!$C:$I,2,FALSE),0)</f>
        <v>6212</v>
      </c>
      <c r="CV16">
        <f>IFERROR(VLOOKUP(DF16,源_6社保表_Sheet1!$C:$I,7,FALSE),0)</f>
        <v>6212</v>
      </c>
      <c r="CW16">
        <f>IFERROR(VLOOKUP(DF16,源_6社保表_Sheet1!$C:$I,3,FALSE),0)</f>
        <v>6212</v>
      </c>
      <c r="CX16">
        <f>IFERROR(VLOOKUP(DF16,源_6社保表_Sheet1!$C:$I,4,FALSE),0)</f>
        <v>6212</v>
      </c>
      <c r="CY16">
        <f>IFERROR(VLOOKUP(DF16,源_6社保表_Sheet1!$C:$I,5,FALSE),0)</f>
        <v>6212</v>
      </c>
      <c r="CZ16">
        <f>IFERROR(VLOOKUP(DF16,源_6社保表_Sheet1!$C:$I,6,FALSE),0)</f>
        <v>0</v>
      </c>
      <c r="DA16">
        <f t="shared" si="11"/>
        <v>10487.425896251874</v>
      </c>
      <c r="DB16">
        <f t="shared" si="12"/>
        <v>11753.866078660669</v>
      </c>
      <c r="DC16" t="str">
        <f>IFERROR(VLOOKUP(K16,源_7银行卡表_Sheet1!$A:$J,8,FALSE),"")</f>
        <v>农业银行</v>
      </c>
      <c r="DD16" t="str">
        <f>IFERROR(VLOOKUP(K16,源_7银行卡表_Sheet1!$A:$J,9,FALSE),"")</f>
        <v>6687537249068003598</v>
      </c>
      <c r="DE16" t="str">
        <f>IFERROR(VLOOKUP(K16,源_7银行卡表_Sheet1!$A:$J,10,FALSE),"")</f>
        <v>中国农业银行五寨三岔镇支行</v>
      </c>
      <c r="DF16" t="s">
        <v>208</v>
      </c>
      <c r="DG16">
        <v>13419259843</v>
      </c>
      <c r="DH16" t="s">
        <v>203</v>
      </c>
      <c r="DI16">
        <v>0</v>
      </c>
      <c r="DJ16">
        <v>0</v>
      </c>
      <c r="DK16">
        <v>0</v>
      </c>
      <c r="DL16">
        <v>0</v>
      </c>
      <c r="DM16">
        <v>0</v>
      </c>
      <c r="DN16">
        <v>0</v>
      </c>
      <c r="DO16">
        <v>0</v>
      </c>
      <c r="DP16">
        <v>0</v>
      </c>
      <c r="DQ16">
        <v>0</v>
      </c>
      <c r="DR16">
        <f>IF(OR(IFERROR(VLOOKUP(K16,源_3考勤报表_考勤表!$F:$BG,39,FALSE),0)+IFERROR(VLOOKUP(K16,源_8补工时表_补当月工时!$A:$AC,24,FALSE),0)=0,IFERROR(VLOOKUP(K16,源_3考勤报表_考勤表!$F:$BG,43,FALSE),0)+IFERROR(VLOOKUP(K16,源_8补工时表_补当月工时!$A:$AC,26,FALSE),0)=0),IF(BI16+BG16-BT16&lt;0,BI16+BG16-BT16,0),0)</f>
        <v>0</v>
      </c>
    </row>
    <row r="17" spans="1:122" x14ac:dyDescent="0.15">
      <c r="A17">
        <f>参数!$B$2</f>
        <v>2025</v>
      </c>
      <c r="B17">
        <f>参数!$B$3</f>
        <v>12</v>
      </c>
      <c r="D17" t="s">
        <v>209</v>
      </c>
      <c r="E17" t="s">
        <v>123</v>
      </c>
      <c r="F17" t="str">
        <f>IFERROR(VLOOKUP(K17,源_7银行卡表_Sheet1!$A:$J,6,FALSE),"")</f>
        <v>华东营运</v>
      </c>
      <c r="G17" t="s">
        <v>210</v>
      </c>
      <c r="H17" t="s">
        <v>211</v>
      </c>
      <c r="I17" t="s">
        <v>212</v>
      </c>
      <c r="J17">
        <v>1</v>
      </c>
      <c r="K17">
        <v>26123016</v>
      </c>
      <c r="L17" t="s">
        <v>213</v>
      </c>
      <c r="M17" t="s">
        <v>140</v>
      </c>
      <c r="N17" t="s">
        <v>214</v>
      </c>
      <c r="P17" t="s">
        <v>131</v>
      </c>
      <c r="Q17">
        <f>IF(P17="门店全职",IFERROR(VLOOKUP(K17,源_3考勤报表_考勤表!$F:$BG,34,FALSE),0)+IFERROR(VLOOKUP(K17,源_8补工时表_补当月工时!$A:$AC,14,FALSE),0),IF(P17="门店管理组",IF(IFERROR(VLOOKUP(K17,源_3考勤报表_考勤表!$F:$BG,34,FALSE),0)+IFERROR(VLOOKUP(K17,源_8补工时表_补当月工时!$A:$AC,14,FALSE),0)+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44,FALSE),0)+IFERROR(VLOOKUP(K17,源_8补工时表_补当月工时!$A:$AC,16,FALSE),0)+IFERROR(VLOOKUP(K17,源_3考勤报表_考勤表!$F:$BG,45,FALSE),0)&gt;=参数!$B$4,参数!$B$4-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44,FALSE),0)-IFERROR(VLOOKUP(K17,源_8补工时表_补当月工时!$A:$AC,16,FALSE),0)-IFERROR(VLOOKUP(K17,源_3考勤报表_考勤表!$F:$BG,45,FALSE),0),IFERROR(VLOOKUP(K17,源_3考勤报表_考勤表!$F:$BG,34,FALSE),0)+IFERROR(VLOOKUP(K17,源_8补工时表_补当月工时!$A:$AC,14,FALSE),0)),0))</f>
        <v>30</v>
      </c>
      <c r="R17">
        <v>5309</v>
      </c>
      <c r="S17">
        <v>22</v>
      </c>
      <c r="T17">
        <f>IF(P17="门店全职",R17/参数!$B$4*(Q17-MAX(IFERROR(VLOOKUP(K17,源_3考勤报表_考勤表!$F:$BG,34,FALSE),0)+IFERROR(VLOOKUP(K17,源_8补工时表_补当月工时!$A:$AC,14,FALSE),0)+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参数!$B$4,0)),R17/参数!$B$4*Q17)</f>
        <v>865.5978260869565</v>
      </c>
      <c r="U17">
        <v>0</v>
      </c>
      <c r="V17">
        <v>0</v>
      </c>
      <c r="W17">
        <f t="shared" si="0"/>
        <v>300</v>
      </c>
      <c r="X17">
        <f>IFERROR(VLOOKUP(K17,源_4奖金汇总表_拆分手工算!$A:$N,8,FALSE),0)</f>
        <v>0</v>
      </c>
      <c r="Y17">
        <f>IFERROR(VLOOKUP(K17,源_5薪资备忘录_工资调整项!$A:$AC,14,FALSE),0)</f>
        <v>300</v>
      </c>
      <c r="Z17">
        <f>IFERROR(VLOOKUP(K17,源_5薪资备忘录_工资调整项!$A:$AC,16,FALSE),0)</f>
        <v>0</v>
      </c>
      <c r="AA17">
        <f>IFERROR(VLOOKUP(K17,源_5薪资备忘录_工资调整项!$A:$AC,15,FALSE),0)</f>
        <v>0</v>
      </c>
      <c r="AB17">
        <f t="shared" si="1"/>
        <v>0</v>
      </c>
      <c r="AC17">
        <f>IF(P17="门店全职",R17/174*MAX(IFERROR(VLOOKUP(K17,源_3考勤报表_考勤表!$F:$BG,34,FALSE),0)+IFERROR(VLOOKUP(K17,源_8补工时表_补当月工时!$A:$AC,14,FALSE),0)+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参数!$B$4,0)*1.5,0)</f>
        <v>0</v>
      </c>
      <c r="AD17">
        <v>0</v>
      </c>
      <c r="AE17">
        <f>IFERROR(VLOOKUP(K17,源_3考勤报表_考勤表!$F:$BG,46,FALSE),0)+IFERROR(VLOOKUP(K17,源_8补工时表_补当月工时!$A:$AC,25,FALSE),0)</f>
        <v>0</v>
      </c>
      <c r="AF17">
        <f t="shared" si="2"/>
        <v>0</v>
      </c>
      <c r="AG17">
        <f>IFERROR(VLOOKUP(K17,源_4奖金汇总表_拆分手工算!$A:$N,10,FALSE),0)</f>
        <v>0</v>
      </c>
      <c r="AH17">
        <f>IFERROR(VLOOKUP(K17,源_4奖金汇总表_拆分手工算!$A:$N,5,FALSE),0)</f>
        <v>0</v>
      </c>
      <c r="AI17">
        <f>IFERROR(VLOOKUP(K17,源_4奖金汇总表_拆分手工算!$A:$N,11,FALSE),0)</f>
        <v>0</v>
      </c>
      <c r="AJ17">
        <f>IFERROR(VLOOKUP(K17,源_4奖金汇总表_拆分手工算!$A:$N,4,FALSE),0)</f>
        <v>0</v>
      </c>
      <c r="AK17">
        <f>IFERROR(VLOOKUP(K17,源_4奖金汇总表_拆分手工算!$A:$N,3,FALSE),0)</f>
        <v>0</v>
      </c>
      <c r="AL17">
        <f>IFERROR(VLOOKUP(K17,源_4奖金汇总表_拆分手工算!$A:$N,6,FALSE),0)</f>
        <v>212.5</v>
      </c>
      <c r="AM17">
        <f>IFERROR(VLOOKUP(K17,源_5薪资备忘录_工资调整项!$A:$AC,18,FALSE),0)+IFERROR(VLOOKUP(K17,源_4奖金汇总表_拆分手工算!$A:$N,7,FALSE),0)</f>
        <v>222.22</v>
      </c>
      <c r="AN17">
        <f>IFERROR(VLOOKUP(K17,源_5薪资备忘录_工资调整项!$A:$AC,17,FALSE),0)</f>
        <v>0</v>
      </c>
      <c r="AO17">
        <f>IF(OR(IFERROR(VLOOKUP(K17,源_3考勤报表_考勤表!$F:$BG,39,FALSE),0)+IFERROR(VLOOKUP(K17,源_8补工时表_补当月工时!$A:$AC,24,FALSE),0)&gt;0,IFERROR(VLOOKUP(K17,源_3考勤报表_考勤表!$F:$BG,43,FALSE),0)+IFERROR(VLOOKUP(K17,源_8补工时表_补当月工时!$A:$AC,26,FALSE),0)&gt;0),IF(IFERROR(VLOOKUP(DH17,源_11产假政策_Sheet1!$C:$F,4,FALSE),"")="是",R17/参数!$B$4*(IFERROR(VLOOKUP(K17,源_3考勤报表_考勤表!$F:$BG,39,FALSE),0)+IFERROR(VLOOKUP(K17,源_8补工时表_补当月工时!$A:$AC,24,FALSE),0)+IFERROR(VLOOKUP(K17,源_3考勤报表_考勤表!$F:$BG,43,FALSE),0)+IFERROR(VLOOKUP(K17,源_8补工时表_补当月工时!$A:$AC,26,FALSE),0)),IFERROR(VLOOKUP(K17,源_5薪资备忘录_工资调整项!$A:$AC,19,FALSE),0)),0)</f>
        <v>0</v>
      </c>
      <c r="AP17">
        <v>0</v>
      </c>
      <c r="AQ17">
        <f>IFERROR(VLOOKUP(K17,源_4奖金汇总表_拆分手工算!$A:$N,12,FALSE),0)+IFERROR(VLOOKUP(K17,源_9年终奖表_Sheet1!$A:$E,3,FALSE),0)</f>
        <v>0</v>
      </c>
      <c r="AR17">
        <f>IFERROR(VLOOKUP(K17,源_4奖金汇总表_拆分手工算!$A:$N,13,FALSE),0)+IFERROR(VLOOKUP(K17,源_9年终奖表_Sheet1!$A:$E,4,FALSE),0)</f>
        <v>0</v>
      </c>
      <c r="AS17">
        <f>IFERROR(VLOOKUP(K17,源_4奖金汇总表_拆分手工算!$A:$N,14,FALSE),0)+IFERROR(VLOOKUP(K17,源_9年终奖表_Sheet1!$A:$E,5,FALSE),0)</f>
        <v>0</v>
      </c>
      <c r="AT17">
        <f>IFERROR(VLOOKUP(K17,源_5薪资备忘录_工资调整项!$A:$AC,20,FALSE),0)</f>
        <v>0</v>
      </c>
      <c r="AU17">
        <f>IFERROR(VLOOKUP(K17,源_5薪资备忘录_工资调整项!$A:$AC,21,FALSE),0)+IFERROR(VLOOKUP(K17,源_4奖金汇总表_拆分手工算!$A:$N,9,FALSE),0)</f>
        <v>0</v>
      </c>
      <c r="AV17">
        <f>R17/参数!$B$4*(IFERROR(VLOOKUP(K17,源_3考勤报表_考勤表!$F:$BG,37,FALSE),0)+IFERROR(VLOOKUP(K17,源_8补工时表_补当月工时!$A:$AC,15,FALSE),0))</f>
        <v>1154.1304347826087</v>
      </c>
      <c r="AW17">
        <f>R17/174*MIN(IFERROR(VLOOKUP(K17,源_3考勤报表_考勤表!$F:$BG,35,FALSE),0),174)*IF(DATEDIF(N17,DATE(参数!$B$2,参数!$B$3+1,0),"Y")&lt;2,0.6,IF(DATEDIF(N17,DATE(参数!$B$2,参数!$B$3+1,0),"Y")&lt;4,0.7,IF(DATEDIF(N17,DATE(参数!$B$2,参数!$B$3+1,0),"Y")&lt;6,0.8,IF(DATEDIF(N17,DATE(参数!$B$2,参数!$B$3+1,0),"Y")&lt;8,0.9,1))))</f>
        <v>2434.8172413793104</v>
      </c>
      <c r="AX17">
        <f>IF(Q17+IFERROR(VLOOKUP(K17,源_3考勤报表_考勤表!$F:$BG,37,FALSE),0)+IFERROR(VLOOKUP(K17,源_8补工时表_补当月工时!$A:$AC,15,FALSE),0)&gt;=参数!$B$4,0,IF(Q17+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lt;=参数!$B$4,R17/参数!$B$4*(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0))</f>
        <v>0</v>
      </c>
      <c r="AY17">
        <v>0</v>
      </c>
      <c r="AZ17">
        <v>0</v>
      </c>
      <c r="BA17">
        <v>0</v>
      </c>
      <c r="BB17">
        <v>0</v>
      </c>
      <c r="BC17">
        <f>IFERROR(VLOOKUP(K17,源_5薪资备忘录_工资调整项!$A:$AC,25,FALSE),0)</f>
        <v>0</v>
      </c>
      <c r="BD17">
        <v>0</v>
      </c>
      <c r="BE17">
        <v>0</v>
      </c>
      <c r="BF17">
        <v>0</v>
      </c>
      <c r="BG17">
        <f>IFERROR(VLOOKUP(K17,源_5薪资备忘录_工资调整项!$A:$AC,22,FALSE),0)+IFERROR(VLOOKUP(K17,源_5薪资备忘录_工资调整项!$A:$AC,23,FALSE),0)+IFERROR(VLOOKUP(K17,源_5薪资备忘录_工资调整项!$A:$AC,24,FALSE),0)</f>
        <v>333.33</v>
      </c>
      <c r="BH17">
        <f>IFERROR(VLOOKUP(DF17,源_6社保表_Sheet1!$C:$CD,80,FALSE),0)+4.5</f>
        <v>6.5</v>
      </c>
      <c r="BI17">
        <f t="shared" si="3"/>
        <v>5189.2655022488761</v>
      </c>
      <c r="BJ17">
        <f>IFERROR(VLOOKUP(DF17,源_6社保表_Sheet1!$C:$BZ,26,FALSE),0)</f>
        <v>515.27</v>
      </c>
      <c r="BK17">
        <f>IFERROR(VLOOKUP(DF17,源_6社保表_Sheet1!$C:$BZ,27,FALSE),0)</f>
        <v>73.61</v>
      </c>
      <c r="BL17">
        <f>IFERROR(VLOOKUP(DF17,源_6社保表_Sheet1!$C:$BZ,28,FALSE),0)</f>
        <v>36.805</v>
      </c>
      <c r="BM17">
        <f>IFERROR(VLOOKUP(DF17,源_6社保表_Sheet1!$C:$BZ,30,FALSE),0)</f>
        <v>441.66</v>
      </c>
      <c r="BN17">
        <f>IFERROR(VLOOKUP(DF17,源_6社保表_Sheet1!$C:$BZ,29,FALSE),0)</f>
        <v>0</v>
      </c>
      <c r="BO17">
        <f>IFERROR(VLOOKUP(DF17,源_6社保表_Sheet1!$C:$BZ,40,FALSE),0)</f>
        <v>0</v>
      </c>
      <c r="BP17">
        <f>IFERROR(VLOOKUP(DF17,源_6社保表_Sheet1!$C:$BZ,41,FALSE),0)</f>
        <v>0</v>
      </c>
      <c r="BQ17">
        <f>IFERROR(VLOOKUP(DF17,源_6社保表_Sheet1!$C:$BZ,42,FALSE),0)</f>
        <v>0</v>
      </c>
      <c r="BR17">
        <f>IFERROR(VLOOKUP(DF17,源_6社保表_Sheet1!$C:$BZ,44,FALSE),0)</f>
        <v>0</v>
      </c>
      <c r="BS17">
        <f>IFERROR(VLOOKUP(DF17,源_6社保表_Sheet1!$C:$BZ,43,FALSE),0)</f>
        <v>0</v>
      </c>
      <c r="BT17">
        <f t="shared" si="4"/>
        <v>1067.345</v>
      </c>
      <c r="BU17">
        <v>0</v>
      </c>
      <c r="BV17">
        <v>0</v>
      </c>
      <c r="BW17">
        <v>0</v>
      </c>
      <c r="BX17">
        <f t="shared" si="5"/>
        <v>0</v>
      </c>
      <c r="BY17">
        <v>0</v>
      </c>
      <c r="BZ17">
        <f>IFERROR(VLOOKUP(DF17,源_6社保表_Sheet1!$C:$BZ,18,FALSE),0)</f>
        <v>1104.1500000000001</v>
      </c>
      <c r="CA17">
        <f>IFERROR(VLOOKUP(DF17,源_6社保表_Sheet1!$C:$BZ,19,FALSE),0)</f>
        <v>588.88</v>
      </c>
      <c r="CB17">
        <f>IFERROR(VLOOKUP(DF17,源_6社保表_Sheet1!$C:$BZ,24,FALSE),0)</f>
        <v>441.66</v>
      </c>
      <c r="CC17">
        <f>IFERROR(VLOOKUP(DF17,源_6社保表_Sheet1!$C:$BZ,20,FALSE),0)</f>
        <v>36.805</v>
      </c>
      <c r="CD17">
        <f>IFERROR(VLOOKUP(DF17,源_6社保表_Sheet1!$C:$BZ,21,FALSE),0)</f>
        <v>23.555199999999999</v>
      </c>
      <c r="CE17">
        <f>IFERROR(VLOOKUP(DF17,源_6社保表_Sheet1!$C:$BZ,22,FALSE),0)</f>
        <v>0</v>
      </c>
      <c r="CF17">
        <f>IFERROR(VLOOKUP(DF17,源_6社保表_Sheet1!$C:$BZ,23,FALSE),0)</f>
        <v>0</v>
      </c>
      <c r="CG17">
        <f>IFERROR(VLOOKUP(DF17,源_6社保表_Sheet1!$C:$BZ,32,FALSE),0)</f>
        <v>0</v>
      </c>
      <c r="CH17">
        <f>IFERROR(VLOOKUP(DF17,源_6社保表_Sheet1!$C:$BZ,33,FALSE),0)</f>
        <v>0</v>
      </c>
      <c r="CI17">
        <f>IFERROR(VLOOKUP(DF17,源_6社保表_Sheet1!$C:$BZ,34,FALSE),0)</f>
        <v>0</v>
      </c>
      <c r="CJ17">
        <f>IFERROR(VLOOKUP(DF17,源_6社保表_Sheet1!$C:$BZ,38,FALSE),0)</f>
        <v>0</v>
      </c>
      <c r="CK17">
        <f>IFERROR(VLOOKUP(DF17,源_6社保表_Sheet1!$C:$BZ,35,FALSE),0)</f>
        <v>0</v>
      </c>
      <c r="CL17">
        <f>IFERROR(VLOOKUP(DF17,源_6社保表_Sheet1!$C:$BZ,36,FALSE),0)</f>
        <v>0</v>
      </c>
      <c r="CM17">
        <f>IFERROR(VLOOKUP(DF17,源_6社保表_Sheet1!$C:$BZ,37,FALSE),0)</f>
        <v>0</v>
      </c>
      <c r="CN17">
        <f t="shared" si="6"/>
        <v>2195.0501999999997</v>
      </c>
      <c r="CO17">
        <f t="shared" si="7"/>
        <v>7724.1457022488758</v>
      </c>
      <c r="CP17">
        <f>IF(IFERROR(VLOOKUP(K17,源_13残疾人信息_残疾人信息!$A:$M,1,FALSE),"")&lt;&gt;"",0,IF(OR(P17="门店全职",P17="门店管理组",P17="全职(非门店)"),(BI17-AT17)*IFERROR(VLOOKUP(D17,源_12计提残保金规则_Sheet1!$A:$E,4,FALSE),0)*IFERROR(VLOOKUP(D17,源_12计提残保金规则_Sheet1!$A:$E,5,FALSE),0),0))</f>
        <v>31.13559301349326</v>
      </c>
      <c r="CQ17">
        <f t="shared" si="8"/>
        <v>16.05</v>
      </c>
      <c r="CR17">
        <f t="shared" si="9"/>
        <v>20.67</v>
      </c>
      <c r="CS17">
        <f>IF(DATEVALUE(N17)&gt;DATE(参数!$B$2,9,30),0,IF(M17="行政",0,IF(O17="",R17/12,IF(MONTH(DATEVALUE(O17))=参数!$B$3,0,IF(DATEVALUE(O17)&lt;DATE(参数!$B$2,参数!$B$3,1),0,R17/12)))))</f>
        <v>442.41666666666669</v>
      </c>
      <c r="CT17">
        <f t="shared" si="10"/>
        <v>541.51799999999992</v>
      </c>
      <c r="CU17">
        <f>IFERROR(VLOOKUP(DF17,源_6社保表_Sheet1!$C:$I,2,FALSE),0)</f>
        <v>7361</v>
      </c>
      <c r="CV17">
        <f>IFERROR(VLOOKUP(DF17,源_6社保表_Sheet1!$C:$I,7,FALSE),0)</f>
        <v>7361</v>
      </c>
      <c r="CW17">
        <f>IFERROR(VLOOKUP(DF17,源_6社保表_Sheet1!$C:$I,3,FALSE),0)</f>
        <v>7361</v>
      </c>
      <c r="CX17">
        <f>IFERROR(VLOOKUP(DF17,源_6社保表_Sheet1!$C:$I,4,FALSE),0)</f>
        <v>7361</v>
      </c>
      <c r="CY17">
        <f>IFERROR(VLOOKUP(DF17,源_6社保表_Sheet1!$C:$I,5,FALSE),0)</f>
        <v>7361</v>
      </c>
      <c r="CZ17">
        <f>IFERROR(VLOOKUP(DF17,源_6社保表_Sheet1!$C:$I,6,FALSE),0)</f>
        <v>0</v>
      </c>
      <c r="DA17">
        <f t="shared" si="11"/>
        <v>6949.5957022488756</v>
      </c>
      <c r="DB17">
        <f t="shared" si="12"/>
        <v>8007.8859619290361</v>
      </c>
      <c r="DC17" t="str">
        <f>IFERROR(VLOOKUP(K17,源_7银行卡表_Sheet1!$A:$J,8,FALSE),"")</f>
        <v>农业银行</v>
      </c>
      <c r="DD17" t="str">
        <f>IFERROR(VLOOKUP(K17,源_7银行卡表_Sheet1!$A:$J,9,FALSE),"")</f>
        <v>6684682572664386666</v>
      </c>
      <c r="DE17" t="str">
        <f>IFERROR(VLOOKUP(K17,源_7银行卡表_Sheet1!$A:$J,10,FALSE),"")</f>
        <v>中国农业银行临汾中大街分理处</v>
      </c>
      <c r="DF17" t="s">
        <v>215</v>
      </c>
      <c r="DG17">
        <v>18370920073</v>
      </c>
      <c r="DH17" t="s">
        <v>210</v>
      </c>
      <c r="DI17">
        <v>0</v>
      </c>
      <c r="DJ17">
        <v>0</v>
      </c>
      <c r="DK17">
        <v>0</v>
      </c>
      <c r="DL17">
        <v>0</v>
      </c>
      <c r="DM17">
        <v>0</v>
      </c>
      <c r="DN17">
        <v>0</v>
      </c>
      <c r="DO17">
        <v>0</v>
      </c>
      <c r="DP17">
        <v>0</v>
      </c>
      <c r="DQ17">
        <v>0</v>
      </c>
      <c r="DR17">
        <f>IF(OR(IFERROR(VLOOKUP(K17,源_3考勤报表_考勤表!$F:$BG,39,FALSE),0)+IFERROR(VLOOKUP(K17,源_8补工时表_补当月工时!$A:$AC,24,FALSE),0)=0,IFERROR(VLOOKUP(K17,源_3考勤报表_考勤表!$F:$BG,43,FALSE),0)+IFERROR(VLOOKUP(K17,源_8补工时表_补当月工时!$A:$AC,26,FALSE),0)=0),IF(BI17+BG17-BT17&lt;0,BI17+BG17-BT17,0),0)</f>
        <v>0</v>
      </c>
    </row>
    <row r="18" spans="1:122" x14ac:dyDescent="0.15">
      <c r="A18">
        <f>参数!$B$2</f>
        <v>2025</v>
      </c>
      <c r="B18">
        <f>参数!$B$3</f>
        <v>12</v>
      </c>
      <c r="D18" t="s">
        <v>122</v>
      </c>
      <c r="E18" t="s">
        <v>123</v>
      </c>
      <c r="F18" t="str">
        <f>IFERROR(VLOOKUP(K18,源_7银行卡表_Sheet1!$A:$J,6,FALSE),"")</f>
        <v>华东营运</v>
      </c>
      <c r="G18" t="s">
        <v>124</v>
      </c>
      <c r="H18" t="s">
        <v>216</v>
      </c>
      <c r="I18" t="s">
        <v>126</v>
      </c>
      <c r="J18">
        <v>1</v>
      </c>
      <c r="K18">
        <v>26123017</v>
      </c>
      <c r="L18" t="s">
        <v>217</v>
      </c>
      <c r="M18" t="s">
        <v>218</v>
      </c>
      <c r="N18" t="s">
        <v>219</v>
      </c>
      <c r="P18" t="s">
        <v>131</v>
      </c>
      <c r="Q18">
        <f>IF(P18="门店全职",IFERROR(VLOOKUP(K18,源_3考勤报表_考勤表!$F:$BG,34,FALSE),0)+IFERROR(VLOOKUP(K18,源_8补工时表_补当月工时!$A:$AC,14,FALSE),0),IF(P18="门店管理组",IF(IFERROR(VLOOKUP(K18,源_3考勤报表_考勤表!$F:$BG,34,FALSE),0)+IFERROR(VLOOKUP(K18,源_8补工时表_补当月工时!$A:$AC,14,FALSE),0)+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44,FALSE),0)+IFERROR(VLOOKUP(K18,源_8补工时表_补当月工时!$A:$AC,16,FALSE),0)+IFERROR(VLOOKUP(K18,源_3考勤报表_考勤表!$F:$BG,45,FALSE),0)&gt;=参数!$B$4,参数!$B$4-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44,FALSE),0)-IFERROR(VLOOKUP(K18,源_8补工时表_补当月工时!$A:$AC,16,FALSE),0)-IFERROR(VLOOKUP(K18,源_3考勤报表_考勤表!$F:$BG,45,FALSE),0),IFERROR(VLOOKUP(K18,源_3考勤报表_考勤表!$F:$BG,34,FALSE),0)+IFERROR(VLOOKUP(K18,源_8补工时表_补当月工时!$A:$AC,14,FALSE),0)),0))</f>
        <v>89</v>
      </c>
      <c r="R18">
        <v>4750</v>
      </c>
      <c r="S18">
        <v>0</v>
      </c>
      <c r="T18">
        <f>IF(P18="门店全职",R18/参数!$B$4*(Q18-MAX(IFERROR(VLOOKUP(K18,源_3考勤报表_考勤表!$F:$BG,34,FALSE),0)+IFERROR(VLOOKUP(K18,源_8补工时表_补当月工时!$A:$AC,14,FALSE),0)+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参数!$B$4,0)),R18/参数!$B$4*Q18)</f>
        <v>2297.554347826087</v>
      </c>
      <c r="U18">
        <v>0</v>
      </c>
      <c r="V18">
        <v>0</v>
      </c>
      <c r="W18">
        <f t="shared" si="0"/>
        <v>0</v>
      </c>
      <c r="X18">
        <f>IFERROR(VLOOKUP(K18,源_4奖金汇总表_拆分手工算!$A:$N,8,FALSE),0)</f>
        <v>0</v>
      </c>
      <c r="Y18">
        <f>IFERROR(VLOOKUP(K18,源_5薪资备忘录_工资调整项!$A:$AC,14,FALSE),0)</f>
        <v>0</v>
      </c>
      <c r="Z18">
        <f>IFERROR(VLOOKUP(K18,源_5薪资备忘录_工资调整项!$A:$AC,16,FALSE),0)</f>
        <v>0</v>
      </c>
      <c r="AA18">
        <f>IFERROR(VLOOKUP(K18,源_5薪资备忘录_工资调整项!$A:$AC,15,FALSE),0)</f>
        <v>0</v>
      </c>
      <c r="AB18">
        <f t="shared" si="1"/>
        <v>0</v>
      </c>
      <c r="AC18">
        <f>IF(P18="门店全职",R18/174*MAX(IFERROR(VLOOKUP(K18,源_3考勤报表_考勤表!$F:$BG,34,FALSE),0)+IFERROR(VLOOKUP(K18,源_8补工时表_补当月工时!$A:$AC,14,FALSE),0)+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参数!$B$4,0)*1.5,0)</f>
        <v>0</v>
      </c>
      <c r="AD18">
        <v>0</v>
      </c>
      <c r="AE18">
        <f>IFERROR(VLOOKUP(K18,源_3考勤报表_考勤表!$F:$BG,46,FALSE),0)+IFERROR(VLOOKUP(K18,源_8补工时表_补当月工时!$A:$AC,25,FALSE),0)</f>
        <v>0</v>
      </c>
      <c r="AF18">
        <f t="shared" si="2"/>
        <v>0</v>
      </c>
      <c r="AG18">
        <f>IFERROR(VLOOKUP(K18,源_4奖金汇总表_拆分手工算!$A:$N,10,FALSE),0)</f>
        <v>0</v>
      </c>
      <c r="AH18">
        <f>IFERROR(VLOOKUP(K18,源_4奖金汇总表_拆分手工算!$A:$N,5,FALSE),0)</f>
        <v>0</v>
      </c>
      <c r="AI18">
        <f>IFERROR(VLOOKUP(K18,源_4奖金汇总表_拆分手工算!$A:$N,11,FALSE),0)</f>
        <v>0</v>
      </c>
      <c r="AJ18">
        <f>IFERROR(VLOOKUP(K18,源_4奖金汇总表_拆分手工算!$A:$N,4,FALSE),0)</f>
        <v>0</v>
      </c>
      <c r="AK18">
        <f>IFERROR(VLOOKUP(K18,源_4奖金汇总表_拆分手工算!$A:$N,3,FALSE),0)</f>
        <v>0</v>
      </c>
      <c r="AL18">
        <f>IFERROR(VLOOKUP(K18,源_4奖金汇总表_拆分手工算!$A:$N,6,FALSE),0)</f>
        <v>0</v>
      </c>
      <c r="AM18">
        <f>IFERROR(VLOOKUP(K18,源_5薪资备忘录_工资调整项!$A:$AC,18,FALSE),0)+IFERROR(VLOOKUP(K18,源_4奖金汇总表_拆分手工算!$A:$N,7,FALSE),0)</f>
        <v>700</v>
      </c>
      <c r="AN18">
        <f>IFERROR(VLOOKUP(K18,源_5薪资备忘录_工资调整项!$A:$AC,17,FALSE),0)</f>
        <v>100</v>
      </c>
      <c r="AO18">
        <f>IF(OR(IFERROR(VLOOKUP(K18,源_3考勤报表_考勤表!$F:$BG,39,FALSE),0)+IFERROR(VLOOKUP(K18,源_8补工时表_补当月工时!$A:$AC,24,FALSE),0)&gt;0,IFERROR(VLOOKUP(K18,源_3考勤报表_考勤表!$F:$BG,43,FALSE),0)+IFERROR(VLOOKUP(K18,源_8补工时表_补当月工时!$A:$AC,26,FALSE),0)&gt;0),IF(IFERROR(VLOOKUP(DH18,源_11产假政策_Sheet1!$C:$F,4,FALSE),"")="是",R18/参数!$B$4*(IFERROR(VLOOKUP(K18,源_3考勤报表_考勤表!$F:$BG,39,FALSE),0)+IFERROR(VLOOKUP(K18,源_8补工时表_补当月工时!$A:$AC,24,FALSE),0)+IFERROR(VLOOKUP(K18,源_3考勤报表_考勤表!$F:$BG,43,FALSE),0)+IFERROR(VLOOKUP(K18,源_8补工时表_补当月工时!$A:$AC,26,FALSE),0)),IFERROR(VLOOKUP(K18,源_5薪资备忘录_工资调整项!$A:$AC,19,FALSE),0)),0)</f>
        <v>0</v>
      </c>
      <c r="AP18">
        <v>0</v>
      </c>
      <c r="AQ18">
        <f>IFERROR(VLOOKUP(K18,源_4奖金汇总表_拆分手工算!$A:$N,12,FALSE),0)+IFERROR(VLOOKUP(K18,源_9年终奖表_Sheet1!$A:$E,3,FALSE),0)</f>
        <v>0</v>
      </c>
      <c r="AR18">
        <f>IFERROR(VLOOKUP(K18,源_4奖金汇总表_拆分手工算!$A:$N,13,FALSE),0)+IFERROR(VLOOKUP(K18,源_9年终奖表_Sheet1!$A:$E,4,FALSE),0)</f>
        <v>0</v>
      </c>
      <c r="AS18">
        <f>IFERROR(VLOOKUP(K18,源_4奖金汇总表_拆分手工算!$A:$N,14,FALSE),0)+IFERROR(VLOOKUP(K18,源_9年终奖表_Sheet1!$A:$E,5,FALSE),0)</f>
        <v>0</v>
      </c>
      <c r="AT18">
        <f>IFERROR(VLOOKUP(K18,源_5薪资备忘录_工资调整项!$A:$AC,20,FALSE),0)</f>
        <v>0</v>
      </c>
      <c r="AU18">
        <f>IFERROR(VLOOKUP(K18,源_5薪资备忘录_工资调整项!$A:$AC,21,FALSE),0)+IFERROR(VLOOKUP(K18,源_4奖金汇总表_拆分手工算!$A:$N,9,FALSE),0)</f>
        <v>0</v>
      </c>
      <c r="AV18">
        <f>R18/参数!$B$4*(IFERROR(VLOOKUP(K18,源_3考勤报表_考勤表!$F:$BG,37,FALSE),0)+IFERROR(VLOOKUP(K18,源_8补工时表_补当月工时!$A:$AC,15,FALSE),0))</f>
        <v>309.78260869565219</v>
      </c>
      <c r="AW18">
        <f>R18/174*MIN(IFERROR(VLOOKUP(K18,源_3考勤报表_考勤表!$F:$BG,35,FALSE),0),174)*IF(DATEDIF(N18,DATE(参数!$B$2,参数!$B$3+1,0),"Y")&lt;2,0.6,IF(DATEDIF(N18,DATE(参数!$B$2,参数!$B$3+1,0),"Y")&lt;4,0.7,IF(DATEDIF(N18,DATE(参数!$B$2,参数!$B$3+1,0),"Y")&lt;6,0.8,IF(DATEDIF(N18,DATE(参数!$B$2,参数!$B$3+1,0),"Y")&lt;8,0.9,1))))</f>
        <v>1812.64367816092</v>
      </c>
      <c r="AX18">
        <f>IF(Q18+IFERROR(VLOOKUP(K18,源_3考勤报表_考勤表!$F:$BG,37,FALSE),0)+IFERROR(VLOOKUP(K18,源_8补工时表_补当月工时!$A:$AC,15,FALSE),0)&gt;=参数!$B$4,0,IF(Q18+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lt;=参数!$B$4,R18/参数!$B$4*(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0))</f>
        <v>0</v>
      </c>
      <c r="AY18">
        <v>0</v>
      </c>
      <c r="AZ18">
        <v>0</v>
      </c>
      <c r="BA18">
        <v>0</v>
      </c>
      <c r="BB18">
        <v>0</v>
      </c>
      <c r="BC18">
        <f>IFERROR(VLOOKUP(K18,源_5薪资备忘录_工资调整项!$A:$AC,25,FALSE),0)</f>
        <v>0</v>
      </c>
      <c r="BD18">
        <v>0</v>
      </c>
      <c r="BE18">
        <v>0</v>
      </c>
      <c r="BF18">
        <v>0</v>
      </c>
      <c r="BG18">
        <f>IFERROR(VLOOKUP(K18,源_5薪资备忘录_工资调整项!$A:$AC,22,FALSE),0)+IFERROR(VLOOKUP(K18,源_5薪资备忘录_工资调整项!$A:$AC,23,FALSE),0)+IFERROR(VLOOKUP(K18,源_5薪资备忘录_工资调整项!$A:$AC,24,FALSE),0)</f>
        <v>0</v>
      </c>
      <c r="BH18">
        <f>IFERROR(VLOOKUP(DF18,源_6社保表_Sheet1!$C:$CD,80,FALSE),0)+4.5</f>
        <v>6.5</v>
      </c>
      <c r="BI18">
        <f t="shared" si="3"/>
        <v>5219.980634682659</v>
      </c>
      <c r="BJ18">
        <f>IFERROR(VLOOKUP(DF18,源_6社保表_Sheet1!$C:$BZ,26,FALSE),0)</f>
        <v>522.20000000000005</v>
      </c>
      <c r="BK18">
        <f>IFERROR(VLOOKUP(DF18,源_6社保表_Sheet1!$C:$BZ,27,FALSE),0)</f>
        <v>74.599999999999994</v>
      </c>
      <c r="BL18">
        <f>IFERROR(VLOOKUP(DF18,源_6社保表_Sheet1!$C:$BZ,28,FALSE),0)</f>
        <v>37.299999999999997</v>
      </c>
      <c r="BM18">
        <f>IFERROR(VLOOKUP(DF18,源_6社保表_Sheet1!$C:$BZ,30,FALSE),0)</f>
        <v>442.92</v>
      </c>
      <c r="BN18">
        <f>IFERROR(VLOOKUP(DF18,源_6社保表_Sheet1!$C:$BZ,29,FALSE),0)</f>
        <v>0</v>
      </c>
      <c r="BO18">
        <f>IFERROR(VLOOKUP(DF18,源_6社保表_Sheet1!$C:$BZ,40,FALSE),0)</f>
        <v>0</v>
      </c>
      <c r="BP18">
        <f>IFERROR(VLOOKUP(DF18,源_6社保表_Sheet1!$C:$BZ,41,FALSE),0)</f>
        <v>0</v>
      </c>
      <c r="BQ18">
        <f>IFERROR(VLOOKUP(DF18,源_6社保表_Sheet1!$C:$BZ,42,FALSE),0)</f>
        <v>0</v>
      </c>
      <c r="BR18">
        <f>IFERROR(VLOOKUP(DF18,源_6社保表_Sheet1!$C:$BZ,44,FALSE),0)</f>
        <v>0</v>
      </c>
      <c r="BS18">
        <f>IFERROR(VLOOKUP(DF18,源_6社保表_Sheet1!$C:$BZ,43,FALSE),0)</f>
        <v>0</v>
      </c>
      <c r="BT18">
        <f t="shared" si="4"/>
        <v>1077.02</v>
      </c>
      <c r="BU18">
        <v>0</v>
      </c>
      <c r="BV18">
        <v>0</v>
      </c>
      <c r="BW18">
        <v>0</v>
      </c>
      <c r="BX18">
        <f t="shared" si="5"/>
        <v>0</v>
      </c>
      <c r="BY18">
        <v>0</v>
      </c>
      <c r="BZ18">
        <f>IFERROR(VLOOKUP(DF18,源_6社保表_Sheet1!$C:$BZ,18,FALSE),0)</f>
        <v>1119</v>
      </c>
      <c r="CA18">
        <f>IFERROR(VLOOKUP(DF18,源_6社保表_Sheet1!$C:$BZ,19,FALSE),0)</f>
        <v>596.79999999999995</v>
      </c>
      <c r="CB18">
        <f>IFERROR(VLOOKUP(DF18,源_6社保表_Sheet1!$C:$BZ,24,FALSE),0)</f>
        <v>442.92</v>
      </c>
      <c r="CC18">
        <f>IFERROR(VLOOKUP(DF18,源_6社保表_Sheet1!$C:$BZ,20,FALSE),0)</f>
        <v>37.299999999999997</v>
      </c>
      <c r="CD18">
        <f>IFERROR(VLOOKUP(DF18,源_6社保表_Sheet1!$C:$BZ,21,FALSE),0)</f>
        <v>23.872</v>
      </c>
      <c r="CE18">
        <f>IFERROR(VLOOKUP(DF18,源_6社保表_Sheet1!$C:$BZ,22,FALSE),0)</f>
        <v>0</v>
      </c>
      <c r="CF18">
        <f>IFERROR(VLOOKUP(DF18,源_6社保表_Sheet1!$C:$BZ,23,FALSE),0)</f>
        <v>0</v>
      </c>
      <c r="CG18">
        <f>IFERROR(VLOOKUP(DF18,源_6社保表_Sheet1!$C:$BZ,32,FALSE),0)</f>
        <v>0</v>
      </c>
      <c r="CH18">
        <f>IFERROR(VLOOKUP(DF18,源_6社保表_Sheet1!$C:$BZ,33,FALSE),0)</f>
        <v>0</v>
      </c>
      <c r="CI18">
        <f>IFERROR(VLOOKUP(DF18,源_6社保表_Sheet1!$C:$BZ,34,FALSE),0)</f>
        <v>0</v>
      </c>
      <c r="CJ18">
        <f>IFERROR(VLOOKUP(DF18,源_6社保表_Sheet1!$C:$BZ,38,FALSE),0)</f>
        <v>0</v>
      </c>
      <c r="CK18">
        <f>IFERROR(VLOOKUP(DF18,源_6社保表_Sheet1!$C:$BZ,35,FALSE),0)</f>
        <v>0</v>
      </c>
      <c r="CL18">
        <f>IFERROR(VLOOKUP(DF18,源_6社保表_Sheet1!$C:$BZ,36,FALSE),0)</f>
        <v>0</v>
      </c>
      <c r="CM18">
        <f>IFERROR(VLOOKUP(DF18,源_6社保表_Sheet1!$C:$BZ,37,FALSE),0)</f>
        <v>0</v>
      </c>
      <c r="CN18">
        <f t="shared" si="6"/>
        <v>2219.8919999999998</v>
      </c>
      <c r="CO18">
        <f t="shared" si="7"/>
        <v>7446.3726346826588</v>
      </c>
      <c r="CP18">
        <f>IF(IFERROR(VLOOKUP(K18,源_13残疾人信息_残疾人信息!$A:$M,1,FALSE),"")&lt;&gt;"",0,IF(OR(P18="门店全职",P18="门店管理组",P18="全职(非门店)"),(BI18-AT18)*IFERROR(VLOOKUP(D18,源_12计提残保金规则_Sheet1!$A:$E,4,FALSE),0)*IFERROR(VLOOKUP(D18,源_12计提残保金规则_Sheet1!$A:$E,5,FALSE),0),0))</f>
        <v>70.469738568215902</v>
      </c>
      <c r="CQ18">
        <f t="shared" si="8"/>
        <v>16.05</v>
      </c>
      <c r="CR18">
        <f t="shared" si="9"/>
        <v>20.67</v>
      </c>
      <c r="CS18">
        <f>IF(DATEVALUE(N18)&gt;DATE(参数!$B$2,9,30),0,IF(M18="行政",0,IF(O18="",R18/12,IF(MONTH(DATEVALUE(O18))=参数!$B$3,0,IF(DATEVALUE(O18)&lt;DATE(参数!$B$2,参数!$B$3,1),0,R18/12)))))</f>
        <v>395.83333333333331</v>
      </c>
      <c r="CT18">
        <f t="shared" si="10"/>
        <v>484.5</v>
      </c>
      <c r="CU18">
        <f>IFERROR(VLOOKUP(DF18,源_6社保表_Sheet1!$C:$I,2,FALSE),0)</f>
        <v>7460</v>
      </c>
      <c r="CV18">
        <f>IFERROR(VLOOKUP(DF18,源_6社保表_Sheet1!$C:$I,7,FALSE),0)</f>
        <v>7382</v>
      </c>
      <c r="CW18">
        <f>IFERROR(VLOOKUP(DF18,源_6社保表_Sheet1!$C:$I,3,FALSE),0)</f>
        <v>7460</v>
      </c>
      <c r="CX18">
        <f>IFERROR(VLOOKUP(DF18,源_6社保表_Sheet1!$C:$I,4,FALSE),0)</f>
        <v>7460</v>
      </c>
      <c r="CY18">
        <f>IFERROR(VLOOKUP(DF18,源_6社保表_Sheet1!$C:$I,5,FALSE),0)</f>
        <v>7460</v>
      </c>
      <c r="CZ18">
        <f>IFERROR(VLOOKUP(DF18,源_6社保表_Sheet1!$C:$I,6,FALSE),0)</f>
        <v>0</v>
      </c>
      <c r="DA18">
        <f t="shared" si="11"/>
        <v>6739.8726346826588</v>
      </c>
      <c r="DB18">
        <f t="shared" si="12"/>
        <v>7733.8957065842078</v>
      </c>
      <c r="DC18" t="str">
        <f>IFERROR(VLOOKUP(K18,源_7银行卡表_Sheet1!$A:$J,8,FALSE),"")</f>
        <v>农业银行</v>
      </c>
      <c r="DD18" t="str">
        <f>IFERROR(VLOOKUP(K18,源_7银行卡表_Sheet1!$A:$J,9,FALSE),"")</f>
        <v>6686949028860903270</v>
      </c>
      <c r="DE18" t="str">
        <f>IFERROR(VLOOKUP(K18,源_7银行卡表_Sheet1!$A:$J,10,FALSE),"")</f>
        <v>中国农业银行闻喜兴闻分理处</v>
      </c>
      <c r="DF18" t="s">
        <v>220</v>
      </c>
      <c r="DG18">
        <v>14368986354</v>
      </c>
      <c r="DH18" t="s">
        <v>133</v>
      </c>
      <c r="DI18">
        <v>0</v>
      </c>
      <c r="DJ18">
        <v>0</v>
      </c>
      <c r="DK18">
        <v>0</v>
      </c>
      <c r="DL18">
        <v>0</v>
      </c>
      <c r="DM18">
        <v>0</v>
      </c>
      <c r="DN18">
        <v>0</v>
      </c>
      <c r="DO18">
        <v>0</v>
      </c>
      <c r="DP18">
        <v>0</v>
      </c>
      <c r="DQ18">
        <v>0</v>
      </c>
      <c r="DR18">
        <f>IF(OR(IFERROR(VLOOKUP(K18,源_3考勤报表_考勤表!$F:$BG,39,FALSE),0)+IFERROR(VLOOKUP(K18,源_8补工时表_补当月工时!$A:$AC,24,FALSE),0)=0,IFERROR(VLOOKUP(K18,源_3考勤报表_考勤表!$F:$BG,43,FALSE),0)+IFERROR(VLOOKUP(K18,源_8补工时表_补当月工时!$A:$AC,26,FALSE),0)=0),IF(BI18+BG18-BT18&lt;0,BI18+BG18-BT18,0),0)</f>
        <v>0</v>
      </c>
    </row>
    <row r="19" spans="1:122" x14ac:dyDescent="0.15">
      <c r="A19">
        <f>参数!$B$2</f>
        <v>2025</v>
      </c>
      <c r="B19">
        <f>参数!$B$3</f>
        <v>12</v>
      </c>
      <c r="D19" t="s">
        <v>122</v>
      </c>
      <c r="E19" t="s">
        <v>123</v>
      </c>
      <c r="F19" t="str">
        <f>IFERROR(VLOOKUP(K19,源_7银行卡表_Sheet1!$A:$J,6,FALSE),"")</f>
        <v>华东营运</v>
      </c>
      <c r="G19" t="s">
        <v>156</v>
      </c>
      <c r="H19" t="s">
        <v>221</v>
      </c>
      <c r="I19" t="s">
        <v>126</v>
      </c>
      <c r="J19">
        <v>1</v>
      </c>
      <c r="K19">
        <v>26123018</v>
      </c>
      <c r="L19" t="s">
        <v>222</v>
      </c>
      <c r="M19" t="s">
        <v>218</v>
      </c>
      <c r="N19" t="s">
        <v>223</v>
      </c>
      <c r="P19" t="s">
        <v>131</v>
      </c>
      <c r="Q19">
        <f>IF(P19="门店全职",IFERROR(VLOOKUP(K19,源_3考勤报表_考勤表!$F:$BG,34,FALSE),0)+IFERROR(VLOOKUP(K19,源_8补工时表_补当月工时!$A:$AC,14,FALSE),0),IF(P19="门店管理组",IF(IFERROR(VLOOKUP(K19,源_3考勤报表_考勤表!$F:$BG,34,FALSE),0)+IFERROR(VLOOKUP(K19,源_8补工时表_补当月工时!$A:$AC,14,FALSE),0)+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44,FALSE),0)+IFERROR(VLOOKUP(K19,源_8补工时表_补当月工时!$A:$AC,16,FALSE),0)+IFERROR(VLOOKUP(K19,源_3考勤报表_考勤表!$F:$BG,45,FALSE),0)&gt;=参数!$B$4,参数!$B$4-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44,FALSE),0)-IFERROR(VLOOKUP(K19,源_8补工时表_补当月工时!$A:$AC,16,FALSE),0)-IFERROR(VLOOKUP(K19,源_3考勤报表_考勤表!$F:$BG,45,FALSE),0),IFERROR(VLOOKUP(K19,源_3考勤报表_考勤表!$F:$BG,34,FALSE),0)+IFERROR(VLOOKUP(K19,源_8补工时表_补当月工时!$A:$AC,14,FALSE),0)),0))</f>
        <v>0</v>
      </c>
      <c r="R19">
        <v>4840</v>
      </c>
      <c r="S19">
        <v>0</v>
      </c>
      <c r="T19">
        <f>IF(P19="门店全职",R19/参数!$B$4*(Q19-MAX(IFERROR(VLOOKUP(K19,源_3考勤报表_考勤表!$F:$BG,34,FALSE),0)+IFERROR(VLOOKUP(K19,源_8补工时表_补当月工时!$A:$AC,14,FALSE),0)+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参数!$B$4,0)),R19/参数!$B$4*Q19)</f>
        <v>0</v>
      </c>
      <c r="U19">
        <v>0</v>
      </c>
      <c r="V19">
        <v>0</v>
      </c>
      <c r="W19">
        <f t="shared" si="0"/>
        <v>0</v>
      </c>
      <c r="X19">
        <f>IFERROR(VLOOKUP(K19,源_4奖金汇总表_拆分手工算!$A:$N,8,FALSE),0)</f>
        <v>0</v>
      </c>
      <c r="Y19">
        <f>IFERROR(VLOOKUP(K19,源_5薪资备忘录_工资调整项!$A:$AC,14,FALSE),0)</f>
        <v>0</v>
      </c>
      <c r="Z19">
        <f>IFERROR(VLOOKUP(K19,源_5薪资备忘录_工资调整项!$A:$AC,16,FALSE),0)</f>
        <v>0</v>
      </c>
      <c r="AA19">
        <f>IFERROR(VLOOKUP(K19,源_5薪资备忘录_工资调整项!$A:$AC,15,FALSE),0)</f>
        <v>0</v>
      </c>
      <c r="AB19">
        <f t="shared" si="1"/>
        <v>0</v>
      </c>
      <c r="AC19">
        <f>IF(P19="门店全职",R19/174*MAX(IFERROR(VLOOKUP(K19,源_3考勤报表_考勤表!$F:$BG,34,FALSE),0)+IFERROR(VLOOKUP(K19,源_8补工时表_补当月工时!$A:$AC,14,FALSE),0)+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参数!$B$4,0)*1.5,0)</f>
        <v>0</v>
      </c>
      <c r="AD19">
        <v>0</v>
      </c>
      <c r="AE19">
        <f>IFERROR(VLOOKUP(K19,源_3考勤报表_考勤表!$F:$BG,46,FALSE),0)+IFERROR(VLOOKUP(K19,源_8补工时表_补当月工时!$A:$AC,25,FALSE),0)</f>
        <v>0</v>
      </c>
      <c r="AF19">
        <f t="shared" si="2"/>
        <v>0</v>
      </c>
      <c r="AG19">
        <f>IFERROR(VLOOKUP(K19,源_4奖金汇总表_拆分手工算!$A:$N,10,FALSE),0)</f>
        <v>0</v>
      </c>
      <c r="AH19">
        <f>IFERROR(VLOOKUP(K19,源_4奖金汇总表_拆分手工算!$A:$N,5,FALSE),0)</f>
        <v>0</v>
      </c>
      <c r="AI19">
        <f>IFERROR(VLOOKUP(K19,源_4奖金汇总表_拆分手工算!$A:$N,11,FALSE),0)</f>
        <v>0</v>
      </c>
      <c r="AJ19">
        <f>IFERROR(VLOOKUP(K19,源_4奖金汇总表_拆分手工算!$A:$N,4,FALSE),0)</f>
        <v>0</v>
      </c>
      <c r="AK19">
        <f>IFERROR(VLOOKUP(K19,源_4奖金汇总表_拆分手工算!$A:$N,3,FALSE),0)</f>
        <v>0</v>
      </c>
      <c r="AL19">
        <f>IFERROR(VLOOKUP(K19,源_4奖金汇总表_拆分手工算!$A:$N,6,FALSE),0)</f>
        <v>140</v>
      </c>
      <c r="AM19">
        <f>IFERROR(VLOOKUP(K19,源_5薪资备忘录_工资调整项!$A:$AC,18,FALSE),0)+IFERROR(VLOOKUP(K19,源_4奖金汇总表_拆分手工算!$A:$N,7,FALSE),0)</f>
        <v>0</v>
      </c>
      <c r="AN19">
        <f>IFERROR(VLOOKUP(K19,源_5薪资备忘录_工资调整项!$A:$AC,17,FALSE),0)</f>
        <v>100</v>
      </c>
      <c r="AO19">
        <f>IF(OR(IFERROR(VLOOKUP(K19,源_3考勤报表_考勤表!$F:$BG,39,FALSE),0)+IFERROR(VLOOKUP(K19,源_8补工时表_补当月工时!$A:$AC,24,FALSE),0)&gt;0,IFERROR(VLOOKUP(K19,源_3考勤报表_考勤表!$F:$BG,43,FALSE),0)+IFERROR(VLOOKUP(K19,源_8补工时表_补当月工时!$A:$AC,26,FALSE),0)&gt;0),IF(IFERROR(VLOOKUP(DH19,源_11产假政策_Sheet1!$C:$F,4,FALSE),"")="是",R19/参数!$B$4*(IFERROR(VLOOKUP(K19,源_3考勤报表_考勤表!$F:$BG,39,FALSE),0)+IFERROR(VLOOKUP(K19,源_8补工时表_补当月工时!$A:$AC,24,FALSE),0)+IFERROR(VLOOKUP(K19,源_3考勤报表_考勤表!$F:$BG,43,FALSE),0)+IFERROR(VLOOKUP(K19,源_8补工时表_补当月工时!$A:$AC,26,FALSE),0)),IFERROR(VLOOKUP(K19,源_5薪资备忘录_工资调整项!$A:$AC,19,FALSE),0)),0)</f>
        <v>4576.9565217391309</v>
      </c>
      <c r="AP19">
        <v>0</v>
      </c>
      <c r="AQ19">
        <f>IFERROR(VLOOKUP(K19,源_4奖金汇总表_拆分手工算!$A:$N,12,FALSE),0)+IFERROR(VLOOKUP(K19,源_9年终奖表_Sheet1!$A:$E,3,FALSE),0)</f>
        <v>0</v>
      </c>
      <c r="AR19">
        <f>IFERROR(VLOOKUP(K19,源_4奖金汇总表_拆分手工算!$A:$N,13,FALSE),0)+IFERROR(VLOOKUP(K19,源_9年终奖表_Sheet1!$A:$E,4,FALSE),0)</f>
        <v>0</v>
      </c>
      <c r="AS19">
        <f>IFERROR(VLOOKUP(K19,源_4奖金汇总表_拆分手工算!$A:$N,14,FALSE),0)+IFERROR(VLOOKUP(K19,源_9年终奖表_Sheet1!$A:$E,5,FALSE),0)</f>
        <v>0</v>
      </c>
      <c r="AT19">
        <f>IFERROR(VLOOKUP(K19,源_5薪资备忘录_工资调整项!$A:$AC,20,FALSE),0)</f>
        <v>0</v>
      </c>
      <c r="AU19">
        <f>IFERROR(VLOOKUP(K19,源_5薪资备忘录_工资调整项!$A:$AC,21,FALSE),0)+IFERROR(VLOOKUP(K19,源_4奖金汇总表_拆分手工算!$A:$N,9,FALSE),0)</f>
        <v>0</v>
      </c>
      <c r="AV19">
        <f>R19/参数!$B$4*(IFERROR(VLOOKUP(K19,源_3考勤报表_考勤表!$F:$BG,37,FALSE),0)+IFERROR(VLOOKUP(K19,源_8补工时表_补当月工时!$A:$AC,15,FALSE),0))</f>
        <v>0</v>
      </c>
      <c r="AW19">
        <f>R19/174*MIN(IFERROR(VLOOKUP(K19,源_3考勤报表_考勤表!$F:$BG,35,FALSE),0),174)*IF(DATEDIF(N19,DATE(参数!$B$2,参数!$B$3+1,0),"Y")&lt;2,0.6,IF(DATEDIF(N19,DATE(参数!$B$2,参数!$B$3+1,0),"Y")&lt;4,0.7,IF(DATEDIF(N19,DATE(参数!$B$2,参数!$B$3+1,0),"Y")&lt;6,0.8,IF(DATEDIF(N19,DATE(参数!$B$2,参数!$B$3+1,0),"Y")&lt;8,0.9,1))))</f>
        <v>0</v>
      </c>
      <c r="AX19">
        <f>IF(Q19+IFERROR(VLOOKUP(K19,源_3考勤报表_考勤表!$F:$BG,37,FALSE),0)+IFERROR(VLOOKUP(K19,源_8补工时表_补当月工时!$A:$AC,15,FALSE),0)&gt;=参数!$B$4,0,IF(Q19+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lt;=参数!$B$4,R19/参数!$B$4*(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0))</f>
        <v>0</v>
      </c>
      <c r="AY19">
        <v>0</v>
      </c>
      <c r="AZ19">
        <v>0</v>
      </c>
      <c r="BA19">
        <v>0</v>
      </c>
      <c r="BB19">
        <v>0</v>
      </c>
      <c r="BC19">
        <f>IFERROR(VLOOKUP(K19,源_5薪资备忘录_工资调整项!$A:$AC,25,FALSE),0)</f>
        <v>0</v>
      </c>
      <c r="BD19">
        <v>0</v>
      </c>
      <c r="BE19">
        <v>0</v>
      </c>
      <c r="BF19">
        <v>0</v>
      </c>
      <c r="BG19">
        <f>IFERROR(VLOOKUP(K19,源_5薪资备忘录_工资调整项!$A:$AC,22,FALSE),0)+IFERROR(VLOOKUP(K19,源_5薪资备忘录_工资调整项!$A:$AC,23,FALSE),0)+IFERROR(VLOOKUP(K19,源_5薪资备忘录_工资调整项!$A:$AC,24,FALSE),0)</f>
        <v>0</v>
      </c>
      <c r="BH19">
        <f>IFERROR(VLOOKUP(DF19,源_6社保表_Sheet1!$C:$CD,80,FALSE),0)+4.5</f>
        <v>6.5</v>
      </c>
      <c r="BI19">
        <f t="shared" si="3"/>
        <v>4816.9565217391309</v>
      </c>
      <c r="BJ19">
        <f>IFERROR(VLOOKUP(DF19,源_6社保表_Sheet1!$C:$BZ,26,FALSE),0)</f>
        <v>522.20000000000005</v>
      </c>
      <c r="BK19">
        <f>IFERROR(VLOOKUP(DF19,源_6社保表_Sheet1!$C:$BZ,27,FALSE),0)</f>
        <v>74.599999999999994</v>
      </c>
      <c r="BL19">
        <f>IFERROR(VLOOKUP(DF19,源_6社保表_Sheet1!$C:$BZ,28,FALSE),0)</f>
        <v>37.299999999999997</v>
      </c>
      <c r="BM19">
        <f>IFERROR(VLOOKUP(DF19,源_6社保表_Sheet1!$C:$BZ,30,FALSE),0)</f>
        <v>365.22</v>
      </c>
      <c r="BN19">
        <f>IFERROR(VLOOKUP(DF19,源_6社保表_Sheet1!$C:$BZ,29,FALSE),0)</f>
        <v>0</v>
      </c>
      <c r="BO19">
        <f>IFERROR(VLOOKUP(DF19,源_6社保表_Sheet1!$C:$BZ,40,FALSE),0)</f>
        <v>0</v>
      </c>
      <c r="BP19">
        <f>IFERROR(VLOOKUP(DF19,源_6社保表_Sheet1!$C:$BZ,41,FALSE),0)</f>
        <v>0</v>
      </c>
      <c r="BQ19">
        <f>IFERROR(VLOOKUP(DF19,源_6社保表_Sheet1!$C:$BZ,42,FALSE),0)</f>
        <v>0</v>
      </c>
      <c r="BR19">
        <f>IFERROR(VLOOKUP(DF19,源_6社保表_Sheet1!$C:$BZ,44,FALSE),0)</f>
        <v>0</v>
      </c>
      <c r="BS19">
        <f>IFERROR(VLOOKUP(DF19,源_6社保表_Sheet1!$C:$BZ,43,FALSE),0)</f>
        <v>0</v>
      </c>
      <c r="BT19">
        <f t="shared" si="4"/>
        <v>999.32</v>
      </c>
      <c r="BU19">
        <v>0</v>
      </c>
      <c r="BV19">
        <v>0</v>
      </c>
      <c r="BW19">
        <v>0</v>
      </c>
      <c r="BX19">
        <f t="shared" si="5"/>
        <v>0</v>
      </c>
      <c r="BY19">
        <v>0</v>
      </c>
      <c r="BZ19">
        <f>IFERROR(VLOOKUP(DF19,源_6社保表_Sheet1!$C:$BZ,18,FALSE),0)</f>
        <v>1119</v>
      </c>
      <c r="CA19">
        <f>IFERROR(VLOOKUP(DF19,源_6社保表_Sheet1!$C:$BZ,19,FALSE),0)</f>
        <v>596.79999999999995</v>
      </c>
      <c r="CB19">
        <f>IFERROR(VLOOKUP(DF19,源_6社保表_Sheet1!$C:$BZ,24,FALSE),0)</f>
        <v>365.22</v>
      </c>
      <c r="CC19">
        <f>IFERROR(VLOOKUP(DF19,源_6社保表_Sheet1!$C:$BZ,20,FALSE),0)</f>
        <v>37.299999999999997</v>
      </c>
      <c r="CD19">
        <f>IFERROR(VLOOKUP(DF19,源_6社保表_Sheet1!$C:$BZ,21,FALSE),0)</f>
        <v>23.872</v>
      </c>
      <c r="CE19">
        <f>IFERROR(VLOOKUP(DF19,源_6社保表_Sheet1!$C:$BZ,22,FALSE),0)</f>
        <v>0</v>
      </c>
      <c r="CF19">
        <f>IFERROR(VLOOKUP(DF19,源_6社保表_Sheet1!$C:$BZ,23,FALSE),0)</f>
        <v>0</v>
      </c>
      <c r="CG19">
        <f>IFERROR(VLOOKUP(DF19,源_6社保表_Sheet1!$C:$BZ,32,FALSE),0)</f>
        <v>0</v>
      </c>
      <c r="CH19">
        <f>IFERROR(VLOOKUP(DF19,源_6社保表_Sheet1!$C:$BZ,33,FALSE),0)</f>
        <v>0</v>
      </c>
      <c r="CI19">
        <f>IFERROR(VLOOKUP(DF19,源_6社保表_Sheet1!$C:$BZ,34,FALSE),0)</f>
        <v>0</v>
      </c>
      <c r="CJ19">
        <f>IFERROR(VLOOKUP(DF19,源_6社保表_Sheet1!$C:$BZ,38,FALSE),0)</f>
        <v>0</v>
      </c>
      <c r="CK19">
        <f>IFERROR(VLOOKUP(DF19,源_6社保表_Sheet1!$C:$BZ,35,FALSE),0)</f>
        <v>0</v>
      </c>
      <c r="CL19">
        <f>IFERROR(VLOOKUP(DF19,源_6社保表_Sheet1!$C:$BZ,36,FALSE),0)</f>
        <v>0</v>
      </c>
      <c r="CM19">
        <f>IFERROR(VLOOKUP(DF19,源_6社保表_Sheet1!$C:$BZ,37,FALSE),0)</f>
        <v>0</v>
      </c>
      <c r="CN19">
        <f t="shared" si="6"/>
        <v>2142.192</v>
      </c>
      <c r="CO19">
        <f t="shared" si="7"/>
        <v>6965.648521739131</v>
      </c>
      <c r="CP19">
        <f>IF(IFERROR(VLOOKUP(K19,源_13残疾人信息_残疾人信息!$A:$M,1,FALSE),"")&lt;&gt;"",0,IF(OR(P19="门店全职",P19="门店管理组",P19="全职(非门店)"),(BI19-AT19)*IFERROR(VLOOKUP(D19,源_12计提残保金规则_Sheet1!$A:$E,4,FALSE),0)*IFERROR(VLOOKUP(D19,源_12计提残保金规则_Sheet1!$A:$E,5,FALSE),0),0))</f>
        <v>65.028913043478269</v>
      </c>
      <c r="CQ19">
        <f t="shared" si="8"/>
        <v>16.05</v>
      </c>
      <c r="CR19">
        <f t="shared" si="9"/>
        <v>20.67</v>
      </c>
      <c r="CS19">
        <f>IF(DATEVALUE(N19)&gt;DATE(参数!$B$2,9,30),0,IF(M19="行政",0,IF(O19="",R19/12,IF(MONTH(DATEVALUE(O19))=参数!$B$3,0,IF(DATEVALUE(O19)&lt;DATE(参数!$B$2,参数!$B$3,1),0,R19/12)))))</f>
        <v>403.33333333333331</v>
      </c>
      <c r="CT19">
        <f t="shared" si="10"/>
        <v>493.67999999999995</v>
      </c>
      <c r="CU19">
        <f>IFERROR(VLOOKUP(DF19,源_6社保表_Sheet1!$C:$I,2,FALSE),0)</f>
        <v>7460</v>
      </c>
      <c r="CV19">
        <f>IFERROR(VLOOKUP(DF19,源_6社保表_Sheet1!$C:$I,7,FALSE),0)</f>
        <v>6087</v>
      </c>
      <c r="CW19">
        <f>IFERROR(VLOOKUP(DF19,源_6社保表_Sheet1!$C:$I,3,FALSE),0)</f>
        <v>7460</v>
      </c>
      <c r="CX19">
        <f>IFERROR(VLOOKUP(DF19,源_6社保表_Sheet1!$C:$I,4,FALSE),0)</f>
        <v>7460</v>
      </c>
      <c r="CY19">
        <f>IFERROR(VLOOKUP(DF19,源_6社保表_Sheet1!$C:$I,5,FALSE),0)</f>
        <v>7460</v>
      </c>
      <c r="CZ19">
        <f>IFERROR(VLOOKUP(DF19,源_6社保表_Sheet1!$C:$I,6,FALSE),0)</f>
        <v>0</v>
      </c>
      <c r="DA19">
        <f t="shared" si="11"/>
        <v>6819.148521739131</v>
      </c>
      <c r="DB19">
        <f t="shared" si="12"/>
        <v>7824.410768115943</v>
      </c>
      <c r="DC19" t="str">
        <f>IFERROR(VLOOKUP(K19,源_7银行卡表_Sheet1!$A:$J,8,FALSE),"")</f>
        <v>农业银行</v>
      </c>
      <c r="DD19" t="str">
        <f>IFERROR(VLOOKUP(K19,源_7银行卡表_Sheet1!$A:$J,9,FALSE),"")</f>
        <v>6680466809539769323</v>
      </c>
      <c r="DE19" t="str">
        <f>IFERROR(VLOOKUP(K19,源_7银行卡表_Sheet1!$A:$J,10,FALSE),"")</f>
        <v>中国农业银行乌拉特中旗甘其毛都支</v>
      </c>
      <c r="DF19" t="s">
        <v>224</v>
      </c>
      <c r="DG19">
        <v>14816160022</v>
      </c>
      <c r="DH19" t="s">
        <v>133</v>
      </c>
      <c r="DI19">
        <v>0</v>
      </c>
      <c r="DJ19">
        <v>0</v>
      </c>
      <c r="DK19">
        <v>0</v>
      </c>
      <c r="DL19">
        <v>0</v>
      </c>
      <c r="DM19">
        <v>0</v>
      </c>
      <c r="DN19">
        <v>0</v>
      </c>
      <c r="DO19">
        <v>0</v>
      </c>
      <c r="DP19">
        <v>0</v>
      </c>
      <c r="DQ19">
        <v>0</v>
      </c>
      <c r="DR19">
        <f>IF(OR(IFERROR(VLOOKUP(K19,源_3考勤报表_考勤表!$F:$BG,39,FALSE),0)+IFERROR(VLOOKUP(K19,源_8补工时表_补当月工时!$A:$AC,24,FALSE),0)=0,IFERROR(VLOOKUP(K19,源_3考勤报表_考勤表!$F:$BG,43,FALSE),0)+IFERROR(VLOOKUP(K19,源_8补工时表_补当月工时!$A:$AC,26,FALSE),0)=0),IF(BI19+BG19-BT19&lt;0,BI19+BG19-BT19,0),0)</f>
        <v>0</v>
      </c>
    </row>
    <row r="20" spans="1:122" x14ac:dyDescent="0.15">
      <c r="A20">
        <f>参数!$B$2</f>
        <v>2025</v>
      </c>
      <c r="B20">
        <f>参数!$B$3</f>
        <v>12</v>
      </c>
      <c r="D20" t="s">
        <v>122</v>
      </c>
      <c r="E20" t="s">
        <v>123</v>
      </c>
      <c r="F20" t="str">
        <f>IFERROR(VLOOKUP(K20,源_7银行卡表_Sheet1!$A:$J,6,FALSE),"")</f>
        <v>华东营运</v>
      </c>
      <c r="G20" t="s">
        <v>124</v>
      </c>
      <c r="H20" t="s">
        <v>225</v>
      </c>
      <c r="I20" t="s">
        <v>126</v>
      </c>
      <c r="J20">
        <v>1</v>
      </c>
      <c r="K20">
        <v>26123019</v>
      </c>
      <c r="L20" t="s">
        <v>226</v>
      </c>
      <c r="M20" t="s">
        <v>140</v>
      </c>
      <c r="N20" t="s">
        <v>227</v>
      </c>
      <c r="P20" t="s">
        <v>131</v>
      </c>
      <c r="Q20">
        <f>IF(P20="门店全职",IFERROR(VLOOKUP(K20,源_3考勤报表_考勤表!$F:$BG,34,FALSE),0)+IFERROR(VLOOKUP(K20,源_8补工时表_补当月工时!$A:$AC,14,FALSE),0),IF(P20="门店管理组",IF(IFERROR(VLOOKUP(K20,源_3考勤报表_考勤表!$F:$BG,34,FALSE),0)+IFERROR(VLOOKUP(K20,源_8补工时表_补当月工时!$A:$AC,14,FALSE),0)+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44,FALSE),0)+IFERROR(VLOOKUP(K20,源_8补工时表_补当月工时!$A:$AC,16,FALSE),0)+IFERROR(VLOOKUP(K20,源_3考勤报表_考勤表!$F:$BG,45,FALSE),0)&gt;=参数!$B$4,参数!$B$4-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44,FALSE),0)-IFERROR(VLOOKUP(K20,源_8补工时表_补当月工时!$A:$AC,16,FALSE),0)-IFERROR(VLOOKUP(K20,源_3考勤报表_考勤表!$F:$BG,45,FALSE),0),IFERROR(VLOOKUP(K20,源_3考勤报表_考勤表!$F:$BG,34,FALSE),0)+IFERROR(VLOOKUP(K20,源_8补工时表_补当月工时!$A:$AC,14,FALSE),0)),0))</f>
        <v>143.5</v>
      </c>
      <c r="R20">
        <v>5600</v>
      </c>
      <c r="S20">
        <v>0</v>
      </c>
      <c r="T20">
        <f>IF(P20="门店全职",R20/参数!$B$4*(Q20-MAX(IFERROR(VLOOKUP(K20,源_3考勤报表_考勤表!$F:$BG,34,FALSE),0)+IFERROR(VLOOKUP(K20,源_8补工时表_补当月工时!$A:$AC,14,FALSE),0)+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参数!$B$4,0)),R20/参数!$B$4*Q20)</f>
        <v>4367.391304347826</v>
      </c>
      <c r="U20">
        <v>0</v>
      </c>
      <c r="V20">
        <v>0</v>
      </c>
      <c r="W20">
        <f t="shared" si="0"/>
        <v>0</v>
      </c>
      <c r="X20">
        <f>IFERROR(VLOOKUP(K20,源_4奖金汇总表_拆分手工算!$A:$N,8,FALSE),0)</f>
        <v>0</v>
      </c>
      <c r="Y20">
        <f>IFERROR(VLOOKUP(K20,源_5薪资备忘录_工资调整项!$A:$AC,14,FALSE),0)</f>
        <v>0</v>
      </c>
      <c r="Z20">
        <f>IFERROR(VLOOKUP(K20,源_5薪资备忘录_工资调整项!$A:$AC,16,FALSE),0)</f>
        <v>0</v>
      </c>
      <c r="AA20">
        <f>IFERROR(VLOOKUP(K20,源_5薪资备忘录_工资调整项!$A:$AC,15,FALSE),0)</f>
        <v>0</v>
      </c>
      <c r="AB20">
        <f t="shared" si="1"/>
        <v>0</v>
      </c>
      <c r="AC20">
        <f>IF(P20="门店全职",R20/174*MAX(IFERROR(VLOOKUP(K20,源_3考勤报表_考勤表!$F:$BG,34,FALSE),0)+IFERROR(VLOOKUP(K20,源_8补工时表_补当月工时!$A:$AC,14,FALSE),0)+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参数!$B$4,0)*1.5,0)</f>
        <v>0</v>
      </c>
      <c r="AD20">
        <v>0</v>
      </c>
      <c r="AE20">
        <f>IFERROR(VLOOKUP(K20,源_3考勤报表_考勤表!$F:$BG,46,FALSE),0)+IFERROR(VLOOKUP(K20,源_8补工时表_补当月工时!$A:$AC,25,FALSE),0)</f>
        <v>0</v>
      </c>
      <c r="AF20">
        <f t="shared" si="2"/>
        <v>0</v>
      </c>
      <c r="AG20">
        <f>IFERROR(VLOOKUP(K20,源_4奖金汇总表_拆分手工算!$A:$N,10,FALSE),0)</f>
        <v>0</v>
      </c>
      <c r="AH20">
        <f>IFERROR(VLOOKUP(K20,源_4奖金汇总表_拆分手工算!$A:$N,5,FALSE),0)</f>
        <v>0</v>
      </c>
      <c r="AI20">
        <f>IFERROR(VLOOKUP(K20,源_4奖金汇总表_拆分手工算!$A:$N,11,FALSE),0)</f>
        <v>0</v>
      </c>
      <c r="AJ20">
        <f>IFERROR(VLOOKUP(K20,源_4奖金汇总表_拆分手工算!$A:$N,4,FALSE),0)</f>
        <v>0</v>
      </c>
      <c r="AK20">
        <f>IFERROR(VLOOKUP(K20,源_4奖金汇总表_拆分手工算!$A:$N,3,FALSE),0)</f>
        <v>6500</v>
      </c>
      <c r="AL20">
        <f>IFERROR(VLOOKUP(K20,源_4奖金汇总表_拆分手工算!$A:$N,6,FALSE),0)</f>
        <v>0</v>
      </c>
      <c r="AM20">
        <f>IFERROR(VLOOKUP(K20,源_5薪资备忘录_工资调整项!$A:$AC,18,FALSE),0)+IFERROR(VLOOKUP(K20,源_4奖金汇总表_拆分手工算!$A:$N,7,FALSE),0)</f>
        <v>0</v>
      </c>
      <c r="AN20">
        <f>IFERROR(VLOOKUP(K20,源_5薪资备忘录_工资调整项!$A:$AC,17,FALSE),0)</f>
        <v>0</v>
      </c>
      <c r="AO20">
        <f>IF(OR(IFERROR(VLOOKUP(K20,源_3考勤报表_考勤表!$F:$BG,39,FALSE),0)+IFERROR(VLOOKUP(K20,源_8补工时表_补当月工时!$A:$AC,24,FALSE),0)&gt;0,IFERROR(VLOOKUP(K20,源_3考勤报表_考勤表!$F:$BG,43,FALSE),0)+IFERROR(VLOOKUP(K20,源_8补工时表_补当月工时!$A:$AC,26,FALSE),0)&gt;0),IF(IFERROR(VLOOKUP(DH20,源_11产假政策_Sheet1!$C:$F,4,FALSE),"")="是",R20/参数!$B$4*(IFERROR(VLOOKUP(K20,源_3考勤报表_考勤表!$F:$BG,39,FALSE),0)+IFERROR(VLOOKUP(K20,源_8补工时表_补当月工时!$A:$AC,24,FALSE),0)+IFERROR(VLOOKUP(K20,源_3考勤报表_考勤表!$F:$BG,43,FALSE),0)+IFERROR(VLOOKUP(K20,源_8补工时表_补当月工时!$A:$AC,26,FALSE),0)),IFERROR(VLOOKUP(K20,源_5薪资备忘录_工资调整项!$A:$AC,19,FALSE),0)),0)</f>
        <v>0</v>
      </c>
      <c r="AP20">
        <v>0</v>
      </c>
      <c r="AQ20">
        <f>IFERROR(VLOOKUP(K20,源_4奖金汇总表_拆分手工算!$A:$N,12,FALSE),0)+IFERROR(VLOOKUP(K20,源_9年终奖表_Sheet1!$A:$E,3,FALSE),0)</f>
        <v>1200</v>
      </c>
      <c r="AR20">
        <f>IFERROR(VLOOKUP(K20,源_4奖金汇总表_拆分手工算!$A:$N,13,FALSE),0)+IFERROR(VLOOKUP(K20,源_9年终奖表_Sheet1!$A:$E,4,FALSE),0)</f>
        <v>600</v>
      </c>
      <c r="AS20">
        <f>IFERROR(VLOOKUP(K20,源_4奖金汇总表_拆分手工算!$A:$N,14,FALSE),0)+IFERROR(VLOOKUP(K20,源_9年终奖表_Sheet1!$A:$E,5,FALSE),0)</f>
        <v>222</v>
      </c>
      <c r="AT20">
        <f>IFERROR(VLOOKUP(K20,源_5薪资备忘录_工资调整项!$A:$AC,20,FALSE),0)</f>
        <v>0</v>
      </c>
      <c r="AU20">
        <f>IFERROR(VLOOKUP(K20,源_5薪资备忘录_工资调整项!$A:$AC,21,FALSE),0)+IFERROR(VLOOKUP(K20,源_4奖金汇总表_拆分手工算!$A:$N,9,FALSE),0)</f>
        <v>0</v>
      </c>
      <c r="AV20">
        <f>R20/参数!$B$4*(IFERROR(VLOOKUP(K20,源_3考勤报表_考勤表!$F:$BG,37,FALSE),0)+IFERROR(VLOOKUP(K20,源_8补工时表_补当月工时!$A:$AC,15,FALSE),0))</f>
        <v>0</v>
      </c>
      <c r="AW20">
        <f>R20/174*MIN(IFERROR(VLOOKUP(K20,源_3考勤报表_考勤表!$F:$BG,35,FALSE),0),174)*IF(DATEDIF(N20,DATE(参数!$B$2,参数!$B$3+1,0),"Y")&lt;2,0.6,IF(DATEDIF(N20,DATE(参数!$B$2,参数!$B$3+1,0),"Y")&lt;4,0.7,IF(DATEDIF(N20,DATE(参数!$B$2,参数!$B$3+1,0),"Y")&lt;6,0.8,IF(DATEDIF(N20,DATE(参数!$B$2,参数!$B$3+1,0),"Y")&lt;8,0.9,1))))</f>
        <v>0</v>
      </c>
      <c r="AX20">
        <f>IF(Q20+IFERROR(VLOOKUP(K20,源_3考勤报表_考勤表!$F:$BG,37,FALSE),0)+IFERROR(VLOOKUP(K20,源_8补工时表_补当月工时!$A:$AC,15,FALSE),0)&gt;=参数!$B$4,0,IF(Q20+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lt;=参数!$B$4,R20/参数!$B$4*(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0))</f>
        <v>0</v>
      </c>
      <c r="AY20">
        <v>0</v>
      </c>
      <c r="AZ20">
        <v>0</v>
      </c>
      <c r="BA20">
        <v>0</v>
      </c>
      <c r="BB20">
        <v>0</v>
      </c>
      <c r="BC20">
        <f>IFERROR(VLOOKUP(K20,源_5薪资备忘录_工资调整项!$A:$AC,25,FALSE),0)</f>
        <v>0</v>
      </c>
      <c r="BD20">
        <v>0</v>
      </c>
      <c r="BE20">
        <v>0</v>
      </c>
      <c r="BF20">
        <v>0</v>
      </c>
      <c r="BG20">
        <f>IFERROR(VLOOKUP(K20,源_5薪资备忘录_工资调整项!$A:$AC,22,FALSE),0)+IFERROR(VLOOKUP(K20,源_5薪资备忘录_工资调整项!$A:$AC,23,FALSE),0)+IFERROR(VLOOKUP(K20,源_5薪资备忘录_工资调整项!$A:$AC,24,FALSE),0)</f>
        <v>300</v>
      </c>
      <c r="BH20">
        <f>IFERROR(VLOOKUP(DF20,源_6社保表_Sheet1!$C:$CD,80,FALSE),0)+4.5</f>
        <v>6.5</v>
      </c>
      <c r="BI20">
        <f t="shared" si="3"/>
        <v>12889.391304347826</v>
      </c>
      <c r="BJ20">
        <f>IFERROR(VLOOKUP(DF20,源_6社保表_Sheet1!$C:$BZ,26,FALSE),0)</f>
        <v>522.20000000000005</v>
      </c>
      <c r="BK20">
        <f>IFERROR(VLOOKUP(DF20,源_6社保表_Sheet1!$C:$BZ,27,FALSE),0)</f>
        <v>74.599999999999994</v>
      </c>
      <c r="BL20">
        <f>IFERROR(VLOOKUP(DF20,源_6社保表_Sheet1!$C:$BZ,28,FALSE),0)</f>
        <v>37.299999999999997</v>
      </c>
      <c r="BM20">
        <f>IFERROR(VLOOKUP(DF20,源_6社保表_Sheet1!$C:$BZ,30,FALSE),0)</f>
        <v>352.02</v>
      </c>
      <c r="BN20">
        <f>IFERROR(VLOOKUP(DF20,源_6社保表_Sheet1!$C:$BZ,29,FALSE),0)</f>
        <v>0</v>
      </c>
      <c r="BO20">
        <f>IFERROR(VLOOKUP(DF20,源_6社保表_Sheet1!$C:$BZ,40,FALSE),0)</f>
        <v>0</v>
      </c>
      <c r="BP20">
        <f>IFERROR(VLOOKUP(DF20,源_6社保表_Sheet1!$C:$BZ,41,FALSE),0)</f>
        <v>0</v>
      </c>
      <c r="BQ20">
        <f>IFERROR(VLOOKUP(DF20,源_6社保表_Sheet1!$C:$BZ,42,FALSE),0)</f>
        <v>0</v>
      </c>
      <c r="BR20">
        <f>IFERROR(VLOOKUP(DF20,源_6社保表_Sheet1!$C:$BZ,44,FALSE),0)</f>
        <v>0</v>
      </c>
      <c r="BS20">
        <f>IFERROR(VLOOKUP(DF20,源_6社保表_Sheet1!$C:$BZ,43,FALSE),0)</f>
        <v>0</v>
      </c>
      <c r="BT20">
        <f t="shared" si="4"/>
        <v>986.12</v>
      </c>
      <c r="BU20">
        <v>0</v>
      </c>
      <c r="BV20">
        <v>0</v>
      </c>
      <c r="BW20">
        <v>0</v>
      </c>
      <c r="BX20">
        <f t="shared" si="5"/>
        <v>0</v>
      </c>
      <c r="BY20">
        <v>0</v>
      </c>
      <c r="BZ20">
        <f>IFERROR(VLOOKUP(DF20,源_6社保表_Sheet1!$C:$BZ,18,FALSE),0)</f>
        <v>1119</v>
      </c>
      <c r="CA20">
        <f>IFERROR(VLOOKUP(DF20,源_6社保表_Sheet1!$C:$BZ,19,FALSE),0)</f>
        <v>596.79999999999995</v>
      </c>
      <c r="CB20">
        <f>IFERROR(VLOOKUP(DF20,源_6社保表_Sheet1!$C:$BZ,24,FALSE),0)</f>
        <v>352.02</v>
      </c>
      <c r="CC20">
        <f>IFERROR(VLOOKUP(DF20,源_6社保表_Sheet1!$C:$BZ,20,FALSE),0)</f>
        <v>37.299999999999997</v>
      </c>
      <c r="CD20">
        <f>IFERROR(VLOOKUP(DF20,源_6社保表_Sheet1!$C:$BZ,21,FALSE),0)</f>
        <v>23.872</v>
      </c>
      <c r="CE20">
        <f>IFERROR(VLOOKUP(DF20,源_6社保表_Sheet1!$C:$BZ,22,FALSE),0)</f>
        <v>0</v>
      </c>
      <c r="CF20">
        <f>IFERROR(VLOOKUP(DF20,源_6社保表_Sheet1!$C:$BZ,23,FALSE),0)</f>
        <v>0</v>
      </c>
      <c r="CG20">
        <f>IFERROR(VLOOKUP(DF20,源_6社保表_Sheet1!$C:$BZ,32,FALSE),0)</f>
        <v>0</v>
      </c>
      <c r="CH20">
        <f>IFERROR(VLOOKUP(DF20,源_6社保表_Sheet1!$C:$BZ,33,FALSE),0)</f>
        <v>0</v>
      </c>
      <c r="CI20">
        <f>IFERROR(VLOOKUP(DF20,源_6社保表_Sheet1!$C:$BZ,34,FALSE),0)</f>
        <v>0</v>
      </c>
      <c r="CJ20">
        <f>IFERROR(VLOOKUP(DF20,源_6社保表_Sheet1!$C:$BZ,38,FALSE),0)</f>
        <v>0</v>
      </c>
      <c r="CK20">
        <f>IFERROR(VLOOKUP(DF20,源_6社保表_Sheet1!$C:$BZ,35,FALSE),0)</f>
        <v>0</v>
      </c>
      <c r="CL20">
        <f>IFERROR(VLOOKUP(DF20,源_6社保表_Sheet1!$C:$BZ,36,FALSE),0)</f>
        <v>0</v>
      </c>
      <c r="CM20">
        <f>IFERROR(VLOOKUP(DF20,源_6社保表_Sheet1!$C:$BZ,37,FALSE),0)</f>
        <v>0</v>
      </c>
      <c r="CN20">
        <f t="shared" si="6"/>
        <v>2128.9919999999997</v>
      </c>
      <c r="CO20">
        <f t="shared" si="7"/>
        <v>15324.883304347826</v>
      </c>
      <c r="CP20">
        <f>IF(IFERROR(VLOOKUP(K20,源_13残疾人信息_残疾人信息!$A:$M,1,FALSE),"")&lt;&gt;"",0,IF(OR(P20="门店全职",P20="门店管理组",P20="全职(非门店)"),(BI20-AT20)*IFERROR(VLOOKUP(D20,源_12计提残保金规则_Sheet1!$A:$E,4,FALSE),0)*IFERROR(VLOOKUP(D20,源_12计提残保金规则_Sheet1!$A:$E,5,FALSE),0),0))</f>
        <v>174.00678260869566</v>
      </c>
      <c r="CQ20">
        <f t="shared" si="8"/>
        <v>16.05</v>
      </c>
      <c r="CR20">
        <f t="shared" si="9"/>
        <v>20.67</v>
      </c>
      <c r="CS20">
        <f>IF(DATEVALUE(N20)&gt;DATE(参数!$B$2,9,30),0,IF(M20="行政",0,IF(O20="",R20/12,IF(MONTH(DATEVALUE(O20))=参数!$B$3,0,IF(DATEVALUE(O20)&lt;DATE(参数!$B$2,参数!$B$3,1),0,R20/12)))))</f>
        <v>466.66666666666669</v>
      </c>
      <c r="CT20">
        <f t="shared" si="10"/>
        <v>571.19999999999993</v>
      </c>
      <c r="CU20">
        <f>IFERROR(VLOOKUP(DF20,源_6社保表_Sheet1!$C:$I,2,FALSE),0)</f>
        <v>7460</v>
      </c>
      <c r="CV20">
        <f>IFERROR(VLOOKUP(DF20,源_6社保表_Sheet1!$C:$I,7,FALSE),0)</f>
        <v>5867</v>
      </c>
      <c r="CW20">
        <f>IFERROR(VLOOKUP(DF20,源_6社保表_Sheet1!$C:$I,3,FALSE),0)</f>
        <v>7460</v>
      </c>
      <c r="CX20">
        <f>IFERROR(VLOOKUP(DF20,源_6社保表_Sheet1!$C:$I,4,FALSE),0)</f>
        <v>7460</v>
      </c>
      <c r="CY20">
        <f>IFERROR(VLOOKUP(DF20,源_6社保表_Sheet1!$C:$I,5,FALSE),0)</f>
        <v>7460</v>
      </c>
      <c r="CZ20">
        <f>IFERROR(VLOOKUP(DF20,源_6社保表_Sheet1!$C:$I,6,FALSE),0)</f>
        <v>0</v>
      </c>
      <c r="DA20">
        <f t="shared" si="11"/>
        <v>6496.3833043478262</v>
      </c>
      <c r="DB20">
        <f t="shared" si="12"/>
        <v>7751.4767536231893</v>
      </c>
      <c r="DC20" t="str">
        <f>IFERROR(VLOOKUP(K20,源_7银行卡表_Sheet1!$A:$J,8,FALSE),"")</f>
        <v>农业银行</v>
      </c>
      <c r="DD20" t="str">
        <f>IFERROR(VLOOKUP(K20,源_7银行卡表_Sheet1!$A:$J,9,FALSE),"")</f>
        <v>6680373696995974663</v>
      </c>
      <c r="DE20" t="str">
        <f>IFERROR(VLOOKUP(K20,源_7银行卡表_Sheet1!$A:$J,10,FALSE),"")</f>
        <v>中国农业银行沈阳闾山路支行</v>
      </c>
      <c r="DF20" t="s">
        <v>228</v>
      </c>
      <c r="DG20">
        <v>13862653854</v>
      </c>
      <c r="DH20" t="s">
        <v>133</v>
      </c>
      <c r="DI20">
        <v>0</v>
      </c>
      <c r="DJ20">
        <v>0</v>
      </c>
      <c r="DK20">
        <v>0</v>
      </c>
      <c r="DL20">
        <v>0</v>
      </c>
      <c r="DM20">
        <v>0</v>
      </c>
      <c r="DN20">
        <v>0</v>
      </c>
      <c r="DO20">
        <v>0</v>
      </c>
      <c r="DP20">
        <v>0</v>
      </c>
      <c r="DQ20">
        <v>0</v>
      </c>
      <c r="DR20">
        <f>IF(OR(IFERROR(VLOOKUP(K20,源_3考勤报表_考勤表!$F:$BG,39,FALSE),0)+IFERROR(VLOOKUP(K20,源_8补工时表_补当月工时!$A:$AC,24,FALSE),0)=0,IFERROR(VLOOKUP(K20,源_3考勤报表_考勤表!$F:$BG,43,FALSE),0)+IFERROR(VLOOKUP(K20,源_8补工时表_补当月工时!$A:$AC,26,FALSE),0)=0),IF(BI20+BG20-BT20&lt;0,BI20+BG20-BT20,0),0)</f>
        <v>0</v>
      </c>
    </row>
    <row r="21" spans="1:122" x14ac:dyDescent="0.15">
      <c r="A21">
        <f>参数!$B$2</f>
        <v>2025</v>
      </c>
      <c r="B21">
        <f>参数!$B$3</f>
        <v>12</v>
      </c>
      <c r="D21" t="s">
        <v>229</v>
      </c>
      <c r="E21" t="s">
        <v>123</v>
      </c>
      <c r="F21" t="str">
        <f>IFERROR(VLOOKUP(K21,源_7银行卡表_Sheet1!$A:$J,6,FALSE),"")</f>
        <v>华东营运</v>
      </c>
      <c r="G21" t="s">
        <v>230</v>
      </c>
      <c r="H21" t="s">
        <v>231</v>
      </c>
      <c r="I21" t="s">
        <v>232</v>
      </c>
      <c r="J21">
        <v>1</v>
      </c>
      <c r="K21">
        <v>26123020</v>
      </c>
      <c r="L21" t="s">
        <v>233</v>
      </c>
      <c r="M21" t="s">
        <v>128</v>
      </c>
      <c r="N21" t="s">
        <v>234</v>
      </c>
      <c r="P21" t="s">
        <v>131</v>
      </c>
      <c r="Q21">
        <f>IF(P21="门店全职",IFERROR(VLOOKUP(K21,源_3考勤报表_考勤表!$F:$BG,34,FALSE),0)+IFERROR(VLOOKUP(K21,源_8补工时表_补当月工时!$A:$AC,14,FALSE),0),IF(P21="门店管理组",IF(IFERROR(VLOOKUP(K21,源_3考勤报表_考勤表!$F:$BG,34,FALSE),0)+IFERROR(VLOOKUP(K21,源_8补工时表_补当月工时!$A:$AC,14,FALSE),0)+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44,FALSE),0)+IFERROR(VLOOKUP(K21,源_8补工时表_补当月工时!$A:$AC,16,FALSE),0)+IFERROR(VLOOKUP(K21,源_3考勤报表_考勤表!$F:$BG,45,FALSE),0)&gt;=参数!$B$4,参数!$B$4-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44,FALSE),0)-IFERROR(VLOOKUP(K21,源_8补工时表_补当月工时!$A:$AC,16,FALSE),0)-IFERROR(VLOOKUP(K21,源_3考勤报表_考勤表!$F:$BG,45,FALSE),0),IFERROR(VLOOKUP(K21,源_3考勤报表_考勤表!$F:$BG,34,FALSE),0)+IFERROR(VLOOKUP(K21,源_8补工时表_补当月工时!$A:$AC,14,FALSE),0)),0))</f>
        <v>183</v>
      </c>
      <c r="R21">
        <v>6695</v>
      </c>
      <c r="S21">
        <v>0</v>
      </c>
      <c r="T21">
        <f>IF(P21="门店全职",R21/参数!$B$4*(Q21-MAX(IFERROR(VLOOKUP(K21,源_3考勤报表_考勤表!$F:$BG,34,FALSE),0)+IFERROR(VLOOKUP(K21,源_8补工时表_补当月工时!$A:$AC,14,FALSE),0)+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参数!$B$4,0)),R21/参数!$B$4*Q21)</f>
        <v>6658.6141304347821</v>
      </c>
      <c r="U21">
        <v>0</v>
      </c>
      <c r="V21">
        <v>0</v>
      </c>
      <c r="W21">
        <f t="shared" si="0"/>
        <v>411.5</v>
      </c>
      <c r="X21">
        <f>IFERROR(VLOOKUP(K21,源_4奖金汇总表_拆分手工算!$A:$N,8,FALSE),0)</f>
        <v>11.5</v>
      </c>
      <c r="Y21">
        <f>IFERROR(VLOOKUP(K21,源_5薪资备忘录_工资调整项!$A:$AC,14,FALSE),0)</f>
        <v>200</v>
      </c>
      <c r="Z21">
        <f>IFERROR(VLOOKUP(K21,源_5薪资备忘录_工资调整项!$A:$AC,16,FALSE),0)</f>
        <v>200</v>
      </c>
      <c r="AA21">
        <f>IFERROR(VLOOKUP(K21,源_5薪资备忘录_工资调整项!$A:$AC,15,FALSE),0)</f>
        <v>0</v>
      </c>
      <c r="AB21">
        <f t="shared" si="1"/>
        <v>0</v>
      </c>
      <c r="AC21">
        <f>IF(P21="门店全职",R21/174*MAX(IFERROR(VLOOKUP(K21,源_3考勤报表_考勤表!$F:$BG,34,FALSE),0)+IFERROR(VLOOKUP(K21,源_8补工时表_补当月工时!$A:$AC,14,FALSE),0)+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参数!$B$4,0)*1.5,0)</f>
        <v>0</v>
      </c>
      <c r="AD21">
        <v>0</v>
      </c>
      <c r="AE21">
        <f>IFERROR(VLOOKUP(K21,源_3考勤报表_考勤表!$F:$BG,46,FALSE),0)+IFERROR(VLOOKUP(K21,源_8补工时表_补当月工时!$A:$AC,25,FALSE),0)</f>
        <v>0</v>
      </c>
      <c r="AF21">
        <f t="shared" si="2"/>
        <v>0</v>
      </c>
      <c r="AG21">
        <f>IFERROR(VLOOKUP(K21,源_4奖金汇总表_拆分手工算!$A:$N,10,FALSE),0)</f>
        <v>0</v>
      </c>
      <c r="AH21">
        <f>IFERROR(VLOOKUP(K21,源_4奖金汇总表_拆分手工算!$A:$N,5,FALSE),0)</f>
        <v>0</v>
      </c>
      <c r="AI21">
        <f>IFERROR(VLOOKUP(K21,源_4奖金汇总表_拆分手工算!$A:$N,11,FALSE),0)</f>
        <v>0</v>
      </c>
      <c r="AJ21">
        <f>IFERROR(VLOOKUP(K21,源_4奖金汇总表_拆分手工算!$A:$N,4,FALSE),0)</f>
        <v>0</v>
      </c>
      <c r="AK21">
        <f>IFERROR(VLOOKUP(K21,源_4奖金汇总表_拆分手工算!$A:$N,3,FALSE),0)</f>
        <v>0</v>
      </c>
      <c r="AL21">
        <f>IFERROR(VLOOKUP(K21,源_4奖金汇总表_拆分手工算!$A:$N,6,FALSE),0)</f>
        <v>0</v>
      </c>
      <c r="AM21">
        <f>IFERROR(VLOOKUP(K21,源_5薪资备忘录_工资调整项!$A:$AC,18,FALSE),0)+IFERROR(VLOOKUP(K21,源_4奖金汇总表_拆分手工算!$A:$N,7,FALSE),0)</f>
        <v>0</v>
      </c>
      <c r="AN21">
        <f>IFERROR(VLOOKUP(K21,源_5薪资备忘录_工资调整项!$A:$AC,17,FALSE),0)</f>
        <v>0</v>
      </c>
      <c r="AO21">
        <f>IF(OR(IFERROR(VLOOKUP(K21,源_3考勤报表_考勤表!$F:$BG,39,FALSE),0)+IFERROR(VLOOKUP(K21,源_8补工时表_补当月工时!$A:$AC,24,FALSE),0)&gt;0,IFERROR(VLOOKUP(K21,源_3考勤报表_考勤表!$F:$BG,43,FALSE),0)+IFERROR(VLOOKUP(K21,源_8补工时表_补当月工时!$A:$AC,26,FALSE),0)&gt;0),IF(IFERROR(VLOOKUP(DH21,源_11产假政策_Sheet1!$C:$F,4,FALSE),"")="是",R21/参数!$B$4*(IFERROR(VLOOKUP(K21,源_3考勤报表_考勤表!$F:$BG,39,FALSE),0)+IFERROR(VLOOKUP(K21,源_8补工时表_补当月工时!$A:$AC,24,FALSE),0)+IFERROR(VLOOKUP(K21,源_3考勤报表_考勤表!$F:$BG,43,FALSE),0)+IFERROR(VLOOKUP(K21,源_8补工时表_补当月工时!$A:$AC,26,FALSE),0)),IFERROR(VLOOKUP(K21,源_5薪资备忘录_工资调整项!$A:$AC,19,FALSE),0)),0)</f>
        <v>0</v>
      </c>
      <c r="AP21">
        <v>0</v>
      </c>
      <c r="AQ21">
        <f>IFERROR(VLOOKUP(K21,源_4奖金汇总表_拆分手工算!$A:$N,12,FALSE),0)+IFERROR(VLOOKUP(K21,源_9年终奖表_Sheet1!$A:$E,3,FALSE),0)</f>
        <v>1200</v>
      </c>
      <c r="AR21">
        <f>IFERROR(VLOOKUP(K21,源_4奖金汇总表_拆分手工算!$A:$N,13,FALSE),0)+IFERROR(VLOOKUP(K21,源_9年终奖表_Sheet1!$A:$E,4,FALSE),0)</f>
        <v>600</v>
      </c>
      <c r="AS21">
        <f>IFERROR(VLOOKUP(K21,源_4奖金汇总表_拆分手工算!$A:$N,14,FALSE),0)+IFERROR(VLOOKUP(K21,源_9年终奖表_Sheet1!$A:$E,5,FALSE),0)</f>
        <v>111.11</v>
      </c>
      <c r="AT21">
        <f>IFERROR(VLOOKUP(K21,源_5薪资备忘录_工资调整项!$A:$AC,20,FALSE),0)</f>
        <v>0</v>
      </c>
      <c r="AU21">
        <f>IFERROR(VLOOKUP(K21,源_5薪资备忘录_工资调整项!$A:$AC,21,FALSE),0)+IFERROR(VLOOKUP(K21,源_4奖金汇总表_拆分手工算!$A:$N,9,FALSE),0)</f>
        <v>0</v>
      </c>
      <c r="AV21">
        <f>R21/参数!$B$4*(IFERROR(VLOOKUP(K21,源_3考勤报表_考勤表!$F:$BG,37,FALSE),0)+IFERROR(VLOOKUP(K21,源_8补工时表_补当月工时!$A:$AC,15,FALSE),0))</f>
        <v>0</v>
      </c>
      <c r="AW21">
        <f>R21/174*MIN(IFERROR(VLOOKUP(K21,源_3考勤报表_考勤表!$F:$BG,35,FALSE),0),174)*IF(DATEDIF(N21,DATE(参数!$B$2,参数!$B$3+1,0),"Y")&lt;2,0.6,IF(DATEDIF(N21,DATE(参数!$B$2,参数!$B$3+1,0),"Y")&lt;4,0.7,IF(DATEDIF(N21,DATE(参数!$B$2,参数!$B$3+1,0),"Y")&lt;6,0.8,IF(DATEDIF(N21,DATE(参数!$B$2,参数!$B$3+1,0),"Y")&lt;8,0.9,1))))</f>
        <v>0</v>
      </c>
      <c r="AX21">
        <f>IF(Q21+IFERROR(VLOOKUP(K21,源_3考勤报表_考勤表!$F:$BG,37,FALSE),0)+IFERROR(VLOOKUP(K21,源_8补工时表_补当月工时!$A:$AC,15,FALSE),0)&gt;=参数!$B$4,0,IF(Q21+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lt;=参数!$B$4,R21/参数!$B$4*(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0))</f>
        <v>36.385869565217391</v>
      </c>
      <c r="AY21">
        <v>0</v>
      </c>
      <c r="AZ21">
        <v>0</v>
      </c>
      <c r="BA21">
        <v>0</v>
      </c>
      <c r="BB21">
        <v>0</v>
      </c>
      <c r="BC21">
        <f>IFERROR(VLOOKUP(K21,源_5薪资备忘录_工资调整项!$A:$AC,25,FALSE),0)</f>
        <v>0</v>
      </c>
      <c r="BD21">
        <v>0</v>
      </c>
      <c r="BE21">
        <v>0</v>
      </c>
      <c r="BF21">
        <v>0</v>
      </c>
      <c r="BG21">
        <f>IFERROR(VLOOKUP(K21,源_5薪资备忘录_工资调整项!$A:$AC,22,FALSE),0)+IFERROR(VLOOKUP(K21,源_5薪资备忘录_工资调整项!$A:$AC,23,FALSE),0)+IFERROR(VLOOKUP(K21,源_5薪资备忘录_工资调整项!$A:$AC,24,FALSE),0)</f>
        <v>0</v>
      </c>
      <c r="BH21">
        <f>IFERROR(VLOOKUP(DF21,源_6社保表_Sheet1!$C:$CD,80,FALSE),0)+4.5</f>
        <v>6.5</v>
      </c>
      <c r="BI21">
        <f t="shared" si="3"/>
        <v>9017.61</v>
      </c>
      <c r="BJ21">
        <f>IFERROR(VLOOKUP(DF21,源_6社保表_Sheet1!$C:$BZ,26,FALSE),0)</f>
        <v>539.91</v>
      </c>
      <c r="BK21">
        <f>IFERROR(VLOOKUP(DF21,源_6社保表_Sheet1!$C:$BZ,27,FALSE),0)</f>
        <v>77.13</v>
      </c>
      <c r="BL21">
        <f>IFERROR(VLOOKUP(DF21,源_6社保表_Sheet1!$C:$BZ,28,FALSE),0)</f>
        <v>38.564999999999998</v>
      </c>
      <c r="BM21">
        <f>IFERROR(VLOOKUP(DF21,源_6社保表_Sheet1!$C:$BZ,30,FALSE),0)</f>
        <v>462.78</v>
      </c>
      <c r="BN21">
        <f>IFERROR(VLOOKUP(DF21,源_6社保表_Sheet1!$C:$BZ,29,FALSE),0)</f>
        <v>0</v>
      </c>
      <c r="BO21">
        <f>IFERROR(VLOOKUP(DF21,源_6社保表_Sheet1!$C:$BZ,40,FALSE),0)</f>
        <v>0</v>
      </c>
      <c r="BP21">
        <f>IFERROR(VLOOKUP(DF21,源_6社保表_Sheet1!$C:$BZ,41,FALSE),0)</f>
        <v>0</v>
      </c>
      <c r="BQ21">
        <f>IFERROR(VLOOKUP(DF21,源_6社保表_Sheet1!$C:$BZ,42,FALSE),0)</f>
        <v>0</v>
      </c>
      <c r="BR21">
        <f>IFERROR(VLOOKUP(DF21,源_6社保表_Sheet1!$C:$BZ,44,FALSE),0)</f>
        <v>0</v>
      </c>
      <c r="BS21">
        <f>IFERROR(VLOOKUP(DF21,源_6社保表_Sheet1!$C:$BZ,43,FALSE),0)</f>
        <v>0</v>
      </c>
      <c r="BT21">
        <f t="shared" si="4"/>
        <v>1118.385</v>
      </c>
      <c r="BU21">
        <v>0</v>
      </c>
      <c r="BV21">
        <v>0</v>
      </c>
      <c r="BW21">
        <v>0</v>
      </c>
      <c r="BX21">
        <f t="shared" si="5"/>
        <v>0</v>
      </c>
      <c r="BY21">
        <v>0</v>
      </c>
      <c r="BZ21">
        <f>IFERROR(VLOOKUP(DF21,源_6社保表_Sheet1!$C:$BZ,18,FALSE),0)</f>
        <v>1156.95</v>
      </c>
      <c r="CA21">
        <f>IFERROR(VLOOKUP(DF21,源_6社保表_Sheet1!$C:$BZ,19,FALSE),0)</f>
        <v>617.04</v>
      </c>
      <c r="CB21">
        <f>IFERROR(VLOOKUP(DF21,源_6社保表_Sheet1!$C:$BZ,24,FALSE),0)</f>
        <v>462.78</v>
      </c>
      <c r="CC21">
        <f>IFERROR(VLOOKUP(DF21,源_6社保表_Sheet1!$C:$BZ,20,FALSE),0)</f>
        <v>38.564999999999998</v>
      </c>
      <c r="CD21">
        <f>IFERROR(VLOOKUP(DF21,源_6社保表_Sheet1!$C:$BZ,21,FALSE),0)</f>
        <v>24.6816</v>
      </c>
      <c r="CE21">
        <f>IFERROR(VLOOKUP(DF21,源_6社保表_Sheet1!$C:$BZ,22,FALSE),0)</f>
        <v>0</v>
      </c>
      <c r="CF21">
        <f>IFERROR(VLOOKUP(DF21,源_6社保表_Sheet1!$C:$BZ,23,FALSE),0)</f>
        <v>0</v>
      </c>
      <c r="CG21">
        <f>IFERROR(VLOOKUP(DF21,源_6社保表_Sheet1!$C:$BZ,32,FALSE),0)</f>
        <v>0</v>
      </c>
      <c r="CH21">
        <f>IFERROR(VLOOKUP(DF21,源_6社保表_Sheet1!$C:$BZ,33,FALSE),0)</f>
        <v>0</v>
      </c>
      <c r="CI21">
        <f>IFERROR(VLOOKUP(DF21,源_6社保表_Sheet1!$C:$BZ,34,FALSE),0)</f>
        <v>0</v>
      </c>
      <c r="CJ21">
        <f>IFERROR(VLOOKUP(DF21,源_6社保表_Sheet1!$C:$BZ,38,FALSE),0)</f>
        <v>0</v>
      </c>
      <c r="CK21">
        <f>IFERROR(VLOOKUP(DF21,源_6社保表_Sheet1!$C:$BZ,35,FALSE),0)</f>
        <v>0</v>
      </c>
      <c r="CL21">
        <f>IFERROR(VLOOKUP(DF21,源_6社保表_Sheet1!$C:$BZ,36,FALSE),0)</f>
        <v>0</v>
      </c>
      <c r="CM21">
        <f>IFERROR(VLOOKUP(DF21,源_6社保表_Sheet1!$C:$BZ,37,FALSE),0)</f>
        <v>0</v>
      </c>
      <c r="CN21">
        <f t="shared" si="6"/>
        <v>2300.0165999999999</v>
      </c>
      <c r="CO21">
        <f t="shared" si="7"/>
        <v>11324.1266</v>
      </c>
      <c r="CP21">
        <f>IF(IFERROR(VLOOKUP(K21,源_13残疾人信息_残疾人信息!$A:$M,1,FALSE),"")&lt;&gt;"",0,IF(OR(P21="门店全职",P21="门店管理组",P21="全职(非门店)"),(BI21-AT21)*IFERROR(VLOOKUP(D21,源_12计提残保金规则_Sheet1!$A:$E,4,FALSE),0)*IFERROR(VLOOKUP(D21,源_12计提残保金规则_Sheet1!$A:$E,5,FALSE),0),0))</f>
        <v>54.10566</v>
      </c>
      <c r="CQ21">
        <f t="shared" si="8"/>
        <v>16.05</v>
      </c>
      <c r="CR21">
        <f t="shared" si="9"/>
        <v>20.67</v>
      </c>
      <c r="CS21">
        <f>IF(DATEVALUE(N21)&gt;DATE(参数!$B$2,9,30),0,IF(M21="行政",0,IF(O21="",R21/12,IF(MONTH(DATEVALUE(O21))=参数!$B$3,0,IF(DATEVALUE(O21)&lt;DATE(参数!$B$2,参数!$B$3,1),0,R21/12)))))</f>
        <v>557.91666666666663</v>
      </c>
      <c r="CT21">
        <f t="shared" si="10"/>
        <v>682.89</v>
      </c>
      <c r="CU21">
        <f>IFERROR(VLOOKUP(DF21,源_6社保表_Sheet1!$C:$I,2,FALSE),0)</f>
        <v>7713</v>
      </c>
      <c r="CV21">
        <f>IFERROR(VLOOKUP(DF21,源_6社保表_Sheet1!$C:$I,7,FALSE),0)</f>
        <v>7713</v>
      </c>
      <c r="CW21">
        <f>IFERROR(VLOOKUP(DF21,源_6社保表_Sheet1!$C:$I,3,FALSE),0)</f>
        <v>7713</v>
      </c>
      <c r="CX21">
        <f>IFERROR(VLOOKUP(DF21,源_6社保表_Sheet1!$C:$I,4,FALSE),0)</f>
        <v>7713</v>
      </c>
      <c r="CY21">
        <f>IFERROR(VLOOKUP(DF21,源_6社保表_Sheet1!$C:$I,5,FALSE),0)</f>
        <v>7713</v>
      </c>
      <c r="CZ21">
        <f>IFERROR(VLOOKUP(DF21,源_6社保表_Sheet1!$C:$I,6,FALSE),0)</f>
        <v>0</v>
      </c>
      <c r="DA21">
        <f t="shared" si="11"/>
        <v>9406.516599999999</v>
      </c>
      <c r="DB21">
        <f t="shared" si="12"/>
        <v>10744.648926666663</v>
      </c>
      <c r="DC21" t="str">
        <f>IFERROR(VLOOKUP(K21,源_7银行卡表_Sheet1!$A:$J,8,FALSE),"")</f>
        <v>农业银行</v>
      </c>
      <c r="DD21" t="str">
        <f>IFERROR(VLOOKUP(K21,源_7银行卡表_Sheet1!$A:$J,9,FALSE),"")</f>
        <v>6680446626270969772</v>
      </c>
      <c r="DE21" t="str">
        <f>IFERROR(VLOOKUP(K21,源_7银行卡表_Sheet1!$A:$J,10,FALSE),"")</f>
        <v>中国农业银行沈阳自贸区支行</v>
      </c>
      <c r="DF21" t="s">
        <v>235</v>
      </c>
      <c r="DG21">
        <v>14869205294</v>
      </c>
      <c r="DH21" t="s">
        <v>230</v>
      </c>
      <c r="DI21">
        <v>0</v>
      </c>
      <c r="DJ21">
        <v>0</v>
      </c>
      <c r="DK21">
        <v>0</v>
      </c>
      <c r="DL21">
        <v>0</v>
      </c>
      <c r="DM21">
        <v>0</v>
      </c>
      <c r="DN21">
        <v>0</v>
      </c>
      <c r="DO21">
        <v>0</v>
      </c>
      <c r="DP21">
        <v>0</v>
      </c>
      <c r="DQ21">
        <v>0</v>
      </c>
      <c r="DR21">
        <f>IF(OR(IFERROR(VLOOKUP(K21,源_3考勤报表_考勤表!$F:$BG,39,FALSE),0)+IFERROR(VLOOKUP(K21,源_8补工时表_补当月工时!$A:$AC,24,FALSE),0)=0,IFERROR(VLOOKUP(K21,源_3考勤报表_考勤表!$F:$BG,43,FALSE),0)+IFERROR(VLOOKUP(K21,源_8补工时表_补当月工时!$A:$AC,26,FALSE),0)=0),IF(BI21+BG21-BT21&lt;0,BI21+BG21-BT21,0),0)</f>
        <v>0</v>
      </c>
    </row>
    <row r="22" spans="1:122" x14ac:dyDescent="0.15">
      <c r="A22">
        <f>参数!$B$2</f>
        <v>2025</v>
      </c>
      <c r="B22">
        <f>参数!$B$3</f>
        <v>12</v>
      </c>
      <c r="D22" t="s">
        <v>209</v>
      </c>
      <c r="E22" t="s">
        <v>123</v>
      </c>
      <c r="F22" t="str">
        <f>IFERROR(VLOOKUP(K22,源_7银行卡表_Sheet1!$A:$J,6,FALSE),"")</f>
        <v>华东营运</v>
      </c>
      <c r="G22" t="s">
        <v>210</v>
      </c>
      <c r="H22" t="s">
        <v>236</v>
      </c>
      <c r="I22" t="s">
        <v>212</v>
      </c>
      <c r="J22">
        <v>1</v>
      </c>
      <c r="K22">
        <v>26123021</v>
      </c>
      <c r="L22" t="s">
        <v>237</v>
      </c>
      <c r="M22" t="s">
        <v>140</v>
      </c>
      <c r="N22" t="s">
        <v>238</v>
      </c>
      <c r="O22" t="s">
        <v>239</v>
      </c>
      <c r="P22" t="s">
        <v>131</v>
      </c>
      <c r="Q22">
        <f>IF(P22="门店全职",IFERROR(VLOOKUP(K22,源_3考勤报表_考勤表!$F:$BG,34,FALSE),0)+IFERROR(VLOOKUP(K22,源_8补工时表_补当月工时!$A:$AC,14,FALSE),0),IF(P22="门店管理组",IF(IFERROR(VLOOKUP(K22,源_3考勤报表_考勤表!$F:$BG,34,FALSE),0)+IFERROR(VLOOKUP(K22,源_8补工时表_补当月工时!$A:$AC,14,FALSE),0)+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44,FALSE),0)+IFERROR(VLOOKUP(K22,源_8补工时表_补当月工时!$A:$AC,16,FALSE),0)+IFERROR(VLOOKUP(K22,源_3考勤报表_考勤表!$F:$BG,45,FALSE),0)&gt;=参数!$B$4,参数!$B$4-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44,FALSE),0)-IFERROR(VLOOKUP(K22,源_8补工时表_补当月工时!$A:$AC,16,FALSE),0)-IFERROR(VLOOKUP(K22,源_3考勤报表_考勤表!$F:$BG,45,FALSE),0),IFERROR(VLOOKUP(K22,源_3考勤报表_考勤表!$F:$BG,34,FALSE),0)+IFERROR(VLOOKUP(K22,源_8补工时表_补当月工时!$A:$AC,14,FALSE),0)),0))</f>
        <v>0</v>
      </c>
      <c r="R22">
        <v>5200</v>
      </c>
      <c r="S22">
        <v>0</v>
      </c>
      <c r="T22">
        <f>IF(P22="门店全职",R22/参数!$B$4*(Q22-MAX(IFERROR(VLOOKUP(K22,源_3考勤报表_考勤表!$F:$BG,34,FALSE),0)+IFERROR(VLOOKUP(K22,源_8补工时表_补当月工时!$A:$AC,14,FALSE),0)+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参数!$B$4,0)),R22/参数!$B$4*Q22)</f>
        <v>0</v>
      </c>
      <c r="U22">
        <v>0</v>
      </c>
      <c r="V22">
        <v>0</v>
      </c>
      <c r="W22">
        <f t="shared" si="0"/>
        <v>0</v>
      </c>
      <c r="X22">
        <f>IFERROR(VLOOKUP(K22,源_4奖金汇总表_拆分手工算!$A:$N,8,FALSE),0)</f>
        <v>0</v>
      </c>
      <c r="Y22">
        <f>IFERROR(VLOOKUP(K22,源_5薪资备忘录_工资调整项!$A:$AC,14,FALSE),0)</f>
        <v>0</v>
      </c>
      <c r="Z22">
        <f>IFERROR(VLOOKUP(K22,源_5薪资备忘录_工资调整项!$A:$AC,16,FALSE),0)</f>
        <v>0</v>
      </c>
      <c r="AA22">
        <f>IFERROR(VLOOKUP(K22,源_5薪资备忘录_工资调整项!$A:$AC,15,FALSE),0)</f>
        <v>0</v>
      </c>
      <c r="AB22">
        <f t="shared" si="1"/>
        <v>0</v>
      </c>
      <c r="AC22">
        <f>IF(P22="门店全职",R22/174*MAX(IFERROR(VLOOKUP(K22,源_3考勤报表_考勤表!$F:$BG,34,FALSE),0)+IFERROR(VLOOKUP(K22,源_8补工时表_补当月工时!$A:$AC,14,FALSE),0)+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参数!$B$4,0)*1.5,0)</f>
        <v>0</v>
      </c>
      <c r="AD22">
        <v>0</v>
      </c>
      <c r="AE22">
        <f>IFERROR(VLOOKUP(K22,源_3考勤报表_考勤表!$F:$BG,46,FALSE),0)+IFERROR(VLOOKUP(K22,源_8补工时表_补当月工时!$A:$AC,25,FALSE),0)</f>
        <v>0</v>
      </c>
      <c r="AF22">
        <f t="shared" si="2"/>
        <v>0</v>
      </c>
      <c r="AG22">
        <f>IFERROR(VLOOKUP(K22,源_4奖金汇总表_拆分手工算!$A:$N,10,FALSE),0)</f>
        <v>0</v>
      </c>
      <c r="AH22">
        <f>IFERROR(VLOOKUP(K22,源_4奖金汇总表_拆分手工算!$A:$N,5,FALSE),0)</f>
        <v>0</v>
      </c>
      <c r="AI22">
        <f>IFERROR(VLOOKUP(K22,源_4奖金汇总表_拆分手工算!$A:$N,11,FALSE),0)</f>
        <v>0</v>
      </c>
      <c r="AJ22">
        <f>IFERROR(VLOOKUP(K22,源_4奖金汇总表_拆分手工算!$A:$N,4,FALSE),0)</f>
        <v>0</v>
      </c>
      <c r="AK22">
        <f>IFERROR(VLOOKUP(K22,源_4奖金汇总表_拆分手工算!$A:$N,3,FALSE),0)</f>
        <v>0</v>
      </c>
      <c r="AL22">
        <f>IFERROR(VLOOKUP(K22,源_4奖金汇总表_拆分手工算!$A:$N,6,FALSE),0)</f>
        <v>0</v>
      </c>
      <c r="AM22">
        <f>IFERROR(VLOOKUP(K22,源_5薪资备忘录_工资调整项!$A:$AC,18,FALSE),0)+IFERROR(VLOOKUP(K22,源_4奖金汇总表_拆分手工算!$A:$N,7,FALSE),0)</f>
        <v>0</v>
      </c>
      <c r="AN22">
        <f>IFERROR(VLOOKUP(K22,源_5薪资备忘录_工资调整项!$A:$AC,17,FALSE),0)</f>
        <v>100</v>
      </c>
      <c r="AO22">
        <f>IF(OR(IFERROR(VLOOKUP(K22,源_3考勤报表_考勤表!$F:$BG,39,FALSE),0)+IFERROR(VLOOKUP(K22,源_8补工时表_补当月工时!$A:$AC,24,FALSE),0)&gt;0,IFERROR(VLOOKUP(K22,源_3考勤报表_考勤表!$F:$BG,43,FALSE),0)+IFERROR(VLOOKUP(K22,源_8补工时表_补当月工时!$A:$AC,26,FALSE),0)&gt;0),IF(IFERROR(VLOOKUP(DH22,源_11产假政策_Sheet1!$C:$F,4,FALSE),"")="是",R22/参数!$B$4*(IFERROR(VLOOKUP(K22,源_3考勤报表_考勤表!$F:$BG,39,FALSE),0)+IFERROR(VLOOKUP(K22,源_8补工时表_补当月工时!$A:$AC,24,FALSE),0)+IFERROR(VLOOKUP(K22,源_3考勤报表_考勤表!$F:$BG,43,FALSE),0)+IFERROR(VLOOKUP(K22,源_8补工时表_补当月工时!$A:$AC,26,FALSE),0)),IFERROR(VLOOKUP(K22,源_5薪资备忘录_工资调整项!$A:$AC,19,FALSE),0)),0)</f>
        <v>0</v>
      </c>
      <c r="AP22">
        <v>0</v>
      </c>
      <c r="AQ22">
        <f>IFERROR(VLOOKUP(K22,源_4奖金汇总表_拆分手工算!$A:$N,12,FALSE),0)+IFERROR(VLOOKUP(K22,源_9年终奖表_Sheet1!$A:$E,3,FALSE),0)</f>
        <v>1200</v>
      </c>
      <c r="AR22">
        <f>IFERROR(VLOOKUP(K22,源_4奖金汇总表_拆分手工算!$A:$N,13,FALSE),0)+IFERROR(VLOOKUP(K22,源_9年终奖表_Sheet1!$A:$E,4,FALSE),0)</f>
        <v>600</v>
      </c>
      <c r="AS22">
        <f>IFERROR(VLOOKUP(K22,源_4奖金汇总表_拆分手工算!$A:$N,14,FALSE),0)+IFERROR(VLOOKUP(K22,源_9年终奖表_Sheet1!$A:$E,5,FALSE),0)</f>
        <v>222</v>
      </c>
      <c r="AT22">
        <f>IFERROR(VLOOKUP(K22,源_5薪资备忘录_工资调整项!$A:$AC,20,FALSE),0)</f>
        <v>0</v>
      </c>
      <c r="AU22">
        <f>IFERROR(VLOOKUP(K22,源_5薪资备忘录_工资调整项!$A:$AC,21,FALSE),0)+IFERROR(VLOOKUP(K22,源_4奖金汇总表_拆分手工算!$A:$N,9,FALSE),0)</f>
        <v>1655.36</v>
      </c>
      <c r="AV22">
        <f>R22/参数!$B$4*(IFERROR(VLOOKUP(K22,源_3考勤报表_考勤表!$F:$BG,37,FALSE),0)+IFERROR(VLOOKUP(K22,源_8补工时表_补当月工时!$A:$AC,15,FALSE),0))</f>
        <v>0</v>
      </c>
      <c r="AW22">
        <f>R22/174*MIN(IFERROR(VLOOKUP(K22,源_3考勤报表_考勤表!$F:$BG,35,FALSE),0),174)*IF(DATEDIF(N22,DATE(参数!$B$2,参数!$B$3+1,0),"Y")&lt;2,0.6,IF(DATEDIF(N22,DATE(参数!$B$2,参数!$B$3+1,0),"Y")&lt;4,0.7,IF(DATEDIF(N22,DATE(参数!$B$2,参数!$B$3+1,0),"Y")&lt;6,0.8,IF(DATEDIF(N22,DATE(参数!$B$2,参数!$B$3+1,0),"Y")&lt;8,0.9,1))))</f>
        <v>0</v>
      </c>
      <c r="AX22">
        <f>IF(Q22+IFERROR(VLOOKUP(K22,源_3考勤报表_考勤表!$F:$BG,37,FALSE),0)+IFERROR(VLOOKUP(K22,源_8补工时表_补当月工时!$A:$AC,15,FALSE),0)&gt;=参数!$B$4,0,IF(Q22+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lt;=参数!$B$4,R22/参数!$B$4*(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0))</f>
        <v>0</v>
      </c>
      <c r="AY22">
        <v>0</v>
      </c>
      <c r="AZ22">
        <v>0</v>
      </c>
      <c r="BA22">
        <v>0</v>
      </c>
      <c r="BB22">
        <v>0</v>
      </c>
      <c r="BC22">
        <f>IFERROR(VLOOKUP(K22,源_5薪资备忘录_工资调整项!$A:$AC,25,FALSE),0)</f>
        <v>0</v>
      </c>
      <c r="BD22">
        <v>0</v>
      </c>
      <c r="BE22">
        <v>0</v>
      </c>
      <c r="BF22">
        <v>0</v>
      </c>
      <c r="BG22">
        <f>IFERROR(VLOOKUP(K22,源_5薪资备忘录_工资调整项!$A:$AC,22,FALSE),0)+IFERROR(VLOOKUP(K22,源_5薪资备忘录_工资调整项!$A:$AC,23,FALSE),0)+IFERROR(VLOOKUP(K22,源_5薪资备忘录_工资调整项!$A:$AC,24,FALSE),0)</f>
        <v>0</v>
      </c>
      <c r="BH22">
        <f>IFERROR(VLOOKUP(DF22,源_6社保表_Sheet1!$C:$CD,80,FALSE),0)+4.5</f>
        <v>6.5</v>
      </c>
      <c r="BI22">
        <f t="shared" si="3"/>
        <v>3777.3599999999997</v>
      </c>
      <c r="BJ22">
        <f>IFERROR(VLOOKUP(DF22,源_6社保表_Sheet1!$C:$BZ,26,FALSE),0)</f>
        <v>526.89</v>
      </c>
      <c r="BK22">
        <f>IFERROR(VLOOKUP(DF22,源_6社保表_Sheet1!$C:$BZ,27,FALSE),0)</f>
        <v>75.27</v>
      </c>
      <c r="BL22">
        <f>IFERROR(VLOOKUP(DF22,源_6社保表_Sheet1!$C:$BZ,28,FALSE),0)</f>
        <v>37.634999999999998</v>
      </c>
      <c r="BM22">
        <f>IFERROR(VLOOKUP(DF22,源_6社保表_Sheet1!$C:$BZ,30,FALSE),0)</f>
        <v>451.62</v>
      </c>
      <c r="BN22">
        <f>IFERROR(VLOOKUP(DF22,源_6社保表_Sheet1!$C:$BZ,29,FALSE),0)</f>
        <v>0</v>
      </c>
      <c r="BO22">
        <f>IFERROR(VLOOKUP(DF22,源_6社保表_Sheet1!$C:$BZ,40,FALSE),0)</f>
        <v>0</v>
      </c>
      <c r="BP22">
        <f>IFERROR(VLOOKUP(DF22,源_6社保表_Sheet1!$C:$BZ,41,FALSE),0)</f>
        <v>0</v>
      </c>
      <c r="BQ22">
        <f>IFERROR(VLOOKUP(DF22,源_6社保表_Sheet1!$C:$BZ,42,FALSE),0)</f>
        <v>0</v>
      </c>
      <c r="BR22">
        <f>IFERROR(VLOOKUP(DF22,源_6社保表_Sheet1!$C:$BZ,44,FALSE),0)</f>
        <v>0</v>
      </c>
      <c r="BS22">
        <f>IFERROR(VLOOKUP(DF22,源_6社保表_Sheet1!$C:$BZ,43,FALSE),0)</f>
        <v>0</v>
      </c>
      <c r="BT22">
        <f t="shared" si="4"/>
        <v>1091.415</v>
      </c>
      <c r="BU22">
        <v>0</v>
      </c>
      <c r="BV22">
        <v>0</v>
      </c>
      <c r="BW22">
        <v>0</v>
      </c>
      <c r="BX22">
        <f t="shared" si="5"/>
        <v>0</v>
      </c>
      <c r="BY22">
        <v>0</v>
      </c>
      <c r="BZ22">
        <f>IFERROR(VLOOKUP(DF22,源_6社保表_Sheet1!$C:$BZ,18,FALSE),0)</f>
        <v>1129.05</v>
      </c>
      <c r="CA22">
        <f>IFERROR(VLOOKUP(DF22,源_6社保表_Sheet1!$C:$BZ,19,FALSE),0)</f>
        <v>602.16</v>
      </c>
      <c r="CB22">
        <f>IFERROR(VLOOKUP(DF22,源_6社保表_Sheet1!$C:$BZ,24,FALSE),0)</f>
        <v>451.62</v>
      </c>
      <c r="CC22">
        <f>IFERROR(VLOOKUP(DF22,源_6社保表_Sheet1!$C:$BZ,20,FALSE),0)</f>
        <v>37.634999999999998</v>
      </c>
      <c r="CD22">
        <f>IFERROR(VLOOKUP(DF22,源_6社保表_Sheet1!$C:$BZ,21,FALSE),0)</f>
        <v>24.086400000000001</v>
      </c>
      <c r="CE22">
        <f>IFERROR(VLOOKUP(DF22,源_6社保表_Sheet1!$C:$BZ,22,FALSE),0)</f>
        <v>0</v>
      </c>
      <c r="CF22">
        <f>IFERROR(VLOOKUP(DF22,源_6社保表_Sheet1!$C:$BZ,23,FALSE),0)</f>
        <v>0</v>
      </c>
      <c r="CG22">
        <f>IFERROR(VLOOKUP(DF22,源_6社保表_Sheet1!$C:$BZ,32,FALSE),0)</f>
        <v>0</v>
      </c>
      <c r="CH22">
        <f>IFERROR(VLOOKUP(DF22,源_6社保表_Sheet1!$C:$BZ,33,FALSE),0)</f>
        <v>0</v>
      </c>
      <c r="CI22">
        <f>IFERROR(VLOOKUP(DF22,源_6社保表_Sheet1!$C:$BZ,34,FALSE),0)</f>
        <v>0</v>
      </c>
      <c r="CJ22">
        <f>IFERROR(VLOOKUP(DF22,源_6社保表_Sheet1!$C:$BZ,38,FALSE),0)</f>
        <v>0</v>
      </c>
      <c r="CK22">
        <f>IFERROR(VLOOKUP(DF22,源_6社保表_Sheet1!$C:$BZ,35,FALSE),0)</f>
        <v>0</v>
      </c>
      <c r="CL22">
        <f>IFERROR(VLOOKUP(DF22,源_6社保表_Sheet1!$C:$BZ,36,FALSE),0)</f>
        <v>0</v>
      </c>
      <c r="CM22">
        <f>IFERROR(VLOOKUP(DF22,源_6社保表_Sheet1!$C:$BZ,37,FALSE),0)</f>
        <v>0</v>
      </c>
      <c r="CN22">
        <f t="shared" si="6"/>
        <v>2244.5514000000003</v>
      </c>
      <c r="CO22">
        <f t="shared" si="7"/>
        <v>6028.4114</v>
      </c>
      <c r="CP22">
        <f>IF(IFERROR(VLOOKUP(K22,源_13残疾人信息_残疾人信息!$A:$M,1,FALSE),"")&lt;&gt;"",0,IF(OR(P22="门店全职",P22="门店管理组",P22="全职(非门店)"),(BI22-AT22)*IFERROR(VLOOKUP(D22,源_12计提残保金规则_Sheet1!$A:$E,4,FALSE),0)*IFERROR(VLOOKUP(D22,源_12计提残保金规则_Sheet1!$A:$E,5,FALSE),0),0))</f>
        <v>22.664159999999999</v>
      </c>
      <c r="CQ22">
        <f t="shared" si="8"/>
        <v>16.05</v>
      </c>
      <c r="CR22">
        <f t="shared" si="9"/>
        <v>20.67</v>
      </c>
      <c r="CS22">
        <f>IF(DATEVALUE(N22)&gt;DATE(参数!$B$2,9,30),0,IF(M22="行政",0,IF(O22="",R22/12,IF(MONTH(DATEVALUE(O22))=参数!$B$3,0,IF(DATEVALUE(O22)&lt;DATE(参数!$B$2,参数!$B$3,1),0,R22/12)))))</f>
        <v>0</v>
      </c>
      <c r="CT22">
        <f t="shared" si="10"/>
        <v>530.4</v>
      </c>
      <c r="CU22">
        <f>IFERROR(VLOOKUP(DF22,源_6社保表_Sheet1!$C:$I,2,FALSE),0)</f>
        <v>7527</v>
      </c>
      <c r="CV22">
        <f>IFERROR(VLOOKUP(DF22,源_6社保表_Sheet1!$C:$I,7,FALSE),0)</f>
        <v>7527</v>
      </c>
      <c r="CW22">
        <f>IFERROR(VLOOKUP(DF22,源_6社保表_Sheet1!$C:$I,3,FALSE),0)</f>
        <v>7527</v>
      </c>
      <c r="CX22">
        <f>IFERROR(VLOOKUP(DF22,源_6社保表_Sheet1!$C:$I,4,FALSE),0)</f>
        <v>7527</v>
      </c>
      <c r="CY22">
        <f>IFERROR(VLOOKUP(DF22,源_6社保表_Sheet1!$C:$I,5,FALSE),0)</f>
        <v>7527</v>
      </c>
      <c r="CZ22">
        <f>IFERROR(VLOOKUP(DF22,源_6社保表_Sheet1!$C:$I,6,FALSE),0)</f>
        <v>0</v>
      </c>
      <c r="DA22">
        <f t="shared" si="11"/>
        <v>3999.9114</v>
      </c>
      <c r="DB22">
        <f t="shared" si="12"/>
        <v>4596.1955600000001</v>
      </c>
      <c r="DC22" t="str">
        <f>IFERROR(VLOOKUP(K22,源_7银行卡表_Sheet1!$A:$J,8,FALSE),"")</f>
        <v>农业银行</v>
      </c>
      <c r="DD22" t="str">
        <f>IFERROR(VLOOKUP(K22,源_7银行卡表_Sheet1!$A:$J,9,FALSE),"")</f>
        <v>6682090306077586265</v>
      </c>
      <c r="DE22" t="str">
        <f>IFERROR(VLOOKUP(K22,源_7银行卡表_Sheet1!$A:$J,10,FALSE),"")</f>
        <v>中国农业银行鞍山兴盛支行</v>
      </c>
      <c r="DF22" t="s">
        <v>240</v>
      </c>
      <c r="DG22">
        <v>18620009083</v>
      </c>
      <c r="DH22" t="s">
        <v>210</v>
      </c>
      <c r="DI22">
        <v>0</v>
      </c>
      <c r="DJ22">
        <v>0</v>
      </c>
      <c r="DK22">
        <v>0</v>
      </c>
      <c r="DL22">
        <v>0</v>
      </c>
      <c r="DM22">
        <v>0</v>
      </c>
      <c r="DN22">
        <v>0</v>
      </c>
      <c r="DO22">
        <v>0</v>
      </c>
      <c r="DP22">
        <v>0</v>
      </c>
      <c r="DQ22">
        <v>0</v>
      </c>
      <c r="DR22">
        <f>IF(OR(IFERROR(VLOOKUP(K22,源_3考勤报表_考勤表!$F:$BG,39,FALSE),0)+IFERROR(VLOOKUP(K22,源_8补工时表_补当月工时!$A:$AC,24,FALSE),0)=0,IFERROR(VLOOKUP(K22,源_3考勤报表_考勤表!$F:$BG,43,FALSE),0)+IFERROR(VLOOKUP(K22,源_8补工时表_补当月工时!$A:$AC,26,FALSE),0)=0),IF(BI22+BG22-BT22&lt;0,BI22+BG22-BT22,0),0)</f>
        <v>0</v>
      </c>
    </row>
    <row r="23" spans="1:122" x14ac:dyDescent="0.15">
      <c r="A23">
        <f>参数!$B$2</f>
        <v>2025</v>
      </c>
      <c r="B23">
        <f>参数!$B$3</f>
        <v>12</v>
      </c>
      <c r="D23" t="s">
        <v>147</v>
      </c>
      <c r="E23" t="s">
        <v>123</v>
      </c>
      <c r="F23" t="str">
        <f>IFERROR(VLOOKUP(K23,源_7银行卡表_Sheet1!$A:$J,6,FALSE),"")</f>
        <v>华北营运</v>
      </c>
      <c r="G23" t="s">
        <v>148</v>
      </c>
      <c r="H23" t="s">
        <v>241</v>
      </c>
      <c r="I23" t="s">
        <v>150</v>
      </c>
      <c r="J23">
        <v>1</v>
      </c>
      <c r="K23">
        <v>26123022</v>
      </c>
      <c r="L23" t="s">
        <v>242</v>
      </c>
      <c r="M23" t="s">
        <v>152</v>
      </c>
      <c r="N23" t="s">
        <v>243</v>
      </c>
      <c r="P23" t="s">
        <v>154</v>
      </c>
      <c r="Q23">
        <f>IF(P23="门店全职",IFERROR(VLOOKUP(K23,源_3考勤报表_考勤表!$F:$BG,34,FALSE),0)+IFERROR(VLOOKUP(K23,源_8补工时表_补当月工时!$A:$AC,14,FALSE),0),IF(P23="门店管理组",IF(IFERROR(VLOOKUP(K23,源_3考勤报表_考勤表!$F:$BG,34,FALSE),0)+IFERROR(VLOOKUP(K23,源_8补工时表_补当月工时!$A:$AC,14,FALSE),0)+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44,FALSE),0)+IFERROR(VLOOKUP(K23,源_8补工时表_补当月工时!$A:$AC,16,FALSE),0)+IFERROR(VLOOKUP(K23,源_3考勤报表_考勤表!$F:$BG,45,FALSE),0)&gt;=参数!$B$4,参数!$B$4-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44,FALSE),0)-IFERROR(VLOOKUP(K23,源_8补工时表_补当月工时!$A:$AC,16,FALSE),0)-IFERROR(VLOOKUP(K23,源_3考勤报表_考勤表!$F:$BG,45,FALSE),0),IFERROR(VLOOKUP(K23,源_3考勤报表_考勤表!$F:$BG,34,FALSE),0)+IFERROR(VLOOKUP(K23,源_8补工时表_补当月工时!$A:$AC,14,FALSE),0)),0))</f>
        <v>196</v>
      </c>
      <c r="R23">
        <v>3730</v>
      </c>
      <c r="S23">
        <v>0</v>
      </c>
      <c r="T23">
        <f>IF(P23="门店全职",R23/参数!$B$4*(Q23-MAX(IFERROR(VLOOKUP(K23,源_3考勤报表_考勤表!$F:$BG,34,FALSE),0)+IFERROR(VLOOKUP(K23,源_8补工时表_补当月工时!$A:$AC,14,FALSE),0)+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参数!$B$4,0)),R23/参数!$B$4*Q23)</f>
        <v>3730</v>
      </c>
      <c r="U23">
        <v>0</v>
      </c>
      <c r="V23">
        <v>0</v>
      </c>
      <c r="W23">
        <f t="shared" si="0"/>
        <v>0</v>
      </c>
      <c r="X23">
        <f>IFERROR(VLOOKUP(K23,源_4奖金汇总表_拆分手工算!$A:$N,8,FALSE),0)</f>
        <v>0</v>
      </c>
      <c r="Y23">
        <f>IFERROR(VLOOKUP(K23,源_5薪资备忘录_工资调整项!$A:$AC,14,FALSE),0)</f>
        <v>0</v>
      </c>
      <c r="Z23">
        <f>IFERROR(VLOOKUP(K23,源_5薪资备忘录_工资调整项!$A:$AC,16,FALSE),0)</f>
        <v>0</v>
      </c>
      <c r="AA23">
        <f>IFERROR(VLOOKUP(K23,源_5薪资备忘录_工资调整项!$A:$AC,15,FALSE),0)</f>
        <v>0</v>
      </c>
      <c r="AB23">
        <f t="shared" si="1"/>
        <v>385.86206896551721</v>
      </c>
      <c r="AC23">
        <f>IF(P23="门店全职",R23/174*MAX(IFERROR(VLOOKUP(K23,源_3考勤报表_考勤表!$F:$BG,34,FALSE),0)+IFERROR(VLOOKUP(K23,源_8补工时表_补当月工时!$A:$AC,14,FALSE),0)+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参数!$B$4,0)*1.5,0)</f>
        <v>385.86206896551721</v>
      </c>
      <c r="AD23">
        <v>0</v>
      </c>
      <c r="AE23">
        <f>IFERROR(VLOOKUP(K23,源_3考勤报表_考勤表!$F:$BG,46,FALSE),0)+IFERROR(VLOOKUP(K23,源_8补工时表_补当月工时!$A:$AC,25,FALSE),0)</f>
        <v>0</v>
      </c>
      <c r="AF23">
        <f t="shared" si="2"/>
        <v>0</v>
      </c>
      <c r="AG23">
        <f>IFERROR(VLOOKUP(K23,源_4奖金汇总表_拆分手工算!$A:$N,10,FALSE),0)</f>
        <v>6</v>
      </c>
      <c r="AH23">
        <f>IFERROR(VLOOKUP(K23,源_4奖金汇总表_拆分手工算!$A:$N,5,FALSE),0)</f>
        <v>0</v>
      </c>
      <c r="AI23">
        <f>IFERROR(VLOOKUP(K23,源_4奖金汇总表_拆分手工算!$A:$N,11,FALSE),0)</f>
        <v>0</v>
      </c>
      <c r="AJ23">
        <f>IFERROR(VLOOKUP(K23,源_4奖金汇总表_拆分手工算!$A:$N,4,FALSE),0)</f>
        <v>0</v>
      </c>
      <c r="AK23">
        <f>IFERROR(VLOOKUP(K23,源_4奖金汇总表_拆分手工算!$A:$N,3,FALSE),0)</f>
        <v>0</v>
      </c>
      <c r="AL23">
        <f>IFERROR(VLOOKUP(K23,源_4奖金汇总表_拆分手工算!$A:$N,6,FALSE),0)</f>
        <v>0</v>
      </c>
      <c r="AM23">
        <f>IFERROR(VLOOKUP(K23,源_5薪资备忘录_工资调整项!$A:$AC,18,FALSE),0)+IFERROR(VLOOKUP(K23,源_4奖金汇总表_拆分手工算!$A:$N,7,FALSE),0)</f>
        <v>0</v>
      </c>
      <c r="AN23">
        <f>IFERROR(VLOOKUP(K23,源_5薪资备忘录_工资调整项!$A:$AC,17,FALSE),0)</f>
        <v>0</v>
      </c>
      <c r="AO23">
        <f>IF(OR(IFERROR(VLOOKUP(K23,源_3考勤报表_考勤表!$F:$BG,39,FALSE),0)+IFERROR(VLOOKUP(K23,源_8补工时表_补当月工时!$A:$AC,24,FALSE),0)&gt;0,IFERROR(VLOOKUP(K23,源_3考勤报表_考勤表!$F:$BG,43,FALSE),0)+IFERROR(VLOOKUP(K23,源_8补工时表_补当月工时!$A:$AC,26,FALSE),0)&gt;0),IF(IFERROR(VLOOKUP(DH23,源_11产假政策_Sheet1!$C:$F,4,FALSE),"")="是",R23/参数!$B$4*(IFERROR(VLOOKUP(K23,源_3考勤报表_考勤表!$F:$BG,39,FALSE),0)+IFERROR(VLOOKUP(K23,源_8补工时表_补当月工时!$A:$AC,24,FALSE),0)+IFERROR(VLOOKUP(K23,源_3考勤报表_考勤表!$F:$BG,43,FALSE),0)+IFERROR(VLOOKUP(K23,源_8补工时表_补当月工时!$A:$AC,26,FALSE),0)),IFERROR(VLOOKUP(K23,源_5薪资备忘录_工资调整项!$A:$AC,19,FALSE),0)),0)</f>
        <v>0</v>
      </c>
      <c r="AP23">
        <v>0</v>
      </c>
      <c r="AQ23">
        <f>IFERROR(VLOOKUP(K23,源_4奖金汇总表_拆分手工算!$A:$N,12,FALSE),0)+IFERROR(VLOOKUP(K23,源_9年终奖表_Sheet1!$A:$E,3,FALSE),0)</f>
        <v>0</v>
      </c>
      <c r="AR23">
        <f>IFERROR(VLOOKUP(K23,源_4奖金汇总表_拆分手工算!$A:$N,13,FALSE),0)+IFERROR(VLOOKUP(K23,源_9年终奖表_Sheet1!$A:$E,4,FALSE),0)</f>
        <v>0</v>
      </c>
      <c r="AS23">
        <f>IFERROR(VLOOKUP(K23,源_4奖金汇总表_拆分手工算!$A:$N,14,FALSE),0)+IFERROR(VLOOKUP(K23,源_9年终奖表_Sheet1!$A:$E,5,FALSE),0)</f>
        <v>0</v>
      </c>
      <c r="AT23">
        <f>IFERROR(VLOOKUP(K23,源_5薪资备忘录_工资调整项!$A:$AC,20,FALSE),0)</f>
        <v>0</v>
      </c>
      <c r="AU23">
        <f>IFERROR(VLOOKUP(K23,源_5薪资备忘录_工资调整项!$A:$AC,21,FALSE),0)+IFERROR(VLOOKUP(K23,源_4奖金汇总表_拆分手工算!$A:$N,9,FALSE),0)</f>
        <v>0</v>
      </c>
      <c r="AV23">
        <f>R23/参数!$B$4*(IFERROR(VLOOKUP(K23,源_3考勤报表_考勤表!$F:$BG,37,FALSE),0)+IFERROR(VLOOKUP(K23,源_8补工时表_补当月工时!$A:$AC,15,FALSE),0))</f>
        <v>0</v>
      </c>
      <c r="AW23">
        <f>R23/174*MIN(IFERROR(VLOOKUP(K23,源_3考勤报表_考勤表!$F:$BG,35,FALSE),0),174)*IF(DATEDIF(N23,DATE(参数!$B$2,参数!$B$3+1,0),"Y")&lt;2,0.6,IF(DATEDIF(N23,DATE(参数!$B$2,参数!$B$3+1,0),"Y")&lt;4,0.7,IF(DATEDIF(N23,DATE(参数!$B$2,参数!$B$3+1,0),"Y")&lt;6,0.8,IF(DATEDIF(N23,DATE(参数!$B$2,参数!$B$3+1,0),"Y")&lt;8,0.9,1))))</f>
        <v>0</v>
      </c>
      <c r="AX23">
        <f>IF(Q23+IFERROR(VLOOKUP(K23,源_3考勤报表_考勤表!$F:$BG,37,FALSE),0)+IFERROR(VLOOKUP(K23,源_8补工时表_补当月工时!$A:$AC,15,FALSE),0)&gt;=参数!$B$4,0,IF(Q23+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lt;=参数!$B$4,R23/参数!$B$4*(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0))</f>
        <v>0</v>
      </c>
      <c r="AY23">
        <v>0</v>
      </c>
      <c r="AZ23">
        <v>0</v>
      </c>
      <c r="BA23">
        <v>0</v>
      </c>
      <c r="BB23">
        <v>0</v>
      </c>
      <c r="BC23">
        <f>IFERROR(VLOOKUP(K23,源_5薪资备忘录_工资调整项!$A:$AC,25,FALSE),0)</f>
        <v>0</v>
      </c>
      <c r="BD23">
        <v>0</v>
      </c>
      <c r="BE23">
        <f>(T23+W23+AB23+AG23+AH23+AI23+AJ23+AK23+AL23+AM23+AN23+AO23+AP23+AU23+AV23+AW23+AX23+BC23-IFERROR(VLOOKUP(DF23,源_6社保表_Sheet1!$C:$BZ,76,FALSE),0))*0.02</f>
        <v>64.680641379310345</v>
      </c>
      <c r="BF23">
        <v>0</v>
      </c>
      <c r="BG23">
        <f>IFERROR(VLOOKUP(K23,源_5薪资备忘录_工资调整项!$A:$AC,22,FALSE),0)+IFERROR(VLOOKUP(K23,源_5薪资备忘录_工资调整项!$A:$AC,23,FALSE),0)+IFERROR(VLOOKUP(K23,源_5薪资备忘录_工资调整项!$A:$AC,24,FALSE),0)</f>
        <v>0</v>
      </c>
      <c r="BH23">
        <f>IFERROR(VLOOKUP(DF23,源_6社保表_Sheet1!$C:$CD,80,FALSE),0)+4.5</f>
        <v>6.5</v>
      </c>
      <c r="BI23">
        <f t="shared" si="3"/>
        <v>4121.8620689655172</v>
      </c>
      <c r="BJ23">
        <f>IFERROR(VLOOKUP(DF23,源_6社保表_Sheet1!$C:$BZ,26,FALSE),0)</f>
        <v>501.34</v>
      </c>
      <c r="BK23">
        <f>IFERROR(VLOOKUP(DF23,源_6社保表_Sheet1!$C:$BZ,27,FALSE),0)</f>
        <v>71.62</v>
      </c>
      <c r="BL23">
        <f>IFERROR(VLOOKUP(DF23,源_6社保表_Sheet1!$C:$BZ,28,FALSE),0)</f>
        <v>35.81</v>
      </c>
      <c r="BM23">
        <f>IFERROR(VLOOKUP(DF23,源_6社保表_Sheet1!$C:$BZ,30,FALSE),0)</f>
        <v>279.06</v>
      </c>
      <c r="BN23">
        <f>IFERROR(VLOOKUP(DF23,源_6社保表_Sheet1!$C:$BZ,29,FALSE),0)</f>
        <v>0</v>
      </c>
      <c r="BO23">
        <f>IFERROR(VLOOKUP(DF23,源_6社保表_Sheet1!$C:$BZ,40,FALSE),0)</f>
        <v>0</v>
      </c>
      <c r="BP23">
        <f>IFERROR(VLOOKUP(DF23,源_6社保表_Sheet1!$C:$BZ,41,FALSE),0)</f>
        <v>0</v>
      </c>
      <c r="BQ23">
        <f>IFERROR(VLOOKUP(DF23,源_6社保表_Sheet1!$C:$BZ,42,FALSE),0)</f>
        <v>0</v>
      </c>
      <c r="BR23">
        <f>IFERROR(VLOOKUP(DF23,源_6社保表_Sheet1!$C:$BZ,44,FALSE),0)</f>
        <v>0</v>
      </c>
      <c r="BS23">
        <f>IFERROR(VLOOKUP(DF23,源_6社保表_Sheet1!$C:$BZ,43,FALSE),0)</f>
        <v>0</v>
      </c>
      <c r="BT23">
        <f t="shared" si="4"/>
        <v>887.82999999999993</v>
      </c>
      <c r="BU23">
        <v>0</v>
      </c>
      <c r="BV23">
        <v>0</v>
      </c>
      <c r="BW23">
        <v>0</v>
      </c>
      <c r="BX23">
        <f t="shared" si="5"/>
        <v>0</v>
      </c>
      <c r="BY23">
        <v>0</v>
      </c>
      <c r="BZ23">
        <f>IFERROR(VLOOKUP(DF23,源_6社保表_Sheet1!$C:$BZ,18,FALSE),0)</f>
        <v>1074.3</v>
      </c>
      <c r="CA23">
        <f>IFERROR(VLOOKUP(DF23,源_6社保表_Sheet1!$C:$BZ,19,FALSE),0)</f>
        <v>572.96</v>
      </c>
      <c r="CB23">
        <f>IFERROR(VLOOKUP(DF23,源_6社保表_Sheet1!$C:$BZ,24,FALSE),0)</f>
        <v>279.06</v>
      </c>
      <c r="CC23">
        <f>IFERROR(VLOOKUP(DF23,源_6社保表_Sheet1!$C:$BZ,20,FALSE),0)</f>
        <v>35.81</v>
      </c>
      <c r="CD23">
        <f>IFERROR(VLOOKUP(DF23,源_6社保表_Sheet1!$C:$BZ,21,FALSE),0)</f>
        <v>22.918399999999998</v>
      </c>
      <c r="CE23">
        <f>IFERROR(VLOOKUP(DF23,源_6社保表_Sheet1!$C:$BZ,22,FALSE),0)</f>
        <v>0</v>
      </c>
      <c r="CF23">
        <f>IFERROR(VLOOKUP(DF23,源_6社保表_Sheet1!$C:$BZ,23,FALSE),0)</f>
        <v>0</v>
      </c>
      <c r="CG23">
        <f>IFERROR(VLOOKUP(DF23,源_6社保表_Sheet1!$C:$BZ,32,FALSE),0)</f>
        <v>0</v>
      </c>
      <c r="CH23">
        <f>IFERROR(VLOOKUP(DF23,源_6社保表_Sheet1!$C:$BZ,33,FALSE),0)</f>
        <v>0</v>
      </c>
      <c r="CI23">
        <f>IFERROR(VLOOKUP(DF23,源_6社保表_Sheet1!$C:$BZ,34,FALSE),0)</f>
        <v>0</v>
      </c>
      <c r="CJ23">
        <f>IFERROR(VLOOKUP(DF23,源_6社保表_Sheet1!$C:$BZ,38,FALSE),0)</f>
        <v>0</v>
      </c>
      <c r="CK23">
        <f>IFERROR(VLOOKUP(DF23,源_6社保表_Sheet1!$C:$BZ,35,FALSE),0)</f>
        <v>0</v>
      </c>
      <c r="CL23">
        <f>IFERROR(VLOOKUP(DF23,源_6社保表_Sheet1!$C:$BZ,36,FALSE),0)</f>
        <v>0</v>
      </c>
      <c r="CM23">
        <f>IFERROR(VLOOKUP(DF23,源_6社保表_Sheet1!$C:$BZ,37,FALSE),0)</f>
        <v>0</v>
      </c>
      <c r="CN23">
        <f t="shared" si="6"/>
        <v>1985.0483999999999</v>
      </c>
      <c r="CO23">
        <f t="shared" si="7"/>
        <v>6178.091110344827</v>
      </c>
      <c r="CP23">
        <f>IF(IFERROR(VLOOKUP(K23,源_13残疾人信息_残疾人信息!$A:$M,1,FALSE),"")&lt;&gt;"",0,IF(OR(P23="门店全职",P23="门店管理组",P23="全职(非门店)"),(BI23-AT23)*IFERROR(VLOOKUP(D23,源_12计提残保金规则_Sheet1!$A:$E,4,FALSE),0)*IFERROR(VLOOKUP(D23,源_12计提残保金规则_Sheet1!$A:$E,5,FALSE),0),0))</f>
        <v>55.645137931034483</v>
      </c>
      <c r="CQ23">
        <f t="shared" si="8"/>
        <v>16.05</v>
      </c>
      <c r="CR23">
        <f t="shared" si="9"/>
        <v>20.67</v>
      </c>
      <c r="CS23">
        <f>IF(DATEVALUE(N23)&gt;DATE(参数!$B$2,9,30),0,IF(M23="行政",0,IF(O23="",R23/12,IF(MONTH(DATEVALUE(O23))=参数!$B$3,0,IF(DATEVALUE(O23)&lt;DATE(参数!$B$2,参数!$B$3,1),0,R23/12)))))</f>
        <v>310.83333333333331</v>
      </c>
      <c r="CT23">
        <f t="shared" si="10"/>
        <v>0</v>
      </c>
      <c r="CU23">
        <f>IFERROR(VLOOKUP(DF23,源_6社保表_Sheet1!$C:$I,2,FALSE),0)</f>
        <v>7162</v>
      </c>
      <c r="CV23">
        <f>IFERROR(VLOOKUP(DF23,源_6社保表_Sheet1!$C:$I,7,FALSE),0)</f>
        <v>4651</v>
      </c>
      <c r="CW23">
        <f>IFERROR(VLOOKUP(DF23,源_6社保表_Sheet1!$C:$I,3,FALSE),0)</f>
        <v>7162</v>
      </c>
      <c r="CX23">
        <f>IFERROR(VLOOKUP(DF23,源_6社保表_Sheet1!$C:$I,4,FALSE),0)</f>
        <v>7162</v>
      </c>
      <c r="CY23">
        <f>IFERROR(VLOOKUP(DF23,源_6社保表_Sheet1!$C:$I,5,FALSE),0)</f>
        <v>7162</v>
      </c>
      <c r="CZ23">
        <f>IFERROR(VLOOKUP(DF23,源_6社保表_Sheet1!$C:$I,6,FALSE),0)</f>
        <v>0</v>
      </c>
      <c r="DA23">
        <f t="shared" si="11"/>
        <v>6100.9104689655169</v>
      </c>
      <c r="DB23">
        <f t="shared" si="12"/>
        <v>6510.6089402298849</v>
      </c>
      <c r="DC23" t="str">
        <f>IFERROR(VLOOKUP(K23,源_7银行卡表_Sheet1!$A:$J,8,FALSE),"")</f>
        <v>浦发银行</v>
      </c>
      <c r="DD23" t="str">
        <f>IFERROR(VLOOKUP(K23,源_7银行卡表_Sheet1!$A:$J,9,FALSE),"")</f>
        <v>6684096952833436326</v>
      </c>
      <c r="DE23" t="str">
        <f>IFERROR(VLOOKUP(K23,源_7银行卡表_Sheet1!$A:$J,10,FALSE),"")</f>
        <v>福州东街支行</v>
      </c>
      <c r="DF23" t="s">
        <v>244</v>
      </c>
      <c r="DG23">
        <v>14385334424</v>
      </c>
      <c r="DH23" t="s">
        <v>148</v>
      </c>
      <c r="DI23">
        <v>0</v>
      </c>
      <c r="DJ23">
        <v>0</v>
      </c>
      <c r="DK23">
        <v>0</v>
      </c>
      <c r="DL23">
        <v>0</v>
      </c>
      <c r="DM23">
        <v>0</v>
      </c>
      <c r="DN23">
        <v>0</v>
      </c>
      <c r="DO23">
        <v>0</v>
      </c>
      <c r="DP23">
        <v>0</v>
      </c>
      <c r="DQ23">
        <v>0</v>
      </c>
      <c r="DR23">
        <f>IF(OR(IFERROR(VLOOKUP(K23,源_3考勤报表_考勤表!$F:$BG,39,FALSE),0)+IFERROR(VLOOKUP(K23,源_8补工时表_补当月工时!$A:$AC,24,FALSE),0)=0,IFERROR(VLOOKUP(K23,源_3考勤报表_考勤表!$F:$BG,43,FALSE),0)+IFERROR(VLOOKUP(K23,源_8补工时表_补当月工时!$A:$AC,26,FALSE),0)=0),IF(BI23+BG23-BT23&lt;0,BI23+BG23-BT23,0),0)</f>
        <v>0</v>
      </c>
    </row>
    <row r="24" spans="1:122" x14ac:dyDescent="0.15">
      <c r="A24">
        <f>参数!$B$2</f>
        <v>2025</v>
      </c>
      <c r="B24">
        <f>参数!$B$3</f>
        <v>12</v>
      </c>
      <c r="D24" t="s">
        <v>165</v>
      </c>
      <c r="E24" t="s">
        <v>123</v>
      </c>
      <c r="F24" t="str">
        <f>IFERROR(VLOOKUP(K24,源_7银行卡表_Sheet1!$A:$J,6,FALSE),"")</f>
        <v>华北营运</v>
      </c>
      <c r="G24" t="s">
        <v>166</v>
      </c>
      <c r="H24" t="s">
        <v>245</v>
      </c>
      <c r="I24" t="s">
        <v>168</v>
      </c>
      <c r="J24">
        <v>1</v>
      </c>
      <c r="K24">
        <v>26123023</v>
      </c>
      <c r="L24" t="s">
        <v>246</v>
      </c>
      <c r="M24" t="s">
        <v>140</v>
      </c>
      <c r="N24" t="s">
        <v>247</v>
      </c>
      <c r="P24" t="s">
        <v>131</v>
      </c>
      <c r="Q24">
        <f>IF(P24="门店全职",IFERROR(VLOOKUP(K24,源_3考勤报表_考勤表!$F:$BG,34,FALSE),0)+IFERROR(VLOOKUP(K24,源_8补工时表_补当月工时!$A:$AC,14,FALSE),0),IF(P24="门店管理组",IF(IFERROR(VLOOKUP(K24,源_3考勤报表_考勤表!$F:$BG,34,FALSE),0)+IFERROR(VLOOKUP(K24,源_8补工时表_补当月工时!$A:$AC,14,FALSE),0)+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44,FALSE),0)+IFERROR(VLOOKUP(K24,源_8补工时表_补当月工时!$A:$AC,16,FALSE),0)+IFERROR(VLOOKUP(K24,源_3考勤报表_考勤表!$F:$BG,45,FALSE),0)&gt;=参数!$B$4,参数!$B$4-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44,FALSE),0)-IFERROR(VLOOKUP(K24,源_8补工时表_补当月工时!$A:$AC,16,FALSE),0)-IFERROR(VLOOKUP(K24,源_3考勤报表_考勤表!$F:$BG,45,FALSE),0),IFERROR(VLOOKUP(K24,源_3考勤报表_考勤表!$F:$BG,34,FALSE),0)+IFERROR(VLOOKUP(K24,源_8补工时表_补当月工时!$A:$AC,14,FALSE),0)),0))</f>
        <v>150</v>
      </c>
      <c r="R24">
        <v>5200</v>
      </c>
      <c r="S24">
        <v>0</v>
      </c>
      <c r="T24">
        <f>IF(P24="门店全职",R24/参数!$B$4*(Q24-MAX(IFERROR(VLOOKUP(K24,源_3考勤报表_考勤表!$F:$BG,34,FALSE),0)+IFERROR(VLOOKUP(K24,源_8补工时表_补当月工时!$A:$AC,14,FALSE),0)+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参数!$B$4,0)),R24/参数!$B$4*Q24)</f>
        <v>4239.130434782609</v>
      </c>
      <c r="U24">
        <v>0</v>
      </c>
      <c r="V24">
        <v>0</v>
      </c>
      <c r="W24">
        <f t="shared" si="0"/>
        <v>0</v>
      </c>
      <c r="X24">
        <f>IFERROR(VLOOKUP(K24,源_4奖金汇总表_拆分手工算!$A:$N,8,FALSE),0)</f>
        <v>0</v>
      </c>
      <c r="Y24">
        <f>IFERROR(VLOOKUP(K24,源_5薪资备忘录_工资调整项!$A:$AC,14,FALSE),0)</f>
        <v>0</v>
      </c>
      <c r="Z24">
        <f>IFERROR(VLOOKUP(K24,源_5薪资备忘录_工资调整项!$A:$AC,16,FALSE),0)</f>
        <v>0</v>
      </c>
      <c r="AA24">
        <f>IFERROR(VLOOKUP(K24,源_5薪资备忘录_工资调整项!$A:$AC,15,FALSE),0)</f>
        <v>0</v>
      </c>
      <c r="AB24">
        <f t="shared" si="1"/>
        <v>0</v>
      </c>
      <c r="AC24">
        <f>IF(P24="门店全职",R24/174*MAX(IFERROR(VLOOKUP(K24,源_3考勤报表_考勤表!$F:$BG,34,FALSE),0)+IFERROR(VLOOKUP(K24,源_8补工时表_补当月工时!$A:$AC,14,FALSE),0)+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参数!$B$4,0)*1.5,0)</f>
        <v>0</v>
      </c>
      <c r="AD24">
        <v>0</v>
      </c>
      <c r="AE24">
        <f>IFERROR(VLOOKUP(K24,源_3考勤报表_考勤表!$F:$BG,46,FALSE),0)+IFERROR(VLOOKUP(K24,源_8补工时表_补当月工时!$A:$AC,25,FALSE),0)</f>
        <v>0</v>
      </c>
      <c r="AF24">
        <f t="shared" si="2"/>
        <v>0</v>
      </c>
      <c r="AG24">
        <f>IFERROR(VLOOKUP(K24,源_4奖金汇总表_拆分手工算!$A:$N,10,FALSE),0)</f>
        <v>0</v>
      </c>
      <c r="AH24">
        <f>IFERROR(VLOOKUP(K24,源_4奖金汇总表_拆分手工算!$A:$N,5,FALSE),0)</f>
        <v>0</v>
      </c>
      <c r="AI24">
        <f>IFERROR(VLOOKUP(K24,源_4奖金汇总表_拆分手工算!$A:$N,11,FALSE),0)</f>
        <v>0</v>
      </c>
      <c r="AJ24">
        <f>IFERROR(VLOOKUP(K24,源_4奖金汇总表_拆分手工算!$A:$N,4,FALSE),0)</f>
        <v>0</v>
      </c>
      <c r="AK24">
        <f>IFERROR(VLOOKUP(K24,源_4奖金汇总表_拆分手工算!$A:$N,3,FALSE),0)</f>
        <v>0</v>
      </c>
      <c r="AL24">
        <f>IFERROR(VLOOKUP(K24,源_4奖金汇总表_拆分手工算!$A:$N,6,FALSE),0)</f>
        <v>0</v>
      </c>
      <c r="AM24">
        <f>IFERROR(VLOOKUP(K24,源_5薪资备忘录_工资调整项!$A:$AC,18,FALSE),0)+IFERROR(VLOOKUP(K24,源_4奖金汇总表_拆分手工算!$A:$N,7,FALSE),0)</f>
        <v>800</v>
      </c>
      <c r="AN24">
        <f>IFERROR(VLOOKUP(K24,源_5薪资备忘录_工资调整项!$A:$AC,17,FALSE),0)</f>
        <v>0</v>
      </c>
      <c r="AO24">
        <f>IF(OR(IFERROR(VLOOKUP(K24,源_3考勤报表_考勤表!$F:$BG,39,FALSE),0)+IFERROR(VLOOKUP(K24,源_8补工时表_补当月工时!$A:$AC,24,FALSE),0)&gt;0,IFERROR(VLOOKUP(K24,源_3考勤报表_考勤表!$F:$BG,43,FALSE),0)+IFERROR(VLOOKUP(K24,源_8补工时表_补当月工时!$A:$AC,26,FALSE),0)&gt;0),IF(IFERROR(VLOOKUP(DH24,源_11产假政策_Sheet1!$C:$F,4,FALSE),"")="是",R24/参数!$B$4*(IFERROR(VLOOKUP(K24,源_3考勤报表_考勤表!$F:$BG,39,FALSE),0)+IFERROR(VLOOKUP(K24,源_8补工时表_补当月工时!$A:$AC,24,FALSE),0)+IFERROR(VLOOKUP(K24,源_3考勤报表_考勤表!$F:$BG,43,FALSE),0)+IFERROR(VLOOKUP(K24,源_8补工时表_补当月工时!$A:$AC,26,FALSE),0)),IFERROR(VLOOKUP(K24,源_5薪资备忘录_工资调整项!$A:$AC,19,FALSE),0)),0)</f>
        <v>0</v>
      </c>
      <c r="AP24">
        <v>0</v>
      </c>
      <c r="AQ24">
        <f>IFERROR(VLOOKUP(K24,源_4奖金汇总表_拆分手工算!$A:$N,12,FALSE),0)+IFERROR(VLOOKUP(K24,源_9年终奖表_Sheet1!$A:$E,3,FALSE),0)</f>
        <v>1200</v>
      </c>
      <c r="AR24">
        <f>IFERROR(VLOOKUP(K24,源_4奖金汇总表_拆分手工算!$A:$N,13,FALSE),0)+IFERROR(VLOOKUP(K24,源_9年终奖表_Sheet1!$A:$E,4,FALSE),0)</f>
        <v>600</v>
      </c>
      <c r="AS24">
        <f>IFERROR(VLOOKUP(K24,源_4奖金汇总表_拆分手工算!$A:$N,14,FALSE),0)+IFERROR(VLOOKUP(K24,源_9年终奖表_Sheet1!$A:$E,5,FALSE),0)</f>
        <v>111</v>
      </c>
      <c r="AT24">
        <f>IFERROR(VLOOKUP(K24,源_5薪资备忘录_工资调整项!$A:$AC,20,FALSE),0)</f>
        <v>0</v>
      </c>
      <c r="AU24">
        <f>IFERROR(VLOOKUP(K24,源_5薪资备忘录_工资调整项!$A:$AC,21,FALSE),0)+IFERROR(VLOOKUP(K24,源_4奖金汇总表_拆分手工算!$A:$N,9,FALSE),0)</f>
        <v>0</v>
      </c>
      <c r="AV24">
        <f>R24/参数!$B$4*(IFERROR(VLOOKUP(K24,源_3考勤报表_考勤表!$F:$BG,37,FALSE),0)+IFERROR(VLOOKUP(K24,源_8补工时表_补当月工时!$A:$AC,15,FALSE),0))</f>
        <v>226.08695652173913</v>
      </c>
      <c r="AW24">
        <f>R24/174*MIN(IFERROR(VLOOKUP(K24,源_3考勤报表_考勤表!$F:$BG,35,FALSE),0),174)*IF(DATEDIF(N24,DATE(参数!$B$2,参数!$B$3+1,0),"Y")&lt;2,0.6,IF(DATEDIF(N24,DATE(参数!$B$2,参数!$B$3+1,0),"Y")&lt;4,0.7,IF(DATEDIF(N24,DATE(参数!$B$2,参数!$B$3+1,0),"Y")&lt;6,0.8,IF(DATEDIF(N24,DATE(参数!$B$2,参数!$B$3+1,0),"Y")&lt;8,0.9,1))))</f>
        <v>543.90804597701151</v>
      </c>
      <c r="AX24">
        <f>IF(Q24+IFERROR(VLOOKUP(K24,源_3考勤报表_考勤表!$F:$BG,37,FALSE),0)+IFERROR(VLOOKUP(K24,源_8补工时表_补当月工时!$A:$AC,15,FALSE),0)&gt;=参数!$B$4,0,IF(Q24+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lt;=参数!$B$4,R24/参数!$B$4*(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0))</f>
        <v>0</v>
      </c>
      <c r="AY24">
        <v>0</v>
      </c>
      <c r="AZ24">
        <v>0</v>
      </c>
      <c r="BA24">
        <v>0</v>
      </c>
      <c r="BB24">
        <v>0</v>
      </c>
      <c r="BC24">
        <f>IFERROR(VLOOKUP(K24,源_5薪资备忘录_工资调整项!$A:$AC,25,FALSE),0)</f>
        <v>700</v>
      </c>
      <c r="BD24">
        <v>0</v>
      </c>
      <c r="BE24">
        <v>0</v>
      </c>
      <c r="BF24">
        <v>0</v>
      </c>
      <c r="BG24">
        <f>IFERROR(VLOOKUP(K24,源_5薪资备忘录_工资调整项!$A:$AC,22,FALSE),0)+IFERROR(VLOOKUP(K24,源_5薪资备忘录_工资调整项!$A:$AC,23,FALSE),0)+IFERROR(VLOOKUP(K24,源_5薪资备忘录_工资调整项!$A:$AC,24,FALSE),0)</f>
        <v>0</v>
      </c>
      <c r="BH24">
        <f>IFERROR(VLOOKUP(DF24,源_6社保表_Sheet1!$C:$CD,80,FALSE),0)+4.5</f>
        <v>6.5</v>
      </c>
      <c r="BI24">
        <f t="shared" si="3"/>
        <v>8420.1254372813601</v>
      </c>
      <c r="BJ24">
        <f>IFERROR(VLOOKUP(DF24,源_6社保表_Sheet1!$C:$BZ,26,FALSE),0)</f>
        <v>460.11</v>
      </c>
      <c r="BK24">
        <f>IFERROR(VLOOKUP(DF24,源_6社保表_Sheet1!$C:$BZ,27,FALSE),0)</f>
        <v>65.73</v>
      </c>
      <c r="BL24">
        <f>IFERROR(VLOOKUP(DF24,源_6社保表_Sheet1!$C:$BZ,28,FALSE),0)</f>
        <v>32.865000000000002</v>
      </c>
      <c r="BM24">
        <f>IFERROR(VLOOKUP(DF24,源_6社保表_Sheet1!$C:$BZ,30,FALSE),0)</f>
        <v>394.38</v>
      </c>
      <c r="BN24">
        <f>IFERROR(VLOOKUP(DF24,源_6社保表_Sheet1!$C:$BZ,29,FALSE),0)</f>
        <v>0</v>
      </c>
      <c r="BO24">
        <f>IFERROR(VLOOKUP(DF24,源_6社保表_Sheet1!$C:$BZ,40,FALSE),0)</f>
        <v>0</v>
      </c>
      <c r="BP24">
        <f>IFERROR(VLOOKUP(DF24,源_6社保表_Sheet1!$C:$BZ,41,FALSE),0)</f>
        <v>0</v>
      </c>
      <c r="BQ24">
        <f>IFERROR(VLOOKUP(DF24,源_6社保表_Sheet1!$C:$BZ,42,FALSE),0)</f>
        <v>0</v>
      </c>
      <c r="BR24">
        <f>IFERROR(VLOOKUP(DF24,源_6社保表_Sheet1!$C:$BZ,44,FALSE),0)</f>
        <v>0</v>
      </c>
      <c r="BS24">
        <f>IFERROR(VLOOKUP(DF24,源_6社保表_Sheet1!$C:$BZ,43,FALSE),0)</f>
        <v>0</v>
      </c>
      <c r="BT24">
        <f t="shared" si="4"/>
        <v>953.08500000000004</v>
      </c>
      <c r="BU24">
        <v>0</v>
      </c>
      <c r="BV24">
        <v>0</v>
      </c>
      <c r="BW24">
        <v>0</v>
      </c>
      <c r="BX24">
        <f t="shared" si="5"/>
        <v>0</v>
      </c>
      <c r="BY24">
        <v>0</v>
      </c>
      <c r="BZ24">
        <f>IFERROR(VLOOKUP(DF24,源_6社保表_Sheet1!$C:$BZ,18,FALSE),0)</f>
        <v>985.95</v>
      </c>
      <c r="CA24">
        <f>IFERROR(VLOOKUP(DF24,源_6社保表_Sheet1!$C:$BZ,19,FALSE),0)</f>
        <v>525.84</v>
      </c>
      <c r="CB24">
        <f>IFERROR(VLOOKUP(DF24,源_6社保表_Sheet1!$C:$BZ,24,FALSE),0)</f>
        <v>394.38</v>
      </c>
      <c r="CC24">
        <f>IFERROR(VLOOKUP(DF24,源_6社保表_Sheet1!$C:$BZ,20,FALSE),0)</f>
        <v>32.865000000000002</v>
      </c>
      <c r="CD24">
        <f>IFERROR(VLOOKUP(DF24,源_6社保表_Sheet1!$C:$BZ,21,FALSE),0)</f>
        <v>21.0336</v>
      </c>
      <c r="CE24">
        <f>IFERROR(VLOOKUP(DF24,源_6社保表_Sheet1!$C:$BZ,22,FALSE),0)</f>
        <v>0</v>
      </c>
      <c r="CF24">
        <f>IFERROR(VLOOKUP(DF24,源_6社保表_Sheet1!$C:$BZ,23,FALSE),0)</f>
        <v>0</v>
      </c>
      <c r="CG24">
        <f>IFERROR(VLOOKUP(DF24,源_6社保表_Sheet1!$C:$BZ,32,FALSE),0)</f>
        <v>0</v>
      </c>
      <c r="CH24">
        <f>IFERROR(VLOOKUP(DF24,源_6社保表_Sheet1!$C:$BZ,33,FALSE),0)</f>
        <v>0</v>
      </c>
      <c r="CI24">
        <f>IFERROR(VLOOKUP(DF24,源_6社保表_Sheet1!$C:$BZ,34,FALSE),0)</f>
        <v>0</v>
      </c>
      <c r="CJ24">
        <f>IFERROR(VLOOKUP(DF24,源_6社保表_Sheet1!$C:$BZ,38,FALSE),0)</f>
        <v>0</v>
      </c>
      <c r="CK24">
        <f>IFERROR(VLOOKUP(DF24,源_6社保表_Sheet1!$C:$BZ,35,FALSE),0)</f>
        <v>0</v>
      </c>
      <c r="CL24">
        <f>IFERROR(VLOOKUP(DF24,源_6社保表_Sheet1!$C:$BZ,36,FALSE),0)</f>
        <v>0</v>
      </c>
      <c r="CM24">
        <f>IFERROR(VLOOKUP(DF24,源_6社保表_Sheet1!$C:$BZ,37,FALSE),0)</f>
        <v>0</v>
      </c>
      <c r="CN24">
        <f t="shared" si="6"/>
        <v>1960.0686000000001</v>
      </c>
      <c r="CO24">
        <f t="shared" si="7"/>
        <v>10386.694037281361</v>
      </c>
      <c r="CP24">
        <f>IF(IFERROR(VLOOKUP(K24,源_13残疾人信息_残疾人信息!$A:$M,1,FALSE),"")&lt;&gt;"",0,IF(OR(P24="门店全职",P24="门店管理组",P24="全职(非门店)"),(BI24-AT24)*IFERROR(VLOOKUP(D24,源_12计提残保金规则_Sheet1!$A:$E,4,FALSE),0)*IFERROR(VLOOKUP(D24,源_12计提残保金规则_Sheet1!$A:$E,5,FALSE),0),0))</f>
        <v>113.67169340329835</v>
      </c>
      <c r="CQ24">
        <f t="shared" si="8"/>
        <v>16.05</v>
      </c>
      <c r="CR24">
        <f t="shared" si="9"/>
        <v>20.67</v>
      </c>
      <c r="CS24">
        <f>IF(DATEVALUE(N24)&gt;DATE(参数!$B$2,9,30),0,IF(M24="行政",0,IF(O24="",R24/12,IF(MONTH(DATEVALUE(O24))=参数!$B$3,0,IF(DATEVALUE(O24)&lt;DATE(参数!$B$2,参数!$B$3,1),0,R24/12)))))</f>
        <v>433.33333333333331</v>
      </c>
      <c r="CT24">
        <f t="shared" si="10"/>
        <v>530.4</v>
      </c>
      <c r="CU24">
        <f>IFERROR(VLOOKUP(DF24,源_6社保表_Sheet1!$C:$I,2,FALSE),0)</f>
        <v>6573</v>
      </c>
      <c r="CV24">
        <f>IFERROR(VLOOKUP(DF24,源_6社保表_Sheet1!$C:$I,7,FALSE),0)</f>
        <v>6573</v>
      </c>
      <c r="CW24">
        <f>IFERROR(VLOOKUP(DF24,源_6社保表_Sheet1!$C:$I,3,FALSE),0)</f>
        <v>6573</v>
      </c>
      <c r="CX24">
        <f>IFERROR(VLOOKUP(DF24,源_6社保表_Sheet1!$C:$I,4,FALSE),0)</f>
        <v>6573</v>
      </c>
      <c r="CY24">
        <f>IFERROR(VLOOKUP(DF24,源_6社保表_Sheet1!$C:$I,5,FALSE),0)</f>
        <v>6573</v>
      </c>
      <c r="CZ24">
        <f>IFERROR(VLOOKUP(DF24,源_6社保表_Sheet1!$C:$I,6,FALSE),0)</f>
        <v>0</v>
      </c>
      <c r="DA24">
        <f t="shared" si="11"/>
        <v>7669.1940372813606</v>
      </c>
      <c r="DB24">
        <f t="shared" si="12"/>
        <v>8789.8190640179928</v>
      </c>
      <c r="DC24" t="str">
        <f>IFERROR(VLOOKUP(K24,源_7银行卡表_Sheet1!$A:$J,8,FALSE),"")</f>
        <v>浦发银行</v>
      </c>
      <c r="DD24" t="str">
        <f>IFERROR(VLOOKUP(K24,源_7银行卡表_Sheet1!$A:$J,9,FALSE),"")</f>
        <v>6684053538566506752</v>
      </c>
      <c r="DE24" t="str">
        <f>IFERROR(VLOOKUP(K24,源_7银行卡表_Sheet1!$A:$J,10,FALSE),"")</f>
        <v>临沂莒南支行</v>
      </c>
      <c r="DF24" t="s">
        <v>248</v>
      </c>
      <c r="DG24">
        <v>16781132240</v>
      </c>
      <c r="DH24" t="s">
        <v>166</v>
      </c>
      <c r="DI24">
        <v>0</v>
      </c>
      <c r="DJ24">
        <v>0</v>
      </c>
      <c r="DK24">
        <v>0</v>
      </c>
      <c r="DL24">
        <v>0</v>
      </c>
      <c r="DM24">
        <v>0</v>
      </c>
      <c r="DN24">
        <v>0</v>
      </c>
      <c r="DO24">
        <v>0</v>
      </c>
      <c r="DP24">
        <v>0</v>
      </c>
      <c r="DQ24">
        <v>0</v>
      </c>
      <c r="DR24">
        <f>IF(OR(IFERROR(VLOOKUP(K24,源_3考勤报表_考勤表!$F:$BG,39,FALSE),0)+IFERROR(VLOOKUP(K24,源_8补工时表_补当月工时!$A:$AC,24,FALSE),0)=0,IFERROR(VLOOKUP(K24,源_3考勤报表_考勤表!$F:$BG,43,FALSE),0)+IFERROR(VLOOKUP(K24,源_8补工时表_补当月工时!$A:$AC,26,FALSE),0)=0),IF(BI24+BG24-BT24&lt;0,BI24+BG24-BT24,0),0)</f>
        <v>0</v>
      </c>
    </row>
    <row r="25" spans="1:122" x14ac:dyDescent="0.15">
      <c r="A25">
        <f>参数!$B$2</f>
        <v>2025</v>
      </c>
      <c r="B25">
        <f>参数!$B$3</f>
        <v>12</v>
      </c>
      <c r="D25" t="s">
        <v>147</v>
      </c>
      <c r="E25" t="s">
        <v>123</v>
      </c>
      <c r="F25" t="str">
        <f>IFERROR(VLOOKUP(K25,源_7银行卡表_Sheet1!$A:$J,6,FALSE),"")</f>
        <v>华北营运</v>
      </c>
      <c r="G25" t="s">
        <v>148</v>
      </c>
      <c r="H25" t="s">
        <v>249</v>
      </c>
      <c r="I25" t="s">
        <v>150</v>
      </c>
      <c r="J25">
        <v>1</v>
      </c>
      <c r="K25">
        <v>26123024</v>
      </c>
      <c r="L25" t="s">
        <v>250</v>
      </c>
      <c r="M25" t="s">
        <v>152</v>
      </c>
      <c r="N25" t="s">
        <v>251</v>
      </c>
      <c r="P25" t="s">
        <v>154</v>
      </c>
      <c r="Q25">
        <f>IF(P25="门店全职",IFERROR(VLOOKUP(K25,源_3考勤报表_考勤表!$F:$BG,34,FALSE),0)+IFERROR(VLOOKUP(K25,源_8补工时表_补当月工时!$A:$AC,14,FALSE),0),IF(P25="门店管理组",IF(IFERROR(VLOOKUP(K25,源_3考勤报表_考勤表!$F:$BG,34,FALSE),0)+IFERROR(VLOOKUP(K25,源_8补工时表_补当月工时!$A:$AC,14,FALSE),0)+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44,FALSE),0)+IFERROR(VLOOKUP(K25,源_8补工时表_补当月工时!$A:$AC,16,FALSE),0)+IFERROR(VLOOKUP(K25,源_3考勤报表_考勤表!$F:$BG,45,FALSE),0)&gt;=参数!$B$4,参数!$B$4-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44,FALSE),0)-IFERROR(VLOOKUP(K25,源_8补工时表_补当月工时!$A:$AC,16,FALSE),0)-IFERROR(VLOOKUP(K25,源_3考勤报表_考勤表!$F:$BG,45,FALSE),0),IFERROR(VLOOKUP(K25,源_3考勤报表_考勤表!$F:$BG,34,FALSE),0)+IFERROR(VLOOKUP(K25,源_8补工时表_补当月工时!$A:$AC,14,FALSE),0)),0))</f>
        <v>129.5</v>
      </c>
      <c r="R25">
        <v>3730</v>
      </c>
      <c r="S25">
        <v>0</v>
      </c>
      <c r="T25">
        <f>IF(P25="门店全职",R25/参数!$B$4*(Q25-MAX(IFERROR(VLOOKUP(K25,源_3考勤报表_考勤表!$F:$BG,34,FALSE),0)+IFERROR(VLOOKUP(K25,源_8补工时表_补当月工时!$A:$AC,14,FALSE),0)+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参数!$B$4,0)),R25/参数!$B$4*Q25)</f>
        <v>2625.190217391304</v>
      </c>
      <c r="U25">
        <v>0</v>
      </c>
      <c r="V25">
        <v>0</v>
      </c>
      <c r="W25">
        <f t="shared" si="0"/>
        <v>0</v>
      </c>
      <c r="X25">
        <f>IFERROR(VLOOKUP(K25,源_4奖金汇总表_拆分手工算!$A:$N,8,FALSE),0)</f>
        <v>0</v>
      </c>
      <c r="Y25">
        <f>IFERROR(VLOOKUP(K25,源_5薪资备忘录_工资调整项!$A:$AC,14,FALSE),0)</f>
        <v>0</v>
      </c>
      <c r="Z25">
        <f>IFERROR(VLOOKUP(K25,源_5薪资备忘录_工资调整项!$A:$AC,16,FALSE),0)</f>
        <v>0</v>
      </c>
      <c r="AA25">
        <f>IFERROR(VLOOKUP(K25,源_5薪资备忘录_工资调整项!$A:$AC,15,FALSE),0)</f>
        <v>0</v>
      </c>
      <c r="AB25">
        <f t="shared" si="1"/>
        <v>128.62068965517241</v>
      </c>
      <c r="AC25">
        <f>IF(P25="门店全职",R25/174*MAX(IFERROR(VLOOKUP(K25,源_3考勤报表_考勤表!$F:$BG,34,FALSE),0)+IFERROR(VLOOKUP(K25,源_8补工时表_补当月工时!$A:$AC,14,FALSE),0)+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参数!$B$4,0)*1.5,0)</f>
        <v>0</v>
      </c>
      <c r="AD25">
        <v>0</v>
      </c>
      <c r="AE25">
        <f>IFERROR(VLOOKUP(K25,源_3考勤报表_考勤表!$F:$BG,46,FALSE),0)+IFERROR(VLOOKUP(K25,源_8补工时表_补当月工时!$A:$AC,25,FALSE),0)</f>
        <v>2</v>
      </c>
      <c r="AF25">
        <f t="shared" si="2"/>
        <v>128.62068965517241</v>
      </c>
      <c r="AG25">
        <f>IFERROR(VLOOKUP(K25,源_4奖金汇总表_拆分手工算!$A:$N,10,FALSE),0)</f>
        <v>909</v>
      </c>
      <c r="AH25">
        <f>IFERROR(VLOOKUP(K25,源_4奖金汇总表_拆分手工算!$A:$N,5,FALSE),0)</f>
        <v>0</v>
      </c>
      <c r="AI25">
        <f>IFERROR(VLOOKUP(K25,源_4奖金汇总表_拆分手工算!$A:$N,11,FALSE),0)</f>
        <v>0</v>
      </c>
      <c r="AJ25">
        <f>IFERROR(VLOOKUP(K25,源_4奖金汇总表_拆分手工算!$A:$N,4,FALSE),0)</f>
        <v>0</v>
      </c>
      <c r="AK25">
        <f>IFERROR(VLOOKUP(K25,源_4奖金汇总表_拆分手工算!$A:$N,3,FALSE),0)</f>
        <v>0</v>
      </c>
      <c r="AL25">
        <f>IFERROR(VLOOKUP(K25,源_4奖金汇总表_拆分手工算!$A:$N,6,FALSE),0)</f>
        <v>0</v>
      </c>
      <c r="AM25">
        <f>IFERROR(VLOOKUP(K25,源_5薪资备忘录_工资调整项!$A:$AC,18,FALSE),0)+IFERROR(VLOOKUP(K25,源_4奖金汇总表_拆分手工算!$A:$N,7,FALSE),0)</f>
        <v>0</v>
      </c>
      <c r="AN25">
        <f>IFERROR(VLOOKUP(K25,源_5薪资备忘录_工资调整项!$A:$AC,17,FALSE),0)</f>
        <v>0</v>
      </c>
      <c r="AO25">
        <f>IF(OR(IFERROR(VLOOKUP(K25,源_3考勤报表_考勤表!$F:$BG,39,FALSE),0)+IFERROR(VLOOKUP(K25,源_8补工时表_补当月工时!$A:$AC,24,FALSE),0)&gt;0,IFERROR(VLOOKUP(K25,源_3考勤报表_考勤表!$F:$BG,43,FALSE),0)+IFERROR(VLOOKUP(K25,源_8补工时表_补当月工时!$A:$AC,26,FALSE),0)&gt;0),IF(IFERROR(VLOOKUP(DH25,源_11产假政策_Sheet1!$C:$F,4,FALSE),"")="是",R25/参数!$B$4*(IFERROR(VLOOKUP(K25,源_3考勤报表_考勤表!$F:$BG,39,FALSE),0)+IFERROR(VLOOKUP(K25,源_8补工时表_补当月工时!$A:$AC,24,FALSE),0)+IFERROR(VLOOKUP(K25,源_3考勤报表_考勤表!$F:$BG,43,FALSE),0)+IFERROR(VLOOKUP(K25,源_8补工时表_补当月工时!$A:$AC,26,FALSE),0)),IFERROR(VLOOKUP(K25,源_5薪资备忘录_工资调整项!$A:$AC,19,FALSE),0)),0)</f>
        <v>0</v>
      </c>
      <c r="AP25">
        <v>0</v>
      </c>
      <c r="AQ25">
        <f>IFERROR(VLOOKUP(K25,源_4奖金汇总表_拆分手工算!$A:$N,12,FALSE),0)+IFERROR(VLOOKUP(K25,源_9年终奖表_Sheet1!$A:$E,3,FALSE),0)</f>
        <v>1200</v>
      </c>
      <c r="AR25">
        <f>IFERROR(VLOOKUP(K25,源_4奖金汇总表_拆分手工算!$A:$N,13,FALSE),0)+IFERROR(VLOOKUP(K25,源_9年终奖表_Sheet1!$A:$E,4,FALSE),0)</f>
        <v>600</v>
      </c>
      <c r="AS25">
        <f>IFERROR(VLOOKUP(K25,源_4奖金汇总表_拆分手工算!$A:$N,14,FALSE),0)+IFERROR(VLOOKUP(K25,源_9年终奖表_Sheet1!$A:$E,5,FALSE),0)</f>
        <v>111</v>
      </c>
      <c r="AT25">
        <f>IFERROR(VLOOKUP(K25,源_5薪资备忘录_工资调整项!$A:$AC,20,FALSE),0)</f>
        <v>0</v>
      </c>
      <c r="AU25">
        <f>IFERROR(VLOOKUP(K25,源_5薪资备忘录_工资调整项!$A:$AC,21,FALSE),0)+IFERROR(VLOOKUP(K25,源_4奖金汇总表_拆分手工算!$A:$N,9,FALSE),0)</f>
        <v>0</v>
      </c>
      <c r="AV25">
        <f>R25/参数!$B$4*(IFERROR(VLOOKUP(K25,源_3考勤报表_考勤表!$F:$BG,37,FALSE),0)+IFERROR(VLOOKUP(K25,源_8补工时表_补当月工时!$A:$AC,15,FALSE),0))</f>
        <v>810.86956521739125</v>
      </c>
      <c r="AW25">
        <f>R25/174*MIN(IFERROR(VLOOKUP(K25,源_3考勤报表_考勤表!$F:$BG,35,FALSE),0),174)*IF(DATEDIF(N25,DATE(参数!$B$2,参数!$B$3+1,0),"Y")&lt;2,0.6,IF(DATEDIF(N25,DATE(参数!$B$2,参数!$B$3+1,0),"Y")&lt;4,0.7,IF(DATEDIF(N25,DATE(参数!$B$2,参数!$B$3+1,0),"Y")&lt;6,0.8,IF(DATEDIF(N25,DATE(参数!$B$2,参数!$B$3+1,0),"Y")&lt;8,0.9,1))))</f>
        <v>217.58333333333334</v>
      </c>
      <c r="AX25">
        <f>IF(Q25+IFERROR(VLOOKUP(K25,源_3考勤报表_考勤表!$F:$BG,37,FALSE),0)+IFERROR(VLOOKUP(K25,源_8补工时表_补当月工时!$A:$AC,15,FALSE),0)&gt;=参数!$B$4,0,IF(Q25+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lt;=参数!$B$4,R25/参数!$B$4*(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0))</f>
        <v>40.543478260869563</v>
      </c>
      <c r="AY25">
        <v>0</v>
      </c>
      <c r="AZ25">
        <v>0</v>
      </c>
      <c r="BA25">
        <v>0</v>
      </c>
      <c r="BB25">
        <v>0</v>
      </c>
      <c r="BC25">
        <f>IFERROR(VLOOKUP(K25,源_5薪资备忘录_工资调整项!$A:$AC,25,FALSE),0)</f>
        <v>0</v>
      </c>
      <c r="BD25">
        <v>0</v>
      </c>
      <c r="BE25">
        <f>(T25+W25+AB25+AG25+AH25+AI25+AJ25+AK25+AL25+AM25+AN25+AO25+AP25+AU25+AV25+AW25+AX25+BC25-IFERROR(VLOOKUP(DF25,源_6社保表_Sheet1!$C:$BZ,76,FALSE),0))*0.02</f>
        <v>77.012745677161419</v>
      </c>
      <c r="BF25">
        <v>0</v>
      </c>
      <c r="BG25">
        <f>IFERROR(VLOOKUP(K25,源_5薪资备忘录_工资调整项!$A:$AC,22,FALSE),0)+IFERROR(VLOOKUP(K25,源_5薪资备忘录_工资调整项!$A:$AC,23,FALSE),0)+IFERROR(VLOOKUP(K25,源_5薪资备忘录_工资调整项!$A:$AC,24,FALSE),0)</f>
        <v>0</v>
      </c>
      <c r="BH25">
        <f>IFERROR(VLOOKUP(DF25,源_6社保表_Sheet1!$C:$CD,80,FALSE),0)+4.5</f>
        <v>6.5</v>
      </c>
      <c r="BI25">
        <f t="shared" si="3"/>
        <v>6642.8072838580702</v>
      </c>
      <c r="BJ25">
        <f>IFERROR(VLOOKUP(DF25,源_6社保表_Sheet1!$C:$BZ,26,FALSE),0)</f>
        <v>501.34</v>
      </c>
      <c r="BK25">
        <f>IFERROR(VLOOKUP(DF25,源_6社保表_Sheet1!$C:$BZ,27,FALSE),0)</f>
        <v>71.62</v>
      </c>
      <c r="BL25">
        <f>IFERROR(VLOOKUP(DF25,源_6社保表_Sheet1!$C:$BZ,28,FALSE),0)</f>
        <v>35.81</v>
      </c>
      <c r="BM25">
        <f>IFERROR(VLOOKUP(DF25,源_6社保表_Sheet1!$C:$BZ,30,FALSE),0)</f>
        <v>272.39999999999998</v>
      </c>
      <c r="BN25">
        <f>IFERROR(VLOOKUP(DF25,源_6社保表_Sheet1!$C:$BZ,29,FALSE),0)</f>
        <v>0</v>
      </c>
      <c r="BO25">
        <f>IFERROR(VLOOKUP(DF25,源_6社保表_Sheet1!$C:$BZ,40,FALSE),0)</f>
        <v>0</v>
      </c>
      <c r="BP25">
        <f>IFERROR(VLOOKUP(DF25,源_6社保表_Sheet1!$C:$BZ,41,FALSE),0)</f>
        <v>0</v>
      </c>
      <c r="BQ25">
        <f>IFERROR(VLOOKUP(DF25,源_6社保表_Sheet1!$C:$BZ,42,FALSE),0)</f>
        <v>0</v>
      </c>
      <c r="BR25">
        <f>IFERROR(VLOOKUP(DF25,源_6社保表_Sheet1!$C:$BZ,44,FALSE),0)</f>
        <v>0</v>
      </c>
      <c r="BS25">
        <f>IFERROR(VLOOKUP(DF25,源_6社保表_Sheet1!$C:$BZ,43,FALSE),0)</f>
        <v>0</v>
      </c>
      <c r="BT25">
        <f t="shared" si="4"/>
        <v>881.17</v>
      </c>
      <c r="BU25">
        <v>0</v>
      </c>
      <c r="BV25">
        <v>0</v>
      </c>
      <c r="BW25">
        <v>0</v>
      </c>
      <c r="BX25">
        <f t="shared" si="5"/>
        <v>0</v>
      </c>
      <c r="BY25">
        <v>0</v>
      </c>
      <c r="BZ25">
        <f>IFERROR(VLOOKUP(DF25,源_6社保表_Sheet1!$C:$BZ,18,FALSE),0)</f>
        <v>1074.3</v>
      </c>
      <c r="CA25">
        <f>IFERROR(VLOOKUP(DF25,源_6社保表_Sheet1!$C:$BZ,19,FALSE),0)</f>
        <v>572.96</v>
      </c>
      <c r="CB25">
        <f>IFERROR(VLOOKUP(DF25,源_6社保表_Sheet1!$C:$BZ,24,FALSE),0)</f>
        <v>272.39999999999998</v>
      </c>
      <c r="CC25">
        <f>IFERROR(VLOOKUP(DF25,源_6社保表_Sheet1!$C:$BZ,20,FALSE),0)</f>
        <v>35.81</v>
      </c>
      <c r="CD25">
        <f>IFERROR(VLOOKUP(DF25,源_6社保表_Sheet1!$C:$BZ,21,FALSE),0)</f>
        <v>22.918399999999998</v>
      </c>
      <c r="CE25">
        <f>IFERROR(VLOOKUP(DF25,源_6社保表_Sheet1!$C:$BZ,22,FALSE),0)</f>
        <v>0</v>
      </c>
      <c r="CF25">
        <f>IFERROR(VLOOKUP(DF25,源_6社保表_Sheet1!$C:$BZ,23,FALSE),0)</f>
        <v>0</v>
      </c>
      <c r="CG25">
        <f>IFERROR(VLOOKUP(DF25,源_6社保表_Sheet1!$C:$BZ,32,FALSE),0)</f>
        <v>0</v>
      </c>
      <c r="CH25">
        <f>IFERROR(VLOOKUP(DF25,源_6社保表_Sheet1!$C:$BZ,33,FALSE),0)</f>
        <v>0</v>
      </c>
      <c r="CI25">
        <f>IFERROR(VLOOKUP(DF25,源_6社保表_Sheet1!$C:$BZ,34,FALSE),0)</f>
        <v>0</v>
      </c>
      <c r="CJ25">
        <f>IFERROR(VLOOKUP(DF25,源_6社保表_Sheet1!$C:$BZ,38,FALSE),0)</f>
        <v>0</v>
      </c>
      <c r="CK25">
        <f>IFERROR(VLOOKUP(DF25,源_6社保表_Sheet1!$C:$BZ,35,FALSE),0)</f>
        <v>0</v>
      </c>
      <c r="CL25">
        <f>IFERROR(VLOOKUP(DF25,源_6社保表_Sheet1!$C:$BZ,36,FALSE),0)</f>
        <v>0</v>
      </c>
      <c r="CM25">
        <f>IFERROR(VLOOKUP(DF25,源_6社保表_Sheet1!$C:$BZ,37,FALSE),0)</f>
        <v>0</v>
      </c>
      <c r="CN25">
        <f t="shared" si="6"/>
        <v>1978.3883999999998</v>
      </c>
      <c r="CO25">
        <f t="shared" si="7"/>
        <v>8704.7084295352306</v>
      </c>
      <c r="CP25">
        <f>IF(IFERROR(VLOOKUP(K25,源_13残疾人信息_残疾人信息!$A:$M,1,FALSE),"")&lt;&gt;"",0,IF(OR(P25="门店全职",P25="门店管理组",P25="全职(非门店)"),(BI25-AT25)*IFERROR(VLOOKUP(D25,源_12计提残保金规则_Sheet1!$A:$E,4,FALSE),0)*IFERROR(VLOOKUP(D25,源_12计提残保金规则_Sheet1!$A:$E,5,FALSE),0),0))</f>
        <v>89.677898332083956</v>
      </c>
      <c r="CQ25">
        <f t="shared" si="8"/>
        <v>16.05</v>
      </c>
      <c r="CR25">
        <f t="shared" si="9"/>
        <v>20.67</v>
      </c>
      <c r="CS25">
        <f>IF(DATEVALUE(N25)&gt;DATE(参数!$B$2,9,30),0,IF(M25="行政",0,IF(O25="",R25/12,IF(MONTH(DATEVALUE(O25))=参数!$B$3,0,IF(DATEVALUE(O25)&lt;DATE(参数!$B$2,参数!$B$3,1),0,R25/12)))))</f>
        <v>310.83333333333331</v>
      </c>
      <c r="CT25">
        <f t="shared" si="10"/>
        <v>0</v>
      </c>
      <c r="CU25">
        <f>IFERROR(VLOOKUP(DF25,源_6社保表_Sheet1!$C:$I,2,FALSE),0)</f>
        <v>7162</v>
      </c>
      <c r="CV25">
        <f>IFERROR(VLOOKUP(DF25,源_6社保表_Sheet1!$C:$I,7,FALSE),0)</f>
        <v>4540</v>
      </c>
      <c r="CW25">
        <f>IFERROR(VLOOKUP(DF25,源_6社保表_Sheet1!$C:$I,3,FALSE),0)</f>
        <v>7162</v>
      </c>
      <c r="CX25">
        <f>IFERROR(VLOOKUP(DF25,源_6社保表_Sheet1!$C:$I,4,FALSE),0)</f>
        <v>7162</v>
      </c>
      <c r="CY25">
        <f>IFERROR(VLOOKUP(DF25,源_6社保表_Sheet1!$C:$I,5,FALSE),0)</f>
        <v>7162</v>
      </c>
      <c r="CZ25">
        <f>IFERROR(VLOOKUP(DF25,源_6社保表_Sheet1!$C:$I,6,FALSE),0)</f>
        <v>0</v>
      </c>
      <c r="DA25">
        <f t="shared" si="11"/>
        <v>5801.19568385807</v>
      </c>
      <c r="DB25">
        <f t="shared" si="12"/>
        <v>6244.926915523487</v>
      </c>
      <c r="DC25" t="str">
        <f>IFERROR(VLOOKUP(K25,源_7银行卡表_Sheet1!$A:$J,8,FALSE),"")</f>
        <v>浦发银行</v>
      </c>
      <c r="DD25" t="str">
        <f>IFERROR(VLOOKUP(K25,源_7银行卡表_Sheet1!$A:$J,9,FALSE),"")</f>
        <v>6682497878556754200</v>
      </c>
      <c r="DE25" t="str">
        <f>IFERROR(VLOOKUP(K25,源_7银行卡表_Sheet1!$A:$J,10,FALSE),"")</f>
        <v>郑州月湖南路支行</v>
      </c>
      <c r="DF25" t="s">
        <v>252</v>
      </c>
      <c r="DG25">
        <v>13707236615</v>
      </c>
      <c r="DH25" t="s">
        <v>148</v>
      </c>
      <c r="DI25">
        <v>0</v>
      </c>
      <c r="DJ25">
        <v>0</v>
      </c>
      <c r="DK25">
        <v>0</v>
      </c>
      <c r="DL25">
        <v>0</v>
      </c>
      <c r="DM25">
        <v>0</v>
      </c>
      <c r="DN25">
        <v>0</v>
      </c>
      <c r="DO25">
        <v>0</v>
      </c>
      <c r="DP25">
        <v>0</v>
      </c>
      <c r="DQ25">
        <v>0</v>
      </c>
      <c r="DR25">
        <f>IF(OR(IFERROR(VLOOKUP(K25,源_3考勤报表_考勤表!$F:$BG,39,FALSE),0)+IFERROR(VLOOKUP(K25,源_8补工时表_补当月工时!$A:$AC,24,FALSE),0)=0,IFERROR(VLOOKUP(K25,源_3考勤报表_考勤表!$F:$BG,43,FALSE),0)+IFERROR(VLOOKUP(K25,源_8补工时表_补当月工时!$A:$AC,26,FALSE),0)=0),IF(BI25+BG25-BT25&lt;0,BI25+BG25-BT25,0),0)</f>
        <v>0</v>
      </c>
    </row>
    <row r="26" spans="1:122" x14ac:dyDescent="0.15">
      <c r="A26">
        <f>参数!$B$2</f>
        <v>2025</v>
      </c>
      <c r="B26">
        <f>参数!$B$3</f>
        <v>12</v>
      </c>
      <c r="D26" t="s">
        <v>122</v>
      </c>
      <c r="E26" t="s">
        <v>123</v>
      </c>
      <c r="F26" t="str">
        <f>IFERROR(VLOOKUP(K26,源_7银行卡表_Sheet1!$A:$J,6,FALSE),"")</f>
        <v>华东营运</v>
      </c>
      <c r="G26" t="s">
        <v>156</v>
      </c>
      <c r="H26" t="s">
        <v>253</v>
      </c>
      <c r="I26" t="s">
        <v>126</v>
      </c>
      <c r="J26">
        <v>1</v>
      </c>
      <c r="K26">
        <v>26123025</v>
      </c>
      <c r="L26" t="s">
        <v>254</v>
      </c>
      <c r="M26" t="s">
        <v>140</v>
      </c>
      <c r="N26" t="s">
        <v>255</v>
      </c>
      <c r="O26" t="s">
        <v>239</v>
      </c>
      <c r="P26" t="s">
        <v>131</v>
      </c>
      <c r="Q26">
        <f>IF(P26="门店全职",IFERROR(VLOOKUP(K26,源_3考勤报表_考勤表!$F:$BG,34,FALSE),0)+IFERROR(VLOOKUP(K26,源_8补工时表_补当月工时!$A:$AC,14,FALSE),0),IF(P26="门店管理组",IF(IFERROR(VLOOKUP(K26,源_3考勤报表_考勤表!$F:$BG,34,FALSE),0)+IFERROR(VLOOKUP(K26,源_8补工时表_补当月工时!$A:$AC,14,FALSE),0)+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44,FALSE),0)+IFERROR(VLOOKUP(K26,源_8补工时表_补当月工时!$A:$AC,16,FALSE),0)+IFERROR(VLOOKUP(K26,源_3考勤报表_考勤表!$F:$BG,45,FALSE),0)&gt;=参数!$B$4,参数!$B$4-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44,FALSE),0)-IFERROR(VLOOKUP(K26,源_8补工时表_补当月工时!$A:$AC,16,FALSE),0)-IFERROR(VLOOKUP(K26,源_3考勤报表_考勤表!$F:$BG,45,FALSE),0),IFERROR(VLOOKUP(K26,源_3考勤报表_考勤表!$F:$BG,34,FALSE),0)+IFERROR(VLOOKUP(K26,源_8补工时表_补当月工时!$A:$AC,14,FALSE),0)),0))</f>
        <v>184</v>
      </c>
      <c r="R26">
        <v>5656</v>
      </c>
      <c r="S26">
        <v>0</v>
      </c>
      <c r="T26">
        <f>IF(P26="门店全职",R26/参数!$B$4*(Q26-MAX(IFERROR(VLOOKUP(K26,源_3考勤报表_考勤表!$F:$BG,34,FALSE),0)+IFERROR(VLOOKUP(K26,源_8补工时表_补当月工时!$A:$AC,14,FALSE),0)+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参数!$B$4,0)),R26/参数!$B$4*Q26)</f>
        <v>5656</v>
      </c>
      <c r="U26">
        <v>0</v>
      </c>
      <c r="V26">
        <v>0</v>
      </c>
      <c r="W26">
        <f t="shared" si="0"/>
        <v>0</v>
      </c>
      <c r="X26">
        <f>IFERROR(VLOOKUP(K26,源_4奖金汇总表_拆分手工算!$A:$N,8,FALSE),0)</f>
        <v>0</v>
      </c>
      <c r="Y26">
        <f>IFERROR(VLOOKUP(K26,源_5薪资备忘录_工资调整项!$A:$AC,14,FALSE),0)</f>
        <v>0</v>
      </c>
      <c r="Z26">
        <f>IFERROR(VLOOKUP(K26,源_5薪资备忘录_工资调整项!$A:$AC,16,FALSE),0)</f>
        <v>0</v>
      </c>
      <c r="AA26">
        <f>IFERROR(VLOOKUP(K26,源_5薪资备忘录_工资调整项!$A:$AC,15,FALSE),0)</f>
        <v>0</v>
      </c>
      <c r="AB26">
        <f t="shared" si="1"/>
        <v>0</v>
      </c>
      <c r="AC26">
        <f>IF(P26="门店全职",R26/174*MAX(IFERROR(VLOOKUP(K26,源_3考勤报表_考勤表!$F:$BG,34,FALSE),0)+IFERROR(VLOOKUP(K26,源_8补工时表_补当月工时!$A:$AC,14,FALSE),0)+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参数!$B$4,0)*1.5,0)</f>
        <v>0</v>
      </c>
      <c r="AD26">
        <v>0</v>
      </c>
      <c r="AE26">
        <f>IFERROR(VLOOKUP(K26,源_3考勤报表_考勤表!$F:$BG,46,FALSE),0)+IFERROR(VLOOKUP(K26,源_8补工时表_补当月工时!$A:$AC,25,FALSE),0)</f>
        <v>0</v>
      </c>
      <c r="AF26">
        <f t="shared" si="2"/>
        <v>0</v>
      </c>
      <c r="AG26">
        <f>IFERROR(VLOOKUP(K26,源_4奖金汇总表_拆分手工算!$A:$N,10,FALSE),0)</f>
        <v>0</v>
      </c>
      <c r="AH26">
        <f>IFERROR(VLOOKUP(K26,源_4奖金汇总表_拆分手工算!$A:$N,5,FALSE),0)</f>
        <v>0</v>
      </c>
      <c r="AI26">
        <f>IFERROR(VLOOKUP(K26,源_4奖金汇总表_拆分手工算!$A:$N,11,FALSE),0)</f>
        <v>0</v>
      </c>
      <c r="AJ26">
        <f>IFERROR(VLOOKUP(K26,源_4奖金汇总表_拆分手工算!$A:$N,4,FALSE),0)</f>
        <v>0</v>
      </c>
      <c r="AK26">
        <f>IFERROR(VLOOKUP(K26,源_4奖金汇总表_拆分手工算!$A:$N,3,FALSE),0)</f>
        <v>0</v>
      </c>
      <c r="AL26">
        <f>IFERROR(VLOOKUP(K26,源_4奖金汇总表_拆分手工算!$A:$N,6,FALSE),0)</f>
        <v>100</v>
      </c>
      <c r="AM26">
        <f>IFERROR(VLOOKUP(K26,源_5薪资备忘录_工资调整项!$A:$AC,18,FALSE),0)+IFERROR(VLOOKUP(K26,源_4奖金汇总表_拆分手工算!$A:$N,7,FALSE),0)</f>
        <v>666.66</v>
      </c>
      <c r="AN26">
        <f>IFERROR(VLOOKUP(K26,源_5薪资备忘录_工资调整项!$A:$AC,17,FALSE),0)</f>
        <v>0</v>
      </c>
      <c r="AO26">
        <f>IF(OR(IFERROR(VLOOKUP(K26,源_3考勤报表_考勤表!$F:$BG,39,FALSE),0)+IFERROR(VLOOKUP(K26,源_8补工时表_补当月工时!$A:$AC,24,FALSE),0)&gt;0,IFERROR(VLOOKUP(K26,源_3考勤报表_考勤表!$F:$BG,43,FALSE),0)+IFERROR(VLOOKUP(K26,源_8补工时表_补当月工时!$A:$AC,26,FALSE),0)&gt;0),IF(IFERROR(VLOOKUP(DH26,源_11产假政策_Sheet1!$C:$F,4,FALSE),"")="是",R26/参数!$B$4*(IFERROR(VLOOKUP(K26,源_3考勤报表_考勤表!$F:$BG,39,FALSE),0)+IFERROR(VLOOKUP(K26,源_8补工时表_补当月工时!$A:$AC,24,FALSE),0)+IFERROR(VLOOKUP(K26,源_3考勤报表_考勤表!$F:$BG,43,FALSE),0)+IFERROR(VLOOKUP(K26,源_8补工时表_补当月工时!$A:$AC,26,FALSE),0)),IFERROR(VLOOKUP(K26,源_5薪资备忘录_工资调整项!$A:$AC,19,FALSE),0)),0)</f>
        <v>0</v>
      </c>
      <c r="AP26">
        <v>0</v>
      </c>
      <c r="AQ26">
        <f>IFERROR(VLOOKUP(K26,源_4奖金汇总表_拆分手工算!$A:$N,12,FALSE),0)+IFERROR(VLOOKUP(K26,源_9年终奖表_Sheet1!$A:$E,3,FALSE),0)</f>
        <v>999</v>
      </c>
      <c r="AR26">
        <f>IFERROR(VLOOKUP(K26,源_4奖金汇总表_拆分手工算!$A:$N,13,FALSE),0)+IFERROR(VLOOKUP(K26,源_9年终奖表_Sheet1!$A:$E,4,FALSE),0)</f>
        <v>600</v>
      </c>
      <c r="AS26">
        <f>IFERROR(VLOOKUP(K26,源_4奖金汇总表_拆分手工算!$A:$N,14,FALSE),0)+IFERROR(VLOOKUP(K26,源_9年终奖表_Sheet1!$A:$E,5,FALSE),0)</f>
        <v>222</v>
      </c>
      <c r="AT26">
        <f>IFERROR(VLOOKUP(K26,源_5薪资备忘录_工资调整项!$A:$AC,20,FALSE),0)</f>
        <v>0</v>
      </c>
      <c r="AU26">
        <f>IFERROR(VLOOKUP(K26,源_5薪资备忘录_工资调整项!$A:$AC,21,FALSE),0)+IFERROR(VLOOKUP(K26,源_4奖金汇总表_拆分手工算!$A:$N,9,FALSE),0)</f>
        <v>0</v>
      </c>
      <c r="AV26">
        <f>R26/参数!$B$4*(IFERROR(VLOOKUP(K26,源_3考勤报表_考勤表!$F:$BG,37,FALSE),0)+IFERROR(VLOOKUP(K26,源_8补工时表_补当月工时!$A:$AC,15,FALSE),0))</f>
        <v>0</v>
      </c>
      <c r="AW26">
        <f>R26/174*MIN(IFERROR(VLOOKUP(K26,源_3考勤报表_考勤表!$F:$BG,35,FALSE),0),174)*IF(DATEDIF(N26,DATE(参数!$B$2,参数!$B$3+1,0),"Y")&lt;2,0.6,IF(DATEDIF(N26,DATE(参数!$B$2,参数!$B$3+1,0),"Y")&lt;4,0.7,IF(DATEDIF(N26,DATE(参数!$B$2,参数!$B$3+1,0),"Y")&lt;6,0.8,IF(DATEDIF(N26,DATE(参数!$B$2,参数!$B$3+1,0),"Y")&lt;8,0.9,1))))</f>
        <v>0</v>
      </c>
      <c r="AX26">
        <f>IF(Q26+IFERROR(VLOOKUP(K26,源_3考勤报表_考勤表!$F:$BG,37,FALSE),0)+IFERROR(VLOOKUP(K26,源_8补工时表_补当月工时!$A:$AC,15,FALSE),0)&gt;=参数!$B$4,0,IF(Q26+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lt;=参数!$B$4,R26/参数!$B$4*(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0))</f>
        <v>0</v>
      </c>
      <c r="AY26">
        <v>0</v>
      </c>
      <c r="AZ26">
        <v>0</v>
      </c>
      <c r="BA26">
        <v>0</v>
      </c>
      <c r="BB26">
        <v>0</v>
      </c>
      <c r="BC26">
        <f>IFERROR(VLOOKUP(K26,源_5薪资备忘录_工资调整项!$A:$AC,25,FALSE),0)</f>
        <v>0</v>
      </c>
      <c r="BD26">
        <v>0</v>
      </c>
      <c r="BE26">
        <v>0</v>
      </c>
      <c r="BF26">
        <v>0</v>
      </c>
      <c r="BG26">
        <f>IFERROR(VLOOKUP(K26,源_5薪资备忘录_工资调整项!$A:$AC,22,FALSE),0)+IFERROR(VLOOKUP(K26,源_5薪资备忘录_工资调整项!$A:$AC,23,FALSE),0)+IFERROR(VLOOKUP(K26,源_5薪资备忘录_工资调整项!$A:$AC,24,FALSE),0)</f>
        <v>0</v>
      </c>
      <c r="BH26">
        <f>IFERROR(VLOOKUP(DF26,源_6社保表_Sheet1!$C:$CD,80,FALSE),0)+4.5</f>
        <v>6.5</v>
      </c>
      <c r="BI26">
        <f t="shared" si="3"/>
        <v>8243.66</v>
      </c>
      <c r="BJ26">
        <f>IFERROR(VLOOKUP(DF26,源_6社保表_Sheet1!$C:$BZ,26,FALSE),0)</f>
        <v>522.20000000000005</v>
      </c>
      <c r="BK26">
        <f>IFERROR(VLOOKUP(DF26,源_6社保表_Sheet1!$C:$BZ,27,FALSE),0)</f>
        <v>74.599999999999994</v>
      </c>
      <c r="BL26">
        <f>IFERROR(VLOOKUP(DF26,源_6社保表_Sheet1!$C:$BZ,28,FALSE),0)</f>
        <v>37.299999999999997</v>
      </c>
      <c r="BM26">
        <f>IFERROR(VLOOKUP(DF26,源_6社保表_Sheet1!$C:$BZ,30,FALSE),0)</f>
        <v>405.06</v>
      </c>
      <c r="BN26">
        <f>IFERROR(VLOOKUP(DF26,源_6社保表_Sheet1!$C:$BZ,29,FALSE),0)</f>
        <v>0</v>
      </c>
      <c r="BO26">
        <f>IFERROR(VLOOKUP(DF26,源_6社保表_Sheet1!$C:$BZ,40,FALSE),0)</f>
        <v>0</v>
      </c>
      <c r="BP26">
        <f>IFERROR(VLOOKUP(DF26,源_6社保表_Sheet1!$C:$BZ,41,FALSE),0)</f>
        <v>0</v>
      </c>
      <c r="BQ26">
        <f>IFERROR(VLOOKUP(DF26,源_6社保表_Sheet1!$C:$BZ,42,FALSE),0)</f>
        <v>0</v>
      </c>
      <c r="BR26">
        <f>IFERROR(VLOOKUP(DF26,源_6社保表_Sheet1!$C:$BZ,44,FALSE),0)</f>
        <v>0</v>
      </c>
      <c r="BS26">
        <f>IFERROR(VLOOKUP(DF26,源_6社保表_Sheet1!$C:$BZ,43,FALSE),0)</f>
        <v>0</v>
      </c>
      <c r="BT26">
        <f t="shared" si="4"/>
        <v>1039.1600000000001</v>
      </c>
      <c r="BU26">
        <v>0</v>
      </c>
      <c r="BV26">
        <v>0</v>
      </c>
      <c r="BW26">
        <v>0</v>
      </c>
      <c r="BX26">
        <f t="shared" si="5"/>
        <v>0</v>
      </c>
      <c r="BY26">
        <v>0</v>
      </c>
      <c r="BZ26">
        <f>IFERROR(VLOOKUP(DF26,源_6社保表_Sheet1!$C:$BZ,18,FALSE),0)</f>
        <v>1119</v>
      </c>
      <c r="CA26">
        <f>IFERROR(VLOOKUP(DF26,源_6社保表_Sheet1!$C:$BZ,19,FALSE),0)</f>
        <v>596.79999999999995</v>
      </c>
      <c r="CB26">
        <f>IFERROR(VLOOKUP(DF26,源_6社保表_Sheet1!$C:$BZ,24,FALSE),0)</f>
        <v>405.06</v>
      </c>
      <c r="CC26">
        <f>IFERROR(VLOOKUP(DF26,源_6社保表_Sheet1!$C:$BZ,20,FALSE),0)</f>
        <v>37.299999999999997</v>
      </c>
      <c r="CD26">
        <f>IFERROR(VLOOKUP(DF26,源_6社保表_Sheet1!$C:$BZ,21,FALSE),0)</f>
        <v>23.872</v>
      </c>
      <c r="CE26">
        <f>IFERROR(VLOOKUP(DF26,源_6社保表_Sheet1!$C:$BZ,22,FALSE),0)</f>
        <v>0</v>
      </c>
      <c r="CF26">
        <f>IFERROR(VLOOKUP(DF26,源_6社保表_Sheet1!$C:$BZ,23,FALSE),0)</f>
        <v>0</v>
      </c>
      <c r="CG26">
        <f>IFERROR(VLOOKUP(DF26,源_6社保表_Sheet1!$C:$BZ,32,FALSE),0)</f>
        <v>0</v>
      </c>
      <c r="CH26">
        <f>IFERROR(VLOOKUP(DF26,源_6社保表_Sheet1!$C:$BZ,33,FALSE),0)</f>
        <v>0</v>
      </c>
      <c r="CI26">
        <f>IFERROR(VLOOKUP(DF26,源_6社保表_Sheet1!$C:$BZ,34,FALSE),0)</f>
        <v>0</v>
      </c>
      <c r="CJ26">
        <f>IFERROR(VLOOKUP(DF26,源_6社保表_Sheet1!$C:$BZ,38,FALSE),0)</f>
        <v>0</v>
      </c>
      <c r="CK26">
        <f>IFERROR(VLOOKUP(DF26,源_6社保表_Sheet1!$C:$BZ,35,FALSE),0)</f>
        <v>0</v>
      </c>
      <c r="CL26">
        <f>IFERROR(VLOOKUP(DF26,源_6社保表_Sheet1!$C:$BZ,36,FALSE),0)</f>
        <v>0</v>
      </c>
      <c r="CM26">
        <f>IFERROR(VLOOKUP(DF26,源_6社保表_Sheet1!$C:$BZ,37,FALSE),0)</f>
        <v>0</v>
      </c>
      <c r="CN26">
        <f t="shared" si="6"/>
        <v>2182.0320000000002</v>
      </c>
      <c r="CO26">
        <f t="shared" si="7"/>
        <v>10432.191999999999</v>
      </c>
      <c r="CP26">
        <f>IF(IFERROR(VLOOKUP(K26,源_13残疾人信息_残疾人信息!$A:$M,1,FALSE),"")&lt;&gt;"",0,IF(OR(P26="门店全职",P26="门店管理组",P26="全职(非门店)"),(BI26-AT26)*IFERROR(VLOOKUP(D26,源_12计提残保金规则_Sheet1!$A:$E,4,FALSE),0)*IFERROR(VLOOKUP(D26,源_12计提残保金规则_Sheet1!$A:$E,5,FALSE),0),0))</f>
        <v>111.28941</v>
      </c>
      <c r="CQ26">
        <f t="shared" si="8"/>
        <v>16.05</v>
      </c>
      <c r="CR26">
        <f t="shared" si="9"/>
        <v>20.67</v>
      </c>
      <c r="CS26">
        <f>IF(DATEVALUE(N26)&gt;DATE(参数!$B$2,9,30),0,IF(M26="行政",0,IF(O26="",R26/12,IF(MONTH(DATEVALUE(O26))=参数!$B$3,0,IF(DATEVALUE(O26)&lt;DATE(参数!$B$2,参数!$B$3,1),0,R26/12)))))</f>
        <v>0</v>
      </c>
      <c r="CT26">
        <f t="shared" si="10"/>
        <v>576.91200000000003</v>
      </c>
      <c r="CU26">
        <f>IFERROR(VLOOKUP(DF26,源_6社保表_Sheet1!$C:$I,2,FALSE),0)</f>
        <v>7460</v>
      </c>
      <c r="CV26">
        <f>IFERROR(VLOOKUP(DF26,源_6社保表_Sheet1!$C:$I,7,FALSE),0)</f>
        <v>6751</v>
      </c>
      <c r="CW26">
        <f>IFERROR(VLOOKUP(DF26,源_6社保表_Sheet1!$C:$I,3,FALSE),0)</f>
        <v>7460</v>
      </c>
      <c r="CX26">
        <f>IFERROR(VLOOKUP(DF26,源_6社保表_Sheet1!$C:$I,4,FALSE),0)</f>
        <v>7460</v>
      </c>
      <c r="CY26">
        <f>IFERROR(VLOOKUP(DF26,源_6社保表_Sheet1!$C:$I,5,FALSE),0)</f>
        <v>7460</v>
      </c>
      <c r="CZ26">
        <f>IFERROR(VLOOKUP(DF26,源_6社保表_Sheet1!$C:$I,6,FALSE),0)</f>
        <v>0</v>
      </c>
      <c r="DA26">
        <f t="shared" si="11"/>
        <v>7838.0319999999992</v>
      </c>
      <c r="DB26">
        <f t="shared" si="12"/>
        <v>8569.4534100000001</v>
      </c>
      <c r="DC26" t="str">
        <f>IFERROR(VLOOKUP(K26,源_7银行卡表_Sheet1!$A:$J,8,FALSE),"")</f>
        <v>浦发银行</v>
      </c>
      <c r="DD26" t="str">
        <f>IFERROR(VLOOKUP(K26,源_7银行卡表_Sheet1!$A:$J,9,FALSE),"")</f>
        <v>6682204886904826283</v>
      </c>
      <c r="DE26" t="str">
        <f>IFERROR(VLOOKUP(K26,源_7银行卡表_Sheet1!$A:$J,10,FALSE),"")</f>
        <v>安阳中华路支行</v>
      </c>
      <c r="DF26" t="s">
        <v>256</v>
      </c>
      <c r="DG26">
        <v>16491110158</v>
      </c>
      <c r="DH26" t="s">
        <v>133</v>
      </c>
      <c r="DI26">
        <v>0</v>
      </c>
      <c r="DJ26">
        <v>0</v>
      </c>
      <c r="DK26">
        <v>0</v>
      </c>
      <c r="DL26">
        <v>0</v>
      </c>
      <c r="DM26">
        <v>0</v>
      </c>
      <c r="DN26">
        <v>0</v>
      </c>
      <c r="DO26">
        <v>0</v>
      </c>
      <c r="DP26">
        <v>0</v>
      </c>
      <c r="DQ26">
        <v>0</v>
      </c>
      <c r="DR26">
        <f>IF(OR(IFERROR(VLOOKUP(K26,源_3考勤报表_考勤表!$F:$BG,39,FALSE),0)+IFERROR(VLOOKUP(K26,源_8补工时表_补当月工时!$A:$AC,24,FALSE),0)=0,IFERROR(VLOOKUP(K26,源_3考勤报表_考勤表!$F:$BG,43,FALSE),0)+IFERROR(VLOOKUP(K26,源_8补工时表_补当月工时!$A:$AC,26,FALSE),0)=0),IF(BI26+BG26-BT26&lt;0,BI26+BG26-BT26,0),0)</f>
        <v>0</v>
      </c>
    </row>
    <row r="27" spans="1:122" x14ac:dyDescent="0.15">
      <c r="A27">
        <f>参数!$B$2</f>
        <v>2025</v>
      </c>
      <c r="B27">
        <f>参数!$B$3</f>
        <v>12</v>
      </c>
      <c r="D27" t="s">
        <v>147</v>
      </c>
      <c r="E27" t="s">
        <v>123</v>
      </c>
      <c r="F27" t="str">
        <f>IFERROR(VLOOKUP(K27,源_7银行卡表_Sheet1!$A:$J,6,FALSE),"")</f>
        <v>华北营运</v>
      </c>
      <c r="G27" t="s">
        <v>148</v>
      </c>
      <c r="H27" t="s">
        <v>257</v>
      </c>
      <c r="I27" t="s">
        <v>150</v>
      </c>
      <c r="J27">
        <v>1</v>
      </c>
      <c r="K27">
        <v>26123026</v>
      </c>
      <c r="L27" t="s">
        <v>258</v>
      </c>
      <c r="M27" t="s">
        <v>218</v>
      </c>
      <c r="N27" t="s">
        <v>259</v>
      </c>
      <c r="P27" t="s">
        <v>131</v>
      </c>
      <c r="Q27">
        <f>IF(P27="门店全职",IFERROR(VLOOKUP(K27,源_3考勤报表_考勤表!$F:$BG,34,FALSE),0)+IFERROR(VLOOKUP(K27,源_8补工时表_补当月工时!$A:$AC,14,FALSE),0),IF(P27="门店管理组",IF(IFERROR(VLOOKUP(K27,源_3考勤报表_考勤表!$F:$BG,34,FALSE),0)+IFERROR(VLOOKUP(K27,源_8补工时表_补当月工时!$A:$AC,14,FALSE),0)+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44,FALSE),0)+IFERROR(VLOOKUP(K27,源_8补工时表_补当月工时!$A:$AC,16,FALSE),0)+IFERROR(VLOOKUP(K27,源_3考勤报表_考勤表!$F:$BG,45,FALSE),0)&gt;=参数!$B$4,参数!$B$4-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44,FALSE),0)-IFERROR(VLOOKUP(K27,源_8补工时表_补当月工时!$A:$AC,16,FALSE),0)-IFERROR(VLOOKUP(K27,源_3考勤报表_考勤表!$F:$BG,45,FALSE),0),IFERROR(VLOOKUP(K27,源_3考勤报表_考勤表!$F:$BG,34,FALSE),0)+IFERROR(VLOOKUP(K27,源_8补工时表_补当月工时!$A:$AC,14,FALSE),0)),0))</f>
        <v>184</v>
      </c>
      <c r="R27">
        <v>4750</v>
      </c>
      <c r="S27">
        <v>0</v>
      </c>
      <c r="T27">
        <f>IF(P27="门店全职",R27/参数!$B$4*(Q27-MAX(IFERROR(VLOOKUP(K27,源_3考勤报表_考勤表!$F:$BG,34,FALSE),0)+IFERROR(VLOOKUP(K27,源_8补工时表_补当月工时!$A:$AC,14,FALSE),0)+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参数!$B$4,0)),R27/参数!$B$4*Q27)</f>
        <v>4750</v>
      </c>
      <c r="U27">
        <v>0</v>
      </c>
      <c r="V27">
        <v>0</v>
      </c>
      <c r="W27">
        <f t="shared" si="0"/>
        <v>0</v>
      </c>
      <c r="X27">
        <f>IFERROR(VLOOKUP(K27,源_4奖金汇总表_拆分手工算!$A:$N,8,FALSE),0)</f>
        <v>0</v>
      </c>
      <c r="Y27">
        <f>IFERROR(VLOOKUP(K27,源_5薪资备忘录_工资调整项!$A:$AC,14,FALSE),0)</f>
        <v>0</v>
      </c>
      <c r="Z27">
        <f>IFERROR(VLOOKUP(K27,源_5薪资备忘录_工资调整项!$A:$AC,16,FALSE),0)</f>
        <v>0</v>
      </c>
      <c r="AA27">
        <f>IFERROR(VLOOKUP(K27,源_5薪资备忘录_工资调整项!$A:$AC,15,FALSE),0)</f>
        <v>0</v>
      </c>
      <c r="AB27">
        <f t="shared" si="1"/>
        <v>0</v>
      </c>
      <c r="AC27">
        <f>IF(P27="门店全职",R27/174*MAX(IFERROR(VLOOKUP(K27,源_3考勤报表_考勤表!$F:$BG,34,FALSE),0)+IFERROR(VLOOKUP(K27,源_8补工时表_补当月工时!$A:$AC,14,FALSE),0)+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参数!$B$4,0)*1.5,0)</f>
        <v>0</v>
      </c>
      <c r="AD27">
        <v>0</v>
      </c>
      <c r="AE27">
        <f>IFERROR(VLOOKUP(K27,源_3考勤报表_考勤表!$F:$BG,46,FALSE),0)+IFERROR(VLOOKUP(K27,源_8补工时表_补当月工时!$A:$AC,25,FALSE),0)</f>
        <v>0</v>
      </c>
      <c r="AF27">
        <f t="shared" si="2"/>
        <v>0</v>
      </c>
      <c r="AG27">
        <f>IFERROR(VLOOKUP(K27,源_4奖金汇总表_拆分手工算!$A:$N,10,FALSE),0)</f>
        <v>0</v>
      </c>
      <c r="AH27">
        <f>IFERROR(VLOOKUP(K27,源_4奖金汇总表_拆分手工算!$A:$N,5,FALSE),0)</f>
        <v>0</v>
      </c>
      <c r="AI27">
        <f>IFERROR(VLOOKUP(K27,源_4奖金汇总表_拆分手工算!$A:$N,11,FALSE),0)</f>
        <v>0</v>
      </c>
      <c r="AJ27">
        <f>IFERROR(VLOOKUP(K27,源_4奖金汇总表_拆分手工算!$A:$N,4,FALSE),0)</f>
        <v>0</v>
      </c>
      <c r="AK27">
        <f>IFERROR(VLOOKUP(K27,源_4奖金汇总表_拆分手工算!$A:$N,3,FALSE),0)</f>
        <v>0</v>
      </c>
      <c r="AL27">
        <f>IFERROR(VLOOKUP(K27,源_4奖金汇总表_拆分手工算!$A:$N,6,FALSE),0)</f>
        <v>150</v>
      </c>
      <c r="AM27">
        <f>IFERROR(VLOOKUP(K27,源_5薪资备忘录_工资调整项!$A:$AC,18,FALSE),0)+IFERROR(VLOOKUP(K27,源_4奖金汇总表_拆分手工算!$A:$N,7,FALSE),0)</f>
        <v>0</v>
      </c>
      <c r="AN27">
        <f>IFERROR(VLOOKUP(K27,源_5薪资备忘录_工资调整项!$A:$AC,17,FALSE),0)</f>
        <v>200</v>
      </c>
      <c r="AO27">
        <f>IF(OR(IFERROR(VLOOKUP(K27,源_3考勤报表_考勤表!$F:$BG,39,FALSE),0)+IFERROR(VLOOKUP(K27,源_8补工时表_补当月工时!$A:$AC,24,FALSE),0)&gt;0,IFERROR(VLOOKUP(K27,源_3考勤报表_考勤表!$F:$BG,43,FALSE),0)+IFERROR(VLOOKUP(K27,源_8补工时表_补当月工时!$A:$AC,26,FALSE),0)&gt;0),IF(IFERROR(VLOOKUP(DH27,源_11产假政策_Sheet1!$C:$F,4,FALSE),"")="是",R27/参数!$B$4*(IFERROR(VLOOKUP(K27,源_3考勤报表_考勤表!$F:$BG,39,FALSE),0)+IFERROR(VLOOKUP(K27,源_8补工时表_补当月工时!$A:$AC,24,FALSE),0)+IFERROR(VLOOKUP(K27,源_3考勤报表_考勤表!$F:$BG,43,FALSE),0)+IFERROR(VLOOKUP(K27,源_8补工时表_补当月工时!$A:$AC,26,FALSE),0)),IFERROR(VLOOKUP(K27,源_5薪资备忘录_工资调整项!$A:$AC,19,FALSE),0)),0)</f>
        <v>0</v>
      </c>
      <c r="AP27">
        <v>0</v>
      </c>
      <c r="AQ27">
        <f>IFERROR(VLOOKUP(K27,源_4奖金汇总表_拆分手工算!$A:$N,12,FALSE),0)+IFERROR(VLOOKUP(K27,源_9年终奖表_Sheet1!$A:$E,3,FALSE),0)</f>
        <v>999.99</v>
      </c>
      <c r="AR27">
        <f>IFERROR(VLOOKUP(K27,源_4奖金汇总表_拆分手工算!$A:$N,13,FALSE),0)+IFERROR(VLOOKUP(K27,源_9年终奖表_Sheet1!$A:$E,4,FALSE),0)</f>
        <v>600</v>
      </c>
      <c r="AS27">
        <f>IFERROR(VLOOKUP(K27,源_4奖金汇总表_拆分手工算!$A:$N,14,FALSE),0)+IFERROR(VLOOKUP(K27,源_9年终奖表_Sheet1!$A:$E,5,FALSE),0)</f>
        <v>111</v>
      </c>
      <c r="AT27">
        <f>IFERROR(VLOOKUP(K27,源_5薪资备忘录_工资调整项!$A:$AC,20,FALSE),0)</f>
        <v>0</v>
      </c>
      <c r="AU27">
        <f>IFERROR(VLOOKUP(K27,源_5薪资备忘录_工资调整项!$A:$AC,21,FALSE),0)+IFERROR(VLOOKUP(K27,源_4奖金汇总表_拆分手工算!$A:$N,9,FALSE),0)</f>
        <v>0</v>
      </c>
      <c r="AV27">
        <f>R27/参数!$B$4*(IFERROR(VLOOKUP(K27,源_3考勤报表_考勤表!$F:$BG,37,FALSE),0)+IFERROR(VLOOKUP(K27,源_8补工时表_补当月工时!$A:$AC,15,FALSE),0))</f>
        <v>0</v>
      </c>
      <c r="AW27">
        <f>R27/174*MIN(IFERROR(VLOOKUP(K27,源_3考勤报表_考勤表!$F:$BG,35,FALSE),0),174)*IF(DATEDIF(N27,DATE(参数!$B$2,参数!$B$3+1,0),"Y")&lt;2,0.6,IF(DATEDIF(N27,DATE(参数!$B$2,参数!$B$3+1,0),"Y")&lt;4,0.7,IF(DATEDIF(N27,DATE(参数!$B$2,参数!$B$3+1,0),"Y")&lt;6,0.8,IF(DATEDIF(N27,DATE(参数!$B$2,参数!$B$3+1,0),"Y")&lt;8,0.9,1))))</f>
        <v>0</v>
      </c>
      <c r="AX27">
        <f>IF(Q27+IFERROR(VLOOKUP(K27,源_3考勤报表_考勤表!$F:$BG,37,FALSE),0)+IFERROR(VLOOKUP(K27,源_8补工时表_补当月工时!$A:$AC,15,FALSE),0)&gt;=参数!$B$4,0,IF(Q27+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lt;=参数!$B$4,R27/参数!$B$4*(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0))</f>
        <v>0</v>
      </c>
      <c r="AY27">
        <v>0</v>
      </c>
      <c r="AZ27">
        <v>0</v>
      </c>
      <c r="BA27">
        <v>0</v>
      </c>
      <c r="BB27">
        <v>0</v>
      </c>
      <c r="BC27">
        <f>IFERROR(VLOOKUP(K27,源_5薪资备忘录_工资调整项!$A:$AC,25,FALSE),0)</f>
        <v>0</v>
      </c>
      <c r="BD27">
        <v>0</v>
      </c>
      <c r="BE27">
        <f>(T27+W27+AB27+AG27+AH27+AI27+AJ27+AK27+AL27+AM27+AN27+AO27+AP27+AU27+AV27+AW27+AX27+BC27-IFERROR(VLOOKUP(DF27,源_6社保表_Sheet1!$C:$BZ,76,FALSE),0))*0.02</f>
        <v>80.885100000000008</v>
      </c>
      <c r="BF27">
        <v>0</v>
      </c>
      <c r="BG27">
        <f>IFERROR(VLOOKUP(K27,源_5薪资备忘录_工资调整项!$A:$AC,22,FALSE),0)+IFERROR(VLOOKUP(K27,源_5薪资备忘录_工资调整项!$A:$AC,23,FALSE),0)+IFERROR(VLOOKUP(K27,源_5薪资备忘录_工资调整项!$A:$AC,24,FALSE),0)</f>
        <v>100</v>
      </c>
      <c r="BH27">
        <f>IFERROR(VLOOKUP(DF27,源_6社保表_Sheet1!$C:$CD,80,FALSE),0)+4.5</f>
        <v>6.5</v>
      </c>
      <c r="BI27">
        <f t="shared" si="3"/>
        <v>6810.99</v>
      </c>
      <c r="BJ27">
        <f>IFERROR(VLOOKUP(DF27,源_6社保表_Sheet1!$C:$BZ,26,FALSE),0)</f>
        <v>509.67</v>
      </c>
      <c r="BK27">
        <f>IFERROR(VLOOKUP(DF27,源_6社保表_Sheet1!$C:$BZ,27,FALSE),0)</f>
        <v>72.81</v>
      </c>
      <c r="BL27">
        <f>IFERROR(VLOOKUP(DF27,源_6社保表_Sheet1!$C:$BZ,28,FALSE),0)</f>
        <v>36.405000000000001</v>
      </c>
      <c r="BM27">
        <f>IFERROR(VLOOKUP(DF27,源_6社保表_Sheet1!$C:$BZ,30,FALSE),0)</f>
        <v>436.86</v>
      </c>
      <c r="BN27">
        <f>IFERROR(VLOOKUP(DF27,源_6社保表_Sheet1!$C:$BZ,29,FALSE),0)</f>
        <v>0</v>
      </c>
      <c r="BO27">
        <f>IFERROR(VLOOKUP(DF27,源_6社保表_Sheet1!$C:$BZ,40,FALSE),0)</f>
        <v>0</v>
      </c>
      <c r="BP27">
        <f>IFERROR(VLOOKUP(DF27,源_6社保表_Sheet1!$C:$BZ,41,FALSE),0)</f>
        <v>0</v>
      </c>
      <c r="BQ27">
        <f>IFERROR(VLOOKUP(DF27,源_6社保表_Sheet1!$C:$BZ,42,FALSE),0)</f>
        <v>0</v>
      </c>
      <c r="BR27">
        <f>IFERROR(VLOOKUP(DF27,源_6社保表_Sheet1!$C:$BZ,44,FALSE),0)</f>
        <v>0</v>
      </c>
      <c r="BS27">
        <f>IFERROR(VLOOKUP(DF27,源_6社保表_Sheet1!$C:$BZ,43,FALSE),0)</f>
        <v>0</v>
      </c>
      <c r="BT27">
        <f t="shared" si="4"/>
        <v>1055.7449999999999</v>
      </c>
      <c r="BU27">
        <v>0</v>
      </c>
      <c r="BV27">
        <v>0</v>
      </c>
      <c r="BW27">
        <v>0</v>
      </c>
      <c r="BX27">
        <f t="shared" si="5"/>
        <v>0</v>
      </c>
      <c r="BY27">
        <v>0</v>
      </c>
      <c r="BZ27">
        <f>IFERROR(VLOOKUP(DF27,源_6社保表_Sheet1!$C:$BZ,18,FALSE),0)</f>
        <v>1092.1500000000001</v>
      </c>
      <c r="CA27">
        <f>IFERROR(VLOOKUP(DF27,源_6社保表_Sheet1!$C:$BZ,19,FALSE),0)</f>
        <v>582.48</v>
      </c>
      <c r="CB27">
        <f>IFERROR(VLOOKUP(DF27,源_6社保表_Sheet1!$C:$BZ,24,FALSE),0)</f>
        <v>436.86</v>
      </c>
      <c r="CC27">
        <f>IFERROR(VLOOKUP(DF27,源_6社保表_Sheet1!$C:$BZ,20,FALSE),0)</f>
        <v>36.405000000000001</v>
      </c>
      <c r="CD27">
        <f>IFERROR(VLOOKUP(DF27,源_6社保表_Sheet1!$C:$BZ,21,FALSE),0)</f>
        <v>23.299199999999999</v>
      </c>
      <c r="CE27">
        <f>IFERROR(VLOOKUP(DF27,源_6社保表_Sheet1!$C:$BZ,22,FALSE),0)</f>
        <v>0</v>
      </c>
      <c r="CF27">
        <f>IFERROR(VLOOKUP(DF27,源_6社保表_Sheet1!$C:$BZ,23,FALSE),0)</f>
        <v>0</v>
      </c>
      <c r="CG27">
        <f>IFERROR(VLOOKUP(DF27,源_6社保表_Sheet1!$C:$BZ,32,FALSE),0)</f>
        <v>0</v>
      </c>
      <c r="CH27">
        <f>IFERROR(VLOOKUP(DF27,源_6社保表_Sheet1!$C:$BZ,33,FALSE),0)</f>
        <v>0</v>
      </c>
      <c r="CI27">
        <f>IFERROR(VLOOKUP(DF27,源_6社保表_Sheet1!$C:$BZ,34,FALSE),0)</f>
        <v>0</v>
      </c>
      <c r="CJ27">
        <f>IFERROR(VLOOKUP(DF27,源_6社保表_Sheet1!$C:$BZ,38,FALSE),0)</f>
        <v>0</v>
      </c>
      <c r="CK27">
        <f>IFERROR(VLOOKUP(DF27,源_6社保表_Sheet1!$C:$BZ,35,FALSE),0)</f>
        <v>0</v>
      </c>
      <c r="CL27">
        <f>IFERROR(VLOOKUP(DF27,源_6社保表_Sheet1!$C:$BZ,36,FALSE),0)</f>
        <v>0</v>
      </c>
      <c r="CM27">
        <f>IFERROR(VLOOKUP(DF27,源_6社保表_Sheet1!$C:$BZ,37,FALSE),0)</f>
        <v>0</v>
      </c>
      <c r="CN27">
        <f t="shared" si="6"/>
        <v>2171.1942000000004</v>
      </c>
      <c r="CO27">
        <f t="shared" si="7"/>
        <v>9169.5692999999992</v>
      </c>
      <c r="CP27">
        <f>IF(IFERROR(VLOOKUP(K27,源_13残疾人信息_残疾人信息!$A:$M,1,FALSE),"")&lt;&gt;"",0,IF(OR(P27="门店全职",P27="门店管理组",P27="全职(非门店)"),(BI27-AT27)*IFERROR(VLOOKUP(D27,源_12计提残保金规则_Sheet1!$A:$E,4,FALSE),0)*IFERROR(VLOOKUP(D27,源_12计提残保金规则_Sheet1!$A:$E,5,FALSE),0),0))</f>
        <v>91.948364999999995</v>
      </c>
      <c r="CQ27">
        <f t="shared" si="8"/>
        <v>16.05</v>
      </c>
      <c r="CR27">
        <f t="shared" si="9"/>
        <v>20.67</v>
      </c>
      <c r="CS27">
        <f>IF(DATEVALUE(N27)&gt;DATE(参数!$B$2,9,30),0,IF(M27="行政",0,IF(O27="",R27/12,IF(MONTH(DATEVALUE(O27))=参数!$B$3,0,IF(DATEVALUE(O27)&lt;DATE(参数!$B$2,参数!$B$3,1),0,R27/12)))))</f>
        <v>395.83333333333331</v>
      </c>
      <c r="CT27">
        <f t="shared" si="10"/>
        <v>484.5</v>
      </c>
      <c r="CU27">
        <f>IFERROR(VLOOKUP(DF27,源_6社保表_Sheet1!$C:$I,2,FALSE),0)</f>
        <v>7281</v>
      </c>
      <c r="CV27">
        <f>IFERROR(VLOOKUP(DF27,源_6社保表_Sheet1!$C:$I,7,FALSE),0)</f>
        <v>7281</v>
      </c>
      <c r="CW27">
        <f>IFERROR(VLOOKUP(DF27,源_6社保表_Sheet1!$C:$I,3,FALSE),0)</f>
        <v>7281</v>
      </c>
      <c r="CX27">
        <f>IFERROR(VLOOKUP(DF27,源_6社保表_Sheet1!$C:$I,4,FALSE),0)</f>
        <v>7281</v>
      </c>
      <c r="CY27">
        <f>IFERROR(VLOOKUP(DF27,源_6社保表_Sheet1!$C:$I,5,FALSE),0)</f>
        <v>7281</v>
      </c>
      <c r="CZ27">
        <f>IFERROR(VLOOKUP(DF27,源_6社保表_Sheet1!$C:$I,6,FALSE),0)</f>
        <v>0</v>
      </c>
      <c r="DA27">
        <f t="shared" si="11"/>
        <v>7121.1941999999999</v>
      </c>
      <c r="DB27">
        <f t="shared" si="12"/>
        <v>8136.6958983333334</v>
      </c>
      <c r="DC27" t="str">
        <f>IFERROR(VLOOKUP(K27,源_7银行卡表_Sheet1!$A:$J,8,FALSE),"")</f>
        <v>浦发银行</v>
      </c>
      <c r="DD27" t="str">
        <f>IFERROR(VLOOKUP(K27,源_7银行卡表_Sheet1!$A:$J,9,FALSE),"")</f>
        <v>6682836246752860697</v>
      </c>
      <c r="DE27" t="str">
        <f>IFERROR(VLOOKUP(K27,源_7银行卡表_Sheet1!$A:$J,10,FALSE),"")</f>
        <v>孝感分行</v>
      </c>
      <c r="DF27" t="s">
        <v>260</v>
      </c>
      <c r="DG27">
        <v>16304818086</v>
      </c>
      <c r="DH27" t="s">
        <v>148</v>
      </c>
      <c r="DI27">
        <v>0</v>
      </c>
      <c r="DJ27">
        <v>0</v>
      </c>
      <c r="DK27">
        <v>0</v>
      </c>
      <c r="DL27">
        <v>0</v>
      </c>
      <c r="DM27">
        <v>0</v>
      </c>
      <c r="DN27">
        <v>0</v>
      </c>
      <c r="DO27">
        <v>0</v>
      </c>
      <c r="DP27">
        <v>0</v>
      </c>
      <c r="DQ27">
        <v>0</v>
      </c>
      <c r="DR27">
        <f>IF(OR(IFERROR(VLOOKUP(K27,源_3考勤报表_考勤表!$F:$BG,39,FALSE),0)+IFERROR(VLOOKUP(K27,源_8补工时表_补当月工时!$A:$AC,24,FALSE),0)=0,IFERROR(VLOOKUP(K27,源_3考勤报表_考勤表!$F:$BG,43,FALSE),0)+IFERROR(VLOOKUP(K27,源_8补工时表_补当月工时!$A:$AC,26,FALSE),0)=0),IF(BI27+BG27-BT27&lt;0,BI27+BG27-BT27,0),0)</f>
        <v>0</v>
      </c>
    </row>
    <row r="28" spans="1:122" x14ac:dyDescent="0.15">
      <c r="A28">
        <f>参数!$B$2</f>
        <v>2025</v>
      </c>
      <c r="B28">
        <f>参数!$B$3</f>
        <v>12</v>
      </c>
      <c r="D28" t="s">
        <v>122</v>
      </c>
      <c r="E28" t="s">
        <v>123</v>
      </c>
      <c r="F28" t="str">
        <f>IFERROR(VLOOKUP(K28,源_7银行卡表_Sheet1!$A:$J,6,FALSE),"")</f>
        <v>华东营运</v>
      </c>
      <c r="G28" t="s">
        <v>124</v>
      </c>
      <c r="H28" t="s">
        <v>261</v>
      </c>
      <c r="I28" t="s">
        <v>126</v>
      </c>
      <c r="J28">
        <v>1</v>
      </c>
      <c r="K28">
        <v>26123027</v>
      </c>
      <c r="L28" t="s">
        <v>262</v>
      </c>
      <c r="M28" t="s">
        <v>128</v>
      </c>
      <c r="N28" t="s">
        <v>263</v>
      </c>
      <c r="P28" t="s">
        <v>131</v>
      </c>
      <c r="Q28">
        <f>IF(P28="门店全职",IFERROR(VLOOKUP(K28,源_3考勤报表_考勤表!$F:$BG,34,FALSE),0)+IFERROR(VLOOKUP(K28,源_8补工时表_补当月工时!$A:$AC,14,FALSE),0),IF(P28="门店管理组",IF(IFERROR(VLOOKUP(K28,源_3考勤报表_考勤表!$F:$BG,34,FALSE),0)+IFERROR(VLOOKUP(K28,源_8补工时表_补当月工时!$A:$AC,14,FALSE),0)+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44,FALSE),0)+IFERROR(VLOOKUP(K28,源_8补工时表_补当月工时!$A:$AC,16,FALSE),0)+IFERROR(VLOOKUP(K28,源_3考勤报表_考勤表!$F:$BG,45,FALSE),0)&gt;=参数!$B$4,参数!$B$4-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44,FALSE),0)-IFERROR(VLOOKUP(K28,源_8补工时表_补当月工时!$A:$AC,16,FALSE),0)-IFERROR(VLOOKUP(K28,源_3考勤报表_考勤表!$F:$BG,45,FALSE),0),IFERROR(VLOOKUP(K28,源_3考勤报表_考勤表!$F:$BG,34,FALSE),0)+IFERROR(VLOOKUP(K28,源_8补工时表_补当月工时!$A:$AC,14,FALSE),0)),0))</f>
        <v>168</v>
      </c>
      <c r="R28">
        <v>7488</v>
      </c>
      <c r="S28">
        <v>0</v>
      </c>
      <c r="T28">
        <f>IF(P28="门店全职",R28/参数!$B$4*(Q28-MAX(IFERROR(VLOOKUP(K28,源_3考勤报表_考勤表!$F:$BG,34,FALSE),0)+IFERROR(VLOOKUP(K28,源_8补工时表_补当月工时!$A:$AC,14,FALSE),0)+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参数!$B$4,0)),R28/参数!$B$4*Q28)</f>
        <v>6836.8695652173919</v>
      </c>
      <c r="U28">
        <v>0</v>
      </c>
      <c r="V28">
        <v>0</v>
      </c>
      <c r="W28">
        <f t="shared" si="0"/>
        <v>12.5</v>
      </c>
      <c r="X28">
        <f>IFERROR(VLOOKUP(K28,源_4奖金汇总表_拆分手工算!$A:$N,8,FALSE),0)</f>
        <v>12.5</v>
      </c>
      <c r="Y28">
        <f>IFERROR(VLOOKUP(K28,源_5薪资备忘录_工资调整项!$A:$AC,14,FALSE),0)</f>
        <v>0</v>
      </c>
      <c r="Z28">
        <f>IFERROR(VLOOKUP(K28,源_5薪资备忘录_工资调整项!$A:$AC,16,FALSE),0)</f>
        <v>0</v>
      </c>
      <c r="AA28">
        <f>IFERROR(VLOOKUP(K28,源_5薪资备忘录_工资调整项!$A:$AC,15,FALSE),0)</f>
        <v>0</v>
      </c>
      <c r="AB28">
        <f t="shared" si="1"/>
        <v>0</v>
      </c>
      <c r="AC28">
        <f>IF(P28="门店全职",R28/174*MAX(IFERROR(VLOOKUP(K28,源_3考勤报表_考勤表!$F:$BG,34,FALSE),0)+IFERROR(VLOOKUP(K28,源_8补工时表_补当月工时!$A:$AC,14,FALSE),0)+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参数!$B$4,0)*1.5,0)</f>
        <v>0</v>
      </c>
      <c r="AD28">
        <v>0</v>
      </c>
      <c r="AE28">
        <f>IFERROR(VLOOKUP(K28,源_3考勤报表_考勤表!$F:$BG,46,FALSE),0)+IFERROR(VLOOKUP(K28,源_8补工时表_补当月工时!$A:$AC,25,FALSE),0)</f>
        <v>0</v>
      </c>
      <c r="AF28">
        <f t="shared" si="2"/>
        <v>0</v>
      </c>
      <c r="AG28">
        <f>IFERROR(VLOOKUP(K28,源_4奖金汇总表_拆分手工算!$A:$N,10,FALSE),0)</f>
        <v>0</v>
      </c>
      <c r="AH28">
        <f>IFERROR(VLOOKUP(K28,源_4奖金汇总表_拆分手工算!$A:$N,5,FALSE),0)</f>
        <v>0</v>
      </c>
      <c r="AI28">
        <f>IFERROR(VLOOKUP(K28,源_4奖金汇总表_拆分手工算!$A:$N,11,FALSE),0)</f>
        <v>0</v>
      </c>
      <c r="AJ28">
        <f>IFERROR(VLOOKUP(K28,源_4奖金汇总表_拆分手工算!$A:$N,4,FALSE),0)</f>
        <v>0</v>
      </c>
      <c r="AK28">
        <f>IFERROR(VLOOKUP(K28,源_4奖金汇总表_拆分手工算!$A:$N,3,FALSE),0)</f>
        <v>0</v>
      </c>
      <c r="AL28">
        <f>IFERROR(VLOOKUP(K28,源_4奖金汇总表_拆分手工算!$A:$N,6,FALSE),0)</f>
        <v>0</v>
      </c>
      <c r="AM28">
        <f>IFERROR(VLOOKUP(K28,源_5薪资备忘录_工资调整项!$A:$AC,18,FALSE),0)+IFERROR(VLOOKUP(K28,源_4奖金汇总表_拆分手工算!$A:$N,7,FALSE),0)</f>
        <v>0</v>
      </c>
      <c r="AN28">
        <f>IFERROR(VLOOKUP(K28,源_5薪资备忘录_工资调整项!$A:$AC,17,FALSE),0)</f>
        <v>0</v>
      </c>
      <c r="AO28">
        <f>IF(OR(IFERROR(VLOOKUP(K28,源_3考勤报表_考勤表!$F:$BG,39,FALSE),0)+IFERROR(VLOOKUP(K28,源_8补工时表_补当月工时!$A:$AC,24,FALSE),0)&gt;0,IFERROR(VLOOKUP(K28,源_3考勤报表_考勤表!$F:$BG,43,FALSE),0)+IFERROR(VLOOKUP(K28,源_8补工时表_补当月工时!$A:$AC,26,FALSE),0)&gt;0),IF(IFERROR(VLOOKUP(DH28,源_11产假政策_Sheet1!$C:$F,4,FALSE),"")="是",R28/参数!$B$4*(IFERROR(VLOOKUP(K28,源_3考勤报表_考勤表!$F:$BG,39,FALSE),0)+IFERROR(VLOOKUP(K28,源_8补工时表_补当月工时!$A:$AC,24,FALSE),0)+IFERROR(VLOOKUP(K28,源_3考勤报表_考勤表!$F:$BG,43,FALSE),0)+IFERROR(VLOOKUP(K28,源_8补工时表_补当月工时!$A:$AC,26,FALSE),0)),IFERROR(VLOOKUP(K28,源_5薪资备忘录_工资调整项!$A:$AC,19,FALSE),0)),0)</f>
        <v>0</v>
      </c>
      <c r="AP28">
        <v>0</v>
      </c>
      <c r="AQ28">
        <f>IFERROR(VLOOKUP(K28,源_4奖金汇总表_拆分手工算!$A:$N,12,FALSE),0)+IFERROR(VLOOKUP(K28,源_9年终奖表_Sheet1!$A:$E,3,FALSE),0)</f>
        <v>1200</v>
      </c>
      <c r="AR28">
        <f>IFERROR(VLOOKUP(K28,源_4奖金汇总表_拆分手工算!$A:$N,13,FALSE),0)+IFERROR(VLOOKUP(K28,源_9年终奖表_Sheet1!$A:$E,4,FALSE),0)</f>
        <v>600</v>
      </c>
      <c r="AS28">
        <f>IFERROR(VLOOKUP(K28,源_4奖金汇总表_拆分手工算!$A:$N,14,FALSE),0)+IFERROR(VLOOKUP(K28,源_9年终奖表_Sheet1!$A:$E,5,FALSE),0)</f>
        <v>222.22</v>
      </c>
      <c r="AT28">
        <f>IFERROR(VLOOKUP(K28,源_5薪资备忘录_工资调整项!$A:$AC,20,FALSE),0)</f>
        <v>0</v>
      </c>
      <c r="AU28">
        <f>IFERROR(VLOOKUP(K28,源_5薪资备忘录_工资调整项!$A:$AC,21,FALSE),0)+IFERROR(VLOOKUP(K28,源_4奖金汇总表_拆分手工算!$A:$N,9,FALSE),0)</f>
        <v>0</v>
      </c>
      <c r="AV28">
        <f>R28/参数!$B$4*(IFERROR(VLOOKUP(K28,源_3考勤报表_考勤表!$F:$BG,37,FALSE),0)+IFERROR(VLOOKUP(K28,源_8补工时表_补当月工时!$A:$AC,15,FALSE),0))</f>
        <v>651.13043478260875</v>
      </c>
      <c r="AW28">
        <f>R28/174*MIN(IFERROR(VLOOKUP(K28,源_3考勤报表_考勤表!$F:$BG,35,FALSE),0),174)*IF(DATEDIF(N28,DATE(参数!$B$2,参数!$B$3+1,0),"Y")&lt;2,0.6,IF(DATEDIF(N28,DATE(参数!$B$2,参数!$B$3+1,0),"Y")&lt;4,0.7,IF(DATEDIF(N28,DATE(参数!$B$2,参数!$B$3+1,0),"Y")&lt;6,0.8,IF(DATEDIF(N28,DATE(参数!$B$2,参数!$B$3+1,0),"Y")&lt;8,0.9,1))))</f>
        <v>0</v>
      </c>
      <c r="AX28">
        <f>IF(Q28+IFERROR(VLOOKUP(K28,源_3考勤报表_考勤表!$F:$BG,37,FALSE),0)+IFERROR(VLOOKUP(K28,源_8补工时表_补当月工时!$A:$AC,15,FALSE),0)&gt;=参数!$B$4,0,IF(Q28+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lt;=参数!$B$4,R28/参数!$B$4*(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0))</f>
        <v>0</v>
      </c>
      <c r="AY28">
        <v>0</v>
      </c>
      <c r="AZ28">
        <v>0</v>
      </c>
      <c r="BA28">
        <v>0</v>
      </c>
      <c r="BB28">
        <v>0</v>
      </c>
      <c r="BC28">
        <f>IFERROR(VLOOKUP(K28,源_5薪资备忘录_工资调整项!$A:$AC,25,FALSE),0)</f>
        <v>0</v>
      </c>
      <c r="BD28">
        <v>0</v>
      </c>
      <c r="BE28">
        <v>0</v>
      </c>
      <c r="BF28">
        <v>0</v>
      </c>
      <c r="BG28">
        <f>IFERROR(VLOOKUP(K28,源_5薪资备忘录_工资调整项!$A:$AC,22,FALSE),0)+IFERROR(VLOOKUP(K28,源_5薪资备忘录_工资调整项!$A:$AC,23,FALSE),0)+IFERROR(VLOOKUP(K28,源_5薪资备忘录_工资调整项!$A:$AC,24,FALSE),0)</f>
        <v>0</v>
      </c>
      <c r="BH28">
        <f>IFERROR(VLOOKUP(DF28,源_6社保表_Sheet1!$C:$CD,80,FALSE),0)+4.5</f>
        <v>6.5</v>
      </c>
      <c r="BI28">
        <f t="shared" si="3"/>
        <v>9522.7199999999993</v>
      </c>
      <c r="BJ28">
        <f>IFERROR(VLOOKUP(DF28,源_6社保表_Sheet1!$C:$BZ,26,FALSE),0)</f>
        <v>670.48</v>
      </c>
      <c r="BK28">
        <f>IFERROR(VLOOKUP(DF28,源_6社保表_Sheet1!$C:$BZ,27,FALSE),0)</f>
        <v>167.62</v>
      </c>
      <c r="BL28">
        <f>IFERROR(VLOOKUP(DF28,源_6社保表_Sheet1!$C:$BZ,28,FALSE),0)</f>
        <v>41.905000000000001</v>
      </c>
      <c r="BM28">
        <f>IFERROR(VLOOKUP(DF28,源_6社保表_Sheet1!$C:$BZ,30,FALSE),0)</f>
        <v>586.66999999999996</v>
      </c>
      <c r="BN28">
        <f>IFERROR(VLOOKUP(DF28,源_6社保表_Sheet1!$C:$BZ,29,FALSE),0)</f>
        <v>0</v>
      </c>
      <c r="BO28">
        <f>IFERROR(VLOOKUP(DF28,源_6社保表_Sheet1!$C:$BZ,40,FALSE),0)</f>
        <v>0</v>
      </c>
      <c r="BP28">
        <f>IFERROR(VLOOKUP(DF28,源_6社保表_Sheet1!$C:$BZ,41,FALSE),0)</f>
        <v>0</v>
      </c>
      <c r="BQ28">
        <f>IFERROR(VLOOKUP(DF28,源_6社保表_Sheet1!$C:$BZ,42,FALSE),0)</f>
        <v>0</v>
      </c>
      <c r="BR28">
        <f>IFERROR(VLOOKUP(DF28,源_6社保表_Sheet1!$C:$BZ,44,FALSE),0)</f>
        <v>0</v>
      </c>
      <c r="BS28">
        <f>IFERROR(VLOOKUP(DF28,源_6社保表_Sheet1!$C:$BZ,43,FALSE),0)</f>
        <v>0</v>
      </c>
      <c r="BT28">
        <f t="shared" si="4"/>
        <v>1466.675</v>
      </c>
      <c r="BU28">
        <v>0</v>
      </c>
      <c r="BV28">
        <v>0</v>
      </c>
      <c r="BW28">
        <v>0</v>
      </c>
      <c r="BX28">
        <f t="shared" si="5"/>
        <v>0</v>
      </c>
      <c r="BY28">
        <v>0</v>
      </c>
      <c r="BZ28">
        <f>IFERROR(VLOOKUP(DF28,源_6社保表_Sheet1!$C:$BZ,18,FALSE),0)</f>
        <v>1340.96</v>
      </c>
      <c r="CA28">
        <f>IFERROR(VLOOKUP(DF28,源_6社保表_Sheet1!$C:$BZ,19,FALSE),0)</f>
        <v>754.29</v>
      </c>
      <c r="CB28">
        <f>IFERROR(VLOOKUP(DF28,源_6社保表_Sheet1!$C:$BZ,24,FALSE),0)</f>
        <v>586.66999999999996</v>
      </c>
      <c r="CC28">
        <f>IFERROR(VLOOKUP(DF28,源_6社保表_Sheet1!$C:$BZ,20,FALSE),0)</f>
        <v>41.905000000000001</v>
      </c>
      <c r="CD28">
        <f>IFERROR(VLOOKUP(DF28,源_6社保表_Sheet1!$C:$BZ,21,FALSE),0)</f>
        <v>26.819199999999999</v>
      </c>
      <c r="CE28">
        <f>IFERROR(VLOOKUP(DF28,源_6社保表_Sheet1!$C:$BZ,22,FALSE),0)</f>
        <v>0</v>
      </c>
      <c r="CF28">
        <f>IFERROR(VLOOKUP(DF28,源_6社保表_Sheet1!$C:$BZ,23,FALSE),0)</f>
        <v>0</v>
      </c>
      <c r="CG28">
        <f>IFERROR(VLOOKUP(DF28,源_6社保表_Sheet1!$C:$BZ,32,FALSE),0)</f>
        <v>0</v>
      </c>
      <c r="CH28">
        <f>IFERROR(VLOOKUP(DF28,源_6社保表_Sheet1!$C:$BZ,33,FALSE),0)</f>
        <v>0</v>
      </c>
      <c r="CI28">
        <f>IFERROR(VLOOKUP(DF28,源_6社保表_Sheet1!$C:$BZ,34,FALSE),0)</f>
        <v>0</v>
      </c>
      <c r="CJ28">
        <f>IFERROR(VLOOKUP(DF28,源_6社保表_Sheet1!$C:$BZ,38,FALSE),0)</f>
        <v>0</v>
      </c>
      <c r="CK28">
        <f>IFERROR(VLOOKUP(DF28,源_6社保表_Sheet1!$C:$BZ,35,FALSE),0)</f>
        <v>0</v>
      </c>
      <c r="CL28">
        <f>IFERROR(VLOOKUP(DF28,源_6社保表_Sheet1!$C:$BZ,36,FALSE),0)</f>
        <v>0</v>
      </c>
      <c r="CM28">
        <f>IFERROR(VLOOKUP(DF28,源_6社保表_Sheet1!$C:$BZ,37,FALSE),0)</f>
        <v>0</v>
      </c>
      <c r="CN28">
        <f t="shared" si="6"/>
        <v>2750.6442000000002</v>
      </c>
      <c r="CO28">
        <f t="shared" si="7"/>
        <v>12279.8642</v>
      </c>
      <c r="CP28">
        <f>IF(IFERROR(VLOOKUP(K28,源_13残疾人信息_残疾人信息!$A:$M,1,FALSE),"")&lt;&gt;"",0,IF(OR(P28="门店全职",P28="门店管理组",P28="全职(非门店)"),(BI28-AT28)*IFERROR(VLOOKUP(D28,源_12计提残保金规则_Sheet1!$A:$E,4,FALSE),0)*IFERROR(VLOOKUP(D28,源_12计提残保金规则_Sheet1!$A:$E,5,FALSE),0),0))</f>
        <v>128.55671999999998</v>
      </c>
      <c r="CQ28">
        <f t="shared" si="8"/>
        <v>16.05</v>
      </c>
      <c r="CR28">
        <f t="shared" si="9"/>
        <v>20.67</v>
      </c>
      <c r="CS28">
        <f>IF(DATEVALUE(N28)&gt;DATE(参数!$B$2,9,30),0,IF(M28="行政",0,IF(O28="",R28/12,IF(MONTH(DATEVALUE(O28))=参数!$B$3,0,IF(DATEVALUE(O28)&lt;DATE(参数!$B$2,参数!$B$3,1),0,R28/12)))))</f>
        <v>624</v>
      </c>
      <c r="CT28">
        <f t="shared" si="10"/>
        <v>763.77599999999995</v>
      </c>
      <c r="CU28">
        <f>IFERROR(VLOOKUP(DF28,源_6社保表_Sheet1!$C:$I,2,FALSE),0)</f>
        <v>8381</v>
      </c>
      <c r="CV28">
        <f>IFERROR(VLOOKUP(DF28,源_6社保表_Sheet1!$C:$I,7,FALSE),0)</f>
        <v>8381</v>
      </c>
      <c r="CW28">
        <f>IFERROR(VLOOKUP(DF28,源_6社保表_Sheet1!$C:$I,3,FALSE),0)</f>
        <v>8381</v>
      </c>
      <c r="CX28">
        <f>IFERROR(VLOOKUP(DF28,源_6社保表_Sheet1!$C:$I,4,FALSE),0)</f>
        <v>8381</v>
      </c>
      <c r="CY28">
        <f>IFERROR(VLOOKUP(DF28,源_6社保表_Sheet1!$C:$I,5,FALSE),0)</f>
        <v>8381</v>
      </c>
      <c r="CZ28">
        <f>IFERROR(VLOOKUP(DF28,源_6社保表_Sheet1!$C:$I,6,FALSE),0)</f>
        <v>0</v>
      </c>
      <c r="DA28">
        <f t="shared" si="11"/>
        <v>10251.144200000001</v>
      </c>
      <c r="DB28">
        <f t="shared" si="12"/>
        <v>11810.69692</v>
      </c>
      <c r="DC28" t="str">
        <f>IFERROR(VLOOKUP(K28,源_7银行卡表_Sheet1!$A:$J,8,FALSE),"")</f>
        <v>浦发银行</v>
      </c>
      <c r="DD28" t="str">
        <f>IFERROR(VLOOKUP(K28,源_7银行卡表_Sheet1!$A:$J,9,FALSE),"")</f>
        <v>6688543390746746663</v>
      </c>
      <c r="DE28" t="str">
        <f>IFERROR(VLOOKUP(K28,源_7银行卡表_Sheet1!$A:$J,10,FALSE),"")</f>
        <v>深圳百花支行</v>
      </c>
      <c r="DF28" t="s">
        <v>264</v>
      </c>
      <c r="DG28">
        <v>18768350129</v>
      </c>
      <c r="DH28" t="s">
        <v>133</v>
      </c>
      <c r="DI28">
        <v>0</v>
      </c>
      <c r="DJ28">
        <v>0</v>
      </c>
      <c r="DK28">
        <v>0</v>
      </c>
      <c r="DL28">
        <v>0</v>
      </c>
      <c r="DM28">
        <v>0</v>
      </c>
      <c r="DN28">
        <v>0</v>
      </c>
      <c r="DO28">
        <v>0</v>
      </c>
      <c r="DP28">
        <v>0</v>
      </c>
      <c r="DQ28">
        <v>0</v>
      </c>
      <c r="DR28">
        <f>IF(OR(IFERROR(VLOOKUP(K28,源_3考勤报表_考勤表!$F:$BG,39,FALSE),0)+IFERROR(VLOOKUP(K28,源_8补工时表_补当月工时!$A:$AC,24,FALSE),0)=0,IFERROR(VLOOKUP(K28,源_3考勤报表_考勤表!$F:$BG,43,FALSE),0)+IFERROR(VLOOKUP(K28,源_8补工时表_补当月工时!$A:$AC,26,FALSE),0)=0),IF(BI28+BG28-BT28&lt;0,BI28+BG28-BT28,0),0)</f>
        <v>0</v>
      </c>
    </row>
    <row r="29" spans="1:122" x14ac:dyDescent="0.15">
      <c r="A29">
        <f>参数!$B$2</f>
        <v>2025</v>
      </c>
      <c r="B29">
        <f>参数!$B$3</f>
        <v>12</v>
      </c>
      <c r="D29" t="s">
        <v>165</v>
      </c>
      <c r="E29" t="s">
        <v>123</v>
      </c>
      <c r="F29" t="str">
        <f>IFERROR(VLOOKUP(K29,源_7银行卡表_Sheet1!$A:$J,6,FALSE),"")</f>
        <v>华北营运</v>
      </c>
      <c r="G29" t="s">
        <v>166</v>
      </c>
      <c r="H29" t="s">
        <v>265</v>
      </c>
      <c r="I29" t="s">
        <v>168</v>
      </c>
      <c r="J29">
        <v>1</v>
      </c>
      <c r="K29">
        <v>26123028</v>
      </c>
      <c r="L29" t="s">
        <v>266</v>
      </c>
      <c r="M29" t="s">
        <v>170</v>
      </c>
      <c r="N29" t="s">
        <v>267</v>
      </c>
      <c r="P29" t="s">
        <v>154</v>
      </c>
      <c r="Q29">
        <f>IF(P29="门店全职",IFERROR(VLOOKUP(K29,源_3考勤报表_考勤表!$F:$BG,34,FALSE),0)+IFERROR(VLOOKUP(K29,源_8补工时表_补当月工时!$A:$AC,14,FALSE),0),IF(P29="门店管理组",IF(IFERROR(VLOOKUP(K29,源_3考勤报表_考勤表!$F:$BG,34,FALSE),0)+IFERROR(VLOOKUP(K29,源_8补工时表_补当月工时!$A:$AC,14,FALSE),0)+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44,FALSE),0)+IFERROR(VLOOKUP(K29,源_8补工时表_补当月工时!$A:$AC,16,FALSE),0)+IFERROR(VLOOKUP(K29,源_3考勤报表_考勤表!$F:$BG,45,FALSE),0)&gt;=参数!$B$4,参数!$B$4-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44,FALSE),0)-IFERROR(VLOOKUP(K29,源_8补工时表_补当月工时!$A:$AC,16,FALSE),0)-IFERROR(VLOOKUP(K29,源_3考勤报表_考勤表!$F:$BG,45,FALSE),0),IFERROR(VLOOKUP(K29,源_3考勤报表_考勤表!$F:$BG,34,FALSE),0)+IFERROR(VLOOKUP(K29,源_8补工时表_补当月工时!$A:$AC,14,FALSE),0)),0))</f>
        <v>0</v>
      </c>
      <c r="R29">
        <v>3130</v>
      </c>
      <c r="S29">
        <v>0</v>
      </c>
      <c r="T29">
        <f>IF(P29="门店全职",R29/参数!$B$4*(Q29-MAX(IFERROR(VLOOKUP(K29,源_3考勤报表_考勤表!$F:$BG,34,FALSE),0)+IFERROR(VLOOKUP(K29,源_8补工时表_补当月工时!$A:$AC,14,FALSE),0)+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参数!$B$4,0)),R29/参数!$B$4*Q29)</f>
        <v>0</v>
      </c>
      <c r="U29">
        <v>0</v>
      </c>
      <c r="V29">
        <v>0</v>
      </c>
      <c r="W29">
        <f t="shared" si="0"/>
        <v>0</v>
      </c>
      <c r="X29">
        <f>IFERROR(VLOOKUP(K29,源_4奖金汇总表_拆分手工算!$A:$N,8,FALSE),0)</f>
        <v>0</v>
      </c>
      <c r="Y29">
        <f>IFERROR(VLOOKUP(K29,源_5薪资备忘录_工资调整项!$A:$AC,14,FALSE),0)</f>
        <v>0</v>
      </c>
      <c r="Z29">
        <f>IFERROR(VLOOKUP(K29,源_5薪资备忘录_工资调整项!$A:$AC,16,FALSE),0)</f>
        <v>0</v>
      </c>
      <c r="AA29">
        <f>IFERROR(VLOOKUP(K29,源_5薪资备忘录_工资调整项!$A:$AC,15,FALSE),0)</f>
        <v>0</v>
      </c>
      <c r="AB29">
        <f t="shared" si="1"/>
        <v>0</v>
      </c>
      <c r="AC29">
        <f>IF(P29="门店全职",R29/174*MAX(IFERROR(VLOOKUP(K29,源_3考勤报表_考勤表!$F:$BG,34,FALSE),0)+IFERROR(VLOOKUP(K29,源_8补工时表_补当月工时!$A:$AC,14,FALSE),0)+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参数!$B$4,0)*1.5,0)</f>
        <v>0</v>
      </c>
      <c r="AD29">
        <v>0</v>
      </c>
      <c r="AE29">
        <f>IFERROR(VLOOKUP(K29,源_3考勤报表_考勤表!$F:$BG,46,FALSE),0)+IFERROR(VLOOKUP(K29,源_8补工时表_补当月工时!$A:$AC,25,FALSE),0)</f>
        <v>0</v>
      </c>
      <c r="AF29">
        <f t="shared" si="2"/>
        <v>0</v>
      </c>
      <c r="AG29">
        <f>IFERROR(VLOOKUP(K29,源_4奖金汇总表_拆分手工算!$A:$N,10,FALSE),0)</f>
        <v>96</v>
      </c>
      <c r="AH29">
        <f>IFERROR(VLOOKUP(K29,源_4奖金汇总表_拆分手工算!$A:$N,5,FALSE),0)</f>
        <v>0</v>
      </c>
      <c r="AI29">
        <f>IFERROR(VLOOKUP(K29,源_4奖金汇总表_拆分手工算!$A:$N,11,FALSE),0)</f>
        <v>0</v>
      </c>
      <c r="AJ29">
        <f>IFERROR(VLOOKUP(K29,源_4奖金汇总表_拆分手工算!$A:$N,4,FALSE),0)</f>
        <v>0</v>
      </c>
      <c r="AK29">
        <f>IFERROR(VLOOKUP(K29,源_4奖金汇总表_拆分手工算!$A:$N,3,FALSE),0)</f>
        <v>0</v>
      </c>
      <c r="AL29">
        <f>IFERROR(VLOOKUP(K29,源_4奖金汇总表_拆分手工算!$A:$N,6,FALSE),0)</f>
        <v>0</v>
      </c>
      <c r="AM29">
        <f>IFERROR(VLOOKUP(K29,源_5薪资备忘录_工资调整项!$A:$AC,18,FALSE),0)+IFERROR(VLOOKUP(K29,源_4奖金汇总表_拆分手工算!$A:$N,7,FALSE),0)</f>
        <v>0</v>
      </c>
      <c r="AN29">
        <f>IFERROR(VLOOKUP(K29,源_5薪资备忘录_工资调整项!$A:$AC,17,FALSE),0)</f>
        <v>0</v>
      </c>
      <c r="AO29">
        <f>IF(OR(IFERROR(VLOOKUP(K29,源_3考勤报表_考勤表!$F:$BG,39,FALSE),0)+IFERROR(VLOOKUP(K29,源_8补工时表_补当月工时!$A:$AC,24,FALSE),0)&gt;0,IFERROR(VLOOKUP(K29,源_3考勤报表_考勤表!$F:$BG,43,FALSE),0)+IFERROR(VLOOKUP(K29,源_8补工时表_补当月工时!$A:$AC,26,FALSE),0)&gt;0),IF(IFERROR(VLOOKUP(DH29,源_11产假政策_Sheet1!$C:$F,4,FALSE),"")="是",R29/参数!$B$4*(IFERROR(VLOOKUP(K29,源_3考勤报表_考勤表!$F:$BG,39,FALSE),0)+IFERROR(VLOOKUP(K29,源_8补工时表_补当月工时!$A:$AC,24,FALSE),0)+IFERROR(VLOOKUP(K29,源_3考勤报表_考勤表!$F:$BG,43,FALSE),0)+IFERROR(VLOOKUP(K29,源_8补工时表_补当月工时!$A:$AC,26,FALSE),0)),IFERROR(VLOOKUP(K29,源_5薪资备忘录_工资调整项!$A:$AC,19,FALSE),0)),0)</f>
        <v>0</v>
      </c>
      <c r="AP29">
        <v>0</v>
      </c>
      <c r="AQ29">
        <f>IFERROR(VLOOKUP(K29,源_4奖金汇总表_拆分手工算!$A:$N,12,FALSE),0)+IFERROR(VLOOKUP(K29,源_9年终奖表_Sheet1!$A:$E,3,FALSE),0)</f>
        <v>1200</v>
      </c>
      <c r="AR29">
        <f>IFERROR(VLOOKUP(K29,源_4奖金汇总表_拆分手工算!$A:$N,13,FALSE),0)+IFERROR(VLOOKUP(K29,源_9年终奖表_Sheet1!$A:$E,4,FALSE),0)</f>
        <v>600</v>
      </c>
      <c r="AS29">
        <f>IFERROR(VLOOKUP(K29,源_4奖金汇总表_拆分手工算!$A:$N,14,FALSE),0)+IFERROR(VLOOKUP(K29,源_9年终奖表_Sheet1!$A:$E,5,FALSE),0)</f>
        <v>222</v>
      </c>
      <c r="AT29">
        <f>IFERROR(VLOOKUP(K29,源_5薪资备忘录_工资调整项!$A:$AC,20,FALSE),0)</f>
        <v>0</v>
      </c>
      <c r="AU29">
        <f>IFERROR(VLOOKUP(K29,源_5薪资备忘录_工资调整项!$A:$AC,21,FALSE),0)+IFERROR(VLOOKUP(K29,源_4奖金汇总表_拆分手工算!$A:$N,9,FALSE),0)</f>
        <v>0</v>
      </c>
      <c r="AV29">
        <f>R29/参数!$B$4*(IFERROR(VLOOKUP(K29,源_3考勤报表_考勤表!$F:$BG,37,FALSE),0)+IFERROR(VLOOKUP(K29,源_8补工时表_补当月工时!$A:$AC,15,FALSE),0))</f>
        <v>0</v>
      </c>
      <c r="AW29">
        <f>R29/174*MIN(IFERROR(VLOOKUP(K29,源_3考勤报表_考勤表!$F:$BG,35,FALSE),0),174)*IF(DATEDIF(N29,DATE(参数!$B$2,参数!$B$3+1,0),"Y")&lt;2,0.6,IF(DATEDIF(N29,DATE(参数!$B$2,参数!$B$3+1,0),"Y")&lt;4,0.7,IF(DATEDIF(N29,DATE(参数!$B$2,参数!$B$3+1,0),"Y")&lt;6,0.8,IF(DATEDIF(N29,DATE(参数!$B$2,参数!$B$3+1,0),"Y")&lt;8,0.9,1))))</f>
        <v>0</v>
      </c>
      <c r="AX29">
        <f>IF(Q29+IFERROR(VLOOKUP(K29,源_3考勤报表_考勤表!$F:$BG,37,FALSE),0)+IFERROR(VLOOKUP(K29,源_8补工时表_补当月工时!$A:$AC,15,FALSE),0)&gt;=参数!$B$4,0,IF(Q29+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lt;=参数!$B$4,R29/参数!$B$4*(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0))</f>
        <v>0</v>
      </c>
      <c r="AY29">
        <v>0</v>
      </c>
      <c r="AZ29">
        <v>0</v>
      </c>
      <c r="BA29">
        <v>0</v>
      </c>
      <c r="BB29">
        <v>0</v>
      </c>
      <c r="BC29">
        <f>IFERROR(VLOOKUP(K29,源_5薪资备忘录_工资调整项!$A:$AC,25,FALSE),0)</f>
        <v>0</v>
      </c>
      <c r="BD29">
        <v>0</v>
      </c>
      <c r="BE29">
        <v>0</v>
      </c>
      <c r="BF29">
        <v>0</v>
      </c>
      <c r="BG29">
        <f>IFERROR(VLOOKUP(K29,源_5薪资备忘录_工资调整项!$A:$AC,22,FALSE),0)+IFERROR(VLOOKUP(K29,源_5薪资备忘录_工资调整项!$A:$AC,23,FALSE),0)+IFERROR(VLOOKUP(K29,源_5薪资备忘录_工资调整项!$A:$AC,24,FALSE),0)</f>
        <v>0</v>
      </c>
      <c r="BH29">
        <f>IFERROR(VLOOKUP(DF29,源_6社保表_Sheet1!$C:$CD,80,FALSE),0)+4.5</f>
        <v>6.5</v>
      </c>
      <c r="BI29">
        <f t="shared" si="3"/>
        <v>2118</v>
      </c>
      <c r="BJ29">
        <f>IFERROR(VLOOKUP(DF29,源_6社保表_Sheet1!$C:$BZ,26,FALSE),0)</f>
        <v>389.41</v>
      </c>
      <c r="BK29">
        <f>IFERROR(VLOOKUP(DF29,源_6社保表_Sheet1!$C:$BZ,27,FALSE),0)</f>
        <v>55.63</v>
      </c>
      <c r="BL29">
        <f>IFERROR(VLOOKUP(DF29,源_6社保表_Sheet1!$C:$BZ,28,FALSE),0)</f>
        <v>27.815000000000001</v>
      </c>
      <c r="BM29">
        <f>IFERROR(VLOOKUP(DF29,源_6社保表_Sheet1!$C:$BZ,30,FALSE),0)</f>
        <v>333.78</v>
      </c>
      <c r="BN29">
        <f>IFERROR(VLOOKUP(DF29,源_6社保表_Sheet1!$C:$BZ,29,FALSE),0)</f>
        <v>0</v>
      </c>
      <c r="BO29">
        <f>IFERROR(VLOOKUP(DF29,源_6社保表_Sheet1!$C:$BZ,40,FALSE),0)</f>
        <v>0</v>
      </c>
      <c r="BP29">
        <f>IFERROR(VLOOKUP(DF29,源_6社保表_Sheet1!$C:$BZ,41,FALSE),0)</f>
        <v>0</v>
      </c>
      <c r="BQ29">
        <f>IFERROR(VLOOKUP(DF29,源_6社保表_Sheet1!$C:$BZ,42,FALSE),0)</f>
        <v>0</v>
      </c>
      <c r="BR29">
        <f>IFERROR(VLOOKUP(DF29,源_6社保表_Sheet1!$C:$BZ,44,FALSE),0)</f>
        <v>0</v>
      </c>
      <c r="BS29">
        <f>IFERROR(VLOOKUP(DF29,源_6社保表_Sheet1!$C:$BZ,43,FALSE),0)</f>
        <v>0</v>
      </c>
      <c r="BT29">
        <f t="shared" si="4"/>
        <v>806.63499999999999</v>
      </c>
      <c r="BU29">
        <v>0</v>
      </c>
      <c r="BV29">
        <v>0</v>
      </c>
      <c r="BW29">
        <v>0</v>
      </c>
      <c r="BX29">
        <f t="shared" si="5"/>
        <v>0</v>
      </c>
      <c r="BY29">
        <v>0</v>
      </c>
      <c r="BZ29">
        <f>IFERROR(VLOOKUP(DF29,源_6社保表_Sheet1!$C:$BZ,18,FALSE),0)</f>
        <v>834.45</v>
      </c>
      <c r="CA29">
        <f>IFERROR(VLOOKUP(DF29,源_6社保表_Sheet1!$C:$BZ,19,FALSE),0)</f>
        <v>445.04</v>
      </c>
      <c r="CB29">
        <f>IFERROR(VLOOKUP(DF29,源_6社保表_Sheet1!$C:$BZ,24,FALSE),0)</f>
        <v>333.78</v>
      </c>
      <c r="CC29">
        <f>IFERROR(VLOOKUP(DF29,源_6社保表_Sheet1!$C:$BZ,20,FALSE),0)</f>
        <v>27.815000000000001</v>
      </c>
      <c r="CD29">
        <f>IFERROR(VLOOKUP(DF29,源_6社保表_Sheet1!$C:$BZ,21,FALSE),0)</f>
        <v>17.801600000000001</v>
      </c>
      <c r="CE29">
        <f>IFERROR(VLOOKUP(DF29,源_6社保表_Sheet1!$C:$BZ,22,FALSE),0)</f>
        <v>0</v>
      </c>
      <c r="CF29">
        <f>IFERROR(VLOOKUP(DF29,源_6社保表_Sheet1!$C:$BZ,23,FALSE),0)</f>
        <v>0</v>
      </c>
      <c r="CG29">
        <f>IFERROR(VLOOKUP(DF29,源_6社保表_Sheet1!$C:$BZ,32,FALSE),0)</f>
        <v>0</v>
      </c>
      <c r="CH29">
        <f>IFERROR(VLOOKUP(DF29,源_6社保表_Sheet1!$C:$BZ,33,FALSE),0)</f>
        <v>0</v>
      </c>
      <c r="CI29">
        <f>IFERROR(VLOOKUP(DF29,源_6社保表_Sheet1!$C:$BZ,34,FALSE),0)</f>
        <v>0</v>
      </c>
      <c r="CJ29">
        <f>IFERROR(VLOOKUP(DF29,源_6社保表_Sheet1!$C:$BZ,38,FALSE),0)</f>
        <v>0</v>
      </c>
      <c r="CK29">
        <f>IFERROR(VLOOKUP(DF29,源_6社保表_Sheet1!$C:$BZ,35,FALSE),0)</f>
        <v>0</v>
      </c>
      <c r="CL29">
        <f>IFERROR(VLOOKUP(DF29,源_6社保表_Sheet1!$C:$BZ,36,FALSE),0)</f>
        <v>0</v>
      </c>
      <c r="CM29">
        <f>IFERROR(VLOOKUP(DF29,源_6社保表_Sheet1!$C:$BZ,37,FALSE),0)</f>
        <v>0</v>
      </c>
      <c r="CN29">
        <f t="shared" si="6"/>
        <v>1658.8866</v>
      </c>
      <c r="CO29">
        <f t="shared" si="7"/>
        <v>3783.3865999999998</v>
      </c>
      <c r="CP29">
        <f>IF(IFERROR(VLOOKUP(K29,源_13残疾人信息_残疾人信息!$A:$M,1,FALSE),"")&lt;&gt;"",0,IF(OR(P29="门店全职",P29="门店管理组",P29="全职(非门店)"),(BI29-AT29)*IFERROR(VLOOKUP(D29,源_12计提残保金规则_Sheet1!$A:$E,4,FALSE),0)*IFERROR(VLOOKUP(D29,源_12计提残保金规则_Sheet1!$A:$E,5,FALSE),0),0))</f>
        <v>28.593</v>
      </c>
      <c r="CQ29">
        <f t="shared" si="8"/>
        <v>16.05</v>
      </c>
      <c r="CR29">
        <f t="shared" si="9"/>
        <v>20.67</v>
      </c>
      <c r="CS29">
        <f>IF(DATEVALUE(N29)&gt;DATE(参数!$B$2,9,30),0,IF(M29="行政",0,IF(O29="",R29/12,IF(MONTH(DATEVALUE(O29))=参数!$B$3,0,IF(DATEVALUE(O29)&lt;DATE(参数!$B$2,参数!$B$3,1),0,R29/12)))))</f>
        <v>260.83333333333331</v>
      </c>
      <c r="CT29">
        <f t="shared" si="10"/>
        <v>0</v>
      </c>
      <c r="CU29">
        <f>IFERROR(VLOOKUP(DF29,源_6社保表_Sheet1!$C:$I,2,FALSE),0)</f>
        <v>5563</v>
      </c>
      <c r="CV29">
        <f>IFERROR(VLOOKUP(DF29,源_6社保表_Sheet1!$C:$I,7,FALSE),0)</f>
        <v>5563</v>
      </c>
      <c r="CW29">
        <f>IFERROR(VLOOKUP(DF29,源_6社保表_Sheet1!$C:$I,3,FALSE),0)</f>
        <v>5563</v>
      </c>
      <c r="CX29">
        <f>IFERROR(VLOOKUP(DF29,源_6社保表_Sheet1!$C:$I,4,FALSE),0)</f>
        <v>5563</v>
      </c>
      <c r="CY29">
        <f>IFERROR(VLOOKUP(DF29,源_6社保表_Sheet1!$C:$I,5,FALSE),0)</f>
        <v>5563</v>
      </c>
      <c r="CZ29">
        <f>IFERROR(VLOOKUP(DF29,源_6社保表_Sheet1!$C:$I,6,FALSE),0)</f>
        <v>0</v>
      </c>
      <c r="DA29">
        <f t="shared" si="11"/>
        <v>1658.8865999999998</v>
      </c>
      <c r="DB29">
        <f t="shared" si="12"/>
        <v>1991.5329333333332</v>
      </c>
      <c r="DC29" t="str">
        <f>IFERROR(VLOOKUP(K29,源_7银行卡表_Sheet1!$A:$J,8,FALSE),"")</f>
        <v>建设银行</v>
      </c>
      <c r="DD29" t="str">
        <f>IFERROR(VLOOKUP(K29,源_7银行卡表_Sheet1!$A:$J,9,FALSE),"")</f>
        <v>6287485378026298013</v>
      </c>
      <c r="DE29" t="str">
        <f>IFERROR(VLOOKUP(K29,源_7银行卡表_Sheet1!$A:$J,10,FALSE),"")</f>
        <v>深圳西乡大道支行</v>
      </c>
      <c r="DF29" t="s">
        <v>268</v>
      </c>
      <c r="DG29">
        <v>17726928600</v>
      </c>
      <c r="DH29" t="s">
        <v>166</v>
      </c>
      <c r="DI29">
        <v>0</v>
      </c>
      <c r="DJ29">
        <v>0</v>
      </c>
      <c r="DK29">
        <v>0</v>
      </c>
      <c r="DL29">
        <v>0</v>
      </c>
      <c r="DM29">
        <v>0</v>
      </c>
      <c r="DN29">
        <v>0</v>
      </c>
      <c r="DO29">
        <v>0</v>
      </c>
      <c r="DP29">
        <v>0</v>
      </c>
      <c r="DQ29">
        <v>0</v>
      </c>
      <c r="DR29">
        <f>IF(OR(IFERROR(VLOOKUP(K29,源_3考勤报表_考勤表!$F:$BG,39,FALSE),0)+IFERROR(VLOOKUP(K29,源_8补工时表_补当月工时!$A:$AC,24,FALSE),0)=0,IFERROR(VLOOKUP(K29,源_3考勤报表_考勤表!$F:$BG,43,FALSE),0)+IFERROR(VLOOKUP(K29,源_8补工时表_补当月工时!$A:$AC,26,FALSE),0)=0),IF(BI29+BG29-BT29&lt;0,BI29+BG29-BT29,0),0)</f>
        <v>0</v>
      </c>
    </row>
    <row r="30" spans="1:122" x14ac:dyDescent="0.15">
      <c r="A30">
        <f>参数!$B$2</f>
        <v>2025</v>
      </c>
      <c r="B30">
        <f>参数!$B$3</f>
        <v>12</v>
      </c>
      <c r="D30" t="s">
        <v>147</v>
      </c>
      <c r="E30" t="s">
        <v>123</v>
      </c>
      <c r="F30" t="str">
        <f>IFERROR(VLOOKUP(K30,源_7银行卡表_Sheet1!$A:$J,6,FALSE),"")</f>
        <v>华北营运</v>
      </c>
      <c r="G30" t="s">
        <v>148</v>
      </c>
      <c r="H30" t="s">
        <v>269</v>
      </c>
      <c r="I30" t="s">
        <v>150</v>
      </c>
      <c r="J30">
        <v>1</v>
      </c>
      <c r="K30">
        <v>26123029</v>
      </c>
      <c r="L30" t="s">
        <v>270</v>
      </c>
      <c r="M30" t="s">
        <v>152</v>
      </c>
      <c r="N30" t="s">
        <v>271</v>
      </c>
      <c r="P30" t="s">
        <v>154</v>
      </c>
      <c r="Q30">
        <f>IF(P30="门店全职",IFERROR(VLOOKUP(K30,源_3考勤报表_考勤表!$F:$BG,34,FALSE),0)+IFERROR(VLOOKUP(K30,源_8补工时表_补当月工时!$A:$AC,14,FALSE),0),IF(P30="门店管理组",IF(IFERROR(VLOOKUP(K30,源_3考勤报表_考勤表!$F:$BG,34,FALSE),0)+IFERROR(VLOOKUP(K30,源_8补工时表_补当月工时!$A:$AC,14,FALSE),0)+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44,FALSE),0)+IFERROR(VLOOKUP(K30,源_8补工时表_补当月工时!$A:$AC,16,FALSE),0)+IFERROR(VLOOKUP(K30,源_3考勤报表_考勤表!$F:$BG,45,FALSE),0)&gt;=参数!$B$4,参数!$B$4-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44,FALSE),0)-IFERROR(VLOOKUP(K30,源_8补工时表_补当月工时!$A:$AC,16,FALSE),0)-IFERROR(VLOOKUP(K30,源_3考勤报表_考勤表!$F:$BG,45,FALSE),0),IFERROR(VLOOKUP(K30,源_3考勤报表_考勤表!$F:$BG,34,FALSE),0)+IFERROR(VLOOKUP(K30,源_8补工时表_补当月工时!$A:$AC,14,FALSE),0)),0))</f>
        <v>40</v>
      </c>
      <c r="R30">
        <v>3730</v>
      </c>
      <c r="S30">
        <v>0</v>
      </c>
      <c r="T30">
        <f>IF(P30="门店全职",R30/参数!$B$4*(Q30-MAX(IFERROR(VLOOKUP(K30,源_3考勤报表_考勤表!$F:$BG,34,FALSE),0)+IFERROR(VLOOKUP(K30,源_8补工时表_补当月工时!$A:$AC,14,FALSE),0)+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参数!$B$4,0)),R30/参数!$B$4*Q30)</f>
        <v>810.86956521739125</v>
      </c>
      <c r="U30">
        <v>0</v>
      </c>
      <c r="V30">
        <v>0</v>
      </c>
      <c r="W30">
        <f t="shared" si="0"/>
        <v>0</v>
      </c>
      <c r="X30">
        <f>IFERROR(VLOOKUP(K30,源_4奖金汇总表_拆分手工算!$A:$N,8,FALSE),0)</f>
        <v>0</v>
      </c>
      <c r="Y30">
        <f>IFERROR(VLOOKUP(K30,源_5薪资备忘录_工资调整项!$A:$AC,14,FALSE),0)</f>
        <v>0</v>
      </c>
      <c r="Z30">
        <f>IFERROR(VLOOKUP(K30,源_5薪资备忘录_工资调整项!$A:$AC,16,FALSE),0)</f>
        <v>0</v>
      </c>
      <c r="AA30">
        <f>IFERROR(VLOOKUP(K30,源_5薪资备忘录_工资调整项!$A:$AC,15,FALSE),0)</f>
        <v>0</v>
      </c>
      <c r="AB30">
        <f t="shared" si="1"/>
        <v>0</v>
      </c>
      <c r="AC30">
        <f>IF(P30="门店全职",R30/174*MAX(IFERROR(VLOOKUP(K30,源_3考勤报表_考勤表!$F:$BG,34,FALSE),0)+IFERROR(VLOOKUP(K30,源_8补工时表_补当月工时!$A:$AC,14,FALSE),0)+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参数!$B$4,0)*1.5,0)</f>
        <v>0</v>
      </c>
      <c r="AD30">
        <v>0</v>
      </c>
      <c r="AE30">
        <f>IFERROR(VLOOKUP(K30,源_3考勤报表_考勤表!$F:$BG,46,FALSE),0)+IFERROR(VLOOKUP(K30,源_8补工时表_补当月工时!$A:$AC,25,FALSE),0)</f>
        <v>0</v>
      </c>
      <c r="AF30">
        <f t="shared" si="2"/>
        <v>0</v>
      </c>
      <c r="AG30">
        <f>IFERROR(VLOOKUP(K30,源_4奖金汇总表_拆分手工算!$A:$N,10,FALSE),0)</f>
        <v>252</v>
      </c>
      <c r="AH30">
        <f>IFERROR(VLOOKUP(K30,源_4奖金汇总表_拆分手工算!$A:$N,5,FALSE),0)</f>
        <v>0</v>
      </c>
      <c r="AI30">
        <f>IFERROR(VLOOKUP(K30,源_4奖金汇总表_拆分手工算!$A:$N,11,FALSE),0)</f>
        <v>0</v>
      </c>
      <c r="AJ30">
        <f>IFERROR(VLOOKUP(K30,源_4奖金汇总表_拆分手工算!$A:$N,4,FALSE),0)</f>
        <v>0</v>
      </c>
      <c r="AK30">
        <f>IFERROR(VLOOKUP(K30,源_4奖金汇总表_拆分手工算!$A:$N,3,FALSE),0)</f>
        <v>0</v>
      </c>
      <c r="AL30">
        <f>IFERROR(VLOOKUP(K30,源_4奖金汇总表_拆分手工算!$A:$N,6,FALSE),0)</f>
        <v>0</v>
      </c>
      <c r="AM30">
        <f>IFERROR(VLOOKUP(K30,源_5薪资备忘录_工资调整项!$A:$AC,18,FALSE),0)+IFERROR(VLOOKUP(K30,源_4奖金汇总表_拆分手工算!$A:$N,7,FALSE),0)</f>
        <v>0</v>
      </c>
      <c r="AN30">
        <f>IFERROR(VLOOKUP(K30,源_5薪资备忘录_工资调整项!$A:$AC,17,FALSE),0)</f>
        <v>0</v>
      </c>
      <c r="AO30">
        <f>IF(OR(IFERROR(VLOOKUP(K30,源_3考勤报表_考勤表!$F:$BG,39,FALSE),0)+IFERROR(VLOOKUP(K30,源_8补工时表_补当月工时!$A:$AC,24,FALSE),0)&gt;0,IFERROR(VLOOKUP(K30,源_3考勤报表_考勤表!$F:$BG,43,FALSE),0)+IFERROR(VLOOKUP(K30,源_8补工时表_补当月工时!$A:$AC,26,FALSE),0)&gt;0),IF(IFERROR(VLOOKUP(DH30,源_11产假政策_Sheet1!$C:$F,4,FALSE),"")="是",R30/参数!$B$4*(IFERROR(VLOOKUP(K30,源_3考勤报表_考勤表!$F:$BG,39,FALSE),0)+IFERROR(VLOOKUP(K30,源_8补工时表_补当月工时!$A:$AC,24,FALSE),0)+IFERROR(VLOOKUP(K30,源_3考勤报表_考勤表!$F:$BG,43,FALSE),0)+IFERROR(VLOOKUP(K30,源_8补工时表_补当月工时!$A:$AC,26,FALSE),0)),IFERROR(VLOOKUP(K30,源_5薪资备忘录_工资调整项!$A:$AC,19,FALSE),0)),0)</f>
        <v>0</v>
      </c>
      <c r="AP30">
        <v>0</v>
      </c>
      <c r="AQ30">
        <f>IFERROR(VLOOKUP(K30,源_4奖金汇总表_拆分手工算!$A:$N,12,FALSE),0)+IFERROR(VLOOKUP(K30,源_9年终奖表_Sheet1!$A:$E,3,FALSE),0)</f>
        <v>1200</v>
      </c>
      <c r="AR30">
        <f>IFERROR(VLOOKUP(K30,源_4奖金汇总表_拆分手工算!$A:$N,13,FALSE),0)+IFERROR(VLOOKUP(K30,源_9年终奖表_Sheet1!$A:$E,4,FALSE),0)</f>
        <v>600</v>
      </c>
      <c r="AS30">
        <f>IFERROR(VLOOKUP(K30,源_4奖金汇总表_拆分手工算!$A:$N,14,FALSE),0)+IFERROR(VLOOKUP(K30,源_9年终奖表_Sheet1!$A:$E,5,FALSE),0)</f>
        <v>111</v>
      </c>
      <c r="AT30">
        <f>IFERROR(VLOOKUP(K30,源_5薪资备忘录_工资调整项!$A:$AC,20,FALSE),0)</f>
        <v>0</v>
      </c>
      <c r="AU30">
        <f>IFERROR(VLOOKUP(K30,源_5薪资备忘录_工资调整项!$A:$AC,21,FALSE),0)+IFERROR(VLOOKUP(K30,源_4奖金汇总表_拆分手工算!$A:$N,9,FALSE),0)</f>
        <v>0</v>
      </c>
      <c r="AV30">
        <f>R30/参数!$B$4*(IFERROR(VLOOKUP(K30,源_3考勤报表_考勤表!$F:$BG,37,FALSE),0)+IFERROR(VLOOKUP(K30,源_8补工时表_补当月工时!$A:$AC,15,FALSE),0))</f>
        <v>973.04347826086951</v>
      </c>
      <c r="AW30">
        <f>R30/174*MIN(IFERROR(VLOOKUP(K30,源_3考勤报表_考勤表!$F:$BG,35,FALSE),0),174)*IF(DATEDIF(N30,DATE(参数!$B$2,参数!$B$3+1,0),"Y")&lt;2,0.6,IF(DATEDIF(N30,DATE(参数!$B$2,参数!$B$3+1,0),"Y")&lt;4,0.7,IF(DATEDIF(N30,DATE(参数!$B$2,参数!$B$3+1,0),"Y")&lt;6,0.8,IF(DATEDIF(N30,DATE(参数!$B$2,参数!$B$3+1,0),"Y")&lt;8,0.9,1))))</f>
        <v>0</v>
      </c>
      <c r="AX30">
        <f>IF(Q30+IFERROR(VLOOKUP(K30,源_3考勤报表_考勤表!$F:$BG,37,FALSE),0)+IFERROR(VLOOKUP(K30,源_8补工时表_补当月工时!$A:$AC,15,FALSE),0)&gt;=参数!$B$4,0,IF(Q30+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lt;=参数!$B$4,R30/参数!$B$4*(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0))</f>
        <v>324.3478260869565</v>
      </c>
      <c r="AY30">
        <v>0</v>
      </c>
      <c r="AZ30">
        <v>0</v>
      </c>
      <c r="BA30">
        <v>0</v>
      </c>
      <c r="BB30">
        <v>0</v>
      </c>
      <c r="BC30">
        <f>IFERROR(VLOOKUP(K30,源_5薪资备忘录_工资调整项!$A:$AC,25,FALSE),0)</f>
        <v>0</v>
      </c>
      <c r="BD30">
        <v>0</v>
      </c>
      <c r="BE30">
        <f>(T30+W30+AB30+AG30+AH30+AI30+AJ30+AK30+AL30+AM30+AN30+AO30+AP30+AU30+AV30+AW30+AX30+BC30-IFERROR(VLOOKUP(DF30,源_6社保表_Sheet1!$C:$BZ,76,FALSE),0))*0.02</f>
        <v>30.688217391304342</v>
      </c>
      <c r="BF30">
        <v>0</v>
      </c>
      <c r="BG30">
        <f>IFERROR(VLOOKUP(K30,源_5薪资备忘录_工资调整项!$A:$AC,22,FALSE),0)+IFERROR(VLOOKUP(K30,源_5薪资备忘录_工资调整项!$A:$AC,23,FALSE),0)+IFERROR(VLOOKUP(K30,源_5薪资备忘录_工资调整项!$A:$AC,24,FALSE),0)</f>
        <v>0</v>
      </c>
      <c r="BH30">
        <f>IFERROR(VLOOKUP(DF30,源_6社保表_Sheet1!$C:$CD,80,FALSE),0)+4.5</f>
        <v>6.5</v>
      </c>
      <c r="BI30">
        <f t="shared" si="3"/>
        <v>4271.260869565217</v>
      </c>
      <c r="BJ30">
        <f>IFERROR(VLOOKUP(DF30,源_6社保表_Sheet1!$C:$BZ,26,FALSE),0)</f>
        <v>501.34</v>
      </c>
      <c r="BK30">
        <f>IFERROR(VLOOKUP(DF30,源_6社保表_Sheet1!$C:$BZ,27,FALSE),0)</f>
        <v>71.62</v>
      </c>
      <c r="BL30">
        <f>IFERROR(VLOOKUP(DF30,源_6社保表_Sheet1!$C:$BZ,28,FALSE),0)</f>
        <v>35.81</v>
      </c>
      <c r="BM30">
        <f>IFERROR(VLOOKUP(DF30,源_6社保表_Sheet1!$C:$BZ,30,FALSE),0)</f>
        <v>217.08</v>
      </c>
      <c r="BN30">
        <f>IFERROR(VLOOKUP(DF30,源_6社保表_Sheet1!$C:$BZ,29,FALSE),0)</f>
        <v>0</v>
      </c>
      <c r="BO30">
        <f>IFERROR(VLOOKUP(DF30,源_6社保表_Sheet1!$C:$BZ,40,FALSE),0)</f>
        <v>0</v>
      </c>
      <c r="BP30">
        <f>IFERROR(VLOOKUP(DF30,源_6社保表_Sheet1!$C:$BZ,41,FALSE),0)</f>
        <v>0</v>
      </c>
      <c r="BQ30">
        <f>IFERROR(VLOOKUP(DF30,源_6社保表_Sheet1!$C:$BZ,42,FALSE),0)</f>
        <v>0</v>
      </c>
      <c r="BR30">
        <f>IFERROR(VLOOKUP(DF30,源_6社保表_Sheet1!$C:$BZ,44,FALSE),0)</f>
        <v>0</v>
      </c>
      <c r="BS30">
        <f>IFERROR(VLOOKUP(DF30,源_6社保表_Sheet1!$C:$BZ,43,FALSE),0)</f>
        <v>0</v>
      </c>
      <c r="BT30">
        <f t="shared" si="4"/>
        <v>825.85</v>
      </c>
      <c r="BU30">
        <v>0</v>
      </c>
      <c r="BV30">
        <v>0</v>
      </c>
      <c r="BW30">
        <v>0</v>
      </c>
      <c r="BX30">
        <f t="shared" si="5"/>
        <v>0</v>
      </c>
      <c r="BY30">
        <v>0</v>
      </c>
      <c r="BZ30">
        <f>IFERROR(VLOOKUP(DF30,源_6社保表_Sheet1!$C:$BZ,18,FALSE),0)</f>
        <v>1074.3</v>
      </c>
      <c r="CA30">
        <f>IFERROR(VLOOKUP(DF30,源_6社保表_Sheet1!$C:$BZ,19,FALSE),0)</f>
        <v>572.96</v>
      </c>
      <c r="CB30">
        <f>IFERROR(VLOOKUP(DF30,源_6社保表_Sheet1!$C:$BZ,24,FALSE),0)</f>
        <v>217.08</v>
      </c>
      <c r="CC30">
        <f>IFERROR(VLOOKUP(DF30,源_6社保表_Sheet1!$C:$BZ,20,FALSE),0)</f>
        <v>35.81</v>
      </c>
      <c r="CD30">
        <f>IFERROR(VLOOKUP(DF30,源_6社保表_Sheet1!$C:$BZ,21,FALSE),0)</f>
        <v>22.918399999999998</v>
      </c>
      <c r="CE30">
        <f>IFERROR(VLOOKUP(DF30,源_6社保表_Sheet1!$C:$BZ,22,FALSE),0)</f>
        <v>0</v>
      </c>
      <c r="CF30">
        <f>IFERROR(VLOOKUP(DF30,源_6社保表_Sheet1!$C:$BZ,23,FALSE),0)</f>
        <v>0</v>
      </c>
      <c r="CG30">
        <f>IFERROR(VLOOKUP(DF30,源_6社保表_Sheet1!$C:$BZ,32,FALSE),0)</f>
        <v>0</v>
      </c>
      <c r="CH30">
        <f>IFERROR(VLOOKUP(DF30,源_6社保表_Sheet1!$C:$BZ,33,FALSE),0)</f>
        <v>0</v>
      </c>
      <c r="CI30">
        <f>IFERROR(VLOOKUP(DF30,源_6社保表_Sheet1!$C:$BZ,34,FALSE),0)</f>
        <v>0</v>
      </c>
      <c r="CJ30">
        <f>IFERROR(VLOOKUP(DF30,源_6社保表_Sheet1!$C:$BZ,38,FALSE),0)</f>
        <v>0</v>
      </c>
      <c r="CK30">
        <f>IFERROR(VLOOKUP(DF30,源_6社保表_Sheet1!$C:$BZ,35,FALSE),0)</f>
        <v>0</v>
      </c>
      <c r="CL30">
        <f>IFERROR(VLOOKUP(DF30,源_6社保表_Sheet1!$C:$BZ,36,FALSE),0)</f>
        <v>0</v>
      </c>
      <c r="CM30">
        <f>IFERROR(VLOOKUP(DF30,源_6社保表_Sheet1!$C:$BZ,37,FALSE),0)</f>
        <v>0</v>
      </c>
      <c r="CN30">
        <f t="shared" si="6"/>
        <v>1923.0683999999999</v>
      </c>
      <c r="CO30">
        <f t="shared" si="7"/>
        <v>6231.5174869565217</v>
      </c>
      <c r="CP30">
        <f>IF(IFERROR(VLOOKUP(K30,源_13残疾人信息_残疾人信息!$A:$M,1,FALSE),"")&lt;&gt;"",0,IF(OR(P30="门店全职",P30="门店管理组",P30="全职(非门店)"),(BI30-AT30)*IFERROR(VLOOKUP(D30,源_12计提残保金规则_Sheet1!$A:$E,4,FALSE),0)*IFERROR(VLOOKUP(D30,源_12计提残保金规则_Sheet1!$A:$E,5,FALSE),0),0))</f>
        <v>57.662021739130424</v>
      </c>
      <c r="CQ30">
        <f t="shared" si="8"/>
        <v>16.05</v>
      </c>
      <c r="CR30">
        <f t="shared" si="9"/>
        <v>20.67</v>
      </c>
      <c r="CS30">
        <f>IF(DATEVALUE(N30)&gt;DATE(参数!$B$2,9,30),0,IF(M30="行政",0,IF(O30="",R30/12,IF(MONTH(DATEVALUE(O30))=参数!$B$3,0,IF(DATEVALUE(O30)&lt;DATE(参数!$B$2,参数!$B$3,1),0,R30/12)))))</f>
        <v>310.83333333333331</v>
      </c>
      <c r="CT30">
        <f t="shared" si="10"/>
        <v>0</v>
      </c>
      <c r="CU30">
        <f>IFERROR(VLOOKUP(DF30,源_6社保表_Sheet1!$C:$I,2,FALSE),0)</f>
        <v>7162</v>
      </c>
      <c r="CV30">
        <f>IFERROR(VLOOKUP(DF30,源_6社保表_Sheet1!$C:$I,7,FALSE),0)</f>
        <v>3618</v>
      </c>
      <c r="CW30">
        <f>IFERROR(VLOOKUP(DF30,源_6社保表_Sheet1!$C:$I,3,FALSE),0)</f>
        <v>7162</v>
      </c>
      <c r="CX30">
        <f>IFERROR(VLOOKUP(DF30,源_6社保表_Sheet1!$C:$I,4,FALSE),0)</f>
        <v>7162</v>
      </c>
      <c r="CY30">
        <f>IFERROR(VLOOKUP(DF30,源_6社保表_Sheet1!$C:$I,5,FALSE),0)</f>
        <v>7162</v>
      </c>
      <c r="CZ30">
        <f>IFERROR(VLOOKUP(DF30,源_6社保表_Sheet1!$C:$I,6,FALSE),0)</f>
        <v>0</v>
      </c>
      <c r="DA30">
        <f t="shared" si="11"/>
        <v>4031.3292695652171</v>
      </c>
      <c r="DB30">
        <f t="shared" si="12"/>
        <v>4443.0446246376805</v>
      </c>
      <c r="DC30" t="str">
        <f>IFERROR(VLOOKUP(K30,源_7银行卡表_Sheet1!$A:$J,8,FALSE),"")</f>
        <v>建设银行</v>
      </c>
      <c r="DD30" t="str">
        <f>IFERROR(VLOOKUP(K30,源_7银行卡表_Sheet1!$A:$J,9,FALSE),"")</f>
        <v>6284873508982316090</v>
      </c>
      <c r="DE30" t="str">
        <f>IFERROR(VLOOKUP(K30,源_7银行卡表_Sheet1!$A:$J,10,FALSE),"")</f>
        <v>深圳市翠园支行</v>
      </c>
      <c r="DF30" t="s">
        <v>272</v>
      </c>
      <c r="DG30">
        <v>14366496581</v>
      </c>
      <c r="DH30" t="s">
        <v>148</v>
      </c>
      <c r="DI30">
        <v>0</v>
      </c>
      <c r="DJ30">
        <v>0</v>
      </c>
      <c r="DK30">
        <v>0</v>
      </c>
      <c r="DL30">
        <v>0</v>
      </c>
      <c r="DM30">
        <v>0</v>
      </c>
      <c r="DN30">
        <v>0</v>
      </c>
      <c r="DO30">
        <v>0</v>
      </c>
      <c r="DP30">
        <v>0</v>
      </c>
      <c r="DQ30">
        <v>0</v>
      </c>
      <c r="DR30">
        <f>IF(OR(IFERROR(VLOOKUP(K30,源_3考勤报表_考勤表!$F:$BG,39,FALSE),0)+IFERROR(VLOOKUP(K30,源_8补工时表_补当月工时!$A:$AC,24,FALSE),0)=0,IFERROR(VLOOKUP(K30,源_3考勤报表_考勤表!$F:$BG,43,FALSE),0)+IFERROR(VLOOKUP(K30,源_8补工时表_补当月工时!$A:$AC,26,FALSE),0)=0),IF(BI30+BG30-BT30&lt;0,BI30+BG30-BT30,0),0)</f>
        <v>0</v>
      </c>
    </row>
    <row r="31" spans="1:122" x14ac:dyDescent="0.15">
      <c r="A31">
        <f>参数!$B$2</f>
        <v>2025</v>
      </c>
      <c r="B31">
        <f>参数!$B$3</f>
        <v>12</v>
      </c>
      <c r="D31" t="s">
        <v>122</v>
      </c>
      <c r="E31" t="s">
        <v>123</v>
      </c>
      <c r="F31" t="str">
        <f>IFERROR(VLOOKUP(K31,源_7银行卡表_Sheet1!$A:$J,6,FALSE),"")</f>
        <v>华东营运</v>
      </c>
      <c r="G31" t="s">
        <v>156</v>
      </c>
      <c r="H31" t="s">
        <v>273</v>
      </c>
      <c r="I31" t="s">
        <v>126</v>
      </c>
      <c r="J31">
        <v>1</v>
      </c>
      <c r="K31">
        <v>26123030</v>
      </c>
      <c r="L31" t="s">
        <v>274</v>
      </c>
      <c r="M31" t="s">
        <v>187</v>
      </c>
      <c r="N31" t="s">
        <v>275</v>
      </c>
      <c r="P31" t="s">
        <v>154</v>
      </c>
      <c r="Q31">
        <f>IF(P31="门店全职",IFERROR(VLOOKUP(K31,源_3考勤报表_考勤表!$F:$BG,34,FALSE),0)+IFERROR(VLOOKUP(K31,源_8补工时表_补当月工时!$A:$AC,14,FALSE),0),IF(P31="门店管理组",IF(IFERROR(VLOOKUP(K31,源_3考勤报表_考勤表!$F:$BG,34,FALSE),0)+IFERROR(VLOOKUP(K31,源_8补工时表_补当月工时!$A:$AC,14,FALSE),0)+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44,FALSE),0)+IFERROR(VLOOKUP(K31,源_8补工时表_补当月工时!$A:$AC,16,FALSE),0)+IFERROR(VLOOKUP(K31,源_3考勤报表_考勤表!$F:$BG,45,FALSE),0)&gt;=参数!$B$4,参数!$B$4-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44,FALSE),0)-IFERROR(VLOOKUP(K31,源_8补工时表_补当月工时!$A:$AC,16,FALSE),0)-IFERROR(VLOOKUP(K31,源_3考勤报表_考勤表!$F:$BG,45,FALSE),0),IFERROR(VLOOKUP(K31,源_3考勤报表_考勤表!$F:$BG,34,FALSE),0)+IFERROR(VLOOKUP(K31,源_8补工时表_补当月工时!$A:$AC,14,FALSE),0)),0))</f>
        <v>0</v>
      </c>
      <c r="R31">
        <v>4190</v>
      </c>
      <c r="S31">
        <v>21</v>
      </c>
      <c r="T31">
        <f>IF(P31="门店全职",R31/参数!$B$4*(Q31-MAX(IFERROR(VLOOKUP(K31,源_3考勤报表_考勤表!$F:$BG,34,FALSE),0)+IFERROR(VLOOKUP(K31,源_8补工时表_补当月工时!$A:$AC,14,FALSE),0)+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参数!$B$4,0)),R31/参数!$B$4*Q31)</f>
        <v>0</v>
      </c>
      <c r="U31">
        <v>0</v>
      </c>
      <c r="V31">
        <v>0</v>
      </c>
      <c r="W31">
        <f t="shared" si="0"/>
        <v>25.5</v>
      </c>
      <c r="X31">
        <f>IFERROR(VLOOKUP(K31,源_4奖金汇总表_拆分手工算!$A:$N,8,FALSE),0)</f>
        <v>25.5</v>
      </c>
      <c r="Y31">
        <f>IFERROR(VLOOKUP(K31,源_5薪资备忘录_工资调整项!$A:$AC,14,FALSE),0)</f>
        <v>0</v>
      </c>
      <c r="Z31">
        <f>IFERROR(VLOOKUP(K31,源_5薪资备忘录_工资调整项!$A:$AC,16,FALSE),0)</f>
        <v>0</v>
      </c>
      <c r="AA31">
        <f>IFERROR(VLOOKUP(K31,源_5薪资备忘录_工资调整项!$A:$AC,15,FALSE),0)</f>
        <v>0</v>
      </c>
      <c r="AB31">
        <f t="shared" si="1"/>
        <v>0</v>
      </c>
      <c r="AC31">
        <f>IF(P31="门店全职",R31/174*MAX(IFERROR(VLOOKUP(K31,源_3考勤报表_考勤表!$F:$BG,34,FALSE),0)+IFERROR(VLOOKUP(K31,源_8补工时表_补当月工时!$A:$AC,14,FALSE),0)+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参数!$B$4,0)*1.5,0)</f>
        <v>0</v>
      </c>
      <c r="AD31">
        <v>0</v>
      </c>
      <c r="AE31">
        <f>IFERROR(VLOOKUP(K31,源_3考勤报表_考勤表!$F:$BG,46,FALSE),0)+IFERROR(VLOOKUP(K31,源_8补工时表_补当月工时!$A:$AC,25,FALSE),0)</f>
        <v>0</v>
      </c>
      <c r="AF31">
        <f t="shared" si="2"/>
        <v>0</v>
      </c>
      <c r="AG31">
        <f>IFERROR(VLOOKUP(K31,源_4奖金汇总表_拆分手工算!$A:$N,10,FALSE),0)</f>
        <v>0</v>
      </c>
      <c r="AH31">
        <f>IFERROR(VLOOKUP(K31,源_4奖金汇总表_拆分手工算!$A:$N,5,FALSE),0)</f>
        <v>0</v>
      </c>
      <c r="AI31">
        <f>IFERROR(VLOOKUP(K31,源_4奖金汇总表_拆分手工算!$A:$N,11,FALSE),0)</f>
        <v>0</v>
      </c>
      <c r="AJ31">
        <f>IFERROR(VLOOKUP(K31,源_4奖金汇总表_拆分手工算!$A:$N,4,FALSE),0)</f>
        <v>0</v>
      </c>
      <c r="AK31">
        <f>IFERROR(VLOOKUP(K31,源_4奖金汇总表_拆分手工算!$A:$N,3,FALSE),0)</f>
        <v>0</v>
      </c>
      <c r="AL31">
        <f>IFERROR(VLOOKUP(K31,源_4奖金汇总表_拆分手工算!$A:$N,6,FALSE),0)</f>
        <v>0</v>
      </c>
      <c r="AM31">
        <f>IFERROR(VLOOKUP(K31,源_5薪资备忘录_工资调整项!$A:$AC,18,FALSE),0)+IFERROR(VLOOKUP(K31,源_4奖金汇总表_拆分手工算!$A:$N,7,FALSE),0)</f>
        <v>0</v>
      </c>
      <c r="AN31">
        <f>IFERROR(VLOOKUP(K31,源_5薪资备忘录_工资调整项!$A:$AC,17,FALSE),0)</f>
        <v>0</v>
      </c>
      <c r="AO31">
        <f>IF(OR(IFERROR(VLOOKUP(K31,源_3考勤报表_考勤表!$F:$BG,39,FALSE),0)+IFERROR(VLOOKUP(K31,源_8补工时表_补当月工时!$A:$AC,24,FALSE),0)&gt;0,IFERROR(VLOOKUP(K31,源_3考勤报表_考勤表!$F:$BG,43,FALSE),0)+IFERROR(VLOOKUP(K31,源_8补工时表_补当月工时!$A:$AC,26,FALSE),0)&gt;0),IF(IFERROR(VLOOKUP(DH31,源_11产假政策_Sheet1!$C:$F,4,FALSE),"")="是",R31/参数!$B$4*(IFERROR(VLOOKUP(K31,源_3考勤报表_考勤表!$F:$BG,39,FALSE),0)+IFERROR(VLOOKUP(K31,源_8补工时表_补当月工时!$A:$AC,24,FALSE),0)+IFERROR(VLOOKUP(K31,源_3考勤报表_考勤表!$F:$BG,43,FALSE),0)+IFERROR(VLOOKUP(K31,源_8补工时表_补当月工时!$A:$AC,26,FALSE),0)),IFERROR(VLOOKUP(K31,源_5薪资备忘录_工资调整项!$A:$AC,19,FALSE),0)),0)</f>
        <v>0</v>
      </c>
      <c r="AP31">
        <v>0</v>
      </c>
      <c r="AQ31">
        <f>IFERROR(VLOOKUP(K31,源_4奖金汇总表_拆分手工算!$A:$N,12,FALSE),0)+IFERROR(VLOOKUP(K31,源_9年终奖表_Sheet1!$A:$E,3,FALSE),0)</f>
        <v>1200</v>
      </c>
      <c r="AR31">
        <f>IFERROR(VLOOKUP(K31,源_4奖金汇总表_拆分手工算!$A:$N,13,FALSE),0)+IFERROR(VLOOKUP(K31,源_9年终奖表_Sheet1!$A:$E,4,FALSE),0)</f>
        <v>600</v>
      </c>
      <c r="AS31">
        <f>IFERROR(VLOOKUP(K31,源_4奖金汇总表_拆分手工算!$A:$N,14,FALSE),0)+IFERROR(VLOOKUP(K31,源_9年终奖表_Sheet1!$A:$E,5,FALSE),0)</f>
        <v>222</v>
      </c>
      <c r="AT31">
        <f>IFERROR(VLOOKUP(K31,源_5薪资备忘录_工资调整项!$A:$AC,20,FALSE),0)</f>
        <v>0</v>
      </c>
      <c r="AU31">
        <f>IFERROR(VLOOKUP(K31,源_5薪资备忘录_工资调整项!$A:$AC,21,FALSE),0)+IFERROR(VLOOKUP(K31,源_4奖金汇总表_拆分手工算!$A:$N,9,FALSE),0)</f>
        <v>0</v>
      </c>
      <c r="AV31">
        <f>R31/参数!$B$4*(IFERROR(VLOOKUP(K31,源_3考勤报表_考勤表!$F:$BG,37,FALSE),0)+IFERROR(VLOOKUP(K31,源_8补工时表_补当月工时!$A:$AC,15,FALSE),0))</f>
        <v>0</v>
      </c>
      <c r="AW31">
        <f>R31/174*MIN(IFERROR(VLOOKUP(K31,源_3考勤报表_考勤表!$F:$BG,35,FALSE),0),174)*IF(DATEDIF(N31,DATE(参数!$B$2,参数!$B$3+1,0),"Y")&lt;2,0.6,IF(DATEDIF(N31,DATE(参数!$B$2,参数!$B$3+1,0),"Y")&lt;4,0.7,IF(DATEDIF(N31,DATE(参数!$B$2,参数!$B$3+1,0),"Y")&lt;6,0.8,IF(DATEDIF(N31,DATE(参数!$B$2,参数!$B$3+1,0),"Y")&lt;8,0.9,1))))</f>
        <v>0</v>
      </c>
      <c r="AX31">
        <f>IF(Q31+IFERROR(VLOOKUP(K31,源_3考勤报表_考勤表!$F:$BG,37,FALSE),0)+IFERROR(VLOOKUP(K31,源_8补工时表_补当月工时!$A:$AC,15,FALSE),0)&gt;=参数!$B$4,0,IF(Q31+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lt;=参数!$B$4,R31/参数!$B$4*(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0))</f>
        <v>0</v>
      </c>
      <c r="AY31">
        <v>0</v>
      </c>
      <c r="AZ31">
        <v>0</v>
      </c>
      <c r="BA31">
        <v>0</v>
      </c>
      <c r="BB31">
        <v>0</v>
      </c>
      <c r="BC31">
        <f>IFERROR(VLOOKUP(K31,源_5薪资备忘录_工资调整项!$A:$AC,25,FALSE),0)</f>
        <v>0</v>
      </c>
      <c r="BD31">
        <v>0</v>
      </c>
      <c r="BE31">
        <v>0</v>
      </c>
      <c r="BF31">
        <v>0</v>
      </c>
      <c r="BG31">
        <f>IFERROR(VLOOKUP(K31,源_5薪资备忘录_工资调整项!$A:$AC,22,FALSE),0)+IFERROR(VLOOKUP(K31,源_5薪资备忘录_工资调整项!$A:$AC,23,FALSE),0)+IFERROR(VLOOKUP(K31,源_5薪资备忘录_工资调整项!$A:$AC,24,FALSE),0)</f>
        <v>0</v>
      </c>
      <c r="BH31">
        <f>IFERROR(VLOOKUP(DF31,源_6社保表_Sheet1!$C:$CD,80,FALSE),0)+4.5</f>
        <v>6.5</v>
      </c>
      <c r="BI31">
        <f t="shared" si="3"/>
        <v>2047.5</v>
      </c>
      <c r="BJ31">
        <f>IFERROR(VLOOKUP(DF31,源_6社保表_Sheet1!$C:$BZ,26,FALSE),0)</f>
        <v>522.20000000000005</v>
      </c>
      <c r="BK31">
        <f>IFERROR(VLOOKUP(DF31,源_6社保表_Sheet1!$C:$BZ,27,FALSE),0)</f>
        <v>74.599999999999994</v>
      </c>
      <c r="BL31">
        <f>IFERROR(VLOOKUP(DF31,源_6社保表_Sheet1!$C:$BZ,28,FALSE),0)</f>
        <v>37.299999999999997</v>
      </c>
      <c r="BM31">
        <f>IFERROR(VLOOKUP(DF31,源_6社保表_Sheet1!$C:$BZ,30,FALSE),0)</f>
        <v>388.44</v>
      </c>
      <c r="BN31">
        <f>IFERROR(VLOOKUP(DF31,源_6社保表_Sheet1!$C:$BZ,29,FALSE),0)</f>
        <v>0</v>
      </c>
      <c r="BO31">
        <f>IFERROR(VLOOKUP(DF31,源_6社保表_Sheet1!$C:$BZ,40,FALSE),0)</f>
        <v>0</v>
      </c>
      <c r="BP31">
        <f>IFERROR(VLOOKUP(DF31,源_6社保表_Sheet1!$C:$BZ,41,FALSE),0)</f>
        <v>0</v>
      </c>
      <c r="BQ31">
        <f>IFERROR(VLOOKUP(DF31,源_6社保表_Sheet1!$C:$BZ,42,FALSE),0)</f>
        <v>0</v>
      </c>
      <c r="BR31">
        <f>IFERROR(VLOOKUP(DF31,源_6社保表_Sheet1!$C:$BZ,44,FALSE),0)</f>
        <v>0</v>
      </c>
      <c r="BS31">
        <f>IFERROR(VLOOKUP(DF31,源_6社保表_Sheet1!$C:$BZ,43,FALSE),0)</f>
        <v>0</v>
      </c>
      <c r="BT31">
        <f t="shared" si="4"/>
        <v>1022.54</v>
      </c>
      <c r="BU31">
        <v>0</v>
      </c>
      <c r="BV31">
        <v>0</v>
      </c>
      <c r="BW31">
        <v>0</v>
      </c>
      <c r="BX31">
        <f t="shared" si="5"/>
        <v>0</v>
      </c>
      <c r="BY31">
        <v>0</v>
      </c>
      <c r="BZ31">
        <f>IFERROR(VLOOKUP(DF31,源_6社保表_Sheet1!$C:$BZ,18,FALSE),0)</f>
        <v>1119</v>
      </c>
      <c r="CA31">
        <f>IFERROR(VLOOKUP(DF31,源_6社保表_Sheet1!$C:$BZ,19,FALSE),0)</f>
        <v>596.79999999999995</v>
      </c>
      <c r="CB31">
        <f>IFERROR(VLOOKUP(DF31,源_6社保表_Sheet1!$C:$BZ,24,FALSE),0)</f>
        <v>388.44</v>
      </c>
      <c r="CC31">
        <f>IFERROR(VLOOKUP(DF31,源_6社保表_Sheet1!$C:$BZ,20,FALSE),0)</f>
        <v>37.299999999999997</v>
      </c>
      <c r="CD31">
        <f>IFERROR(VLOOKUP(DF31,源_6社保表_Sheet1!$C:$BZ,21,FALSE),0)</f>
        <v>23.872</v>
      </c>
      <c r="CE31">
        <f>IFERROR(VLOOKUP(DF31,源_6社保表_Sheet1!$C:$BZ,22,FALSE),0)</f>
        <v>0</v>
      </c>
      <c r="CF31">
        <f>IFERROR(VLOOKUP(DF31,源_6社保表_Sheet1!$C:$BZ,23,FALSE),0)</f>
        <v>0</v>
      </c>
      <c r="CG31">
        <f>IFERROR(VLOOKUP(DF31,源_6社保表_Sheet1!$C:$BZ,32,FALSE),0)</f>
        <v>0</v>
      </c>
      <c r="CH31">
        <f>IFERROR(VLOOKUP(DF31,源_6社保表_Sheet1!$C:$BZ,33,FALSE),0)</f>
        <v>0</v>
      </c>
      <c r="CI31">
        <f>IFERROR(VLOOKUP(DF31,源_6社保表_Sheet1!$C:$BZ,34,FALSE),0)</f>
        <v>0</v>
      </c>
      <c r="CJ31">
        <f>IFERROR(VLOOKUP(DF31,源_6社保表_Sheet1!$C:$BZ,38,FALSE),0)</f>
        <v>0</v>
      </c>
      <c r="CK31">
        <f>IFERROR(VLOOKUP(DF31,源_6社保表_Sheet1!$C:$BZ,35,FALSE),0)</f>
        <v>0</v>
      </c>
      <c r="CL31">
        <f>IFERROR(VLOOKUP(DF31,源_6社保表_Sheet1!$C:$BZ,36,FALSE),0)</f>
        <v>0</v>
      </c>
      <c r="CM31">
        <f>IFERROR(VLOOKUP(DF31,源_6社保表_Sheet1!$C:$BZ,37,FALSE),0)</f>
        <v>0</v>
      </c>
      <c r="CN31">
        <f t="shared" si="6"/>
        <v>2165.4119999999998</v>
      </c>
      <c r="CO31">
        <f t="shared" si="7"/>
        <v>4219.4120000000003</v>
      </c>
      <c r="CP31">
        <f>IF(IFERROR(VLOOKUP(K31,源_13残疾人信息_残疾人信息!$A:$M,1,FALSE),"")&lt;&gt;"",0,IF(OR(P31="门店全职",P31="门店管理组",P31="全职(非门店)"),(BI31-AT31)*IFERROR(VLOOKUP(D31,源_12计提残保金规则_Sheet1!$A:$E,4,FALSE),0)*IFERROR(VLOOKUP(D31,源_12计提残保金规则_Sheet1!$A:$E,5,FALSE),0),0))</f>
        <v>27.641249999999999</v>
      </c>
      <c r="CQ31">
        <f t="shared" si="8"/>
        <v>16.05</v>
      </c>
      <c r="CR31">
        <f t="shared" si="9"/>
        <v>20.67</v>
      </c>
      <c r="CS31">
        <f>IF(DATEVALUE(N31)&gt;DATE(参数!$B$2,9,30),0,IF(M31="行政",0,IF(O31="",R31/12,IF(MONTH(DATEVALUE(O31))=参数!$B$3,0,IF(DATEVALUE(O31)&lt;DATE(参数!$B$2,参数!$B$3,1),0,R31/12)))))</f>
        <v>349.16666666666669</v>
      </c>
      <c r="CT31">
        <f t="shared" si="10"/>
        <v>0</v>
      </c>
      <c r="CU31">
        <f>IFERROR(VLOOKUP(DF31,源_6社保表_Sheet1!$C:$I,2,FALSE),0)</f>
        <v>7460</v>
      </c>
      <c r="CV31">
        <f>IFERROR(VLOOKUP(DF31,源_6社保表_Sheet1!$C:$I,7,FALSE),0)</f>
        <v>6474</v>
      </c>
      <c r="CW31">
        <f>IFERROR(VLOOKUP(DF31,源_6社保表_Sheet1!$C:$I,3,FALSE),0)</f>
        <v>7460</v>
      </c>
      <c r="CX31">
        <f>IFERROR(VLOOKUP(DF31,源_6社保表_Sheet1!$C:$I,4,FALSE),0)</f>
        <v>7460</v>
      </c>
      <c r="CY31">
        <f>IFERROR(VLOOKUP(DF31,源_6社保表_Sheet1!$C:$I,5,FALSE),0)</f>
        <v>7460</v>
      </c>
      <c r="CZ31">
        <f>IFERROR(VLOOKUP(DF31,源_6社保表_Sheet1!$C:$I,6,FALSE),0)</f>
        <v>0</v>
      </c>
      <c r="DA31">
        <f t="shared" si="11"/>
        <v>2190.9120000000003</v>
      </c>
      <c r="DB31">
        <f t="shared" si="12"/>
        <v>2610.9399166666672</v>
      </c>
      <c r="DC31" t="str">
        <f>IFERROR(VLOOKUP(K31,源_7银行卡表_Sheet1!$A:$J,8,FALSE),"")</f>
        <v>建设银行</v>
      </c>
      <c r="DD31" t="str">
        <f>IFERROR(VLOOKUP(K31,源_7银行卡表_Sheet1!$A:$J,9,FALSE),"")</f>
        <v>6284862983554417181</v>
      </c>
      <c r="DE31" t="str">
        <f>IFERROR(VLOOKUP(K31,源_7银行卡表_Sheet1!$A:$J,10,FALSE),"")</f>
        <v>深圳科苑支行</v>
      </c>
      <c r="DF31" t="s">
        <v>276</v>
      </c>
      <c r="DG31">
        <v>16675786186</v>
      </c>
      <c r="DH31" t="s">
        <v>133</v>
      </c>
      <c r="DI31">
        <v>0</v>
      </c>
      <c r="DJ31">
        <v>0</v>
      </c>
      <c r="DK31">
        <v>0</v>
      </c>
      <c r="DL31">
        <v>0</v>
      </c>
      <c r="DM31">
        <v>0</v>
      </c>
      <c r="DN31">
        <v>0</v>
      </c>
      <c r="DO31">
        <v>0</v>
      </c>
      <c r="DP31">
        <v>0</v>
      </c>
      <c r="DQ31">
        <v>0</v>
      </c>
      <c r="DR31">
        <f>IF(OR(IFERROR(VLOOKUP(K31,源_3考勤报表_考勤表!$F:$BG,39,FALSE),0)+IFERROR(VLOOKUP(K31,源_8补工时表_补当月工时!$A:$AC,24,FALSE),0)=0,IFERROR(VLOOKUP(K31,源_3考勤报表_考勤表!$F:$BG,43,FALSE),0)+IFERROR(VLOOKUP(K31,源_8补工时表_补当月工时!$A:$AC,26,FALSE),0)=0),IF(BI31+BG31-BT31&lt;0,BI31+BG31-BT31,0),0)</f>
        <v>0</v>
      </c>
    </row>
    <row r="32" spans="1:122" x14ac:dyDescent="0.15">
      <c r="A32">
        <f>参数!$B$2</f>
        <v>2025</v>
      </c>
      <c r="B32">
        <f>参数!$B$3</f>
        <v>12</v>
      </c>
      <c r="D32" t="s">
        <v>165</v>
      </c>
      <c r="E32" t="s">
        <v>123</v>
      </c>
      <c r="F32" t="str">
        <f>IFERROR(VLOOKUP(K32,源_7银行卡表_Sheet1!$A:$J,6,FALSE),"")</f>
        <v>华北营运</v>
      </c>
      <c r="G32" t="s">
        <v>166</v>
      </c>
      <c r="H32" t="s">
        <v>277</v>
      </c>
      <c r="I32" t="s">
        <v>168</v>
      </c>
      <c r="J32">
        <v>1</v>
      </c>
      <c r="K32">
        <v>26123031</v>
      </c>
      <c r="L32" t="s">
        <v>278</v>
      </c>
      <c r="M32" t="s">
        <v>170</v>
      </c>
      <c r="N32" t="s">
        <v>279</v>
      </c>
      <c r="P32" t="s">
        <v>154</v>
      </c>
      <c r="Q32">
        <f>IF(P32="门店全职",IFERROR(VLOOKUP(K32,源_3考勤报表_考勤表!$F:$BG,34,FALSE),0)+IFERROR(VLOOKUP(K32,源_8补工时表_补当月工时!$A:$AC,14,FALSE),0),IF(P32="门店管理组",IF(IFERROR(VLOOKUP(K32,源_3考勤报表_考勤表!$F:$BG,34,FALSE),0)+IFERROR(VLOOKUP(K32,源_8补工时表_补当月工时!$A:$AC,14,FALSE),0)+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44,FALSE),0)+IFERROR(VLOOKUP(K32,源_8补工时表_补当月工时!$A:$AC,16,FALSE),0)+IFERROR(VLOOKUP(K32,源_3考勤报表_考勤表!$F:$BG,45,FALSE),0)&gt;=参数!$B$4,参数!$B$4-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44,FALSE),0)-IFERROR(VLOOKUP(K32,源_8补工时表_补当月工时!$A:$AC,16,FALSE),0)-IFERROR(VLOOKUP(K32,源_3考勤报表_考勤表!$F:$BG,45,FALSE),0),IFERROR(VLOOKUP(K32,源_3考勤报表_考勤表!$F:$BG,34,FALSE),0)+IFERROR(VLOOKUP(K32,源_8补工时表_补当月工时!$A:$AC,14,FALSE),0)),0))</f>
        <v>136</v>
      </c>
      <c r="R32">
        <v>3130</v>
      </c>
      <c r="S32">
        <v>0</v>
      </c>
      <c r="T32">
        <f>IF(P32="门店全职",R32/参数!$B$4*(Q32-MAX(IFERROR(VLOOKUP(K32,源_3考勤报表_考勤表!$F:$BG,34,FALSE),0)+IFERROR(VLOOKUP(K32,源_8补工时表_补当月工时!$A:$AC,14,FALSE),0)+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参数!$B$4,0)),R32/参数!$B$4*Q32)</f>
        <v>2313.478260869565</v>
      </c>
      <c r="U32">
        <v>0</v>
      </c>
      <c r="V32">
        <v>0</v>
      </c>
      <c r="W32">
        <f t="shared" si="0"/>
        <v>0</v>
      </c>
      <c r="X32">
        <f>IFERROR(VLOOKUP(K32,源_4奖金汇总表_拆分手工算!$A:$N,8,FALSE),0)</f>
        <v>0</v>
      </c>
      <c r="Y32">
        <f>IFERROR(VLOOKUP(K32,源_5薪资备忘录_工资调整项!$A:$AC,14,FALSE),0)</f>
        <v>0</v>
      </c>
      <c r="Z32">
        <f>IFERROR(VLOOKUP(K32,源_5薪资备忘录_工资调整项!$A:$AC,16,FALSE),0)</f>
        <v>0</v>
      </c>
      <c r="AA32">
        <f>IFERROR(VLOOKUP(K32,源_5薪资备忘录_工资调整项!$A:$AC,15,FALSE),0)</f>
        <v>0</v>
      </c>
      <c r="AB32">
        <f t="shared" si="1"/>
        <v>215.86206896551721</v>
      </c>
      <c r="AC32">
        <f>IF(P32="门店全职",R32/174*MAX(IFERROR(VLOOKUP(K32,源_3考勤报表_考勤表!$F:$BG,34,FALSE),0)+IFERROR(VLOOKUP(K32,源_8补工时表_补当月工时!$A:$AC,14,FALSE),0)+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参数!$B$4,0)*1.5,0)</f>
        <v>0</v>
      </c>
      <c r="AD32">
        <v>0</v>
      </c>
      <c r="AE32">
        <f>IFERROR(VLOOKUP(K32,源_3考勤报表_考勤表!$F:$BG,46,FALSE),0)+IFERROR(VLOOKUP(K32,源_8补工时表_补当月工时!$A:$AC,25,FALSE),0)</f>
        <v>4</v>
      </c>
      <c r="AF32">
        <f t="shared" si="2"/>
        <v>215.86206896551721</v>
      </c>
      <c r="AG32">
        <f>IFERROR(VLOOKUP(K32,源_4奖金汇总表_拆分手工算!$A:$N,10,FALSE),0)</f>
        <v>519</v>
      </c>
      <c r="AH32">
        <f>IFERROR(VLOOKUP(K32,源_4奖金汇总表_拆分手工算!$A:$N,5,FALSE),0)</f>
        <v>0</v>
      </c>
      <c r="AI32">
        <f>IFERROR(VLOOKUP(K32,源_4奖金汇总表_拆分手工算!$A:$N,11,FALSE),0)</f>
        <v>0</v>
      </c>
      <c r="AJ32">
        <f>IFERROR(VLOOKUP(K32,源_4奖金汇总表_拆分手工算!$A:$N,4,FALSE),0)</f>
        <v>0</v>
      </c>
      <c r="AK32">
        <f>IFERROR(VLOOKUP(K32,源_4奖金汇总表_拆分手工算!$A:$N,3,FALSE),0)</f>
        <v>0</v>
      </c>
      <c r="AL32">
        <f>IFERROR(VLOOKUP(K32,源_4奖金汇总表_拆分手工算!$A:$N,6,FALSE),0)</f>
        <v>0</v>
      </c>
      <c r="AM32">
        <f>IFERROR(VLOOKUP(K32,源_5薪资备忘录_工资调整项!$A:$AC,18,FALSE),0)+IFERROR(VLOOKUP(K32,源_4奖金汇总表_拆分手工算!$A:$N,7,FALSE),0)</f>
        <v>0</v>
      </c>
      <c r="AN32">
        <f>IFERROR(VLOOKUP(K32,源_5薪资备忘录_工资调整项!$A:$AC,17,FALSE),0)</f>
        <v>200</v>
      </c>
      <c r="AO32">
        <f>IF(OR(IFERROR(VLOOKUP(K32,源_3考勤报表_考勤表!$F:$BG,39,FALSE),0)+IFERROR(VLOOKUP(K32,源_8补工时表_补当月工时!$A:$AC,24,FALSE),0)&gt;0,IFERROR(VLOOKUP(K32,源_3考勤报表_考勤表!$F:$BG,43,FALSE),0)+IFERROR(VLOOKUP(K32,源_8补工时表_补当月工时!$A:$AC,26,FALSE),0)&gt;0),IF(IFERROR(VLOOKUP(DH32,源_11产假政策_Sheet1!$C:$F,4,FALSE),"")="是",R32/参数!$B$4*(IFERROR(VLOOKUP(K32,源_3考勤报表_考勤表!$F:$BG,39,FALSE),0)+IFERROR(VLOOKUP(K32,源_8补工时表_补当月工时!$A:$AC,24,FALSE),0)+IFERROR(VLOOKUP(K32,源_3考勤报表_考勤表!$F:$BG,43,FALSE),0)+IFERROR(VLOOKUP(K32,源_8补工时表_补当月工时!$A:$AC,26,FALSE),0)),IFERROR(VLOOKUP(K32,源_5薪资备忘录_工资调整项!$A:$AC,19,FALSE),0)),0)</f>
        <v>0</v>
      </c>
      <c r="AP32">
        <v>0</v>
      </c>
      <c r="AQ32">
        <f>IFERROR(VLOOKUP(K32,源_4奖金汇总表_拆分手工算!$A:$N,12,FALSE),0)+IFERROR(VLOOKUP(K32,源_9年终奖表_Sheet1!$A:$E,3,FALSE),0)</f>
        <v>1200</v>
      </c>
      <c r="AR32">
        <f>IFERROR(VLOOKUP(K32,源_4奖金汇总表_拆分手工算!$A:$N,13,FALSE),0)+IFERROR(VLOOKUP(K32,源_9年终奖表_Sheet1!$A:$E,4,FALSE),0)</f>
        <v>600</v>
      </c>
      <c r="AS32">
        <f>IFERROR(VLOOKUP(K32,源_4奖金汇总表_拆分手工算!$A:$N,14,FALSE),0)+IFERROR(VLOOKUP(K32,源_9年终奖表_Sheet1!$A:$E,5,FALSE),0)</f>
        <v>111.99</v>
      </c>
      <c r="AT32">
        <f>IFERROR(VLOOKUP(K32,源_5薪资备忘录_工资调整项!$A:$AC,20,FALSE),0)</f>
        <v>0</v>
      </c>
      <c r="AU32">
        <f>IFERROR(VLOOKUP(K32,源_5薪资备忘录_工资调整项!$A:$AC,21,FALSE),0)+IFERROR(VLOOKUP(K32,源_4奖金汇总表_拆分手工算!$A:$N,9,FALSE),0)</f>
        <v>6512.36</v>
      </c>
      <c r="AV32">
        <f>R32/参数!$B$4*(IFERROR(VLOOKUP(K32,源_3考勤报表_考勤表!$F:$BG,37,FALSE),0)+IFERROR(VLOOKUP(K32,源_8补工时表_补当月工时!$A:$AC,15,FALSE),0))</f>
        <v>0</v>
      </c>
      <c r="AW32">
        <f>R32/174*MIN(IFERROR(VLOOKUP(K32,源_3考勤报表_考勤表!$F:$BG,35,FALSE),0),174)*IF(DATEDIF(N32,DATE(参数!$B$2,参数!$B$3+1,0),"Y")&lt;2,0.6,IF(DATEDIF(N32,DATE(参数!$B$2,参数!$B$3+1,0),"Y")&lt;4,0.7,IF(DATEDIF(N32,DATE(参数!$B$2,参数!$B$3+1,0),"Y")&lt;6,0.8,IF(DATEDIF(N32,DATE(参数!$B$2,参数!$B$3+1,0),"Y")&lt;8,0.9,1))))</f>
        <v>0</v>
      </c>
      <c r="AX32">
        <f>IF(Q32+IFERROR(VLOOKUP(K32,源_3考勤报表_考勤表!$F:$BG,37,FALSE),0)+IFERROR(VLOOKUP(K32,源_8补工时表_补当月工时!$A:$AC,15,FALSE),0)&gt;=参数!$B$4,0,IF(Q32+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lt;=参数!$B$4,R32/参数!$B$4*(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0))</f>
        <v>255.16304347826087</v>
      </c>
      <c r="AY32">
        <v>0</v>
      </c>
      <c r="AZ32">
        <v>0</v>
      </c>
      <c r="BA32">
        <v>0</v>
      </c>
      <c r="BB32">
        <v>0</v>
      </c>
      <c r="BC32">
        <f>IFERROR(VLOOKUP(K32,源_5薪资备忘录_工资调整项!$A:$AC,25,FALSE),0)</f>
        <v>0</v>
      </c>
      <c r="BD32">
        <v>0</v>
      </c>
      <c r="BE32">
        <v>0</v>
      </c>
      <c r="BF32">
        <v>0</v>
      </c>
      <c r="BG32">
        <f>IFERROR(VLOOKUP(K32,源_5薪资备忘录_工资调整项!$A:$AC,22,FALSE),0)+IFERROR(VLOOKUP(K32,源_5薪资备忘录_工资调整项!$A:$AC,23,FALSE),0)+IFERROR(VLOOKUP(K32,源_5薪资备忘录_工资调整项!$A:$AC,24,FALSE),0)</f>
        <v>0</v>
      </c>
      <c r="BH32">
        <f>IFERROR(VLOOKUP(DF32,源_6社保表_Sheet1!$C:$CD,80,FALSE),0)+4.5</f>
        <v>6.5</v>
      </c>
      <c r="BI32">
        <f t="shared" si="3"/>
        <v>11927.853373313341</v>
      </c>
      <c r="BJ32">
        <f>IFERROR(VLOOKUP(DF32,源_6社保表_Sheet1!$C:$BZ,26,FALSE),0)</f>
        <v>358.68</v>
      </c>
      <c r="BK32">
        <f>IFERROR(VLOOKUP(DF32,源_6社保表_Sheet1!$C:$BZ,27,FALSE),0)</f>
        <v>51.24</v>
      </c>
      <c r="BL32">
        <f>IFERROR(VLOOKUP(DF32,源_6社保表_Sheet1!$C:$BZ,28,FALSE),0)</f>
        <v>25.62</v>
      </c>
      <c r="BM32">
        <f>IFERROR(VLOOKUP(DF32,源_6社保表_Sheet1!$C:$BZ,30,FALSE),0)</f>
        <v>224.04</v>
      </c>
      <c r="BN32">
        <f>IFERROR(VLOOKUP(DF32,源_6社保表_Sheet1!$C:$BZ,29,FALSE),0)</f>
        <v>0</v>
      </c>
      <c r="BO32">
        <f>IFERROR(VLOOKUP(DF32,源_6社保表_Sheet1!$C:$BZ,40,FALSE),0)</f>
        <v>0</v>
      </c>
      <c r="BP32">
        <f>IFERROR(VLOOKUP(DF32,源_6社保表_Sheet1!$C:$BZ,41,FALSE),0)</f>
        <v>0</v>
      </c>
      <c r="BQ32">
        <f>IFERROR(VLOOKUP(DF32,源_6社保表_Sheet1!$C:$BZ,42,FALSE),0)</f>
        <v>0</v>
      </c>
      <c r="BR32">
        <f>IFERROR(VLOOKUP(DF32,源_6社保表_Sheet1!$C:$BZ,44,FALSE),0)</f>
        <v>0</v>
      </c>
      <c r="BS32">
        <f>IFERROR(VLOOKUP(DF32,源_6社保表_Sheet1!$C:$BZ,43,FALSE),0)</f>
        <v>0</v>
      </c>
      <c r="BT32">
        <f t="shared" si="4"/>
        <v>659.58</v>
      </c>
      <c r="BU32">
        <v>0</v>
      </c>
      <c r="BV32">
        <v>0</v>
      </c>
      <c r="BW32">
        <v>0</v>
      </c>
      <c r="BX32">
        <f t="shared" si="5"/>
        <v>0</v>
      </c>
      <c r="BY32">
        <v>0</v>
      </c>
      <c r="BZ32">
        <f>IFERROR(VLOOKUP(DF32,源_6社保表_Sheet1!$C:$BZ,18,FALSE),0)</f>
        <v>768.6</v>
      </c>
      <c r="CA32">
        <f>IFERROR(VLOOKUP(DF32,源_6社保表_Sheet1!$C:$BZ,19,FALSE),0)</f>
        <v>409.92</v>
      </c>
      <c r="CB32">
        <f>IFERROR(VLOOKUP(DF32,源_6社保表_Sheet1!$C:$BZ,24,FALSE),0)</f>
        <v>224.04</v>
      </c>
      <c r="CC32">
        <f>IFERROR(VLOOKUP(DF32,源_6社保表_Sheet1!$C:$BZ,20,FALSE),0)</f>
        <v>25.62</v>
      </c>
      <c r="CD32">
        <f>IFERROR(VLOOKUP(DF32,源_6社保表_Sheet1!$C:$BZ,21,FALSE),0)</f>
        <v>16.396799999999999</v>
      </c>
      <c r="CE32">
        <f>IFERROR(VLOOKUP(DF32,源_6社保表_Sheet1!$C:$BZ,22,FALSE),0)</f>
        <v>0</v>
      </c>
      <c r="CF32">
        <f>IFERROR(VLOOKUP(DF32,源_6社保表_Sheet1!$C:$BZ,23,FALSE),0)</f>
        <v>0</v>
      </c>
      <c r="CG32">
        <f>IFERROR(VLOOKUP(DF32,源_6社保表_Sheet1!$C:$BZ,32,FALSE),0)</f>
        <v>0</v>
      </c>
      <c r="CH32">
        <f>IFERROR(VLOOKUP(DF32,源_6社保表_Sheet1!$C:$BZ,33,FALSE),0)</f>
        <v>0</v>
      </c>
      <c r="CI32">
        <f>IFERROR(VLOOKUP(DF32,源_6社保表_Sheet1!$C:$BZ,34,FALSE),0)</f>
        <v>0</v>
      </c>
      <c r="CJ32">
        <f>IFERROR(VLOOKUP(DF32,源_6社保表_Sheet1!$C:$BZ,38,FALSE),0)</f>
        <v>0</v>
      </c>
      <c r="CK32">
        <f>IFERROR(VLOOKUP(DF32,源_6社保表_Sheet1!$C:$BZ,35,FALSE),0)</f>
        <v>0</v>
      </c>
      <c r="CL32">
        <f>IFERROR(VLOOKUP(DF32,源_6社保表_Sheet1!$C:$BZ,36,FALSE),0)</f>
        <v>0</v>
      </c>
      <c r="CM32">
        <f>IFERROR(VLOOKUP(DF32,源_6社保表_Sheet1!$C:$BZ,37,FALSE),0)</f>
        <v>0</v>
      </c>
      <c r="CN32">
        <f t="shared" si="6"/>
        <v>1444.5767999999998</v>
      </c>
      <c r="CO32">
        <f t="shared" si="7"/>
        <v>13378.93017331334</v>
      </c>
      <c r="CP32">
        <f>IF(IFERROR(VLOOKUP(K32,源_13残疾人信息_残疾人信息!$A:$M,1,FALSE),"")&lt;&gt;"",0,IF(OR(P32="门店全职",P32="门店管理组",P32="全职(非门店)"),(BI32-AT32)*IFERROR(VLOOKUP(D32,源_12计提残保金规则_Sheet1!$A:$E,4,FALSE),0)*IFERROR(VLOOKUP(D32,源_12计提残保金规则_Sheet1!$A:$E,5,FALSE),0),0))</f>
        <v>161.0260205397301</v>
      </c>
      <c r="CQ32">
        <f t="shared" si="8"/>
        <v>16.05</v>
      </c>
      <c r="CR32">
        <f t="shared" si="9"/>
        <v>20.67</v>
      </c>
      <c r="CS32">
        <f>IF(DATEVALUE(N32)&gt;DATE(参数!$B$2,9,30),0,IF(M32="行政",0,IF(O32="",R32/12,IF(MONTH(DATEVALUE(O32))=参数!$B$3,0,IF(DATEVALUE(O32)&lt;DATE(参数!$B$2,参数!$B$3,1),0,R32/12)))))</f>
        <v>260.83333333333331</v>
      </c>
      <c r="CT32">
        <f t="shared" si="10"/>
        <v>0</v>
      </c>
      <c r="CU32">
        <f>IFERROR(VLOOKUP(DF32,源_6社保表_Sheet1!$C:$I,2,FALSE),0)</f>
        <v>5124</v>
      </c>
      <c r="CV32">
        <f>IFERROR(VLOOKUP(DF32,源_6社保表_Sheet1!$C:$I,7,FALSE),0)</f>
        <v>3734</v>
      </c>
      <c r="CW32">
        <f>IFERROR(VLOOKUP(DF32,源_6社保表_Sheet1!$C:$I,3,FALSE),0)</f>
        <v>5124</v>
      </c>
      <c r="CX32">
        <f>IFERROR(VLOOKUP(DF32,源_6社保表_Sheet1!$C:$I,4,FALSE),0)</f>
        <v>5124</v>
      </c>
      <c r="CY32">
        <f>IFERROR(VLOOKUP(DF32,源_6社保表_Sheet1!$C:$I,5,FALSE),0)</f>
        <v>5124</v>
      </c>
      <c r="CZ32">
        <f>IFERROR(VLOOKUP(DF32,源_6社保表_Sheet1!$C:$I,6,FALSE),0)</f>
        <v>0</v>
      </c>
      <c r="DA32">
        <f t="shared" si="11"/>
        <v>10941.44017331334</v>
      </c>
      <c r="DB32">
        <f t="shared" si="12"/>
        <v>11406.519527186403</v>
      </c>
      <c r="DC32" t="str">
        <f>IFERROR(VLOOKUP(K32,源_7银行卡表_Sheet1!$A:$J,8,FALSE),"")</f>
        <v>建设银行</v>
      </c>
      <c r="DD32" t="str">
        <f>IFERROR(VLOOKUP(K32,源_7银行卡表_Sheet1!$A:$J,9,FALSE),"")</f>
        <v>6288827625843410026</v>
      </c>
      <c r="DE32" t="str">
        <f>IFERROR(VLOOKUP(K32,源_7银行卡表_Sheet1!$A:$J,10,FALSE),"")</f>
        <v xml:space="preserve"> 中国建设银行股份有限公司深圳龙城支行</v>
      </c>
      <c r="DF32" t="s">
        <v>280</v>
      </c>
      <c r="DG32">
        <v>13886188455</v>
      </c>
      <c r="DH32" t="s">
        <v>166</v>
      </c>
      <c r="DI32">
        <v>0</v>
      </c>
      <c r="DJ32">
        <v>0</v>
      </c>
      <c r="DK32">
        <v>0</v>
      </c>
      <c r="DL32">
        <v>0</v>
      </c>
      <c r="DM32">
        <v>0</v>
      </c>
      <c r="DN32">
        <v>0</v>
      </c>
      <c r="DO32">
        <v>0</v>
      </c>
      <c r="DP32">
        <v>0</v>
      </c>
      <c r="DQ32">
        <v>0</v>
      </c>
      <c r="DR32">
        <f>IF(OR(IFERROR(VLOOKUP(K32,源_3考勤报表_考勤表!$F:$BG,39,FALSE),0)+IFERROR(VLOOKUP(K32,源_8补工时表_补当月工时!$A:$AC,24,FALSE),0)=0,IFERROR(VLOOKUP(K32,源_3考勤报表_考勤表!$F:$BG,43,FALSE),0)+IFERROR(VLOOKUP(K32,源_8补工时表_补当月工时!$A:$AC,26,FALSE),0)=0),IF(BI32+BG32-BT32&lt;0,BI32+BG32-BT32,0),0)</f>
        <v>0</v>
      </c>
    </row>
    <row r="33" spans="1:122" x14ac:dyDescent="0.15">
      <c r="A33">
        <f>参数!$B$2</f>
        <v>2025</v>
      </c>
      <c r="B33">
        <f>参数!$B$3</f>
        <v>12</v>
      </c>
      <c r="D33" t="s">
        <v>147</v>
      </c>
      <c r="E33" t="s">
        <v>123</v>
      </c>
      <c r="F33" t="str">
        <f>IFERROR(VLOOKUP(K33,源_7银行卡表_Sheet1!$A:$J,6,FALSE),"")</f>
        <v>华北营运</v>
      </c>
      <c r="G33" t="s">
        <v>148</v>
      </c>
      <c r="H33" t="s">
        <v>281</v>
      </c>
      <c r="I33" t="s">
        <v>150</v>
      </c>
      <c r="J33">
        <v>1</v>
      </c>
      <c r="K33">
        <v>26123032</v>
      </c>
      <c r="L33" t="s">
        <v>282</v>
      </c>
      <c r="M33" t="s">
        <v>170</v>
      </c>
      <c r="N33" t="s">
        <v>283</v>
      </c>
      <c r="P33" t="s">
        <v>154</v>
      </c>
      <c r="Q33">
        <f>IF(P33="门店全职",IFERROR(VLOOKUP(K33,源_3考勤报表_考勤表!$F:$BG,34,FALSE),0)+IFERROR(VLOOKUP(K33,源_8补工时表_补当月工时!$A:$AC,14,FALSE),0),IF(P33="门店管理组",IF(IFERROR(VLOOKUP(K33,源_3考勤报表_考勤表!$F:$BG,34,FALSE),0)+IFERROR(VLOOKUP(K33,源_8补工时表_补当月工时!$A:$AC,14,FALSE),0)+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44,FALSE),0)+IFERROR(VLOOKUP(K33,源_8补工时表_补当月工时!$A:$AC,16,FALSE),0)+IFERROR(VLOOKUP(K33,源_3考勤报表_考勤表!$F:$BG,45,FALSE),0)&gt;=参数!$B$4,参数!$B$4-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44,FALSE),0)-IFERROR(VLOOKUP(K33,源_8补工时表_补当月工时!$A:$AC,16,FALSE),0)-IFERROR(VLOOKUP(K33,源_3考勤报表_考勤表!$F:$BG,45,FALSE),0),IFERROR(VLOOKUP(K33,源_3考勤报表_考勤表!$F:$BG,34,FALSE),0)+IFERROR(VLOOKUP(K33,源_8补工时表_补当月工时!$A:$AC,14,FALSE),0)),0))</f>
        <v>0</v>
      </c>
      <c r="R33">
        <v>3640</v>
      </c>
      <c r="S33">
        <v>0</v>
      </c>
      <c r="T33">
        <f>IF(P33="门店全职",R33/参数!$B$4*(Q33-MAX(IFERROR(VLOOKUP(K33,源_3考勤报表_考勤表!$F:$BG,34,FALSE),0)+IFERROR(VLOOKUP(K33,源_8补工时表_补当月工时!$A:$AC,14,FALSE),0)+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参数!$B$4,0)),R33/参数!$B$4*Q33)</f>
        <v>0</v>
      </c>
      <c r="U33">
        <v>0</v>
      </c>
      <c r="V33">
        <v>0</v>
      </c>
      <c r="W33">
        <f t="shared" si="0"/>
        <v>55.5</v>
      </c>
      <c r="X33">
        <f>IFERROR(VLOOKUP(K33,源_4奖金汇总表_拆分手工算!$A:$N,8,FALSE),0)</f>
        <v>55.5</v>
      </c>
      <c r="Y33">
        <f>IFERROR(VLOOKUP(K33,源_5薪资备忘录_工资调整项!$A:$AC,14,FALSE),0)</f>
        <v>0</v>
      </c>
      <c r="Z33">
        <f>IFERROR(VLOOKUP(K33,源_5薪资备忘录_工资调整项!$A:$AC,16,FALSE),0)</f>
        <v>0</v>
      </c>
      <c r="AA33">
        <f>IFERROR(VLOOKUP(K33,源_5薪资备忘录_工资调整项!$A:$AC,15,FALSE),0)</f>
        <v>0</v>
      </c>
      <c r="AB33">
        <f t="shared" si="1"/>
        <v>0</v>
      </c>
      <c r="AC33">
        <f>IF(P33="门店全职",R33/174*MAX(IFERROR(VLOOKUP(K33,源_3考勤报表_考勤表!$F:$BG,34,FALSE),0)+IFERROR(VLOOKUP(K33,源_8补工时表_补当月工时!$A:$AC,14,FALSE),0)+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参数!$B$4,0)*1.5,0)</f>
        <v>0</v>
      </c>
      <c r="AD33">
        <v>0</v>
      </c>
      <c r="AE33">
        <f>IFERROR(VLOOKUP(K33,源_3考勤报表_考勤表!$F:$BG,46,FALSE),0)+IFERROR(VLOOKUP(K33,源_8补工时表_补当月工时!$A:$AC,25,FALSE),0)</f>
        <v>0</v>
      </c>
      <c r="AF33">
        <f t="shared" si="2"/>
        <v>0</v>
      </c>
      <c r="AG33">
        <f>IFERROR(VLOOKUP(K33,源_4奖金汇总表_拆分手工算!$A:$N,10,FALSE),0)</f>
        <v>0</v>
      </c>
      <c r="AH33">
        <f>IFERROR(VLOOKUP(K33,源_4奖金汇总表_拆分手工算!$A:$N,5,FALSE),0)</f>
        <v>0</v>
      </c>
      <c r="AI33">
        <f>IFERROR(VLOOKUP(K33,源_4奖金汇总表_拆分手工算!$A:$N,11,FALSE),0)</f>
        <v>0</v>
      </c>
      <c r="AJ33">
        <f>IFERROR(VLOOKUP(K33,源_4奖金汇总表_拆分手工算!$A:$N,4,FALSE),0)</f>
        <v>0</v>
      </c>
      <c r="AK33">
        <f>IFERROR(VLOOKUP(K33,源_4奖金汇总表_拆分手工算!$A:$N,3,FALSE),0)</f>
        <v>0</v>
      </c>
      <c r="AL33">
        <f>IFERROR(VLOOKUP(K33,源_4奖金汇总表_拆分手工算!$A:$N,6,FALSE),0)</f>
        <v>0</v>
      </c>
      <c r="AM33">
        <f>IFERROR(VLOOKUP(K33,源_5薪资备忘录_工资调整项!$A:$AC,18,FALSE),0)+IFERROR(VLOOKUP(K33,源_4奖金汇总表_拆分手工算!$A:$N,7,FALSE),0)</f>
        <v>0</v>
      </c>
      <c r="AN33">
        <f>IFERROR(VLOOKUP(K33,源_5薪资备忘录_工资调整项!$A:$AC,17,FALSE),0)</f>
        <v>0</v>
      </c>
      <c r="AO33">
        <f>IF(OR(IFERROR(VLOOKUP(K33,源_3考勤报表_考勤表!$F:$BG,39,FALSE),0)+IFERROR(VLOOKUP(K33,源_8补工时表_补当月工时!$A:$AC,24,FALSE),0)&gt;0,IFERROR(VLOOKUP(K33,源_3考勤报表_考勤表!$F:$BG,43,FALSE),0)+IFERROR(VLOOKUP(K33,源_8补工时表_补当月工时!$A:$AC,26,FALSE),0)&gt;0),IF(IFERROR(VLOOKUP(DH33,源_11产假政策_Sheet1!$C:$F,4,FALSE),"")="是",R33/参数!$B$4*(IFERROR(VLOOKUP(K33,源_3考勤报表_考勤表!$F:$BG,39,FALSE),0)+IFERROR(VLOOKUP(K33,源_8补工时表_补当月工时!$A:$AC,24,FALSE),0)+IFERROR(VLOOKUP(K33,源_3考勤报表_考勤表!$F:$BG,43,FALSE),0)+IFERROR(VLOOKUP(K33,源_8补工时表_补当月工时!$A:$AC,26,FALSE),0)),IFERROR(VLOOKUP(K33,源_5薪资备忘录_工资调整项!$A:$AC,19,FALSE),0)),0)</f>
        <v>0</v>
      </c>
      <c r="AP33">
        <v>0</v>
      </c>
      <c r="AQ33">
        <f>IFERROR(VLOOKUP(K33,源_4奖金汇总表_拆分手工算!$A:$N,12,FALSE),0)+IFERROR(VLOOKUP(K33,源_9年终奖表_Sheet1!$A:$E,3,FALSE),0)</f>
        <v>1200</v>
      </c>
      <c r="AR33">
        <f>IFERROR(VLOOKUP(K33,源_4奖金汇总表_拆分手工算!$A:$N,13,FALSE),0)+IFERROR(VLOOKUP(K33,源_9年终奖表_Sheet1!$A:$E,4,FALSE),0)</f>
        <v>600</v>
      </c>
      <c r="AS33">
        <f>IFERROR(VLOOKUP(K33,源_4奖金汇总表_拆分手工算!$A:$N,14,FALSE),0)+IFERROR(VLOOKUP(K33,源_9年终奖表_Sheet1!$A:$E,5,FALSE),0)</f>
        <v>222</v>
      </c>
      <c r="AT33">
        <f>IFERROR(VLOOKUP(K33,源_5薪资备忘录_工资调整项!$A:$AC,20,FALSE),0)</f>
        <v>0</v>
      </c>
      <c r="AU33">
        <f>IFERROR(VLOOKUP(K33,源_5薪资备忘录_工资调整项!$A:$AC,21,FALSE),0)+IFERROR(VLOOKUP(K33,源_4奖金汇总表_拆分手工算!$A:$N,9,FALSE),0)</f>
        <v>0</v>
      </c>
      <c r="AV33">
        <f>R33/参数!$B$4*(IFERROR(VLOOKUP(K33,源_3考勤报表_考勤表!$F:$BG,37,FALSE),0)+IFERROR(VLOOKUP(K33,源_8补工时表_补当月工时!$A:$AC,15,FALSE),0))</f>
        <v>0</v>
      </c>
      <c r="AW33">
        <f>R33/174*MIN(IFERROR(VLOOKUP(K33,源_3考勤报表_考勤表!$F:$BG,35,FALSE),0),174)*IF(DATEDIF(N33,DATE(参数!$B$2,参数!$B$3+1,0),"Y")&lt;2,0.6,IF(DATEDIF(N33,DATE(参数!$B$2,参数!$B$3+1,0),"Y")&lt;4,0.7,IF(DATEDIF(N33,DATE(参数!$B$2,参数!$B$3+1,0),"Y")&lt;6,0.8,IF(DATEDIF(N33,DATE(参数!$B$2,参数!$B$3+1,0),"Y")&lt;8,0.9,1))))</f>
        <v>0</v>
      </c>
      <c r="AX33">
        <f>IF(Q33+IFERROR(VLOOKUP(K33,源_3考勤报表_考勤表!$F:$BG,37,FALSE),0)+IFERROR(VLOOKUP(K33,源_8补工时表_补当月工时!$A:$AC,15,FALSE),0)&gt;=参数!$B$4,0,IF(Q33+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lt;=参数!$B$4,R33/参数!$B$4*(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0))</f>
        <v>0</v>
      </c>
      <c r="AY33">
        <v>0</v>
      </c>
      <c r="AZ33">
        <v>0</v>
      </c>
      <c r="BA33">
        <v>0</v>
      </c>
      <c r="BB33">
        <v>0</v>
      </c>
      <c r="BC33">
        <f>IFERROR(VLOOKUP(K33,源_5薪资备忘录_工资调整项!$A:$AC,25,FALSE),0)</f>
        <v>200</v>
      </c>
      <c r="BD33">
        <v>0</v>
      </c>
      <c r="BE33">
        <f>(T33+W33+AB33+AG33+AH33+AI33+AJ33+AK33+AL33+AM33+AN33+AO33+AP33+AU33+AV33+AW33+AX33+BC33-IFERROR(VLOOKUP(DF33,源_6社保表_Sheet1!$C:$BZ,76,FALSE),0))*0.02</f>
        <v>-10.331800000000001</v>
      </c>
      <c r="BF33">
        <v>0</v>
      </c>
      <c r="BG33">
        <f>IFERROR(VLOOKUP(K33,源_5薪资备忘录_工资调整项!$A:$AC,22,FALSE),0)+IFERROR(VLOOKUP(K33,源_5薪资备忘录_工资调整项!$A:$AC,23,FALSE),0)+IFERROR(VLOOKUP(K33,源_5薪资备忘录_工资调整项!$A:$AC,24,FALSE),0)</f>
        <v>300</v>
      </c>
      <c r="BH33">
        <f>IFERROR(VLOOKUP(DF33,源_6社保表_Sheet1!$C:$CD,80,FALSE),0)+4.5</f>
        <v>6.5</v>
      </c>
      <c r="BI33">
        <f t="shared" si="3"/>
        <v>2277.5</v>
      </c>
      <c r="BJ33">
        <f>IFERROR(VLOOKUP(DF33,源_6社保表_Sheet1!$C:$BZ,26,FALSE),0)</f>
        <v>501.34</v>
      </c>
      <c r="BK33">
        <f>IFERROR(VLOOKUP(DF33,源_6社保表_Sheet1!$C:$BZ,27,FALSE),0)</f>
        <v>71.62</v>
      </c>
      <c r="BL33">
        <f>IFERROR(VLOOKUP(DF33,源_6社保表_Sheet1!$C:$BZ,28,FALSE),0)</f>
        <v>35.81</v>
      </c>
      <c r="BM33">
        <f>IFERROR(VLOOKUP(DF33,源_6社保表_Sheet1!$C:$BZ,30,FALSE),0)</f>
        <v>163.32</v>
      </c>
      <c r="BN33">
        <f>IFERROR(VLOOKUP(DF33,源_6社保表_Sheet1!$C:$BZ,29,FALSE),0)</f>
        <v>0</v>
      </c>
      <c r="BO33">
        <f>IFERROR(VLOOKUP(DF33,源_6社保表_Sheet1!$C:$BZ,40,FALSE),0)</f>
        <v>0</v>
      </c>
      <c r="BP33">
        <f>IFERROR(VLOOKUP(DF33,源_6社保表_Sheet1!$C:$BZ,41,FALSE),0)</f>
        <v>0</v>
      </c>
      <c r="BQ33">
        <f>IFERROR(VLOOKUP(DF33,源_6社保表_Sheet1!$C:$BZ,42,FALSE),0)</f>
        <v>0</v>
      </c>
      <c r="BR33">
        <f>IFERROR(VLOOKUP(DF33,源_6社保表_Sheet1!$C:$BZ,44,FALSE),0)</f>
        <v>0</v>
      </c>
      <c r="BS33">
        <f>IFERROR(VLOOKUP(DF33,源_6社保表_Sheet1!$C:$BZ,43,FALSE),0)</f>
        <v>0</v>
      </c>
      <c r="BT33">
        <f t="shared" si="4"/>
        <v>772.08999999999992</v>
      </c>
      <c r="BU33">
        <v>0</v>
      </c>
      <c r="BV33">
        <v>0</v>
      </c>
      <c r="BW33">
        <v>0</v>
      </c>
      <c r="BX33">
        <f t="shared" si="5"/>
        <v>0</v>
      </c>
      <c r="BY33">
        <v>0</v>
      </c>
      <c r="BZ33">
        <f>IFERROR(VLOOKUP(DF33,源_6社保表_Sheet1!$C:$BZ,18,FALSE),0)</f>
        <v>1074.3</v>
      </c>
      <c r="CA33">
        <f>IFERROR(VLOOKUP(DF33,源_6社保表_Sheet1!$C:$BZ,19,FALSE),0)</f>
        <v>572.96</v>
      </c>
      <c r="CB33">
        <f>IFERROR(VLOOKUP(DF33,源_6社保表_Sheet1!$C:$BZ,24,FALSE),0)</f>
        <v>163.32</v>
      </c>
      <c r="CC33">
        <f>IFERROR(VLOOKUP(DF33,源_6社保表_Sheet1!$C:$BZ,20,FALSE),0)</f>
        <v>35.81</v>
      </c>
      <c r="CD33">
        <f>IFERROR(VLOOKUP(DF33,源_6社保表_Sheet1!$C:$BZ,21,FALSE),0)</f>
        <v>22.918399999999998</v>
      </c>
      <c r="CE33">
        <f>IFERROR(VLOOKUP(DF33,源_6社保表_Sheet1!$C:$BZ,22,FALSE),0)</f>
        <v>0</v>
      </c>
      <c r="CF33">
        <f>IFERROR(VLOOKUP(DF33,源_6社保表_Sheet1!$C:$BZ,23,FALSE),0)</f>
        <v>0</v>
      </c>
      <c r="CG33">
        <f>IFERROR(VLOOKUP(DF33,源_6社保表_Sheet1!$C:$BZ,32,FALSE),0)</f>
        <v>0</v>
      </c>
      <c r="CH33">
        <f>IFERROR(VLOOKUP(DF33,源_6社保表_Sheet1!$C:$BZ,33,FALSE),0)</f>
        <v>0</v>
      </c>
      <c r="CI33">
        <f>IFERROR(VLOOKUP(DF33,源_6社保表_Sheet1!$C:$BZ,34,FALSE),0)</f>
        <v>0</v>
      </c>
      <c r="CJ33">
        <f>IFERROR(VLOOKUP(DF33,源_6社保表_Sheet1!$C:$BZ,38,FALSE),0)</f>
        <v>0</v>
      </c>
      <c r="CK33">
        <f>IFERROR(VLOOKUP(DF33,源_6社保表_Sheet1!$C:$BZ,35,FALSE),0)</f>
        <v>0</v>
      </c>
      <c r="CL33">
        <f>IFERROR(VLOOKUP(DF33,源_6社保表_Sheet1!$C:$BZ,36,FALSE),0)</f>
        <v>0</v>
      </c>
      <c r="CM33">
        <f>IFERROR(VLOOKUP(DF33,源_6社保表_Sheet1!$C:$BZ,37,FALSE),0)</f>
        <v>0</v>
      </c>
      <c r="CN33">
        <f t="shared" si="6"/>
        <v>1869.3083999999999</v>
      </c>
      <c r="CO33">
        <f t="shared" si="7"/>
        <v>4442.9766</v>
      </c>
      <c r="CP33">
        <f>IF(IFERROR(VLOOKUP(K33,源_13残疾人信息_残疾人信息!$A:$M,1,FALSE),"")&lt;&gt;"",0,IF(OR(P33="门店全职",P33="门店管理组",P33="全职(非门店)"),(BI33-AT33)*IFERROR(VLOOKUP(D33,源_12计提残保金规则_Sheet1!$A:$E,4,FALSE),0)*IFERROR(VLOOKUP(D33,源_12计提残保金规则_Sheet1!$A:$E,5,FALSE),0),0))</f>
        <v>30.746250000000003</v>
      </c>
      <c r="CQ33">
        <f t="shared" si="8"/>
        <v>16.05</v>
      </c>
      <c r="CR33">
        <f t="shared" si="9"/>
        <v>20.67</v>
      </c>
      <c r="CS33">
        <f>IF(DATEVALUE(N33)&gt;DATE(参数!$B$2,9,30),0,IF(M33="行政",0,IF(O33="",R33/12,IF(MONTH(DATEVALUE(O33))=参数!$B$3,0,IF(DATEVALUE(O33)&lt;DATE(参数!$B$2,参数!$B$3,1),0,R33/12)))))</f>
        <v>303.33333333333331</v>
      </c>
      <c r="CT33">
        <f t="shared" si="10"/>
        <v>0</v>
      </c>
      <c r="CU33">
        <f>IFERROR(VLOOKUP(DF33,源_6社保表_Sheet1!$C:$I,2,FALSE),0)</f>
        <v>7162</v>
      </c>
      <c r="CV33">
        <f>IFERROR(VLOOKUP(DF33,源_6社保表_Sheet1!$C:$I,7,FALSE),0)</f>
        <v>2722</v>
      </c>
      <c r="CW33">
        <f>IFERROR(VLOOKUP(DF33,源_6社保表_Sheet1!$C:$I,3,FALSE),0)</f>
        <v>7162</v>
      </c>
      <c r="CX33">
        <f>IFERROR(VLOOKUP(DF33,源_6社保表_Sheet1!$C:$I,4,FALSE),0)</f>
        <v>7162</v>
      </c>
      <c r="CY33">
        <f>IFERROR(VLOOKUP(DF33,源_6社保表_Sheet1!$C:$I,5,FALSE),0)</f>
        <v>7162</v>
      </c>
      <c r="CZ33">
        <f>IFERROR(VLOOKUP(DF33,源_6社保表_Sheet1!$C:$I,6,FALSE),0)</f>
        <v>0</v>
      </c>
      <c r="DA33">
        <f t="shared" si="11"/>
        <v>2124.8083999999999</v>
      </c>
      <c r="DB33">
        <f t="shared" si="12"/>
        <v>2502.1079833333338</v>
      </c>
      <c r="DC33" t="str">
        <f>IFERROR(VLOOKUP(K33,源_7银行卡表_Sheet1!$A:$J,8,FALSE),"")</f>
        <v>建设银行</v>
      </c>
      <c r="DD33" t="str">
        <f>IFERROR(VLOOKUP(K33,源_7银行卡表_Sheet1!$A:$J,9,FALSE),"")</f>
        <v>6288045106292291508</v>
      </c>
      <c r="DE33" t="str">
        <f>IFERROR(VLOOKUP(K33,源_7银行卡表_Sheet1!$A:$J,10,FALSE),"")</f>
        <v>中国建设银行股份有限公司深圳新城支行</v>
      </c>
      <c r="DF33" t="s">
        <v>284</v>
      </c>
      <c r="DG33">
        <v>14308370933</v>
      </c>
      <c r="DH33" t="s">
        <v>148</v>
      </c>
      <c r="DI33">
        <v>0</v>
      </c>
      <c r="DJ33">
        <v>0</v>
      </c>
      <c r="DK33">
        <v>0</v>
      </c>
      <c r="DL33">
        <v>0</v>
      </c>
      <c r="DM33">
        <v>0</v>
      </c>
      <c r="DN33">
        <v>0</v>
      </c>
      <c r="DO33">
        <v>0</v>
      </c>
      <c r="DP33">
        <v>0</v>
      </c>
      <c r="DQ33">
        <v>0</v>
      </c>
      <c r="DR33">
        <f>IF(OR(IFERROR(VLOOKUP(K33,源_3考勤报表_考勤表!$F:$BG,39,FALSE),0)+IFERROR(VLOOKUP(K33,源_8补工时表_补当月工时!$A:$AC,24,FALSE),0)=0,IFERROR(VLOOKUP(K33,源_3考勤报表_考勤表!$F:$BG,43,FALSE),0)+IFERROR(VLOOKUP(K33,源_8补工时表_补当月工时!$A:$AC,26,FALSE),0)=0),IF(BI33+BG33-BT33&lt;0,BI33+BG33-BT33,0),0)</f>
        <v>0</v>
      </c>
    </row>
    <row r="34" spans="1:122" x14ac:dyDescent="0.15">
      <c r="A34">
        <f>参数!$B$2</f>
        <v>2025</v>
      </c>
      <c r="B34">
        <f>参数!$B$3</f>
        <v>12</v>
      </c>
      <c r="D34" t="s">
        <v>147</v>
      </c>
      <c r="E34" t="s">
        <v>123</v>
      </c>
      <c r="F34" t="str">
        <f>IFERROR(VLOOKUP(K34,源_7银行卡表_Sheet1!$A:$J,6,FALSE),"")</f>
        <v>华北营运</v>
      </c>
      <c r="G34" t="s">
        <v>148</v>
      </c>
      <c r="H34" t="s">
        <v>285</v>
      </c>
      <c r="I34" t="s">
        <v>150</v>
      </c>
      <c r="J34">
        <v>1</v>
      </c>
      <c r="K34">
        <v>26123033</v>
      </c>
      <c r="L34" t="s">
        <v>286</v>
      </c>
      <c r="M34" t="s">
        <v>170</v>
      </c>
      <c r="N34" t="s">
        <v>287</v>
      </c>
      <c r="P34" t="s">
        <v>154</v>
      </c>
      <c r="Q34">
        <f>IF(P34="门店全职",IFERROR(VLOOKUP(K34,源_3考勤报表_考勤表!$F:$BG,34,FALSE),0)+IFERROR(VLOOKUP(K34,源_8补工时表_补当月工时!$A:$AC,14,FALSE),0),IF(P34="门店管理组",IF(IFERROR(VLOOKUP(K34,源_3考勤报表_考勤表!$F:$BG,34,FALSE),0)+IFERROR(VLOOKUP(K34,源_8补工时表_补当月工时!$A:$AC,14,FALSE),0)+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44,FALSE),0)+IFERROR(VLOOKUP(K34,源_8补工时表_补当月工时!$A:$AC,16,FALSE),0)+IFERROR(VLOOKUP(K34,源_3考勤报表_考勤表!$F:$BG,45,FALSE),0)&gt;=参数!$B$4,参数!$B$4-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44,FALSE),0)-IFERROR(VLOOKUP(K34,源_8补工时表_补当月工时!$A:$AC,16,FALSE),0)-IFERROR(VLOOKUP(K34,源_3考勤报表_考勤表!$F:$BG,45,FALSE),0),IFERROR(VLOOKUP(K34,源_3考勤报表_考勤表!$F:$BG,34,FALSE),0)+IFERROR(VLOOKUP(K34,源_8补工时表_补当月工时!$A:$AC,14,FALSE),0)),0))</f>
        <v>0</v>
      </c>
      <c r="R34">
        <v>3640</v>
      </c>
      <c r="S34">
        <v>0</v>
      </c>
      <c r="T34">
        <f>IF(P34="门店全职",R34/参数!$B$4*(Q34-MAX(IFERROR(VLOOKUP(K34,源_3考勤报表_考勤表!$F:$BG,34,FALSE),0)+IFERROR(VLOOKUP(K34,源_8补工时表_补当月工时!$A:$AC,14,FALSE),0)+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参数!$B$4,0)),R34/参数!$B$4*Q34)</f>
        <v>0</v>
      </c>
      <c r="U34">
        <v>0</v>
      </c>
      <c r="V34">
        <v>0</v>
      </c>
      <c r="W34">
        <f t="shared" ref="W34:W65" si="13">X34+Y34+Z34+AA34</f>
        <v>200</v>
      </c>
      <c r="X34">
        <f>IFERROR(VLOOKUP(K34,源_4奖金汇总表_拆分手工算!$A:$N,8,FALSE),0)</f>
        <v>0</v>
      </c>
      <c r="Y34">
        <f>IFERROR(VLOOKUP(K34,源_5薪资备忘录_工资调整项!$A:$AC,14,FALSE),0)</f>
        <v>200</v>
      </c>
      <c r="Z34">
        <f>IFERROR(VLOOKUP(K34,源_5薪资备忘录_工资调整项!$A:$AC,16,FALSE),0)</f>
        <v>0</v>
      </c>
      <c r="AA34">
        <f>IFERROR(VLOOKUP(K34,源_5薪资备忘录_工资调整项!$A:$AC,15,FALSE),0)</f>
        <v>0</v>
      </c>
      <c r="AB34">
        <f t="shared" ref="AB34:AB65" si="14">AC34+AD34+AF34</f>
        <v>0</v>
      </c>
      <c r="AC34">
        <f>IF(P34="门店全职",R34/174*MAX(IFERROR(VLOOKUP(K34,源_3考勤报表_考勤表!$F:$BG,34,FALSE),0)+IFERROR(VLOOKUP(K34,源_8补工时表_补当月工时!$A:$AC,14,FALSE),0)+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参数!$B$4,0)*1.5,0)</f>
        <v>0</v>
      </c>
      <c r="AD34">
        <v>0</v>
      </c>
      <c r="AE34">
        <f>IFERROR(VLOOKUP(K34,源_3考勤报表_考勤表!$F:$BG,46,FALSE),0)+IFERROR(VLOOKUP(K34,源_8补工时表_补当月工时!$A:$AC,25,FALSE),0)</f>
        <v>0</v>
      </c>
      <c r="AF34">
        <f t="shared" ref="AF34:AF65" si="15">R34/174*AE34*3</f>
        <v>0</v>
      </c>
      <c r="AG34">
        <f>IFERROR(VLOOKUP(K34,源_4奖金汇总表_拆分手工算!$A:$N,10,FALSE),0)</f>
        <v>273</v>
      </c>
      <c r="AH34">
        <f>IFERROR(VLOOKUP(K34,源_4奖金汇总表_拆分手工算!$A:$N,5,FALSE),0)</f>
        <v>0</v>
      </c>
      <c r="AI34">
        <f>IFERROR(VLOOKUP(K34,源_4奖金汇总表_拆分手工算!$A:$N,11,FALSE),0)</f>
        <v>0</v>
      </c>
      <c r="AJ34">
        <f>IFERROR(VLOOKUP(K34,源_4奖金汇总表_拆分手工算!$A:$N,4,FALSE),0)</f>
        <v>0</v>
      </c>
      <c r="AK34">
        <f>IFERROR(VLOOKUP(K34,源_4奖金汇总表_拆分手工算!$A:$N,3,FALSE),0)</f>
        <v>0</v>
      </c>
      <c r="AL34">
        <f>IFERROR(VLOOKUP(K34,源_4奖金汇总表_拆分手工算!$A:$N,6,FALSE),0)</f>
        <v>0</v>
      </c>
      <c r="AM34">
        <f>IFERROR(VLOOKUP(K34,源_5薪资备忘录_工资调整项!$A:$AC,18,FALSE),0)+IFERROR(VLOOKUP(K34,源_4奖金汇总表_拆分手工算!$A:$N,7,FALSE),0)</f>
        <v>0</v>
      </c>
      <c r="AN34">
        <f>IFERROR(VLOOKUP(K34,源_5薪资备忘录_工资调整项!$A:$AC,17,FALSE),0)</f>
        <v>0</v>
      </c>
      <c r="AO34">
        <f>IF(OR(IFERROR(VLOOKUP(K34,源_3考勤报表_考勤表!$F:$BG,39,FALSE),0)+IFERROR(VLOOKUP(K34,源_8补工时表_补当月工时!$A:$AC,24,FALSE),0)&gt;0,IFERROR(VLOOKUP(K34,源_3考勤报表_考勤表!$F:$BG,43,FALSE),0)+IFERROR(VLOOKUP(K34,源_8补工时表_补当月工时!$A:$AC,26,FALSE),0)&gt;0),IF(IFERROR(VLOOKUP(DH34,源_11产假政策_Sheet1!$C:$F,4,FALSE),"")="是",R34/参数!$B$4*(IFERROR(VLOOKUP(K34,源_3考勤报表_考勤表!$F:$BG,39,FALSE),0)+IFERROR(VLOOKUP(K34,源_8补工时表_补当月工时!$A:$AC,24,FALSE),0)+IFERROR(VLOOKUP(K34,源_3考勤报表_考勤表!$F:$BG,43,FALSE),0)+IFERROR(VLOOKUP(K34,源_8补工时表_补当月工时!$A:$AC,26,FALSE),0)),IFERROR(VLOOKUP(K34,源_5薪资备忘录_工资调整项!$A:$AC,19,FALSE),0)),0)</f>
        <v>0</v>
      </c>
      <c r="AP34">
        <v>0</v>
      </c>
      <c r="AQ34">
        <f>IFERROR(VLOOKUP(K34,源_4奖金汇总表_拆分手工算!$A:$N,12,FALSE),0)+IFERROR(VLOOKUP(K34,源_9年终奖表_Sheet1!$A:$E,3,FALSE),0)</f>
        <v>1200</v>
      </c>
      <c r="AR34">
        <f>IFERROR(VLOOKUP(K34,源_4奖金汇总表_拆分手工算!$A:$N,13,FALSE),0)+IFERROR(VLOOKUP(K34,源_9年终奖表_Sheet1!$A:$E,4,FALSE),0)</f>
        <v>600</v>
      </c>
      <c r="AS34">
        <f>IFERROR(VLOOKUP(K34,源_4奖金汇总表_拆分手工算!$A:$N,14,FALSE),0)+IFERROR(VLOOKUP(K34,源_9年终奖表_Sheet1!$A:$E,5,FALSE),0)</f>
        <v>111</v>
      </c>
      <c r="AT34">
        <f>IFERROR(VLOOKUP(K34,源_5薪资备忘录_工资调整项!$A:$AC,20,FALSE),0)</f>
        <v>0</v>
      </c>
      <c r="AU34">
        <f>IFERROR(VLOOKUP(K34,源_5薪资备忘录_工资调整项!$A:$AC,21,FALSE),0)+IFERROR(VLOOKUP(K34,源_4奖金汇总表_拆分手工算!$A:$N,9,FALSE),0)</f>
        <v>0</v>
      </c>
      <c r="AV34">
        <f>R34/参数!$B$4*(IFERROR(VLOOKUP(K34,源_3考勤报表_考勤表!$F:$BG,37,FALSE),0)+IFERROR(VLOOKUP(K34,源_8补工时表_补当月工时!$A:$AC,15,FALSE),0))</f>
        <v>0</v>
      </c>
      <c r="AW34">
        <f>R34/174*MIN(IFERROR(VLOOKUP(K34,源_3考勤报表_考勤表!$F:$BG,35,FALSE),0),174)*IF(DATEDIF(N34,DATE(参数!$B$2,参数!$B$3+1,0),"Y")&lt;2,0.6,IF(DATEDIF(N34,DATE(参数!$B$2,参数!$B$3+1,0),"Y")&lt;4,0.7,IF(DATEDIF(N34,DATE(参数!$B$2,参数!$B$3+1,0),"Y")&lt;6,0.8,IF(DATEDIF(N34,DATE(参数!$B$2,参数!$B$3+1,0),"Y")&lt;8,0.9,1))))</f>
        <v>0</v>
      </c>
      <c r="AX34">
        <f>IF(Q34+IFERROR(VLOOKUP(K34,源_3考勤报表_考勤表!$F:$BG,37,FALSE),0)+IFERROR(VLOOKUP(K34,源_8补工时表_补当月工时!$A:$AC,15,FALSE),0)&gt;=参数!$B$4,0,IF(Q34+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lt;=参数!$B$4,R34/参数!$B$4*(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0))</f>
        <v>0</v>
      </c>
      <c r="AY34">
        <v>0</v>
      </c>
      <c r="AZ34">
        <v>0</v>
      </c>
      <c r="BA34">
        <v>0</v>
      </c>
      <c r="BB34">
        <v>0</v>
      </c>
      <c r="BC34">
        <f>IFERROR(VLOOKUP(K34,源_5薪资备忘录_工资调整项!$A:$AC,25,FALSE),0)</f>
        <v>0</v>
      </c>
      <c r="BD34">
        <v>0</v>
      </c>
      <c r="BE34">
        <f>(T34+W34+AB34+AG34+AH34+AI34+AJ34+AK34+AL34+AM34+AN34+AO34+AP34+AU34+AV34+AW34+AX34+BC34-IFERROR(VLOOKUP(DF34,源_6社保表_Sheet1!$C:$BZ,76,FALSE),0))*0.02</f>
        <v>-7.7505999999999995</v>
      </c>
      <c r="BF34">
        <v>0</v>
      </c>
      <c r="BG34">
        <f>IFERROR(VLOOKUP(K34,源_5薪资备忘录_工资调整项!$A:$AC,22,FALSE),0)+IFERROR(VLOOKUP(K34,源_5薪资备忘录_工资调整项!$A:$AC,23,FALSE),0)+IFERROR(VLOOKUP(K34,源_5薪资备忘录_工资调整项!$A:$AC,24,FALSE),0)</f>
        <v>0</v>
      </c>
      <c r="BH34">
        <f>IFERROR(VLOOKUP(DF34,源_6社保表_Sheet1!$C:$CD,80,FALSE),0)+4.5</f>
        <v>6.5</v>
      </c>
      <c r="BI34">
        <f t="shared" ref="BI34:BI65" si="16">T34+W34+AB34+AG34+AH34+AI34+AJ34+AK34+AL34+AM34+AN34+AO34+AP34+AQ34+AR34+AS34+AT34+AU34+AV34+AW34+AX34+BC34</f>
        <v>2384</v>
      </c>
      <c r="BJ34">
        <f>IFERROR(VLOOKUP(DF34,源_6社保表_Sheet1!$C:$BZ,26,FALSE),0)</f>
        <v>501.34</v>
      </c>
      <c r="BK34">
        <f>IFERROR(VLOOKUP(DF34,源_6社保表_Sheet1!$C:$BZ,27,FALSE),0)</f>
        <v>71.62</v>
      </c>
      <c r="BL34">
        <f>IFERROR(VLOOKUP(DF34,源_6社保表_Sheet1!$C:$BZ,28,FALSE),0)</f>
        <v>35.81</v>
      </c>
      <c r="BM34">
        <f>IFERROR(VLOOKUP(DF34,源_6社保表_Sheet1!$C:$BZ,30,FALSE),0)</f>
        <v>251.76</v>
      </c>
      <c r="BN34">
        <f>IFERROR(VLOOKUP(DF34,源_6社保表_Sheet1!$C:$BZ,29,FALSE),0)</f>
        <v>0</v>
      </c>
      <c r="BO34">
        <f>IFERROR(VLOOKUP(DF34,源_6社保表_Sheet1!$C:$BZ,40,FALSE),0)</f>
        <v>0</v>
      </c>
      <c r="BP34">
        <f>IFERROR(VLOOKUP(DF34,源_6社保表_Sheet1!$C:$BZ,41,FALSE),0)</f>
        <v>0</v>
      </c>
      <c r="BQ34">
        <f>IFERROR(VLOOKUP(DF34,源_6社保表_Sheet1!$C:$BZ,42,FALSE),0)</f>
        <v>0</v>
      </c>
      <c r="BR34">
        <f>IFERROR(VLOOKUP(DF34,源_6社保表_Sheet1!$C:$BZ,44,FALSE),0)</f>
        <v>0</v>
      </c>
      <c r="BS34">
        <f>IFERROR(VLOOKUP(DF34,源_6社保表_Sheet1!$C:$BZ,43,FALSE),0)</f>
        <v>0</v>
      </c>
      <c r="BT34">
        <f t="shared" ref="BT34:BT65" si="17">BJ34+BK34+BL34+BM34+BN34+BO34+BP34+BQ34+BR34+BS34</f>
        <v>860.53</v>
      </c>
      <c r="BU34">
        <v>0</v>
      </c>
      <c r="BV34">
        <v>0</v>
      </c>
      <c r="BW34">
        <v>0</v>
      </c>
      <c r="BX34">
        <f t="shared" ref="BX34:BX65" si="18">BU34+BV34+BW34</f>
        <v>0</v>
      </c>
      <c r="BY34">
        <v>0</v>
      </c>
      <c r="BZ34">
        <f>IFERROR(VLOOKUP(DF34,源_6社保表_Sheet1!$C:$BZ,18,FALSE),0)</f>
        <v>1074.3</v>
      </c>
      <c r="CA34">
        <f>IFERROR(VLOOKUP(DF34,源_6社保表_Sheet1!$C:$BZ,19,FALSE),0)</f>
        <v>572.96</v>
      </c>
      <c r="CB34">
        <f>IFERROR(VLOOKUP(DF34,源_6社保表_Sheet1!$C:$BZ,24,FALSE),0)</f>
        <v>251.76</v>
      </c>
      <c r="CC34">
        <f>IFERROR(VLOOKUP(DF34,源_6社保表_Sheet1!$C:$BZ,20,FALSE),0)</f>
        <v>35.81</v>
      </c>
      <c r="CD34">
        <f>IFERROR(VLOOKUP(DF34,源_6社保表_Sheet1!$C:$BZ,21,FALSE),0)</f>
        <v>22.918399999999998</v>
      </c>
      <c r="CE34">
        <f>IFERROR(VLOOKUP(DF34,源_6社保表_Sheet1!$C:$BZ,22,FALSE),0)</f>
        <v>0</v>
      </c>
      <c r="CF34">
        <f>IFERROR(VLOOKUP(DF34,源_6社保表_Sheet1!$C:$BZ,23,FALSE),0)</f>
        <v>0</v>
      </c>
      <c r="CG34">
        <f>IFERROR(VLOOKUP(DF34,源_6社保表_Sheet1!$C:$BZ,32,FALSE),0)</f>
        <v>0</v>
      </c>
      <c r="CH34">
        <f>IFERROR(VLOOKUP(DF34,源_6社保表_Sheet1!$C:$BZ,33,FALSE),0)</f>
        <v>0</v>
      </c>
      <c r="CI34">
        <f>IFERROR(VLOOKUP(DF34,源_6社保表_Sheet1!$C:$BZ,34,FALSE),0)</f>
        <v>0</v>
      </c>
      <c r="CJ34">
        <f>IFERROR(VLOOKUP(DF34,源_6社保表_Sheet1!$C:$BZ,38,FALSE),0)</f>
        <v>0</v>
      </c>
      <c r="CK34">
        <f>IFERROR(VLOOKUP(DF34,源_6社保表_Sheet1!$C:$BZ,35,FALSE),0)</f>
        <v>0</v>
      </c>
      <c r="CL34">
        <f>IFERROR(VLOOKUP(DF34,源_6社保表_Sheet1!$C:$BZ,36,FALSE),0)</f>
        <v>0</v>
      </c>
      <c r="CM34">
        <f>IFERROR(VLOOKUP(DF34,源_6社保表_Sheet1!$C:$BZ,37,FALSE),0)</f>
        <v>0</v>
      </c>
      <c r="CN34">
        <f t="shared" ref="CN34:CN65" si="19">BZ34+CA34+CB34+CC34+CD34+CE34+CF34+CG34+CH34+CI34+CJ34+CK34+CL34+CM34</f>
        <v>1957.7483999999999</v>
      </c>
      <c r="CO34">
        <f t="shared" ref="CO34:CO65" si="20">BI34+BG34+CN34+BE34+BH34</f>
        <v>4340.4978000000001</v>
      </c>
      <c r="CP34">
        <f>IF(IFERROR(VLOOKUP(K34,源_13残疾人信息_残疾人信息!$A:$M,1,FALSE),"")&lt;&gt;"",0,IF(OR(P34="门店全职",P34="门店管理组",P34="全职(非门店)"),(BI34-AT34)*IFERROR(VLOOKUP(D34,源_12计提残保金规则_Sheet1!$A:$E,4,FALSE),0)*IFERROR(VLOOKUP(D34,源_12计提残保金规则_Sheet1!$A:$E,5,FALSE),0),0))</f>
        <v>0</v>
      </c>
      <c r="CQ34">
        <f t="shared" ref="CQ34:CQ65" si="21">IF(M34="行政",0,16.05)</f>
        <v>16.05</v>
      </c>
      <c r="CR34">
        <f t="shared" ref="CR34:CR65" si="22">IF(M34="门卫",0,20.67)</f>
        <v>20.67</v>
      </c>
      <c r="CS34">
        <f>IF(DATEVALUE(N34)&gt;DATE(参数!$B$2,9,30),0,IF(M34="行政",0,IF(O34="",R34/12,IF(MONTH(DATEVALUE(O34))=参数!$B$3,0,IF(DATEVALUE(O34)&lt;DATE(参数!$B$2,参数!$B$3,1),0,R34/12)))))</f>
        <v>303.33333333333331</v>
      </c>
      <c r="CT34">
        <f t="shared" ref="CT34:CT65" si="23">IF(P34="门店管理组",R34*0.12*0.85,0)</f>
        <v>0</v>
      </c>
      <c r="CU34">
        <f>IFERROR(VLOOKUP(DF34,源_6社保表_Sheet1!$C:$I,2,FALSE),0)</f>
        <v>7162</v>
      </c>
      <c r="CV34">
        <f>IFERROR(VLOOKUP(DF34,源_6社保表_Sheet1!$C:$I,7,FALSE),0)</f>
        <v>4196</v>
      </c>
      <c r="CW34">
        <f>IFERROR(VLOOKUP(DF34,源_6社保表_Sheet1!$C:$I,3,FALSE),0)</f>
        <v>7162</v>
      </c>
      <c r="CX34">
        <f>IFERROR(VLOOKUP(DF34,源_6社保表_Sheet1!$C:$I,4,FALSE),0)</f>
        <v>7162</v>
      </c>
      <c r="CY34">
        <f>IFERROR(VLOOKUP(DF34,源_6社保表_Sheet1!$C:$I,5,FALSE),0)</f>
        <v>7162</v>
      </c>
      <c r="CZ34">
        <f>IFERROR(VLOOKUP(DF34,源_6社保表_Sheet1!$C:$I,6,FALSE),0)</f>
        <v>0</v>
      </c>
      <c r="DA34">
        <f t="shared" ref="DA34:DA65" si="24">BI34+CN34-AG34-AH34-AI34-AJ34-AK34-AL34-AM34-AQ34-AR34-AS34-AT34</f>
        <v>2157.7484000000004</v>
      </c>
      <c r="DB34">
        <f t="shared" ref="DB34:DB65" si="25">DA34+CP34+CQ34+CR34+CS34+CT34+BH34</f>
        <v>2504.3017333333341</v>
      </c>
      <c r="DC34" t="str">
        <f>IFERROR(VLOOKUP(K34,源_7银行卡表_Sheet1!$A:$J,8,FALSE),"")</f>
        <v>建设银行</v>
      </c>
      <c r="DD34" t="str">
        <f>IFERROR(VLOOKUP(K34,源_7银行卡表_Sheet1!$A:$J,9,FALSE),"")</f>
        <v>6286566884306823900</v>
      </c>
      <c r="DE34" t="str">
        <f>IFERROR(VLOOKUP(K34,源_7银行卡表_Sheet1!$A:$J,10,FALSE),"")</f>
        <v>宜春市袁州区建设银行</v>
      </c>
      <c r="DF34" t="s">
        <v>288</v>
      </c>
      <c r="DG34">
        <v>18620310791</v>
      </c>
      <c r="DH34" t="s">
        <v>148</v>
      </c>
      <c r="DI34">
        <v>0</v>
      </c>
      <c r="DJ34">
        <v>0</v>
      </c>
      <c r="DK34">
        <v>0</v>
      </c>
      <c r="DL34">
        <v>0</v>
      </c>
      <c r="DM34">
        <v>0</v>
      </c>
      <c r="DN34">
        <v>0</v>
      </c>
      <c r="DO34">
        <v>0</v>
      </c>
      <c r="DP34">
        <v>0</v>
      </c>
      <c r="DQ34">
        <v>0</v>
      </c>
      <c r="DR34">
        <f>IF(OR(IFERROR(VLOOKUP(K34,源_3考勤报表_考勤表!$F:$BG,39,FALSE),0)+IFERROR(VLOOKUP(K34,源_8补工时表_补当月工时!$A:$AC,24,FALSE),0)=0,IFERROR(VLOOKUP(K34,源_3考勤报表_考勤表!$F:$BG,43,FALSE),0)+IFERROR(VLOOKUP(K34,源_8补工时表_补当月工时!$A:$AC,26,FALSE),0)=0),IF(BI34+BG34-BT34&lt;0,BI34+BG34-BT34,0),0)</f>
        <v>0</v>
      </c>
    </row>
    <row r="35" spans="1:122" x14ac:dyDescent="0.15">
      <c r="A35">
        <f>参数!$B$2</f>
        <v>2025</v>
      </c>
      <c r="B35">
        <f>参数!$B$3</f>
        <v>12</v>
      </c>
      <c r="D35" t="s">
        <v>289</v>
      </c>
      <c r="E35" t="s">
        <v>123</v>
      </c>
      <c r="F35" t="str">
        <f>IFERROR(VLOOKUP(K35,源_7银行卡表_Sheet1!$A:$J,6,FALSE),"")</f>
        <v>华北营运</v>
      </c>
      <c r="G35" t="s">
        <v>290</v>
      </c>
      <c r="H35" t="s">
        <v>291</v>
      </c>
      <c r="I35" t="s">
        <v>292</v>
      </c>
      <c r="J35">
        <v>1</v>
      </c>
      <c r="K35">
        <v>26123034</v>
      </c>
      <c r="L35" t="s">
        <v>293</v>
      </c>
      <c r="M35" t="s">
        <v>170</v>
      </c>
      <c r="N35" t="s">
        <v>294</v>
      </c>
      <c r="P35" t="s">
        <v>154</v>
      </c>
      <c r="Q35">
        <f>IF(P35="门店全职",IFERROR(VLOOKUP(K35,源_3考勤报表_考勤表!$F:$BG,34,FALSE),0)+IFERROR(VLOOKUP(K35,源_8补工时表_补当月工时!$A:$AC,14,FALSE),0),IF(P35="门店管理组",IF(IFERROR(VLOOKUP(K35,源_3考勤报表_考勤表!$F:$BG,34,FALSE),0)+IFERROR(VLOOKUP(K35,源_8补工时表_补当月工时!$A:$AC,14,FALSE),0)+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44,FALSE),0)+IFERROR(VLOOKUP(K35,源_8补工时表_补当月工时!$A:$AC,16,FALSE),0)+IFERROR(VLOOKUP(K35,源_3考勤报表_考勤表!$F:$BG,45,FALSE),0)&gt;=参数!$B$4,参数!$B$4-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44,FALSE),0)-IFERROR(VLOOKUP(K35,源_8补工时表_补当月工时!$A:$AC,16,FALSE),0)-IFERROR(VLOOKUP(K35,源_3考勤报表_考勤表!$F:$BG,45,FALSE),0),IFERROR(VLOOKUP(K35,源_3考勤报表_考勤表!$F:$BG,34,FALSE),0)+IFERROR(VLOOKUP(K35,源_8补工时表_补当月工时!$A:$AC,14,FALSE),0)),0))</f>
        <v>0</v>
      </c>
      <c r="R35">
        <v>3010</v>
      </c>
      <c r="S35">
        <v>0</v>
      </c>
      <c r="T35">
        <f>IF(P35="门店全职",R35/参数!$B$4*(Q35-MAX(IFERROR(VLOOKUP(K35,源_3考勤报表_考勤表!$F:$BG,34,FALSE),0)+IFERROR(VLOOKUP(K35,源_8补工时表_补当月工时!$A:$AC,14,FALSE),0)+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参数!$B$4,0)),R35/参数!$B$4*Q35)</f>
        <v>0</v>
      </c>
      <c r="U35">
        <v>0</v>
      </c>
      <c r="V35">
        <v>0</v>
      </c>
      <c r="W35">
        <f t="shared" si="13"/>
        <v>673</v>
      </c>
      <c r="X35">
        <f>IFERROR(VLOOKUP(K35,源_4奖金汇总表_拆分手工算!$A:$N,8,FALSE),0)</f>
        <v>7</v>
      </c>
      <c r="Y35">
        <f>IFERROR(VLOOKUP(K35,源_5薪资备忘录_工资调整项!$A:$AC,14,FALSE),0)</f>
        <v>0</v>
      </c>
      <c r="Z35">
        <f>IFERROR(VLOOKUP(K35,源_5薪资备忘录_工资调整项!$A:$AC,16,FALSE),0)</f>
        <v>0</v>
      </c>
      <c r="AA35">
        <f>IFERROR(VLOOKUP(K35,源_5薪资备忘录_工资调整项!$A:$AC,15,FALSE),0)</f>
        <v>666</v>
      </c>
      <c r="AB35">
        <f t="shared" si="14"/>
        <v>0</v>
      </c>
      <c r="AC35">
        <f>IF(P35="门店全职",R35/174*MAX(IFERROR(VLOOKUP(K35,源_3考勤报表_考勤表!$F:$BG,34,FALSE),0)+IFERROR(VLOOKUP(K35,源_8补工时表_补当月工时!$A:$AC,14,FALSE),0)+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参数!$B$4,0)*1.5,0)</f>
        <v>0</v>
      </c>
      <c r="AD35">
        <v>0</v>
      </c>
      <c r="AE35">
        <f>IFERROR(VLOOKUP(K35,源_3考勤报表_考勤表!$F:$BG,46,FALSE),0)+IFERROR(VLOOKUP(K35,源_8补工时表_补当月工时!$A:$AC,25,FALSE),0)</f>
        <v>0</v>
      </c>
      <c r="AF35">
        <f t="shared" si="15"/>
        <v>0</v>
      </c>
      <c r="AG35">
        <f>IFERROR(VLOOKUP(K35,源_4奖金汇总表_拆分手工算!$A:$N,10,FALSE),0)</f>
        <v>0</v>
      </c>
      <c r="AH35">
        <f>IFERROR(VLOOKUP(K35,源_4奖金汇总表_拆分手工算!$A:$N,5,FALSE),0)</f>
        <v>0</v>
      </c>
      <c r="AI35">
        <f>IFERROR(VLOOKUP(K35,源_4奖金汇总表_拆分手工算!$A:$N,11,FALSE),0)</f>
        <v>0</v>
      </c>
      <c r="AJ35">
        <f>IFERROR(VLOOKUP(K35,源_4奖金汇总表_拆分手工算!$A:$N,4,FALSE),0)</f>
        <v>0</v>
      </c>
      <c r="AK35">
        <f>IFERROR(VLOOKUP(K35,源_4奖金汇总表_拆分手工算!$A:$N,3,FALSE),0)</f>
        <v>0</v>
      </c>
      <c r="AL35">
        <f>IFERROR(VLOOKUP(K35,源_4奖金汇总表_拆分手工算!$A:$N,6,FALSE),0)</f>
        <v>0</v>
      </c>
      <c r="AM35">
        <f>IFERROR(VLOOKUP(K35,源_5薪资备忘录_工资调整项!$A:$AC,18,FALSE),0)+IFERROR(VLOOKUP(K35,源_4奖金汇总表_拆分手工算!$A:$N,7,FALSE),0)</f>
        <v>0</v>
      </c>
      <c r="AN35">
        <f>IFERROR(VLOOKUP(K35,源_5薪资备忘录_工资调整项!$A:$AC,17,FALSE),0)</f>
        <v>100</v>
      </c>
      <c r="AO35">
        <f>IF(OR(IFERROR(VLOOKUP(K35,源_3考勤报表_考勤表!$F:$BG,39,FALSE),0)+IFERROR(VLOOKUP(K35,源_8补工时表_补当月工时!$A:$AC,24,FALSE),0)&gt;0,IFERROR(VLOOKUP(K35,源_3考勤报表_考勤表!$F:$BG,43,FALSE),0)+IFERROR(VLOOKUP(K35,源_8补工时表_补当月工时!$A:$AC,26,FALSE),0)&gt;0),IF(IFERROR(VLOOKUP(DH35,源_11产假政策_Sheet1!$C:$F,4,FALSE),"")="是",R35/参数!$B$4*(IFERROR(VLOOKUP(K35,源_3考勤报表_考勤表!$F:$BG,39,FALSE),0)+IFERROR(VLOOKUP(K35,源_8补工时表_补当月工时!$A:$AC,24,FALSE),0)+IFERROR(VLOOKUP(K35,源_3考勤报表_考勤表!$F:$BG,43,FALSE),0)+IFERROR(VLOOKUP(K35,源_8补工时表_补当月工时!$A:$AC,26,FALSE),0)),IFERROR(VLOOKUP(K35,源_5薪资备忘录_工资调整项!$A:$AC,19,FALSE),0)),0)</f>
        <v>5560</v>
      </c>
      <c r="AP35">
        <v>0</v>
      </c>
      <c r="AQ35">
        <f>IFERROR(VLOOKUP(K35,源_4奖金汇总表_拆分手工算!$A:$N,12,FALSE),0)+IFERROR(VLOOKUP(K35,源_9年终奖表_Sheet1!$A:$E,3,FALSE),0)</f>
        <v>0</v>
      </c>
      <c r="AR35">
        <f>IFERROR(VLOOKUP(K35,源_4奖金汇总表_拆分手工算!$A:$N,13,FALSE),0)+IFERROR(VLOOKUP(K35,源_9年终奖表_Sheet1!$A:$E,4,FALSE),0)</f>
        <v>0</v>
      </c>
      <c r="AS35">
        <f>IFERROR(VLOOKUP(K35,源_4奖金汇总表_拆分手工算!$A:$N,14,FALSE),0)+IFERROR(VLOOKUP(K35,源_9年终奖表_Sheet1!$A:$E,5,FALSE),0)</f>
        <v>0</v>
      </c>
      <c r="AT35">
        <f>IFERROR(VLOOKUP(K35,源_5薪资备忘录_工资调整项!$A:$AC,20,FALSE),0)</f>
        <v>0</v>
      </c>
      <c r="AU35">
        <f>IFERROR(VLOOKUP(K35,源_5薪资备忘录_工资调整项!$A:$AC,21,FALSE),0)+IFERROR(VLOOKUP(K35,源_4奖金汇总表_拆分手工算!$A:$N,9,FALSE),0)</f>
        <v>0</v>
      </c>
      <c r="AV35">
        <f>R35/参数!$B$4*(IFERROR(VLOOKUP(K35,源_3考勤报表_考勤表!$F:$BG,37,FALSE),0)+IFERROR(VLOOKUP(K35,源_8补工时表_补当月工时!$A:$AC,15,FALSE),0))</f>
        <v>0</v>
      </c>
      <c r="AW35">
        <f>R35/174*MIN(IFERROR(VLOOKUP(K35,源_3考勤报表_考勤表!$F:$BG,35,FALSE),0),174)*IF(DATEDIF(N35,DATE(参数!$B$2,参数!$B$3+1,0),"Y")&lt;2,0.6,IF(DATEDIF(N35,DATE(参数!$B$2,参数!$B$3+1,0),"Y")&lt;4,0.7,IF(DATEDIF(N35,DATE(参数!$B$2,参数!$B$3+1,0),"Y")&lt;6,0.8,IF(DATEDIF(N35,DATE(参数!$B$2,参数!$B$3+1,0),"Y")&lt;8,0.9,1))))</f>
        <v>0</v>
      </c>
      <c r="AX35">
        <f>IF(Q35+IFERROR(VLOOKUP(K35,源_3考勤报表_考勤表!$F:$BG,37,FALSE),0)+IFERROR(VLOOKUP(K35,源_8补工时表_补当月工时!$A:$AC,15,FALSE),0)&gt;=参数!$B$4,0,IF(Q35+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lt;=参数!$B$4,R35/参数!$B$4*(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0))</f>
        <v>0</v>
      </c>
      <c r="AY35">
        <v>0</v>
      </c>
      <c r="AZ35">
        <v>0</v>
      </c>
      <c r="BA35">
        <v>0</v>
      </c>
      <c r="BB35">
        <v>0</v>
      </c>
      <c r="BC35">
        <f>IFERROR(VLOOKUP(K35,源_5薪资备忘录_工资调整项!$A:$AC,25,FALSE),0)</f>
        <v>0</v>
      </c>
      <c r="BD35">
        <v>0</v>
      </c>
      <c r="BE35">
        <v>0</v>
      </c>
      <c r="BF35">
        <v>0</v>
      </c>
      <c r="BG35">
        <f>IFERROR(VLOOKUP(K35,源_5薪资备忘录_工资调整项!$A:$AC,22,FALSE),0)+IFERROR(VLOOKUP(K35,源_5薪资备忘录_工资调整项!$A:$AC,23,FALSE),0)+IFERROR(VLOOKUP(K35,源_5薪资备忘录_工资调整项!$A:$AC,24,FALSE),0)</f>
        <v>0</v>
      </c>
      <c r="BH35">
        <f>IFERROR(VLOOKUP(DF35,源_6社保表_Sheet1!$C:$CD,80,FALSE),0)+4.5</f>
        <v>6.5</v>
      </c>
      <c r="BI35">
        <f t="shared" si="16"/>
        <v>6333</v>
      </c>
      <c r="BJ35">
        <f>IFERROR(VLOOKUP(DF35,源_6社保表_Sheet1!$C:$BZ,26,FALSE),0)</f>
        <v>225.2</v>
      </c>
      <c r="BK35">
        <f>IFERROR(VLOOKUP(DF35,源_6社保表_Sheet1!$C:$BZ,27,FALSE),0)</f>
        <v>45.04</v>
      </c>
      <c r="BL35">
        <f>IFERROR(VLOOKUP(DF35,源_6社保表_Sheet1!$C:$BZ,28,FALSE),0)</f>
        <v>22.52</v>
      </c>
      <c r="BM35">
        <f>IFERROR(VLOOKUP(DF35,源_6社保表_Sheet1!$C:$BZ,30,FALSE),0)</f>
        <v>181.3</v>
      </c>
      <c r="BN35">
        <f>IFERROR(VLOOKUP(DF35,源_6社保表_Sheet1!$C:$BZ,29,FALSE),0)</f>
        <v>0</v>
      </c>
      <c r="BO35">
        <f>IFERROR(VLOOKUP(DF35,源_6社保表_Sheet1!$C:$BZ,40,FALSE),0)</f>
        <v>0</v>
      </c>
      <c r="BP35">
        <f>IFERROR(VLOOKUP(DF35,源_6社保表_Sheet1!$C:$BZ,41,FALSE),0)</f>
        <v>0</v>
      </c>
      <c r="BQ35">
        <f>IFERROR(VLOOKUP(DF35,源_6社保表_Sheet1!$C:$BZ,42,FALSE),0)</f>
        <v>0</v>
      </c>
      <c r="BR35">
        <f>IFERROR(VLOOKUP(DF35,源_6社保表_Sheet1!$C:$BZ,44,FALSE),0)</f>
        <v>0</v>
      </c>
      <c r="BS35">
        <f>IFERROR(VLOOKUP(DF35,源_6社保表_Sheet1!$C:$BZ,43,FALSE),0)</f>
        <v>0</v>
      </c>
      <c r="BT35">
        <f t="shared" si="17"/>
        <v>474.06</v>
      </c>
      <c r="BU35">
        <v>0</v>
      </c>
      <c r="BV35">
        <v>0</v>
      </c>
      <c r="BW35">
        <v>0</v>
      </c>
      <c r="BX35">
        <f t="shared" si="18"/>
        <v>0</v>
      </c>
      <c r="BY35">
        <v>0</v>
      </c>
      <c r="BZ35">
        <f>IFERROR(VLOOKUP(DF35,源_6社保表_Sheet1!$C:$BZ,18,FALSE),0)</f>
        <v>540.48</v>
      </c>
      <c r="CA35">
        <f>IFERROR(VLOOKUP(DF35,源_6社保表_Sheet1!$C:$BZ,19,FALSE),0)</f>
        <v>270.24</v>
      </c>
      <c r="CB35">
        <f>IFERROR(VLOOKUP(DF35,源_6社保表_Sheet1!$C:$BZ,24,FALSE),0)</f>
        <v>181.3</v>
      </c>
      <c r="CC35">
        <f>IFERROR(VLOOKUP(DF35,源_6社保表_Sheet1!$C:$BZ,20,FALSE),0)</f>
        <v>22.52</v>
      </c>
      <c r="CD35">
        <f>IFERROR(VLOOKUP(DF35,源_6社保表_Sheet1!$C:$BZ,21,FALSE),0)</f>
        <v>14.412800000000001</v>
      </c>
      <c r="CE35">
        <f>IFERROR(VLOOKUP(DF35,源_6社保表_Sheet1!$C:$BZ,22,FALSE),0)</f>
        <v>0</v>
      </c>
      <c r="CF35">
        <f>IFERROR(VLOOKUP(DF35,源_6社保表_Sheet1!$C:$BZ,23,FALSE),0)</f>
        <v>0</v>
      </c>
      <c r="CG35">
        <f>IFERROR(VLOOKUP(DF35,源_6社保表_Sheet1!$C:$BZ,32,FALSE),0)</f>
        <v>0</v>
      </c>
      <c r="CH35">
        <f>IFERROR(VLOOKUP(DF35,源_6社保表_Sheet1!$C:$BZ,33,FALSE),0)</f>
        <v>0</v>
      </c>
      <c r="CI35">
        <f>IFERROR(VLOOKUP(DF35,源_6社保表_Sheet1!$C:$BZ,34,FALSE),0)</f>
        <v>0</v>
      </c>
      <c r="CJ35">
        <f>IFERROR(VLOOKUP(DF35,源_6社保表_Sheet1!$C:$BZ,38,FALSE),0)</f>
        <v>0</v>
      </c>
      <c r="CK35">
        <f>IFERROR(VLOOKUP(DF35,源_6社保表_Sheet1!$C:$BZ,35,FALSE),0)</f>
        <v>0</v>
      </c>
      <c r="CL35">
        <f>IFERROR(VLOOKUP(DF35,源_6社保表_Sheet1!$C:$BZ,36,FALSE),0)</f>
        <v>0</v>
      </c>
      <c r="CM35">
        <f>IFERROR(VLOOKUP(DF35,源_6社保表_Sheet1!$C:$BZ,37,FALSE),0)</f>
        <v>0</v>
      </c>
      <c r="CN35">
        <f t="shared" si="19"/>
        <v>1028.9528</v>
      </c>
      <c r="CO35">
        <f t="shared" si="20"/>
        <v>7368.4528</v>
      </c>
      <c r="CP35">
        <f>IF(IFERROR(VLOOKUP(K35,源_13残疾人信息_残疾人信息!$A:$M,1,FALSE),"")&lt;&gt;"",0,IF(OR(P35="门店全职",P35="门店管理组",P35="全职(非门店)"),(BI35-AT35)*IFERROR(VLOOKUP(D35,源_12计提残保金规则_Sheet1!$A:$E,4,FALSE),0)*IFERROR(VLOOKUP(D35,源_12计提残保金规则_Sheet1!$A:$E,5,FALSE),0),0))</f>
        <v>85.495499999999993</v>
      </c>
      <c r="CQ35">
        <f t="shared" si="21"/>
        <v>16.05</v>
      </c>
      <c r="CR35">
        <f t="shared" si="22"/>
        <v>20.67</v>
      </c>
      <c r="CS35">
        <f>IF(DATEVALUE(N35)&gt;DATE(参数!$B$2,9,30),0,IF(M35="行政",0,IF(O35="",R35/12,IF(MONTH(DATEVALUE(O35))=参数!$B$3,0,IF(DATEVALUE(O35)&lt;DATE(参数!$B$2,参数!$B$3,1),0,R35/12)))))</f>
        <v>250.83333333333334</v>
      </c>
      <c r="CT35">
        <f t="shared" si="23"/>
        <v>0</v>
      </c>
      <c r="CU35">
        <f>IFERROR(VLOOKUP(DF35,源_6社保表_Sheet1!$C:$I,2,FALSE),0)</f>
        <v>4504</v>
      </c>
      <c r="CV35">
        <f>IFERROR(VLOOKUP(DF35,源_6社保表_Sheet1!$C:$I,7,FALSE),0)</f>
        <v>3626</v>
      </c>
      <c r="CW35">
        <f>IFERROR(VLOOKUP(DF35,源_6社保表_Sheet1!$C:$I,3,FALSE),0)</f>
        <v>4504</v>
      </c>
      <c r="CX35">
        <f>IFERROR(VLOOKUP(DF35,源_6社保表_Sheet1!$C:$I,4,FALSE),0)</f>
        <v>4504</v>
      </c>
      <c r="CY35">
        <f>IFERROR(VLOOKUP(DF35,源_6社保表_Sheet1!$C:$I,5,FALSE),0)</f>
        <v>4504</v>
      </c>
      <c r="CZ35">
        <f>IFERROR(VLOOKUP(DF35,源_6社保表_Sheet1!$C:$I,6,FALSE),0)</f>
        <v>0</v>
      </c>
      <c r="DA35">
        <f t="shared" si="24"/>
        <v>7361.9528</v>
      </c>
      <c r="DB35">
        <f t="shared" si="25"/>
        <v>7741.5016333333333</v>
      </c>
      <c r="DC35" t="str">
        <f>IFERROR(VLOOKUP(K35,源_7银行卡表_Sheet1!$A:$J,8,FALSE),"")</f>
        <v>交通银行卡</v>
      </c>
      <c r="DD35" t="str">
        <f>IFERROR(VLOOKUP(K35,源_7银行卡表_Sheet1!$A:$J,9,FALSE),"")</f>
        <v>6281300751294036928</v>
      </c>
      <c r="DE35" t="str">
        <f>IFERROR(VLOOKUP(K35,源_7银行卡表_Sheet1!$A:$J,10,FALSE),"")</f>
        <v>交通银行光华路支行</v>
      </c>
      <c r="DF35" t="s">
        <v>295</v>
      </c>
      <c r="DG35">
        <v>16773932045</v>
      </c>
      <c r="DH35" t="s">
        <v>290</v>
      </c>
      <c r="DI35">
        <v>0</v>
      </c>
      <c r="DJ35">
        <v>0</v>
      </c>
      <c r="DK35">
        <v>0</v>
      </c>
      <c r="DL35">
        <v>0</v>
      </c>
      <c r="DM35">
        <v>0</v>
      </c>
      <c r="DN35">
        <v>0</v>
      </c>
      <c r="DO35">
        <v>0</v>
      </c>
      <c r="DP35">
        <v>0</v>
      </c>
      <c r="DQ35">
        <v>0</v>
      </c>
      <c r="DR35">
        <f>IF(OR(IFERROR(VLOOKUP(K35,源_3考勤报表_考勤表!$F:$BG,39,FALSE),0)+IFERROR(VLOOKUP(K35,源_8补工时表_补当月工时!$A:$AC,24,FALSE),0)=0,IFERROR(VLOOKUP(K35,源_3考勤报表_考勤表!$F:$BG,43,FALSE),0)+IFERROR(VLOOKUP(K35,源_8补工时表_补当月工时!$A:$AC,26,FALSE),0)=0),IF(BI35+BG35-BT35&lt;0,BI35+BG35-BT35,0),0)</f>
        <v>0</v>
      </c>
    </row>
    <row r="36" spans="1:122" x14ac:dyDescent="0.15">
      <c r="A36">
        <f>参数!$B$2</f>
        <v>2025</v>
      </c>
      <c r="B36">
        <f>参数!$B$3</f>
        <v>12</v>
      </c>
      <c r="D36" t="s">
        <v>147</v>
      </c>
      <c r="E36" t="s">
        <v>123</v>
      </c>
      <c r="F36" t="str">
        <f>IFERROR(VLOOKUP(K36,源_7银行卡表_Sheet1!$A:$J,6,FALSE),"")</f>
        <v>华北营运</v>
      </c>
      <c r="G36" t="s">
        <v>148</v>
      </c>
      <c r="H36" t="s">
        <v>296</v>
      </c>
      <c r="I36" t="s">
        <v>150</v>
      </c>
      <c r="J36">
        <v>1</v>
      </c>
      <c r="K36">
        <v>26123035</v>
      </c>
      <c r="L36" t="s">
        <v>297</v>
      </c>
      <c r="M36" t="s">
        <v>187</v>
      </c>
      <c r="N36" t="s">
        <v>298</v>
      </c>
      <c r="P36" t="s">
        <v>154</v>
      </c>
      <c r="Q36">
        <f>IF(P36="门店全职",IFERROR(VLOOKUP(K36,源_3考勤报表_考勤表!$F:$BG,34,FALSE),0)+IFERROR(VLOOKUP(K36,源_8补工时表_补当月工时!$A:$AC,14,FALSE),0),IF(P36="门店管理组",IF(IFERROR(VLOOKUP(K36,源_3考勤报表_考勤表!$F:$BG,34,FALSE),0)+IFERROR(VLOOKUP(K36,源_8补工时表_补当月工时!$A:$AC,14,FALSE),0)+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44,FALSE),0)+IFERROR(VLOOKUP(K36,源_8补工时表_补当月工时!$A:$AC,16,FALSE),0)+IFERROR(VLOOKUP(K36,源_3考勤报表_考勤表!$F:$BG,45,FALSE),0)&gt;=参数!$B$4,参数!$B$4-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44,FALSE),0)-IFERROR(VLOOKUP(K36,源_8补工时表_补当月工时!$A:$AC,16,FALSE),0)-IFERROR(VLOOKUP(K36,源_3考勤报表_考勤表!$F:$BG,45,FALSE),0),IFERROR(VLOOKUP(K36,源_3考勤报表_考勤表!$F:$BG,34,FALSE),0)+IFERROR(VLOOKUP(K36,源_8补工时表_补当月工时!$A:$AC,14,FALSE),0)),0))</f>
        <v>0</v>
      </c>
      <c r="R36">
        <v>3920</v>
      </c>
      <c r="S36">
        <v>0</v>
      </c>
      <c r="T36">
        <f>IF(P36="门店全职",R36/参数!$B$4*(Q36-MAX(IFERROR(VLOOKUP(K36,源_3考勤报表_考勤表!$F:$BG,34,FALSE),0)+IFERROR(VLOOKUP(K36,源_8补工时表_补当月工时!$A:$AC,14,FALSE),0)+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参数!$B$4,0)),R36/参数!$B$4*Q36)</f>
        <v>0</v>
      </c>
      <c r="U36">
        <v>0</v>
      </c>
      <c r="V36">
        <v>0</v>
      </c>
      <c r="W36">
        <f t="shared" si="13"/>
        <v>0</v>
      </c>
      <c r="X36">
        <f>IFERROR(VLOOKUP(K36,源_4奖金汇总表_拆分手工算!$A:$N,8,FALSE),0)</f>
        <v>0</v>
      </c>
      <c r="Y36">
        <f>IFERROR(VLOOKUP(K36,源_5薪资备忘录_工资调整项!$A:$AC,14,FALSE),0)</f>
        <v>0</v>
      </c>
      <c r="Z36">
        <f>IFERROR(VLOOKUP(K36,源_5薪资备忘录_工资调整项!$A:$AC,16,FALSE),0)</f>
        <v>0</v>
      </c>
      <c r="AA36">
        <f>IFERROR(VLOOKUP(K36,源_5薪资备忘录_工资调整项!$A:$AC,15,FALSE),0)</f>
        <v>0</v>
      </c>
      <c r="AB36">
        <f t="shared" si="14"/>
        <v>0</v>
      </c>
      <c r="AC36">
        <f>IF(P36="门店全职",R36/174*MAX(IFERROR(VLOOKUP(K36,源_3考勤报表_考勤表!$F:$BG,34,FALSE),0)+IFERROR(VLOOKUP(K36,源_8补工时表_补当月工时!$A:$AC,14,FALSE),0)+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参数!$B$4,0)*1.5,0)</f>
        <v>0</v>
      </c>
      <c r="AD36">
        <v>0</v>
      </c>
      <c r="AE36">
        <f>IFERROR(VLOOKUP(K36,源_3考勤报表_考勤表!$F:$BG,46,FALSE),0)+IFERROR(VLOOKUP(K36,源_8补工时表_补当月工时!$A:$AC,25,FALSE),0)</f>
        <v>0</v>
      </c>
      <c r="AF36">
        <f t="shared" si="15"/>
        <v>0</v>
      </c>
      <c r="AG36">
        <f>IFERROR(VLOOKUP(K36,源_4奖金汇总表_拆分手工算!$A:$N,10,FALSE),0)</f>
        <v>1626</v>
      </c>
      <c r="AH36">
        <f>IFERROR(VLOOKUP(K36,源_4奖金汇总表_拆分手工算!$A:$N,5,FALSE),0)</f>
        <v>0</v>
      </c>
      <c r="AI36">
        <f>IFERROR(VLOOKUP(K36,源_4奖金汇总表_拆分手工算!$A:$N,11,FALSE),0)</f>
        <v>0</v>
      </c>
      <c r="AJ36">
        <f>IFERROR(VLOOKUP(K36,源_4奖金汇总表_拆分手工算!$A:$N,4,FALSE),0)</f>
        <v>0</v>
      </c>
      <c r="AK36">
        <f>IFERROR(VLOOKUP(K36,源_4奖金汇总表_拆分手工算!$A:$N,3,FALSE),0)</f>
        <v>0</v>
      </c>
      <c r="AL36">
        <f>IFERROR(VLOOKUP(K36,源_4奖金汇总表_拆分手工算!$A:$N,6,FALSE),0)</f>
        <v>0</v>
      </c>
      <c r="AM36">
        <f>IFERROR(VLOOKUP(K36,源_5薪资备忘录_工资调整项!$A:$AC,18,FALSE),0)+IFERROR(VLOOKUP(K36,源_4奖金汇总表_拆分手工算!$A:$N,7,FALSE),0)</f>
        <v>0</v>
      </c>
      <c r="AN36">
        <f>IFERROR(VLOOKUP(K36,源_5薪资备忘录_工资调整项!$A:$AC,17,FALSE),0)</f>
        <v>0</v>
      </c>
      <c r="AO36">
        <f>IF(OR(IFERROR(VLOOKUP(K36,源_3考勤报表_考勤表!$F:$BG,39,FALSE),0)+IFERROR(VLOOKUP(K36,源_8补工时表_补当月工时!$A:$AC,24,FALSE),0)&gt;0,IFERROR(VLOOKUP(K36,源_3考勤报表_考勤表!$F:$BG,43,FALSE),0)+IFERROR(VLOOKUP(K36,源_8补工时表_补当月工时!$A:$AC,26,FALSE),0)&gt;0),IF(IFERROR(VLOOKUP(DH36,源_11产假政策_Sheet1!$C:$F,4,FALSE),"")="是",R36/参数!$B$4*(IFERROR(VLOOKUP(K36,源_3考勤报表_考勤表!$F:$BG,39,FALSE),0)+IFERROR(VLOOKUP(K36,源_8补工时表_补当月工时!$A:$AC,24,FALSE),0)+IFERROR(VLOOKUP(K36,源_3考勤报表_考勤表!$F:$BG,43,FALSE),0)+IFERROR(VLOOKUP(K36,源_8补工时表_补当月工时!$A:$AC,26,FALSE),0)),IFERROR(VLOOKUP(K36,源_5薪资备忘录_工资调整项!$A:$AC,19,FALSE),0)),0)</f>
        <v>3600</v>
      </c>
      <c r="AP36">
        <v>0</v>
      </c>
      <c r="AQ36">
        <f>IFERROR(VLOOKUP(K36,源_4奖金汇总表_拆分手工算!$A:$N,12,FALSE),0)+IFERROR(VLOOKUP(K36,源_9年终奖表_Sheet1!$A:$E,3,FALSE),0)</f>
        <v>0</v>
      </c>
      <c r="AR36">
        <f>IFERROR(VLOOKUP(K36,源_4奖金汇总表_拆分手工算!$A:$N,13,FALSE),0)+IFERROR(VLOOKUP(K36,源_9年终奖表_Sheet1!$A:$E,4,FALSE),0)</f>
        <v>0</v>
      </c>
      <c r="AS36">
        <f>IFERROR(VLOOKUP(K36,源_4奖金汇总表_拆分手工算!$A:$N,14,FALSE),0)+IFERROR(VLOOKUP(K36,源_9年终奖表_Sheet1!$A:$E,5,FALSE),0)</f>
        <v>0</v>
      </c>
      <c r="AT36">
        <f>IFERROR(VLOOKUP(K36,源_5薪资备忘录_工资调整项!$A:$AC,20,FALSE),0)</f>
        <v>0</v>
      </c>
      <c r="AU36">
        <f>IFERROR(VLOOKUP(K36,源_5薪资备忘录_工资调整项!$A:$AC,21,FALSE),0)+IFERROR(VLOOKUP(K36,源_4奖金汇总表_拆分手工算!$A:$N,9,FALSE),0)</f>
        <v>0</v>
      </c>
      <c r="AV36">
        <f>R36/参数!$B$4*(IFERROR(VLOOKUP(K36,源_3考勤报表_考勤表!$F:$BG,37,FALSE),0)+IFERROR(VLOOKUP(K36,源_8补工时表_补当月工时!$A:$AC,15,FALSE),0))</f>
        <v>0</v>
      </c>
      <c r="AW36">
        <f>R36/174*MIN(IFERROR(VLOOKUP(K36,源_3考勤报表_考勤表!$F:$BG,35,FALSE),0),174)*IF(DATEDIF(N36,DATE(参数!$B$2,参数!$B$3+1,0),"Y")&lt;2,0.6,IF(DATEDIF(N36,DATE(参数!$B$2,参数!$B$3+1,0),"Y")&lt;4,0.7,IF(DATEDIF(N36,DATE(参数!$B$2,参数!$B$3+1,0),"Y")&lt;6,0.8,IF(DATEDIF(N36,DATE(参数!$B$2,参数!$B$3+1,0),"Y")&lt;8,0.9,1))))</f>
        <v>0</v>
      </c>
      <c r="AX36">
        <f>IF(Q36+IFERROR(VLOOKUP(K36,源_3考勤报表_考勤表!$F:$BG,37,FALSE),0)+IFERROR(VLOOKUP(K36,源_8补工时表_补当月工时!$A:$AC,15,FALSE),0)&gt;=参数!$B$4,0,IF(Q36+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lt;=参数!$B$4,R36/参数!$B$4*(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0))</f>
        <v>0</v>
      </c>
      <c r="AY36">
        <v>0</v>
      </c>
      <c r="AZ36">
        <v>0</v>
      </c>
      <c r="BA36">
        <v>0</v>
      </c>
      <c r="BB36">
        <v>0</v>
      </c>
      <c r="BC36">
        <f>IFERROR(VLOOKUP(K36,源_5薪资备忘录_工资调整项!$A:$AC,25,FALSE),0)</f>
        <v>0</v>
      </c>
      <c r="BD36">
        <v>0</v>
      </c>
      <c r="BE36">
        <f>(T36+W36+AB36+AG36+AH36+AI36+AJ36+AK36+AL36+AM36+AN36+AO36+AP36+AU36+AV36+AW36+AX36+BC36-IFERROR(VLOOKUP(DF36,源_6社保表_Sheet1!$C:$BZ,76,FALSE),0))*0.02</f>
        <v>85.769800000000004</v>
      </c>
      <c r="BF36">
        <v>0</v>
      </c>
      <c r="BG36">
        <f>IFERROR(VLOOKUP(K36,源_5薪资备忘录_工资调整项!$A:$AC,22,FALSE),0)+IFERROR(VLOOKUP(K36,源_5薪资备忘录_工资调整项!$A:$AC,23,FALSE),0)+IFERROR(VLOOKUP(K36,源_5薪资备忘录_工资调整项!$A:$AC,24,FALSE),0)</f>
        <v>0</v>
      </c>
      <c r="BH36">
        <f>IFERROR(VLOOKUP(DF36,源_6社保表_Sheet1!$C:$CD,80,FALSE),0)+4.5</f>
        <v>6.5</v>
      </c>
      <c r="BI36">
        <f t="shared" si="16"/>
        <v>5226</v>
      </c>
      <c r="BJ36">
        <f>IFERROR(VLOOKUP(DF36,源_6社保表_Sheet1!$C:$BZ,26,FALSE),0)</f>
        <v>501.34</v>
      </c>
      <c r="BK36">
        <f>IFERROR(VLOOKUP(DF36,源_6社保表_Sheet1!$C:$BZ,27,FALSE),0)</f>
        <v>71.62</v>
      </c>
      <c r="BL36">
        <f>IFERROR(VLOOKUP(DF36,源_6社保表_Sheet1!$C:$BZ,28,FALSE),0)</f>
        <v>35.81</v>
      </c>
      <c r="BM36">
        <f>IFERROR(VLOOKUP(DF36,源_6社保表_Sheet1!$C:$BZ,30,FALSE),0)</f>
        <v>328.74</v>
      </c>
      <c r="BN36">
        <f>IFERROR(VLOOKUP(DF36,源_6社保表_Sheet1!$C:$BZ,29,FALSE),0)</f>
        <v>0</v>
      </c>
      <c r="BO36">
        <f>IFERROR(VLOOKUP(DF36,源_6社保表_Sheet1!$C:$BZ,40,FALSE),0)</f>
        <v>0</v>
      </c>
      <c r="BP36">
        <f>IFERROR(VLOOKUP(DF36,源_6社保表_Sheet1!$C:$BZ,41,FALSE),0)</f>
        <v>0</v>
      </c>
      <c r="BQ36">
        <f>IFERROR(VLOOKUP(DF36,源_6社保表_Sheet1!$C:$BZ,42,FALSE),0)</f>
        <v>0</v>
      </c>
      <c r="BR36">
        <f>IFERROR(VLOOKUP(DF36,源_6社保表_Sheet1!$C:$BZ,44,FALSE),0)</f>
        <v>0</v>
      </c>
      <c r="BS36">
        <f>IFERROR(VLOOKUP(DF36,源_6社保表_Sheet1!$C:$BZ,43,FALSE),0)</f>
        <v>0</v>
      </c>
      <c r="BT36">
        <f t="shared" si="17"/>
        <v>937.51</v>
      </c>
      <c r="BU36">
        <v>0</v>
      </c>
      <c r="BV36">
        <v>0</v>
      </c>
      <c r="BW36">
        <v>0</v>
      </c>
      <c r="BX36">
        <f t="shared" si="18"/>
        <v>0</v>
      </c>
      <c r="BY36">
        <v>0</v>
      </c>
      <c r="BZ36">
        <f>IFERROR(VLOOKUP(DF36,源_6社保表_Sheet1!$C:$BZ,18,FALSE),0)</f>
        <v>1074.3</v>
      </c>
      <c r="CA36">
        <f>IFERROR(VLOOKUP(DF36,源_6社保表_Sheet1!$C:$BZ,19,FALSE),0)</f>
        <v>572.96</v>
      </c>
      <c r="CB36">
        <f>IFERROR(VLOOKUP(DF36,源_6社保表_Sheet1!$C:$BZ,24,FALSE),0)</f>
        <v>328.74</v>
      </c>
      <c r="CC36">
        <f>IFERROR(VLOOKUP(DF36,源_6社保表_Sheet1!$C:$BZ,20,FALSE),0)</f>
        <v>35.81</v>
      </c>
      <c r="CD36">
        <f>IFERROR(VLOOKUP(DF36,源_6社保表_Sheet1!$C:$BZ,21,FALSE),0)</f>
        <v>22.918399999999998</v>
      </c>
      <c r="CE36">
        <f>IFERROR(VLOOKUP(DF36,源_6社保表_Sheet1!$C:$BZ,22,FALSE),0)</f>
        <v>0</v>
      </c>
      <c r="CF36">
        <f>IFERROR(VLOOKUP(DF36,源_6社保表_Sheet1!$C:$BZ,23,FALSE),0)</f>
        <v>0</v>
      </c>
      <c r="CG36">
        <f>IFERROR(VLOOKUP(DF36,源_6社保表_Sheet1!$C:$BZ,32,FALSE),0)</f>
        <v>0</v>
      </c>
      <c r="CH36">
        <f>IFERROR(VLOOKUP(DF36,源_6社保表_Sheet1!$C:$BZ,33,FALSE),0)</f>
        <v>0</v>
      </c>
      <c r="CI36">
        <f>IFERROR(VLOOKUP(DF36,源_6社保表_Sheet1!$C:$BZ,34,FALSE),0)</f>
        <v>0</v>
      </c>
      <c r="CJ36">
        <f>IFERROR(VLOOKUP(DF36,源_6社保表_Sheet1!$C:$BZ,38,FALSE),0)</f>
        <v>0</v>
      </c>
      <c r="CK36">
        <f>IFERROR(VLOOKUP(DF36,源_6社保表_Sheet1!$C:$BZ,35,FALSE),0)</f>
        <v>0</v>
      </c>
      <c r="CL36">
        <f>IFERROR(VLOOKUP(DF36,源_6社保表_Sheet1!$C:$BZ,36,FALSE),0)</f>
        <v>0</v>
      </c>
      <c r="CM36">
        <f>IFERROR(VLOOKUP(DF36,源_6社保表_Sheet1!$C:$BZ,37,FALSE),0)</f>
        <v>0</v>
      </c>
      <c r="CN36">
        <f t="shared" si="19"/>
        <v>2034.7284</v>
      </c>
      <c r="CO36">
        <f t="shared" si="20"/>
        <v>7352.9982</v>
      </c>
      <c r="CP36">
        <f>IF(IFERROR(VLOOKUP(K36,源_13残疾人信息_残疾人信息!$A:$M,1,FALSE),"")&lt;&gt;"",0,IF(OR(P36="门店全职",P36="门店管理组",P36="全职(非门店)"),(BI36-AT36)*IFERROR(VLOOKUP(D36,源_12计提残保金规则_Sheet1!$A:$E,4,FALSE),0)*IFERROR(VLOOKUP(D36,源_12计提残保金规则_Sheet1!$A:$E,5,FALSE),0),0))</f>
        <v>70.551000000000002</v>
      </c>
      <c r="CQ36">
        <f t="shared" si="21"/>
        <v>16.05</v>
      </c>
      <c r="CR36">
        <f t="shared" si="22"/>
        <v>20.67</v>
      </c>
      <c r="CS36">
        <f>IF(DATEVALUE(N36)&gt;DATE(参数!$B$2,9,30),0,IF(M36="行政",0,IF(O36="",R36/12,IF(MONTH(DATEVALUE(O36))=参数!$B$3,0,IF(DATEVALUE(O36)&lt;DATE(参数!$B$2,参数!$B$3,1),0,R36/12)))))</f>
        <v>326.66666666666669</v>
      </c>
      <c r="CT36">
        <f t="shared" si="23"/>
        <v>0</v>
      </c>
      <c r="CU36">
        <f>IFERROR(VLOOKUP(DF36,源_6社保表_Sheet1!$C:$I,2,FALSE),0)</f>
        <v>7162</v>
      </c>
      <c r="CV36">
        <f>IFERROR(VLOOKUP(DF36,源_6社保表_Sheet1!$C:$I,7,FALSE),0)</f>
        <v>5479</v>
      </c>
      <c r="CW36">
        <f>IFERROR(VLOOKUP(DF36,源_6社保表_Sheet1!$C:$I,3,FALSE),0)</f>
        <v>7162</v>
      </c>
      <c r="CX36">
        <f>IFERROR(VLOOKUP(DF36,源_6社保表_Sheet1!$C:$I,4,FALSE),0)</f>
        <v>7162</v>
      </c>
      <c r="CY36">
        <f>IFERROR(VLOOKUP(DF36,源_6社保表_Sheet1!$C:$I,5,FALSE),0)</f>
        <v>7162</v>
      </c>
      <c r="CZ36">
        <f>IFERROR(VLOOKUP(DF36,源_6社保表_Sheet1!$C:$I,6,FALSE),0)</f>
        <v>0</v>
      </c>
      <c r="DA36">
        <f t="shared" si="24"/>
        <v>5634.7284</v>
      </c>
      <c r="DB36">
        <f t="shared" si="25"/>
        <v>6075.1660666666676</v>
      </c>
      <c r="DC36" t="str">
        <f>IFERROR(VLOOKUP(K36,源_7银行卡表_Sheet1!$A:$J,8,FALSE),"")</f>
        <v>交通银行卡</v>
      </c>
      <c r="DD36" t="str">
        <f>IFERROR(VLOOKUP(K36,源_7银行卡表_Sheet1!$A:$J,9,FALSE),"")</f>
        <v>6286530866217694814</v>
      </c>
      <c r="DE36" t="str">
        <f>IFERROR(VLOOKUP(K36,源_7银行卡表_Sheet1!$A:$J,10,FALSE),"")</f>
        <v>北京通州支行</v>
      </c>
      <c r="DF36" t="s">
        <v>299</v>
      </c>
      <c r="DG36">
        <v>13492935919</v>
      </c>
      <c r="DH36" t="s">
        <v>148</v>
      </c>
      <c r="DI36">
        <v>0</v>
      </c>
      <c r="DJ36">
        <v>0</v>
      </c>
      <c r="DK36">
        <v>0</v>
      </c>
      <c r="DL36">
        <v>0</v>
      </c>
      <c r="DM36">
        <v>0</v>
      </c>
      <c r="DN36">
        <v>0</v>
      </c>
      <c r="DO36">
        <v>0</v>
      </c>
      <c r="DP36">
        <v>0</v>
      </c>
      <c r="DQ36">
        <v>0</v>
      </c>
      <c r="DR36">
        <f>IF(OR(IFERROR(VLOOKUP(K36,源_3考勤报表_考勤表!$F:$BG,39,FALSE),0)+IFERROR(VLOOKUP(K36,源_8补工时表_补当月工时!$A:$AC,24,FALSE),0)=0,IFERROR(VLOOKUP(K36,源_3考勤报表_考勤表!$F:$BG,43,FALSE),0)+IFERROR(VLOOKUP(K36,源_8补工时表_补当月工时!$A:$AC,26,FALSE),0)=0),IF(BI36+BG36-BT36&lt;0,BI36+BG36-BT36,0),0)</f>
        <v>0</v>
      </c>
    </row>
    <row r="37" spans="1:122" x14ac:dyDescent="0.15">
      <c r="A37">
        <f>参数!$B$2</f>
        <v>2025</v>
      </c>
      <c r="B37">
        <f>参数!$B$3</f>
        <v>12</v>
      </c>
      <c r="D37" t="s">
        <v>289</v>
      </c>
      <c r="E37" t="s">
        <v>123</v>
      </c>
      <c r="F37" t="str">
        <f>IFERROR(VLOOKUP(K37,源_7银行卡表_Sheet1!$A:$J,6,FALSE),"")</f>
        <v>华北营运</v>
      </c>
      <c r="G37" t="s">
        <v>290</v>
      </c>
      <c r="H37" t="s">
        <v>300</v>
      </c>
      <c r="I37" t="s">
        <v>292</v>
      </c>
      <c r="J37">
        <v>1</v>
      </c>
      <c r="K37">
        <v>26123036</v>
      </c>
      <c r="L37" t="s">
        <v>301</v>
      </c>
      <c r="M37" t="s">
        <v>152</v>
      </c>
      <c r="N37" t="s">
        <v>302</v>
      </c>
      <c r="P37" t="s">
        <v>154</v>
      </c>
      <c r="Q37">
        <f>IF(P37="门店全职",IFERROR(VLOOKUP(K37,源_3考勤报表_考勤表!$F:$BG,34,FALSE),0)+IFERROR(VLOOKUP(K37,源_8补工时表_补当月工时!$A:$AC,14,FALSE),0),IF(P37="门店管理组",IF(IFERROR(VLOOKUP(K37,源_3考勤报表_考勤表!$F:$BG,34,FALSE),0)+IFERROR(VLOOKUP(K37,源_8补工时表_补当月工时!$A:$AC,14,FALSE),0)+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44,FALSE),0)+IFERROR(VLOOKUP(K37,源_8补工时表_补当月工时!$A:$AC,16,FALSE),0)+IFERROR(VLOOKUP(K37,源_3考勤报表_考勤表!$F:$BG,45,FALSE),0)&gt;=参数!$B$4,参数!$B$4-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44,FALSE),0)-IFERROR(VLOOKUP(K37,源_8补工时表_补当月工时!$A:$AC,16,FALSE),0)-IFERROR(VLOOKUP(K37,源_3考勤报表_考勤表!$F:$BG,45,FALSE),0),IFERROR(VLOOKUP(K37,源_3考勤报表_考勤表!$F:$BG,34,FALSE),0)+IFERROR(VLOOKUP(K37,源_8补工时表_补当月工时!$A:$AC,14,FALSE),0)),0))</f>
        <v>135</v>
      </c>
      <c r="R37">
        <v>3190</v>
      </c>
      <c r="S37">
        <v>0</v>
      </c>
      <c r="T37">
        <f>IF(P37="门店全职",R37/参数!$B$4*(Q37-MAX(IFERROR(VLOOKUP(K37,源_3考勤报表_考勤表!$F:$BG,34,FALSE),0)+IFERROR(VLOOKUP(K37,源_8补工时表_补当月工时!$A:$AC,14,FALSE),0)+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参数!$B$4,0)),R37/参数!$B$4*Q37)</f>
        <v>2340.4891304347825</v>
      </c>
      <c r="U37">
        <v>0</v>
      </c>
      <c r="V37">
        <v>0</v>
      </c>
      <c r="W37">
        <f t="shared" si="13"/>
        <v>459.83</v>
      </c>
      <c r="X37">
        <f>IFERROR(VLOOKUP(K37,源_4奖金汇总表_拆分手工算!$A:$N,8,FALSE),0)</f>
        <v>126.5</v>
      </c>
      <c r="Y37">
        <f>IFERROR(VLOOKUP(K37,源_5薪资备忘录_工资调整项!$A:$AC,14,FALSE),0)</f>
        <v>333.33</v>
      </c>
      <c r="Z37">
        <f>IFERROR(VLOOKUP(K37,源_5薪资备忘录_工资调整项!$A:$AC,16,FALSE),0)</f>
        <v>0</v>
      </c>
      <c r="AA37">
        <f>IFERROR(VLOOKUP(K37,源_5薪资备忘录_工资调整项!$A:$AC,15,FALSE),0)</f>
        <v>0</v>
      </c>
      <c r="AB37">
        <f t="shared" si="14"/>
        <v>0</v>
      </c>
      <c r="AC37">
        <f>IF(P37="门店全职",R37/174*MAX(IFERROR(VLOOKUP(K37,源_3考勤报表_考勤表!$F:$BG,34,FALSE),0)+IFERROR(VLOOKUP(K37,源_8补工时表_补当月工时!$A:$AC,14,FALSE),0)+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参数!$B$4,0)*1.5,0)</f>
        <v>0</v>
      </c>
      <c r="AD37">
        <v>0</v>
      </c>
      <c r="AE37">
        <f>IFERROR(VLOOKUP(K37,源_3考勤报表_考勤表!$F:$BG,46,FALSE),0)+IFERROR(VLOOKUP(K37,源_8补工时表_补当月工时!$A:$AC,25,FALSE),0)</f>
        <v>0</v>
      </c>
      <c r="AF37">
        <f t="shared" si="15"/>
        <v>0</v>
      </c>
      <c r="AG37">
        <f>IFERROR(VLOOKUP(K37,源_4奖金汇总表_拆分手工算!$A:$N,10,FALSE),0)</f>
        <v>666</v>
      </c>
      <c r="AH37">
        <f>IFERROR(VLOOKUP(K37,源_4奖金汇总表_拆分手工算!$A:$N,5,FALSE),0)</f>
        <v>0</v>
      </c>
      <c r="AI37">
        <f>IFERROR(VLOOKUP(K37,源_4奖金汇总表_拆分手工算!$A:$N,11,FALSE),0)</f>
        <v>0</v>
      </c>
      <c r="AJ37">
        <f>IFERROR(VLOOKUP(K37,源_4奖金汇总表_拆分手工算!$A:$N,4,FALSE),0)</f>
        <v>0</v>
      </c>
      <c r="AK37">
        <f>IFERROR(VLOOKUP(K37,源_4奖金汇总表_拆分手工算!$A:$N,3,FALSE),0)</f>
        <v>0</v>
      </c>
      <c r="AL37">
        <f>IFERROR(VLOOKUP(K37,源_4奖金汇总表_拆分手工算!$A:$N,6,FALSE),0)</f>
        <v>0</v>
      </c>
      <c r="AM37">
        <f>IFERROR(VLOOKUP(K37,源_5薪资备忘录_工资调整项!$A:$AC,18,FALSE),0)+IFERROR(VLOOKUP(K37,源_4奖金汇总表_拆分手工算!$A:$N,7,FALSE),0)</f>
        <v>222.22</v>
      </c>
      <c r="AN37">
        <f>IFERROR(VLOOKUP(K37,源_5薪资备忘录_工资调整项!$A:$AC,17,FALSE),0)</f>
        <v>200</v>
      </c>
      <c r="AO37">
        <f>IF(OR(IFERROR(VLOOKUP(K37,源_3考勤报表_考勤表!$F:$BG,39,FALSE),0)+IFERROR(VLOOKUP(K37,源_8补工时表_补当月工时!$A:$AC,24,FALSE),0)&gt;0,IFERROR(VLOOKUP(K37,源_3考勤报表_考勤表!$F:$BG,43,FALSE),0)+IFERROR(VLOOKUP(K37,源_8补工时表_补当月工时!$A:$AC,26,FALSE),0)&gt;0),IF(IFERROR(VLOOKUP(DH37,源_11产假政策_Sheet1!$C:$F,4,FALSE),"")="是",R37/参数!$B$4*(IFERROR(VLOOKUP(K37,源_3考勤报表_考勤表!$F:$BG,39,FALSE),0)+IFERROR(VLOOKUP(K37,源_8补工时表_补当月工时!$A:$AC,24,FALSE),0)+IFERROR(VLOOKUP(K37,源_3考勤报表_考勤表!$F:$BG,43,FALSE),0)+IFERROR(VLOOKUP(K37,源_8补工时表_补当月工时!$A:$AC,26,FALSE),0)),IFERROR(VLOOKUP(K37,源_5薪资备忘录_工资调整项!$A:$AC,19,FALSE),0)),0)</f>
        <v>0</v>
      </c>
      <c r="AP37">
        <v>0</v>
      </c>
      <c r="AQ37">
        <f>IFERROR(VLOOKUP(K37,源_4奖金汇总表_拆分手工算!$A:$N,12,FALSE),0)+IFERROR(VLOOKUP(K37,源_9年终奖表_Sheet1!$A:$E,3,FALSE),0)</f>
        <v>1200</v>
      </c>
      <c r="AR37">
        <f>IFERROR(VLOOKUP(K37,源_4奖金汇总表_拆分手工算!$A:$N,13,FALSE),0)+IFERROR(VLOOKUP(K37,源_9年终奖表_Sheet1!$A:$E,4,FALSE),0)</f>
        <v>600</v>
      </c>
      <c r="AS37">
        <f>IFERROR(VLOOKUP(K37,源_4奖金汇总表_拆分手工算!$A:$N,14,FALSE),0)+IFERROR(VLOOKUP(K37,源_9年终奖表_Sheet1!$A:$E,5,FALSE),0)</f>
        <v>222</v>
      </c>
      <c r="AT37">
        <f>IFERROR(VLOOKUP(K37,源_5薪资备忘录_工资调整项!$A:$AC,20,FALSE),0)</f>
        <v>0</v>
      </c>
      <c r="AU37">
        <f>IFERROR(VLOOKUP(K37,源_5薪资备忘录_工资调整项!$A:$AC,21,FALSE),0)+IFERROR(VLOOKUP(K37,源_4奖金汇总表_拆分手工算!$A:$N,9,FALSE),0)</f>
        <v>0</v>
      </c>
      <c r="AV37">
        <f>R37/参数!$B$4*(IFERROR(VLOOKUP(K37,源_3考勤报表_考勤表!$F:$BG,37,FALSE),0)+IFERROR(VLOOKUP(K37,源_8补工时表_补当月工时!$A:$AC,15,FALSE),0))</f>
        <v>0</v>
      </c>
      <c r="AW37">
        <f>R37/174*MIN(IFERROR(VLOOKUP(K37,源_3考勤报表_考勤表!$F:$BG,35,FALSE),0),174)*IF(DATEDIF(N37,DATE(参数!$B$2,参数!$B$3+1,0),"Y")&lt;2,0.6,IF(DATEDIF(N37,DATE(参数!$B$2,参数!$B$3+1,0),"Y")&lt;4,0.7,IF(DATEDIF(N37,DATE(参数!$B$2,参数!$B$3+1,0),"Y")&lt;6,0.8,IF(DATEDIF(N37,DATE(参数!$B$2,参数!$B$3+1,0),"Y")&lt;8,0.9,1))))</f>
        <v>0</v>
      </c>
      <c r="AX37">
        <f>IF(Q37+IFERROR(VLOOKUP(K37,源_3考勤报表_考勤表!$F:$BG,37,FALSE),0)+IFERROR(VLOOKUP(K37,源_8补工时表_补当月工时!$A:$AC,15,FALSE),0)&gt;=参数!$B$4,0,IF(Q37+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lt;=参数!$B$4,R37/参数!$B$4*(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0))</f>
        <v>0</v>
      </c>
      <c r="AY37">
        <v>0</v>
      </c>
      <c r="AZ37">
        <v>0</v>
      </c>
      <c r="BA37">
        <v>0</v>
      </c>
      <c r="BB37">
        <v>0</v>
      </c>
      <c r="BC37">
        <f>IFERROR(VLOOKUP(K37,源_5薪资备忘录_工资调整项!$A:$AC,25,FALSE),0)</f>
        <v>0</v>
      </c>
      <c r="BD37">
        <v>0</v>
      </c>
      <c r="BE37">
        <v>0</v>
      </c>
      <c r="BF37">
        <v>0</v>
      </c>
      <c r="BG37">
        <f>IFERROR(VLOOKUP(K37,源_5薪资备忘录_工资调整项!$A:$AC,22,FALSE),0)+IFERROR(VLOOKUP(K37,源_5薪资备忘录_工资调整项!$A:$AC,23,FALSE),0)+IFERROR(VLOOKUP(K37,源_5薪资备忘录_工资调整项!$A:$AC,24,FALSE),0)</f>
        <v>0</v>
      </c>
      <c r="BH37">
        <f>IFERROR(VLOOKUP(DF37,源_6社保表_Sheet1!$C:$CD,80,FALSE),0)+4.5</f>
        <v>6.5</v>
      </c>
      <c r="BI37">
        <f t="shared" si="16"/>
        <v>5910.5391304347822</v>
      </c>
      <c r="BJ37">
        <f>IFERROR(VLOOKUP(DF37,源_6社保表_Sheet1!$C:$BZ,26,FALSE),0)</f>
        <v>225.2</v>
      </c>
      <c r="BK37">
        <f>IFERROR(VLOOKUP(DF37,源_6社保表_Sheet1!$C:$BZ,27,FALSE),0)</f>
        <v>45.04</v>
      </c>
      <c r="BL37">
        <f>IFERROR(VLOOKUP(DF37,源_6社保表_Sheet1!$C:$BZ,28,FALSE),0)</f>
        <v>22.52</v>
      </c>
      <c r="BM37">
        <f>IFERROR(VLOOKUP(DF37,源_6社保表_Sheet1!$C:$BZ,30,FALSE),0)</f>
        <v>153.44999999999999</v>
      </c>
      <c r="BN37">
        <f>IFERROR(VLOOKUP(DF37,源_6社保表_Sheet1!$C:$BZ,29,FALSE),0)</f>
        <v>0</v>
      </c>
      <c r="BO37">
        <f>IFERROR(VLOOKUP(DF37,源_6社保表_Sheet1!$C:$BZ,40,FALSE),0)</f>
        <v>0</v>
      </c>
      <c r="BP37">
        <f>IFERROR(VLOOKUP(DF37,源_6社保表_Sheet1!$C:$BZ,41,FALSE),0)</f>
        <v>0</v>
      </c>
      <c r="BQ37">
        <f>IFERROR(VLOOKUP(DF37,源_6社保表_Sheet1!$C:$BZ,42,FALSE),0)</f>
        <v>0</v>
      </c>
      <c r="BR37">
        <f>IFERROR(VLOOKUP(DF37,源_6社保表_Sheet1!$C:$BZ,44,FALSE),0)</f>
        <v>0</v>
      </c>
      <c r="BS37">
        <f>IFERROR(VLOOKUP(DF37,源_6社保表_Sheet1!$C:$BZ,43,FALSE),0)</f>
        <v>0</v>
      </c>
      <c r="BT37">
        <f t="shared" si="17"/>
        <v>446.21</v>
      </c>
      <c r="BU37">
        <v>0</v>
      </c>
      <c r="BV37">
        <v>0</v>
      </c>
      <c r="BW37">
        <v>0</v>
      </c>
      <c r="BX37">
        <f t="shared" si="18"/>
        <v>0</v>
      </c>
      <c r="BY37">
        <v>0</v>
      </c>
      <c r="BZ37">
        <f>IFERROR(VLOOKUP(DF37,源_6社保表_Sheet1!$C:$BZ,18,FALSE),0)</f>
        <v>540.48</v>
      </c>
      <c r="CA37">
        <f>IFERROR(VLOOKUP(DF37,源_6社保表_Sheet1!$C:$BZ,19,FALSE),0)</f>
        <v>270.24</v>
      </c>
      <c r="CB37">
        <f>IFERROR(VLOOKUP(DF37,源_6社保表_Sheet1!$C:$BZ,24,FALSE),0)</f>
        <v>153.44999999999999</v>
      </c>
      <c r="CC37">
        <f>IFERROR(VLOOKUP(DF37,源_6社保表_Sheet1!$C:$BZ,20,FALSE),0)</f>
        <v>22.52</v>
      </c>
      <c r="CD37">
        <f>IFERROR(VLOOKUP(DF37,源_6社保表_Sheet1!$C:$BZ,21,FALSE),0)</f>
        <v>14.412800000000001</v>
      </c>
      <c r="CE37">
        <f>IFERROR(VLOOKUP(DF37,源_6社保表_Sheet1!$C:$BZ,22,FALSE),0)</f>
        <v>0</v>
      </c>
      <c r="CF37">
        <f>IFERROR(VLOOKUP(DF37,源_6社保表_Sheet1!$C:$BZ,23,FALSE),0)</f>
        <v>0</v>
      </c>
      <c r="CG37">
        <f>IFERROR(VLOOKUP(DF37,源_6社保表_Sheet1!$C:$BZ,32,FALSE),0)</f>
        <v>0</v>
      </c>
      <c r="CH37">
        <f>IFERROR(VLOOKUP(DF37,源_6社保表_Sheet1!$C:$BZ,33,FALSE),0)</f>
        <v>0</v>
      </c>
      <c r="CI37">
        <f>IFERROR(VLOOKUP(DF37,源_6社保表_Sheet1!$C:$BZ,34,FALSE),0)</f>
        <v>0</v>
      </c>
      <c r="CJ37">
        <f>IFERROR(VLOOKUP(DF37,源_6社保表_Sheet1!$C:$BZ,38,FALSE),0)</f>
        <v>0</v>
      </c>
      <c r="CK37">
        <f>IFERROR(VLOOKUP(DF37,源_6社保表_Sheet1!$C:$BZ,35,FALSE),0)</f>
        <v>0</v>
      </c>
      <c r="CL37">
        <f>IFERROR(VLOOKUP(DF37,源_6社保表_Sheet1!$C:$BZ,36,FALSE),0)</f>
        <v>0</v>
      </c>
      <c r="CM37">
        <f>IFERROR(VLOOKUP(DF37,源_6社保表_Sheet1!$C:$BZ,37,FALSE),0)</f>
        <v>0</v>
      </c>
      <c r="CN37">
        <f t="shared" si="19"/>
        <v>1001.1028</v>
      </c>
      <c r="CO37">
        <f t="shared" si="20"/>
        <v>6918.1419304347819</v>
      </c>
      <c r="CP37">
        <f>IF(IFERROR(VLOOKUP(K37,源_13残疾人信息_残疾人信息!$A:$M,1,FALSE),"")&lt;&gt;"",0,IF(OR(P37="门店全职",P37="门店管理组",P37="全职(非门店)"),(BI37-AT37)*IFERROR(VLOOKUP(D37,源_12计提残保金规则_Sheet1!$A:$E,4,FALSE),0)*IFERROR(VLOOKUP(D37,源_12计提残保金规则_Sheet1!$A:$E,5,FALSE),0),0))</f>
        <v>0</v>
      </c>
      <c r="CQ37">
        <f t="shared" si="21"/>
        <v>16.05</v>
      </c>
      <c r="CR37">
        <f t="shared" si="22"/>
        <v>20.67</v>
      </c>
      <c r="CS37">
        <f>IF(DATEVALUE(N37)&gt;DATE(参数!$B$2,9,30),0,IF(M37="行政",0,IF(O37="",R37/12,IF(MONTH(DATEVALUE(O37))=参数!$B$3,0,IF(DATEVALUE(O37)&lt;DATE(参数!$B$2,参数!$B$3,1),0,R37/12)))))</f>
        <v>265.83333333333331</v>
      </c>
      <c r="CT37">
        <f t="shared" si="23"/>
        <v>0</v>
      </c>
      <c r="CU37">
        <f>IFERROR(VLOOKUP(DF37,源_6社保表_Sheet1!$C:$I,2,FALSE),0)</f>
        <v>4504</v>
      </c>
      <c r="CV37">
        <f>IFERROR(VLOOKUP(DF37,源_6社保表_Sheet1!$C:$I,7,FALSE),0)</f>
        <v>3069</v>
      </c>
      <c r="CW37">
        <f>IFERROR(VLOOKUP(DF37,源_6社保表_Sheet1!$C:$I,3,FALSE),0)</f>
        <v>4504</v>
      </c>
      <c r="CX37">
        <f>IFERROR(VLOOKUP(DF37,源_6社保表_Sheet1!$C:$I,4,FALSE),0)</f>
        <v>4504</v>
      </c>
      <c r="CY37">
        <f>IFERROR(VLOOKUP(DF37,源_6社保表_Sheet1!$C:$I,5,FALSE),0)</f>
        <v>4504</v>
      </c>
      <c r="CZ37">
        <f>IFERROR(VLOOKUP(DF37,源_6社保表_Sheet1!$C:$I,6,FALSE),0)</f>
        <v>0</v>
      </c>
      <c r="DA37">
        <f t="shared" si="24"/>
        <v>4001.4219304347816</v>
      </c>
      <c r="DB37">
        <f t="shared" si="25"/>
        <v>4310.4752637681149</v>
      </c>
      <c r="DC37" t="str">
        <f>IFERROR(VLOOKUP(K37,源_7银行卡表_Sheet1!$A:$J,8,FALSE),"")</f>
        <v>兴业银行</v>
      </c>
      <c r="DD37" t="str">
        <f>IFERROR(VLOOKUP(K37,源_7银行卡表_Sheet1!$A:$J,9,FALSE),"")</f>
        <v>628983334026756484</v>
      </c>
      <c r="DE37" t="str">
        <f>IFERROR(VLOOKUP(K37,源_7银行卡表_Sheet1!$A:$J,10,FALSE),"")</f>
        <v>兴业银行厦门市同安区支行</v>
      </c>
      <c r="DF37" t="s">
        <v>303</v>
      </c>
      <c r="DG37">
        <v>17774757820</v>
      </c>
      <c r="DH37" t="s">
        <v>290</v>
      </c>
      <c r="DI37">
        <v>0</v>
      </c>
      <c r="DJ37">
        <v>0</v>
      </c>
      <c r="DK37">
        <v>0</v>
      </c>
      <c r="DL37">
        <v>0</v>
      </c>
      <c r="DM37">
        <v>0</v>
      </c>
      <c r="DN37">
        <v>0</v>
      </c>
      <c r="DO37">
        <v>0</v>
      </c>
      <c r="DP37">
        <v>0</v>
      </c>
      <c r="DQ37">
        <v>0</v>
      </c>
      <c r="DR37">
        <f>IF(OR(IFERROR(VLOOKUP(K37,源_3考勤报表_考勤表!$F:$BG,39,FALSE),0)+IFERROR(VLOOKUP(K37,源_8补工时表_补当月工时!$A:$AC,24,FALSE),0)=0,IFERROR(VLOOKUP(K37,源_3考勤报表_考勤表!$F:$BG,43,FALSE),0)+IFERROR(VLOOKUP(K37,源_8补工时表_补当月工时!$A:$AC,26,FALSE),0)=0),IF(BI37+BG37-BT37&lt;0,BI37+BG37-BT37,0),0)</f>
        <v>0</v>
      </c>
    </row>
    <row r="38" spans="1:122" x14ac:dyDescent="0.15">
      <c r="A38">
        <f>参数!$B$2</f>
        <v>2025</v>
      </c>
      <c r="B38">
        <f>参数!$B$3</f>
        <v>12</v>
      </c>
      <c r="D38" t="s">
        <v>209</v>
      </c>
      <c r="E38" t="s">
        <v>123</v>
      </c>
      <c r="F38" t="str">
        <f>IFERROR(VLOOKUP(K38,源_7银行卡表_Sheet1!$A:$J,6,FALSE),"")</f>
        <v>华东营运</v>
      </c>
      <c r="G38" t="s">
        <v>210</v>
      </c>
      <c r="H38" t="s">
        <v>304</v>
      </c>
      <c r="I38" t="s">
        <v>212</v>
      </c>
      <c r="J38">
        <v>1</v>
      </c>
      <c r="K38">
        <v>26123037</v>
      </c>
      <c r="L38" t="s">
        <v>305</v>
      </c>
      <c r="M38" t="s">
        <v>170</v>
      </c>
      <c r="N38" t="s">
        <v>275</v>
      </c>
      <c r="P38" t="s">
        <v>154</v>
      </c>
      <c r="Q38">
        <f>IF(P38="门店全职",IFERROR(VLOOKUP(K38,源_3考勤报表_考勤表!$F:$BG,34,FALSE),0)+IFERROR(VLOOKUP(K38,源_8补工时表_补当月工时!$A:$AC,14,FALSE),0),IF(P38="门店管理组",IF(IFERROR(VLOOKUP(K38,源_3考勤报表_考勤表!$F:$BG,34,FALSE),0)+IFERROR(VLOOKUP(K38,源_8补工时表_补当月工时!$A:$AC,14,FALSE),0)+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44,FALSE),0)+IFERROR(VLOOKUP(K38,源_8补工时表_补当月工时!$A:$AC,16,FALSE),0)+IFERROR(VLOOKUP(K38,源_3考勤报表_考勤表!$F:$BG,45,FALSE),0)&gt;=参数!$B$4,参数!$B$4-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44,FALSE),0)-IFERROR(VLOOKUP(K38,源_8补工时表_补当月工时!$A:$AC,16,FALSE),0)-IFERROR(VLOOKUP(K38,源_3考勤报表_考勤表!$F:$BG,45,FALSE),0),IFERROR(VLOOKUP(K38,源_3考勤报表_考勤表!$F:$BG,34,FALSE),0)+IFERROR(VLOOKUP(K38,源_8补工时表_补当月工时!$A:$AC,14,FALSE),0)),0))</f>
        <v>189.5</v>
      </c>
      <c r="R38">
        <v>3300</v>
      </c>
      <c r="S38">
        <v>22</v>
      </c>
      <c r="T38">
        <f>IF(P38="门店全职",R38/参数!$B$4*(Q38-MAX(IFERROR(VLOOKUP(K38,源_3考勤报表_考勤表!$F:$BG,34,FALSE),0)+IFERROR(VLOOKUP(K38,源_8补工时表_补当月工时!$A:$AC,14,FALSE),0)+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参数!$B$4,0)),R38/参数!$B$4*Q38)</f>
        <v>3300</v>
      </c>
      <c r="U38">
        <v>0</v>
      </c>
      <c r="V38">
        <v>0</v>
      </c>
      <c r="W38">
        <f t="shared" si="13"/>
        <v>0</v>
      </c>
      <c r="X38">
        <f>IFERROR(VLOOKUP(K38,源_4奖金汇总表_拆分手工算!$A:$N,8,FALSE),0)</f>
        <v>0</v>
      </c>
      <c r="Y38">
        <f>IFERROR(VLOOKUP(K38,源_5薪资备忘录_工资调整项!$A:$AC,14,FALSE),0)</f>
        <v>0</v>
      </c>
      <c r="Z38">
        <f>IFERROR(VLOOKUP(K38,源_5薪资备忘录_工资调整项!$A:$AC,16,FALSE),0)</f>
        <v>0</v>
      </c>
      <c r="AA38">
        <f>IFERROR(VLOOKUP(K38,源_5薪资备忘录_工资调整项!$A:$AC,15,FALSE),0)</f>
        <v>0</v>
      </c>
      <c r="AB38">
        <f t="shared" si="14"/>
        <v>156.4655172413793</v>
      </c>
      <c r="AC38">
        <f>IF(P38="门店全职",R38/174*MAX(IFERROR(VLOOKUP(K38,源_3考勤报表_考勤表!$F:$BG,34,FALSE),0)+IFERROR(VLOOKUP(K38,源_8补工时表_补当月工时!$A:$AC,14,FALSE),0)+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参数!$B$4,0)*1.5,0)</f>
        <v>156.4655172413793</v>
      </c>
      <c r="AD38">
        <v>0</v>
      </c>
      <c r="AE38">
        <f>IFERROR(VLOOKUP(K38,源_3考勤报表_考勤表!$F:$BG,46,FALSE),0)+IFERROR(VLOOKUP(K38,源_8补工时表_补当月工时!$A:$AC,25,FALSE),0)</f>
        <v>0</v>
      </c>
      <c r="AF38">
        <f t="shared" si="15"/>
        <v>0</v>
      </c>
      <c r="AG38">
        <f>IFERROR(VLOOKUP(K38,源_4奖金汇总表_拆分手工算!$A:$N,10,FALSE),0)</f>
        <v>645</v>
      </c>
      <c r="AH38">
        <f>IFERROR(VLOOKUP(K38,源_4奖金汇总表_拆分手工算!$A:$N,5,FALSE),0)</f>
        <v>0</v>
      </c>
      <c r="AI38">
        <f>IFERROR(VLOOKUP(K38,源_4奖金汇总表_拆分手工算!$A:$N,11,FALSE),0)</f>
        <v>0</v>
      </c>
      <c r="AJ38">
        <f>IFERROR(VLOOKUP(K38,源_4奖金汇总表_拆分手工算!$A:$N,4,FALSE),0)</f>
        <v>0</v>
      </c>
      <c r="AK38">
        <f>IFERROR(VLOOKUP(K38,源_4奖金汇总表_拆分手工算!$A:$N,3,FALSE),0)</f>
        <v>0</v>
      </c>
      <c r="AL38">
        <f>IFERROR(VLOOKUP(K38,源_4奖金汇总表_拆分手工算!$A:$N,6,FALSE),0)</f>
        <v>0</v>
      </c>
      <c r="AM38">
        <f>IFERROR(VLOOKUP(K38,源_5薪资备忘录_工资调整项!$A:$AC,18,FALSE),0)+IFERROR(VLOOKUP(K38,源_4奖金汇总表_拆分手工算!$A:$N,7,FALSE),0)</f>
        <v>0</v>
      </c>
      <c r="AN38">
        <f>IFERROR(VLOOKUP(K38,源_5薪资备忘录_工资调整项!$A:$AC,17,FALSE),0)</f>
        <v>0</v>
      </c>
      <c r="AO38">
        <f>IF(OR(IFERROR(VLOOKUP(K38,源_3考勤报表_考勤表!$F:$BG,39,FALSE),0)+IFERROR(VLOOKUP(K38,源_8补工时表_补当月工时!$A:$AC,24,FALSE),0)&gt;0,IFERROR(VLOOKUP(K38,源_3考勤报表_考勤表!$F:$BG,43,FALSE),0)+IFERROR(VLOOKUP(K38,源_8补工时表_补当月工时!$A:$AC,26,FALSE),0)&gt;0),IF(IFERROR(VLOOKUP(DH38,源_11产假政策_Sheet1!$C:$F,4,FALSE),"")="是",R38/参数!$B$4*(IFERROR(VLOOKUP(K38,源_3考勤报表_考勤表!$F:$BG,39,FALSE),0)+IFERROR(VLOOKUP(K38,源_8补工时表_补当月工时!$A:$AC,24,FALSE),0)+IFERROR(VLOOKUP(K38,源_3考勤报表_考勤表!$F:$BG,43,FALSE),0)+IFERROR(VLOOKUP(K38,源_8补工时表_补当月工时!$A:$AC,26,FALSE),0)),IFERROR(VLOOKUP(K38,源_5薪资备忘录_工资调整项!$A:$AC,19,FALSE),0)),0)</f>
        <v>0</v>
      </c>
      <c r="AP38">
        <v>0</v>
      </c>
      <c r="AQ38">
        <f>IFERROR(VLOOKUP(K38,源_4奖金汇总表_拆分手工算!$A:$N,12,FALSE),0)+IFERROR(VLOOKUP(K38,源_9年终奖表_Sheet1!$A:$E,3,FALSE),0)</f>
        <v>1200</v>
      </c>
      <c r="AR38">
        <f>IFERROR(VLOOKUP(K38,源_4奖金汇总表_拆分手工算!$A:$N,13,FALSE),0)+IFERROR(VLOOKUP(K38,源_9年终奖表_Sheet1!$A:$E,4,FALSE),0)</f>
        <v>500.63</v>
      </c>
      <c r="AS38">
        <f>IFERROR(VLOOKUP(K38,源_4奖金汇总表_拆分手工算!$A:$N,14,FALSE),0)+IFERROR(VLOOKUP(K38,源_9年终奖表_Sheet1!$A:$E,5,FALSE),0)</f>
        <v>111</v>
      </c>
      <c r="AT38">
        <f>IFERROR(VLOOKUP(K38,源_5薪资备忘录_工资调整项!$A:$AC,20,FALSE),0)</f>
        <v>0</v>
      </c>
      <c r="AU38">
        <f>IFERROR(VLOOKUP(K38,源_5薪资备忘录_工资调整项!$A:$AC,21,FALSE),0)+IFERROR(VLOOKUP(K38,源_4奖金汇总表_拆分手工算!$A:$N,9,FALSE),0)</f>
        <v>0</v>
      </c>
      <c r="AV38">
        <f>R38/参数!$B$4*(IFERROR(VLOOKUP(K38,源_3考勤报表_考勤表!$F:$BG,37,FALSE),0)+IFERROR(VLOOKUP(K38,源_8补工时表_补当月工时!$A:$AC,15,FALSE),0))</f>
        <v>0</v>
      </c>
      <c r="AW38">
        <f>R38/174*MIN(IFERROR(VLOOKUP(K38,源_3考勤报表_考勤表!$F:$BG,35,FALSE),0),174)*IF(DATEDIF(N38,DATE(参数!$B$2,参数!$B$3+1,0),"Y")&lt;2,0.6,IF(DATEDIF(N38,DATE(参数!$B$2,参数!$B$3+1,0),"Y")&lt;4,0.7,IF(DATEDIF(N38,DATE(参数!$B$2,参数!$B$3+1,0),"Y")&lt;6,0.8,IF(DATEDIF(N38,DATE(参数!$B$2,参数!$B$3+1,0),"Y")&lt;8,0.9,1))))</f>
        <v>0</v>
      </c>
      <c r="AX38">
        <f>IF(Q38+IFERROR(VLOOKUP(K38,源_3考勤报表_考勤表!$F:$BG,37,FALSE),0)+IFERROR(VLOOKUP(K38,源_8补工时表_补当月工时!$A:$AC,15,FALSE),0)&gt;=参数!$B$4,0,IF(Q38+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lt;=参数!$B$4,R38/参数!$B$4*(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0))</f>
        <v>0</v>
      </c>
      <c r="AY38">
        <v>0</v>
      </c>
      <c r="AZ38">
        <v>0</v>
      </c>
      <c r="BA38">
        <v>0</v>
      </c>
      <c r="BB38">
        <v>0</v>
      </c>
      <c r="BC38">
        <f>IFERROR(VLOOKUP(K38,源_5薪资备忘录_工资调整项!$A:$AC,25,FALSE),0)</f>
        <v>0</v>
      </c>
      <c r="BD38">
        <v>0</v>
      </c>
      <c r="BE38">
        <v>0</v>
      </c>
      <c r="BF38">
        <v>0</v>
      </c>
      <c r="BG38">
        <f>IFERROR(VLOOKUP(K38,源_5薪资备忘录_工资调整项!$A:$AC,22,FALSE),0)+IFERROR(VLOOKUP(K38,源_5薪资备忘录_工资调整项!$A:$AC,23,FALSE),0)+IFERROR(VLOOKUP(K38,源_5薪资备忘录_工资调整项!$A:$AC,24,FALSE),0)</f>
        <v>0</v>
      </c>
      <c r="BH38">
        <f>IFERROR(VLOOKUP(DF38,源_6社保表_Sheet1!$C:$CD,80,FALSE),0)+4.5</f>
        <v>6.5</v>
      </c>
      <c r="BI38">
        <f t="shared" si="16"/>
        <v>5913.0955172413796</v>
      </c>
      <c r="BJ38">
        <f>IFERROR(VLOOKUP(DF38,源_6社保表_Sheet1!$C:$BZ,26,FALSE),0)</f>
        <v>247.6</v>
      </c>
      <c r="BK38">
        <f>IFERROR(VLOOKUP(DF38,源_6社保表_Sheet1!$C:$BZ,27,FALSE),0)</f>
        <v>49.52</v>
      </c>
      <c r="BL38">
        <f>IFERROR(VLOOKUP(DF38,源_6社保表_Sheet1!$C:$BZ,28,FALSE),0)</f>
        <v>24.76</v>
      </c>
      <c r="BM38">
        <f>IFERROR(VLOOKUP(DF38,源_6社保表_Sheet1!$C:$BZ,30,FALSE),0)</f>
        <v>235.35</v>
      </c>
      <c r="BN38">
        <f>IFERROR(VLOOKUP(DF38,源_6社保表_Sheet1!$C:$BZ,29,FALSE),0)</f>
        <v>0</v>
      </c>
      <c r="BO38">
        <f>IFERROR(VLOOKUP(DF38,源_6社保表_Sheet1!$C:$BZ,40,FALSE),0)</f>
        <v>0</v>
      </c>
      <c r="BP38">
        <f>IFERROR(VLOOKUP(DF38,源_6社保表_Sheet1!$C:$BZ,41,FALSE),0)</f>
        <v>0</v>
      </c>
      <c r="BQ38">
        <f>IFERROR(VLOOKUP(DF38,源_6社保表_Sheet1!$C:$BZ,42,FALSE),0)</f>
        <v>0</v>
      </c>
      <c r="BR38">
        <f>IFERROR(VLOOKUP(DF38,源_6社保表_Sheet1!$C:$BZ,44,FALSE),0)</f>
        <v>0</v>
      </c>
      <c r="BS38">
        <f>IFERROR(VLOOKUP(DF38,源_6社保表_Sheet1!$C:$BZ,43,FALSE),0)</f>
        <v>0</v>
      </c>
      <c r="BT38">
        <f t="shared" si="17"/>
        <v>557.23</v>
      </c>
      <c r="BU38">
        <v>0</v>
      </c>
      <c r="BV38">
        <v>0</v>
      </c>
      <c r="BW38">
        <v>0</v>
      </c>
      <c r="BX38">
        <f t="shared" si="18"/>
        <v>0</v>
      </c>
      <c r="BY38">
        <v>0</v>
      </c>
      <c r="BZ38">
        <f>IFERROR(VLOOKUP(DF38,源_6社保表_Sheet1!$C:$BZ,18,FALSE),0)</f>
        <v>594.24</v>
      </c>
      <c r="CA38">
        <f>IFERROR(VLOOKUP(DF38,源_6社保表_Sheet1!$C:$BZ,19,FALSE),0)</f>
        <v>297.12</v>
      </c>
      <c r="CB38">
        <f>IFERROR(VLOOKUP(DF38,源_6社保表_Sheet1!$C:$BZ,24,FALSE),0)</f>
        <v>235.35</v>
      </c>
      <c r="CC38">
        <f>IFERROR(VLOOKUP(DF38,源_6社保表_Sheet1!$C:$BZ,20,FALSE),0)</f>
        <v>24.76</v>
      </c>
      <c r="CD38">
        <f>IFERROR(VLOOKUP(DF38,源_6社保表_Sheet1!$C:$BZ,21,FALSE),0)</f>
        <v>15.846399999999999</v>
      </c>
      <c r="CE38">
        <f>IFERROR(VLOOKUP(DF38,源_6社保表_Sheet1!$C:$BZ,22,FALSE),0)</f>
        <v>0</v>
      </c>
      <c r="CF38">
        <f>IFERROR(VLOOKUP(DF38,源_6社保表_Sheet1!$C:$BZ,23,FALSE),0)</f>
        <v>0</v>
      </c>
      <c r="CG38">
        <f>IFERROR(VLOOKUP(DF38,源_6社保表_Sheet1!$C:$BZ,32,FALSE),0)</f>
        <v>0</v>
      </c>
      <c r="CH38">
        <f>IFERROR(VLOOKUP(DF38,源_6社保表_Sheet1!$C:$BZ,33,FALSE),0)</f>
        <v>0</v>
      </c>
      <c r="CI38">
        <f>IFERROR(VLOOKUP(DF38,源_6社保表_Sheet1!$C:$BZ,34,FALSE),0)</f>
        <v>0</v>
      </c>
      <c r="CJ38">
        <f>IFERROR(VLOOKUP(DF38,源_6社保表_Sheet1!$C:$BZ,38,FALSE),0)</f>
        <v>0</v>
      </c>
      <c r="CK38">
        <f>IFERROR(VLOOKUP(DF38,源_6社保表_Sheet1!$C:$BZ,35,FALSE),0)</f>
        <v>0</v>
      </c>
      <c r="CL38">
        <f>IFERROR(VLOOKUP(DF38,源_6社保表_Sheet1!$C:$BZ,36,FALSE),0)</f>
        <v>0</v>
      </c>
      <c r="CM38">
        <f>IFERROR(VLOOKUP(DF38,源_6社保表_Sheet1!$C:$BZ,37,FALSE),0)</f>
        <v>0</v>
      </c>
      <c r="CN38">
        <f t="shared" si="19"/>
        <v>1167.3163999999999</v>
      </c>
      <c r="CO38">
        <f t="shared" si="20"/>
        <v>7086.9119172413793</v>
      </c>
      <c r="CP38">
        <f>IF(IFERROR(VLOOKUP(K38,源_13残疾人信息_残疾人信息!$A:$M,1,FALSE),"")&lt;&gt;"",0,IF(OR(P38="门店全职",P38="门店管理组",P38="全职(非门店)"),(BI38-AT38)*IFERROR(VLOOKUP(D38,源_12计提残保金规则_Sheet1!$A:$E,4,FALSE),0)*IFERROR(VLOOKUP(D38,源_12计提残保金规则_Sheet1!$A:$E,5,FALSE),0),0))</f>
        <v>35.478573103448277</v>
      </c>
      <c r="CQ38">
        <f t="shared" si="21"/>
        <v>16.05</v>
      </c>
      <c r="CR38">
        <f t="shared" si="22"/>
        <v>20.67</v>
      </c>
      <c r="CS38">
        <f>IF(DATEVALUE(N38)&gt;DATE(参数!$B$2,9,30),0,IF(M38="行政",0,IF(O38="",R38/12,IF(MONTH(DATEVALUE(O38))=参数!$B$3,0,IF(DATEVALUE(O38)&lt;DATE(参数!$B$2,参数!$B$3,1),0,R38/12)))))</f>
        <v>275</v>
      </c>
      <c r="CT38">
        <f t="shared" si="23"/>
        <v>0</v>
      </c>
      <c r="CU38">
        <f>IFERROR(VLOOKUP(DF38,源_6社保表_Sheet1!$C:$I,2,FALSE),0)</f>
        <v>4952</v>
      </c>
      <c r="CV38">
        <f>IFERROR(VLOOKUP(DF38,源_6社保表_Sheet1!$C:$I,7,FALSE),0)</f>
        <v>4707</v>
      </c>
      <c r="CW38">
        <f>IFERROR(VLOOKUP(DF38,源_6社保表_Sheet1!$C:$I,3,FALSE),0)</f>
        <v>4952</v>
      </c>
      <c r="CX38">
        <f>IFERROR(VLOOKUP(DF38,源_6社保表_Sheet1!$C:$I,4,FALSE),0)</f>
        <v>4952</v>
      </c>
      <c r="CY38">
        <f>IFERROR(VLOOKUP(DF38,源_6社保表_Sheet1!$C:$I,5,FALSE),0)</f>
        <v>4952</v>
      </c>
      <c r="CZ38">
        <f>IFERROR(VLOOKUP(DF38,源_6社保表_Sheet1!$C:$I,6,FALSE),0)</f>
        <v>0</v>
      </c>
      <c r="DA38">
        <f t="shared" si="24"/>
        <v>4623.7819172413792</v>
      </c>
      <c r="DB38">
        <f t="shared" si="25"/>
        <v>4977.4804903448276</v>
      </c>
      <c r="DC38" t="str">
        <f>IFERROR(VLOOKUP(K38,源_7银行卡表_Sheet1!$A:$J,8,FALSE),"")</f>
        <v>平安银行</v>
      </c>
      <c r="DD38" t="str">
        <f>IFERROR(VLOOKUP(K38,源_7银行卡表_Sheet1!$A:$J,9,FALSE),"")</f>
        <v>6280512366669590142</v>
      </c>
      <c r="DE38" t="str">
        <f>IFERROR(VLOOKUP(K38,源_7银行卡表_Sheet1!$A:$J,10,FALSE),"")</f>
        <v>平安银行福建省泉州晋江安海社区支行</v>
      </c>
      <c r="DF38" t="s">
        <v>306</v>
      </c>
      <c r="DG38">
        <v>17354953680</v>
      </c>
      <c r="DH38" t="s">
        <v>210</v>
      </c>
      <c r="DI38">
        <v>0</v>
      </c>
      <c r="DJ38">
        <v>0</v>
      </c>
      <c r="DK38">
        <v>0</v>
      </c>
      <c r="DL38">
        <v>0</v>
      </c>
      <c r="DM38">
        <v>0</v>
      </c>
      <c r="DN38">
        <v>0</v>
      </c>
      <c r="DO38">
        <v>0</v>
      </c>
      <c r="DP38">
        <v>0</v>
      </c>
      <c r="DQ38">
        <v>0</v>
      </c>
      <c r="DR38">
        <f>IF(OR(IFERROR(VLOOKUP(K38,源_3考勤报表_考勤表!$F:$BG,39,FALSE),0)+IFERROR(VLOOKUP(K38,源_8补工时表_补当月工时!$A:$AC,24,FALSE),0)=0,IFERROR(VLOOKUP(K38,源_3考勤报表_考勤表!$F:$BG,43,FALSE),0)+IFERROR(VLOOKUP(K38,源_8补工时表_补当月工时!$A:$AC,26,FALSE),0)=0),IF(BI38+BG38-BT38&lt;0,BI38+BG38-BT38,0),0)</f>
        <v>0</v>
      </c>
    </row>
    <row r="39" spans="1:122" x14ac:dyDescent="0.15">
      <c r="A39">
        <f>参数!$B$2</f>
        <v>2025</v>
      </c>
      <c r="B39">
        <f>参数!$B$3</f>
        <v>12</v>
      </c>
      <c r="D39" t="s">
        <v>165</v>
      </c>
      <c r="E39" t="s">
        <v>123</v>
      </c>
      <c r="F39" t="str">
        <f>IFERROR(VLOOKUP(K39,源_7银行卡表_Sheet1!$A:$J,6,FALSE),"")</f>
        <v>华北营运</v>
      </c>
      <c r="G39" t="s">
        <v>166</v>
      </c>
      <c r="H39" t="s">
        <v>307</v>
      </c>
      <c r="I39" t="s">
        <v>168</v>
      </c>
      <c r="J39">
        <v>1</v>
      </c>
      <c r="K39">
        <v>26123038</v>
      </c>
      <c r="L39" t="s">
        <v>308</v>
      </c>
      <c r="M39" t="s">
        <v>170</v>
      </c>
      <c r="N39" t="s">
        <v>309</v>
      </c>
      <c r="P39" t="s">
        <v>154</v>
      </c>
      <c r="Q39">
        <f>IF(P39="门店全职",IFERROR(VLOOKUP(K39,源_3考勤报表_考勤表!$F:$BG,34,FALSE),0)+IFERROR(VLOOKUP(K39,源_8补工时表_补当月工时!$A:$AC,14,FALSE),0),IF(P39="门店管理组",IF(IFERROR(VLOOKUP(K39,源_3考勤报表_考勤表!$F:$BG,34,FALSE),0)+IFERROR(VLOOKUP(K39,源_8补工时表_补当月工时!$A:$AC,14,FALSE),0)+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44,FALSE),0)+IFERROR(VLOOKUP(K39,源_8补工时表_补当月工时!$A:$AC,16,FALSE),0)+IFERROR(VLOOKUP(K39,源_3考勤报表_考勤表!$F:$BG,45,FALSE),0)&gt;=参数!$B$4,参数!$B$4-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44,FALSE),0)-IFERROR(VLOOKUP(K39,源_8补工时表_补当月工时!$A:$AC,16,FALSE),0)-IFERROR(VLOOKUP(K39,源_3考勤报表_考勤表!$F:$BG,45,FALSE),0),IFERROR(VLOOKUP(K39,源_3考勤报表_考勤表!$F:$BG,34,FALSE),0)+IFERROR(VLOOKUP(K39,源_8补工时表_补当月工时!$A:$AC,14,FALSE),0)),0))</f>
        <v>160</v>
      </c>
      <c r="R39">
        <v>3130</v>
      </c>
      <c r="S39">
        <v>0</v>
      </c>
      <c r="T39">
        <f>IF(P39="门店全职",R39/参数!$B$4*(Q39-MAX(IFERROR(VLOOKUP(K39,源_3考勤报表_考勤表!$F:$BG,34,FALSE),0)+IFERROR(VLOOKUP(K39,源_8补工时表_补当月工时!$A:$AC,14,FALSE),0)+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参数!$B$4,0)),R39/参数!$B$4*Q39)</f>
        <v>2721.7391304347825</v>
      </c>
      <c r="U39">
        <v>0</v>
      </c>
      <c r="V39">
        <v>0</v>
      </c>
      <c r="W39">
        <f t="shared" si="13"/>
        <v>0</v>
      </c>
      <c r="X39">
        <f>IFERROR(VLOOKUP(K39,源_4奖金汇总表_拆分手工算!$A:$N,8,FALSE),0)</f>
        <v>0</v>
      </c>
      <c r="Y39">
        <f>IFERROR(VLOOKUP(K39,源_5薪资备忘录_工资调整项!$A:$AC,14,FALSE),0)</f>
        <v>0</v>
      </c>
      <c r="Z39">
        <f>IFERROR(VLOOKUP(K39,源_5薪资备忘录_工资调整项!$A:$AC,16,FALSE),0)</f>
        <v>0</v>
      </c>
      <c r="AA39">
        <f>IFERROR(VLOOKUP(K39,源_5薪资备忘录_工资调整项!$A:$AC,15,FALSE),0)</f>
        <v>0</v>
      </c>
      <c r="AB39">
        <f t="shared" si="14"/>
        <v>0</v>
      </c>
      <c r="AC39">
        <f>IF(P39="门店全职",R39/174*MAX(IFERROR(VLOOKUP(K39,源_3考勤报表_考勤表!$F:$BG,34,FALSE),0)+IFERROR(VLOOKUP(K39,源_8补工时表_补当月工时!$A:$AC,14,FALSE),0)+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参数!$B$4,0)*1.5,0)</f>
        <v>0</v>
      </c>
      <c r="AD39">
        <v>0</v>
      </c>
      <c r="AE39">
        <f>IFERROR(VLOOKUP(K39,源_3考勤报表_考勤表!$F:$BG,46,FALSE),0)+IFERROR(VLOOKUP(K39,源_8补工时表_补当月工时!$A:$AC,25,FALSE),0)</f>
        <v>0</v>
      </c>
      <c r="AF39">
        <f t="shared" si="15"/>
        <v>0</v>
      </c>
      <c r="AG39">
        <f>IFERROR(VLOOKUP(K39,源_4奖金汇总表_拆分手工算!$A:$N,10,FALSE),0)</f>
        <v>276</v>
      </c>
      <c r="AH39">
        <f>IFERROR(VLOOKUP(K39,源_4奖金汇总表_拆分手工算!$A:$N,5,FALSE),0)</f>
        <v>0</v>
      </c>
      <c r="AI39">
        <f>IFERROR(VLOOKUP(K39,源_4奖金汇总表_拆分手工算!$A:$N,11,FALSE),0)</f>
        <v>0</v>
      </c>
      <c r="AJ39">
        <f>IFERROR(VLOOKUP(K39,源_4奖金汇总表_拆分手工算!$A:$N,4,FALSE),0)</f>
        <v>0</v>
      </c>
      <c r="AK39">
        <f>IFERROR(VLOOKUP(K39,源_4奖金汇总表_拆分手工算!$A:$N,3,FALSE),0)</f>
        <v>0</v>
      </c>
      <c r="AL39">
        <f>IFERROR(VLOOKUP(K39,源_4奖金汇总表_拆分手工算!$A:$N,6,FALSE),0)</f>
        <v>0</v>
      </c>
      <c r="AM39">
        <f>IFERROR(VLOOKUP(K39,源_5薪资备忘录_工资调整项!$A:$AC,18,FALSE),0)+IFERROR(VLOOKUP(K39,源_4奖金汇总表_拆分手工算!$A:$N,7,FALSE),0)</f>
        <v>0</v>
      </c>
      <c r="AN39">
        <f>IFERROR(VLOOKUP(K39,源_5薪资备忘录_工资调整项!$A:$AC,17,FALSE),0)</f>
        <v>0</v>
      </c>
      <c r="AO39">
        <f>IF(OR(IFERROR(VLOOKUP(K39,源_3考勤报表_考勤表!$F:$BG,39,FALSE),0)+IFERROR(VLOOKUP(K39,源_8补工时表_补当月工时!$A:$AC,24,FALSE),0)&gt;0,IFERROR(VLOOKUP(K39,源_3考勤报表_考勤表!$F:$BG,43,FALSE),0)+IFERROR(VLOOKUP(K39,源_8补工时表_补当月工时!$A:$AC,26,FALSE),0)&gt;0),IF(IFERROR(VLOOKUP(DH39,源_11产假政策_Sheet1!$C:$F,4,FALSE),"")="是",R39/参数!$B$4*(IFERROR(VLOOKUP(K39,源_3考勤报表_考勤表!$F:$BG,39,FALSE),0)+IFERROR(VLOOKUP(K39,源_8补工时表_补当月工时!$A:$AC,24,FALSE),0)+IFERROR(VLOOKUP(K39,源_3考勤报表_考勤表!$F:$BG,43,FALSE),0)+IFERROR(VLOOKUP(K39,源_8补工时表_补当月工时!$A:$AC,26,FALSE),0)),IFERROR(VLOOKUP(K39,源_5薪资备忘录_工资调整项!$A:$AC,19,FALSE),0)),0)</f>
        <v>0</v>
      </c>
      <c r="AP39">
        <v>0</v>
      </c>
      <c r="AQ39">
        <f>IFERROR(VLOOKUP(K39,源_4奖金汇总表_拆分手工算!$A:$N,12,FALSE),0)+IFERROR(VLOOKUP(K39,源_9年终奖表_Sheet1!$A:$E,3,FALSE),0)</f>
        <v>1200</v>
      </c>
      <c r="AR39">
        <f>IFERROR(VLOOKUP(K39,源_4奖金汇总表_拆分手工算!$A:$N,13,FALSE),0)+IFERROR(VLOOKUP(K39,源_9年终奖表_Sheet1!$A:$E,4,FALSE),0)</f>
        <v>600</v>
      </c>
      <c r="AS39">
        <f>IFERROR(VLOOKUP(K39,源_4奖金汇总表_拆分手工算!$A:$N,14,FALSE),0)+IFERROR(VLOOKUP(K39,源_9年终奖表_Sheet1!$A:$E,5,FALSE),0)</f>
        <v>222</v>
      </c>
      <c r="AT39">
        <f>IFERROR(VLOOKUP(K39,源_5薪资备忘录_工资调整项!$A:$AC,20,FALSE),0)</f>
        <v>0</v>
      </c>
      <c r="AU39">
        <f>IFERROR(VLOOKUP(K39,源_5薪资备忘录_工资调整项!$A:$AC,21,FALSE),0)+IFERROR(VLOOKUP(K39,源_4奖金汇总表_拆分手工算!$A:$N,9,FALSE),0)</f>
        <v>0</v>
      </c>
      <c r="AV39">
        <f>R39/参数!$B$4*(IFERROR(VLOOKUP(K39,源_3考勤报表_考勤表!$F:$BG,37,FALSE),0)+IFERROR(VLOOKUP(K39,源_8补工时表_补当月工时!$A:$AC,15,FALSE),0))</f>
        <v>408.26086956521738</v>
      </c>
      <c r="AW39">
        <f>R39/174*MIN(IFERROR(VLOOKUP(K39,源_3考勤报表_考勤表!$F:$BG,35,FALSE),0),174)*IF(DATEDIF(N39,DATE(参数!$B$2,参数!$B$3+1,0),"Y")&lt;2,0.6,IF(DATEDIF(N39,DATE(参数!$B$2,参数!$B$3+1,0),"Y")&lt;4,0.7,IF(DATEDIF(N39,DATE(参数!$B$2,参数!$B$3+1,0),"Y")&lt;6,0.8,IF(DATEDIF(N39,DATE(参数!$B$2,参数!$B$3+1,0),"Y")&lt;8,0.9,1))))</f>
        <v>0</v>
      </c>
      <c r="AX39">
        <f>IF(Q39+IFERROR(VLOOKUP(K39,源_3考勤报表_考勤表!$F:$BG,37,FALSE),0)+IFERROR(VLOOKUP(K39,源_8补工时表_补当月工时!$A:$AC,15,FALSE),0)&gt;=参数!$B$4,0,IF(Q39+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lt;=参数!$B$4,R39/参数!$B$4*(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0))</f>
        <v>0</v>
      </c>
      <c r="AY39">
        <v>0</v>
      </c>
      <c r="AZ39">
        <v>0</v>
      </c>
      <c r="BA39">
        <v>0</v>
      </c>
      <c r="BB39">
        <v>0</v>
      </c>
      <c r="BC39">
        <f>IFERROR(VLOOKUP(K39,源_5薪资备忘录_工资调整项!$A:$AC,25,FALSE),0)</f>
        <v>0</v>
      </c>
      <c r="BD39">
        <v>0</v>
      </c>
      <c r="BE39">
        <v>0</v>
      </c>
      <c r="BF39">
        <v>0</v>
      </c>
      <c r="BG39">
        <f>IFERROR(VLOOKUP(K39,源_5薪资备忘录_工资调整项!$A:$AC,22,FALSE),0)+IFERROR(VLOOKUP(K39,源_5薪资备忘录_工资调整项!$A:$AC,23,FALSE),0)+IFERROR(VLOOKUP(K39,源_5薪资备忘录_工资调整项!$A:$AC,24,FALSE),0)</f>
        <v>0</v>
      </c>
      <c r="BH39">
        <f>IFERROR(VLOOKUP(DF39,源_6社保表_Sheet1!$C:$CD,80,FALSE),0)+4.5</f>
        <v>6.5</v>
      </c>
      <c r="BI39">
        <f t="shared" si="16"/>
        <v>5427.9999999999991</v>
      </c>
      <c r="BJ39">
        <f>IFERROR(VLOOKUP(DF39,源_6社保表_Sheet1!$C:$BZ,26,FALSE),0)</f>
        <v>408.73</v>
      </c>
      <c r="BK39">
        <f>IFERROR(VLOOKUP(DF39,源_6社保表_Sheet1!$C:$BZ,27,FALSE),0)</f>
        <v>58.39</v>
      </c>
      <c r="BL39">
        <f>IFERROR(VLOOKUP(DF39,源_6社保表_Sheet1!$C:$BZ,28,FALSE),0)</f>
        <v>29.195</v>
      </c>
      <c r="BM39">
        <f>IFERROR(VLOOKUP(DF39,源_6社保表_Sheet1!$C:$BZ,30,FALSE),0)</f>
        <v>350.34</v>
      </c>
      <c r="BN39">
        <f>IFERROR(VLOOKUP(DF39,源_6社保表_Sheet1!$C:$BZ,29,FALSE),0)</f>
        <v>0</v>
      </c>
      <c r="BO39">
        <f>IFERROR(VLOOKUP(DF39,源_6社保表_Sheet1!$C:$BZ,40,FALSE),0)</f>
        <v>0</v>
      </c>
      <c r="BP39">
        <f>IFERROR(VLOOKUP(DF39,源_6社保表_Sheet1!$C:$BZ,41,FALSE),0)</f>
        <v>0</v>
      </c>
      <c r="BQ39">
        <f>IFERROR(VLOOKUP(DF39,源_6社保表_Sheet1!$C:$BZ,42,FALSE),0)</f>
        <v>0</v>
      </c>
      <c r="BR39">
        <f>IFERROR(VLOOKUP(DF39,源_6社保表_Sheet1!$C:$BZ,44,FALSE),0)</f>
        <v>0</v>
      </c>
      <c r="BS39">
        <f>IFERROR(VLOOKUP(DF39,源_6社保表_Sheet1!$C:$BZ,43,FALSE),0)</f>
        <v>0</v>
      </c>
      <c r="BT39">
        <f t="shared" si="17"/>
        <v>846.65499999999997</v>
      </c>
      <c r="BU39">
        <v>0</v>
      </c>
      <c r="BV39">
        <v>0</v>
      </c>
      <c r="BW39">
        <v>0</v>
      </c>
      <c r="BX39">
        <f t="shared" si="18"/>
        <v>0</v>
      </c>
      <c r="BY39">
        <v>0</v>
      </c>
      <c r="BZ39">
        <f>IFERROR(VLOOKUP(DF39,源_6社保表_Sheet1!$C:$BZ,18,FALSE),0)</f>
        <v>875.85</v>
      </c>
      <c r="CA39">
        <f>IFERROR(VLOOKUP(DF39,源_6社保表_Sheet1!$C:$BZ,19,FALSE),0)</f>
        <v>467.12</v>
      </c>
      <c r="CB39">
        <f>IFERROR(VLOOKUP(DF39,源_6社保表_Sheet1!$C:$BZ,24,FALSE),0)</f>
        <v>350.34</v>
      </c>
      <c r="CC39">
        <f>IFERROR(VLOOKUP(DF39,源_6社保表_Sheet1!$C:$BZ,20,FALSE),0)</f>
        <v>29.195</v>
      </c>
      <c r="CD39">
        <f>IFERROR(VLOOKUP(DF39,源_6社保表_Sheet1!$C:$BZ,21,FALSE),0)</f>
        <v>18.684799999999999</v>
      </c>
      <c r="CE39">
        <f>IFERROR(VLOOKUP(DF39,源_6社保表_Sheet1!$C:$BZ,22,FALSE),0)</f>
        <v>0</v>
      </c>
      <c r="CF39">
        <f>IFERROR(VLOOKUP(DF39,源_6社保表_Sheet1!$C:$BZ,23,FALSE),0)</f>
        <v>0</v>
      </c>
      <c r="CG39">
        <f>IFERROR(VLOOKUP(DF39,源_6社保表_Sheet1!$C:$BZ,32,FALSE),0)</f>
        <v>0</v>
      </c>
      <c r="CH39">
        <f>IFERROR(VLOOKUP(DF39,源_6社保表_Sheet1!$C:$BZ,33,FALSE),0)</f>
        <v>0</v>
      </c>
      <c r="CI39">
        <f>IFERROR(VLOOKUP(DF39,源_6社保表_Sheet1!$C:$BZ,34,FALSE),0)</f>
        <v>0</v>
      </c>
      <c r="CJ39">
        <f>IFERROR(VLOOKUP(DF39,源_6社保表_Sheet1!$C:$BZ,38,FALSE),0)</f>
        <v>0</v>
      </c>
      <c r="CK39">
        <f>IFERROR(VLOOKUP(DF39,源_6社保表_Sheet1!$C:$BZ,35,FALSE),0)</f>
        <v>0</v>
      </c>
      <c r="CL39">
        <f>IFERROR(VLOOKUP(DF39,源_6社保表_Sheet1!$C:$BZ,36,FALSE),0)</f>
        <v>0</v>
      </c>
      <c r="CM39">
        <f>IFERROR(VLOOKUP(DF39,源_6社保表_Sheet1!$C:$BZ,37,FALSE),0)</f>
        <v>0</v>
      </c>
      <c r="CN39">
        <f t="shared" si="19"/>
        <v>1741.1897999999999</v>
      </c>
      <c r="CO39">
        <f t="shared" si="20"/>
        <v>7175.6897999999992</v>
      </c>
      <c r="CP39">
        <f>IF(IFERROR(VLOOKUP(K39,源_13残疾人信息_残疾人信息!$A:$M,1,FALSE),"")&lt;&gt;"",0,IF(OR(P39="门店全职",P39="门店管理组",P39="全职(非门店)"),(BI39-AT39)*IFERROR(VLOOKUP(D39,源_12计提残保金规则_Sheet1!$A:$E,4,FALSE),0)*IFERROR(VLOOKUP(D39,源_12计提残保金规则_Sheet1!$A:$E,5,FALSE),0),0))</f>
        <v>73.277999999999992</v>
      </c>
      <c r="CQ39">
        <f t="shared" si="21"/>
        <v>16.05</v>
      </c>
      <c r="CR39">
        <f t="shared" si="22"/>
        <v>20.67</v>
      </c>
      <c r="CS39">
        <f>IF(DATEVALUE(N39)&gt;DATE(参数!$B$2,9,30),0,IF(M39="行政",0,IF(O39="",R39/12,IF(MONTH(DATEVALUE(O39))=参数!$B$3,0,IF(DATEVALUE(O39)&lt;DATE(参数!$B$2,参数!$B$3,1),0,R39/12)))))</f>
        <v>260.83333333333331</v>
      </c>
      <c r="CT39">
        <f t="shared" si="23"/>
        <v>0</v>
      </c>
      <c r="CU39">
        <f>IFERROR(VLOOKUP(DF39,源_6社保表_Sheet1!$C:$I,2,FALSE),0)</f>
        <v>5839</v>
      </c>
      <c r="CV39">
        <f>IFERROR(VLOOKUP(DF39,源_6社保表_Sheet1!$C:$I,7,FALSE),0)</f>
        <v>5839</v>
      </c>
      <c r="CW39">
        <f>IFERROR(VLOOKUP(DF39,源_6社保表_Sheet1!$C:$I,3,FALSE),0)</f>
        <v>5839</v>
      </c>
      <c r="CX39">
        <f>IFERROR(VLOOKUP(DF39,源_6社保表_Sheet1!$C:$I,4,FALSE),0)</f>
        <v>5839</v>
      </c>
      <c r="CY39">
        <f>IFERROR(VLOOKUP(DF39,源_6社保表_Sheet1!$C:$I,5,FALSE),0)</f>
        <v>5839</v>
      </c>
      <c r="CZ39">
        <f>IFERROR(VLOOKUP(DF39,源_6社保表_Sheet1!$C:$I,6,FALSE),0)</f>
        <v>0</v>
      </c>
      <c r="DA39">
        <f t="shared" si="24"/>
        <v>4871.1897999999992</v>
      </c>
      <c r="DB39">
        <f t="shared" si="25"/>
        <v>5248.5211333333327</v>
      </c>
      <c r="DC39" t="str">
        <f>IFERROR(VLOOKUP(K39,源_7银行卡表_Sheet1!$A:$J,8,FALSE),"")</f>
        <v>邮政银行</v>
      </c>
      <c r="DD39" t="str">
        <f>IFERROR(VLOOKUP(K39,源_7银行卡表_Sheet1!$A:$J,9,FALSE),"")</f>
        <v>6281643305043727972</v>
      </c>
      <c r="DE39" t="str">
        <f>IFERROR(VLOOKUP(K39,源_7银行卡表_Sheet1!$A:$J,10,FALSE),"")</f>
        <v>中国邮政储蓄银行湖北省石首市中山路支行</v>
      </c>
      <c r="DF39" t="s">
        <v>310</v>
      </c>
      <c r="DG39">
        <v>15347375900</v>
      </c>
      <c r="DH39" t="s">
        <v>166</v>
      </c>
      <c r="DI39">
        <v>0</v>
      </c>
      <c r="DJ39">
        <v>0</v>
      </c>
      <c r="DK39">
        <v>0</v>
      </c>
      <c r="DL39">
        <v>0</v>
      </c>
      <c r="DM39">
        <v>0</v>
      </c>
      <c r="DN39">
        <v>0</v>
      </c>
      <c r="DO39">
        <v>0</v>
      </c>
      <c r="DP39">
        <v>0</v>
      </c>
      <c r="DQ39">
        <v>0</v>
      </c>
      <c r="DR39">
        <f>IF(OR(IFERROR(VLOOKUP(K39,源_3考勤报表_考勤表!$F:$BG,39,FALSE),0)+IFERROR(VLOOKUP(K39,源_8补工时表_补当月工时!$A:$AC,24,FALSE),0)=0,IFERROR(VLOOKUP(K39,源_3考勤报表_考勤表!$F:$BG,43,FALSE),0)+IFERROR(VLOOKUP(K39,源_8补工时表_补当月工时!$A:$AC,26,FALSE),0)=0),IF(BI39+BG39-BT39&lt;0,BI39+BG39-BT39,0),0)</f>
        <v>0</v>
      </c>
    </row>
    <row r="40" spans="1:122" x14ac:dyDescent="0.15">
      <c r="A40">
        <f>参数!$B$2</f>
        <v>2025</v>
      </c>
      <c r="B40">
        <f>参数!$B$3</f>
        <v>12</v>
      </c>
      <c r="D40" t="s">
        <v>311</v>
      </c>
      <c r="E40" t="s">
        <v>123</v>
      </c>
      <c r="F40" t="str">
        <f>IFERROR(VLOOKUP(K40,源_7银行卡表_Sheet1!$A:$J,6,FALSE),"")</f>
        <v>华北营运</v>
      </c>
      <c r="G40" t="s">
        <v>312</v>
      </c>
      <c r="H40" t="s">
        <v>313</v>
      </c>
      <c r="I40" t="s">
        <v>314</v>
      </c>
      <c r="J40">
        <v>1</v>
      </c>
      <c r="K40">
        <v>26123039</v>
      </c>
      <c r="L40" t="s">
        <v>315</v>
      </c>
      <c r="M40" t="s">
        <v>152</v>
      </c>
      <c r="N40" t="s">
        <v>316</v>
      </c>
      <c r="P40" t="s">
        <v>154</v>
      </c>
      <c r="Q40">
        <f>IF(P40="门店全职",IFERROR(VLOOKUP(K40,源_3考勤报表_考勤表!$F:$BG,34,FALSE),0)+IFERROR(VLOOKUP(K40,源_8补工时表_补当月工时!$A:$AC,14,FALSE),0),IF(P40="门店管理组",IF(IFERROR(VLOOKUP(K40,源_3考勤报表_考勤表!$F:$BG,34,FALSE),0)+IFERROR(VLOOKUP(K40,源_8补工时表_补当月工时!$A:$AC,14,FALSE),0)+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44,FALSE),0)+IFERROR(VLOOKUP(K40,源_8补工时表_补当月工时!$A:$AC,16,FALSE),0)+IFERROR(VLOOKUP(K40,源_3考勤报表_考勤表!$F:$BG,45,FALSE),0)&gt;=参数!$B$4,参数!$B$4-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44,FALSE),0)-IFERROR(VLOOKUP(K40,源_8补工时表_补当月工时!$A:$AC,16,FALSE),0)-IFERROR(VLOOKUP(K40,源_3考勤报表_考勤表!$F:$BG,45,FALSE),0),IFERROR(VLOOKUP(K40,源_3考勤报表_考勤表!$F:$BG,34,FALSE),0)+IFERROR(VLOOKUP(K40,源_8补工时表_补当月工时!$A:$AC,14,FALSE),0)),0))</f>
        <v>153.5</v>
      </c>
      <c r="R40">
        <v>3250</v>
      </c>
      <c r="S40">
        <v>0</v>
      </c>
      <c r="T40">
        <f>IF(P40="门店全职",R40/参数!$B$4*(Q40-MAX(IFERROR(VLOOKUP(K40,源_3考勤报表_考勤表!$F:$BG,34,FALSE),0)+IFERROR(VLOOKUP(K40,源_8补工时表_补当月工时!$A:$AC,14,FALSE),0)+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参数!$B$4,0)),R40/参数!$B$4*Q40)</f>
        <v>2711.2771739130435</v>
      </c>
      <c r="U40">
        <v>0</v>
      </c>
      <c r="V40">
        <v>0</v>
      </c>
      <c r="W40">
        <f t="shared" si="13"/>
        <v>0</v>
      </c>
      <c r="X40">
        <f>IFERROR(VLOOKUP(K40,源_4奖金汇总表_拆分手工算!$A:$N,8,FALSE),0)</f>
        <v>0</v>
      </c>
      <c r="Y40">
        <f>IFERROR(VLOOKUP(K40,源_5薪资备忘录_工资调整项!$A:$AC,14,FALSE),0)</f>
        <v>0</v>
      </c>
      <c r="Z40">
        <f>IFERROR(VLOOKUP(K40,源_5薪资备忘录_工资调整项!$A:$AC,16,FALSE),0)</f>
        <v>0</v>
      </c>
      <c r="AA40">
        <f>IFERROR(VLOOKUP(K40,源_5薪资备忘录_工资调整项!$A:$AC,15,FALSE),0)</f>
        <v>0</v>
      </c>
      <c r="AB40">
        <f t="shared" si="14"/>
        <v>0</v>
      </c>
      <c r="AC40">
        <f>IF(P40="门店全职",R40/174*MAX(IFERROR(VLOOKUP(K40,源_3考勤报表_考勤表!$F:$BG,34,FALSE),0)+IFERROR(VLOOKUP(K40,源_8补工时表_补当月工时!$A:$AC,14,FALSE),0)+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参数!$B$4,0)*1.5,0)</f>
        <v>0</v>
      </c>
      <c r="AD40">
        <v>0</v>
      </c>
      <c r="AE40">
        <f>IFERROR(VLOOKUP(K40,源_3考勤报表_考勤表!$F:$BG,46,FALSE),0)+IFERROR(VLOOKUP(K40,源_8补工时表_补当月工时!$A:$AC,25,FALSE),0)</f>
        <v>0</v>
      </c>
      <c r="AF40">
        <f t="shared" si="15"/>
        <v>0</v>
      </c>
      <c r="AG40">
        <f>IFERROR(VLOOKUP(K40,源_4奖金汇总表_拆分手工算!$A:$N,10,FALSE),0)</f>
        <v>0</v>
      </c>
      <c r="AH40">
        <f>IFERROR(VLOOKUP(K40,源_4奖金汇总表_拆分手工算!$A:$N,5,FALSE),0)</f>
        <v>0</v>
      </c>
      <c r="AI40">
        <f>IFERROR(VLOOKUP(K40,源_4奖金汇总表_拆分手工算!$A:$N,11,FALSE),0)</f>
        <v>0</v>
      </c>
      <c r="AJ40">
        <f>IFERROR(VLOOKUP(K40,源_4奖金汇总表_拆分手工算!$A:$N,4,FALSE),0)</f>
        <v>0</v>
      </c>
      <c r="AK40">
        <f>IFERROR(VLOOKUP(K40,源_4奖金汇总表_拆分手工算!$A:$N,3,FALSE),0)</f>
        <v>0</v>
      </c>
      <c r="AL40">
        <f>IFERROR(VLOOKUP(K40,源_4奖金汇总表_拆分手工算!$A:$N,6,FALSE),0)</f>
        <v>0</v>
      </c>
      <c r="AM40">
        <f>IFERROR(VLOOKUP(K40,源_5薪资备忘录_工资调整项!$A:$AC,18,FALSE),0)+IFERROR(VLOOKUP(K40,源_4奖金汇总表_拆分手工算!$A:$N,7,FALSE),0)</f>
        <v>0</v>
      </c>
      <c r="AN40">
        <f>IFERROR(VLOOKUP(K40,源_5薪资备忘录_工资调整项!$A:$AC,17,FALSE),0)</f>
        <v>0</v>
      </c>
      <c r="AO40">
        <f>IF(OR(IFERROR(VLOOKUP(K40,源_3考勤报表_考勤表!$F:$BG,39,FALSE),0)+IFERROR(VLOOKUP(K40,源_8补工时表_补当月工时!$A:$AC,24,FALSE),0)&gt;0,IFERROR(VLOOKUP(K40,源_3考勤报表_考勤表!$F:$BG,43,FALSE),0)+IFERROR(VLOOKUP(K40,源_8补工时表_补当月工时!$A:$AC,26,FALSE),0)&gt;0),IF(IFERROR(VLOOKUP(DH40,源_11产假政策_Sheet1!$C:$F,4,FALSE),"")="是",R40/参数!$B$4*(IFERROR(VLOOKUP(K40,源_3考勤报表_考勤表!$F:$BG,39,FALSE),0)+IFERROR(VLOOKUP(K40,源_8补工时表_补当月工时!$A:$AC,24,FALSE),0)+IFERROR(VLOOKUP(K40,源_3考勤报表_考勤表!$F:$BG,43,FALSE),0)+IFERROR(VLOOKUP(K40,源_8补工时表_补当月工时!$A:$AC,26,FALSE),0)),IFERROR(VLOOKUP(K40,源_5薪资备忘录_工资调整项!$A:$AC,19,FALSE),0)),0)</f>
        <v>0</v>
      </c>
      <c r="AP40">
        <v>0</v>
      </c>
      <c r="AQ40">
        <f>IFERROR(VLOOKUP(K40,源_4奖金汇总表_拆分手工算!$A:$N,12,FALSE),0)+IFERROR(VLOOKUP(K40,源_9年终奖表_Sheet1!$A:$E,3,FALSE),0)</f>
        <v>1200</v>
      </c>
      <c r="AR40">
        <f>IFERROR(VLOOKUP(K40,源_4奖金汇总表_拆分手工算!$A:$N,13,FALSE),0)+IFERROR(VLOOKUP(K40,源_9年终奖表_Sheet1!$A:$E,4,FALSE),0)</f>
        <v>600</v>
      </c>
      <c r="AS40">
        <f>IFERROR(VLOOKUP(K40,源_4奖金汇总表_拆分手工算!$A:$N,14,FALSE),0)+IFERROR(VLOOKUP(K40,源_9年终奖表_Sheet1!$A:$E,5,FALSE),0)</f>
        <v>111</v>
      </c>
      <c r="AT40">
        <f>IFERROR(VLOOKUP(K40,源_5薪资备忘录_工资调整项!$A:$AC,20,FALSE),0)</f>
        <v>0</v>
      </c>
      <c r="AU40">
        <f>IFERROR(VLOOKUP(K40,源_5薪资备忘录_工资调整项!$A:$AC,21,FALSE),0)+IFERROR(VLOOKUP(K40,源_4奖金汇总表_拆分手工算!$A:$N,9,FALSE),0)</f>
        <v>1456.81</v>
      </c>
      <c r="AV40">
        <f>R40/参数!$B$4*(IFERROR(VLOOKUP(K40,源_3考勤报表_考勤表!$F:$BG,37,FALSE),0)+IFERROR(VLOOKUP(K40,源_8补工时表_补当月工时!$A:$AC,15,FALSE),0))</f>
        <v>0</v>
      </c>
      <c r="AW40">
        <f>R40/174*MIN(IFERROR(VLOOKUP(K40,源_3考勤报表_考勤表!$F:$BG,35,FALSE),0),174)*IF(DATEDIF(N40,DATE(参数!$B$2,参数!$B$3+1,0),"Y")&lt;2,0.6,IF(DATEDIF(N40,DATE(参数!$B$2,参数!$B$3+1,0),"Y")&lt;4,0.7,IF(DATEDIF(N40,DATE(参数!$B$2,参数!$B$3+1,0),"Y")&lt;6,0.8,IF(DATEDIF(N40,DATE(参数!$B$2,参数!$B$3+1,0),"Y")&lt;8,0.9,1))))</f>
        <v>0</v>
      </c>
      <c r="AX40">
        <f>IF(Q40+IFERROR(VLOOKUP(K40,源_3考勤报表_考勤表!$F:$BG,37,FALSE),0)+IFERROR(VLOOKUP(K40,源_8补工时表_补当月工时!$A:$AC,15,FALSE),0)&gt;=参数!$B$4,0,IF(Q40+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lt;=参数!$B$4,R40/参数!$B$4*(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0))</f>
        <v>0</v>
      </c>
      <c r="AY40">
        <v>0</v>
      </c>
      <c r="AZ40">
        <v>0</v>
      </c>
      <c r="BA40">
        <v>0</v>
      </c>
      <c r="BB40">
        <v>0</v>
      </c>
      <c r="BC40">
        <f>IFERROR(VLOOKUP(K40,源_5薪资备忘录_工资调整项!$A:$AC,25,FALSE),0)</f>
        <v>0</v>
      </c>
      <c r="BD40">
        <v>0</v>
      </c>
      <c r="BE40">
        <v>0</v>
      </c>
      <c r="BF40">
        <v>0</v>
      </c>
      <c r="BG40">
        <f>IFERROR(VLOOKUP(K40,源_5薪资备忘录_工资调整项!$A:$AC,22,FALSE),0)+IFERROR(VLOOKUP(K40,源_5薪资备忘录_工资调整项!$A:$AC,23,FALSE),0)+IFERROR(VLOOKUP(K40,源_5薪资备忘录_工资调整项!$A:$AC,24,FALSE),0)</f>
        <v>0</v>
      </c>
      <c r="BH40">
        <f>IFERROR(VLOOKUP(DF40,源_6社保表_Sheet1!$C:$CD,80,FALSE),0)+4.5</f>
        <v>6.5</v>
      </c>
      <c r="BI40">
        <f t="shared" si="16"/>
        <v>6079.0871739130434</v>
      </c>
      <c r="BJ40">
        <f>IFERROR(VLOOKUP(DF40,源_6社保表_Sheet1!$C:$BZ,26,FALSE),0)</f>
        <v>225.2</v>
      </c>
      <c r="BK40">
        <f>IFERROR(VLOOKUP(DF40,源_6社保表_Sheet1!$C:$BZ,27,FALSE),0)</f>
        <v>45.04</v>
      </c>
      <c r="BL40">
        <f>IFERROR(VLOOKUP(DF40,源_6社保表_Sheet1!$C:$BZ,28,FALSE),0)</f>
        <v>22.52</v>
      </c>
      <c r="BM40">
        <f>IFERROR(VLOOKUP(DF40,源_6社保表_Sheet1!$C:$BZ,30,FALSE),0)</f>
        <v>197.25</v>
      </c>
      <c r="BN40">
        <f>IFERROR(VLOOKUP(DF40,源_6社保表_Sheet1!$C:$BZ,29,FALSE),0)</f>
        <v>0</v>
      </c>
      <c r="BO40">
        <f>IFERROR(VLOOKUP(DF40,源_6社保表_Sheet1!$C:$BZ,40,FALSE),0)</f>
        <v>0</v>
      </c>
      <c r="BP40">
        <f>IFERROR(VLOOKUP(DF40,源_6社保表_Sheet1!$C:$BZ,41,FALSE),0)</f>
        <v>0</v>
      </c>
      <c r="BQ40">
        <f>IFERROR(VLOOKUP(DF40,源_6社保表_Sheet1!$C:$BZ,42,FALSE),0)</f>
        <v>0</v>
      </c>
      <c r="BR40">
        <f>IFERROR(VLOOKUP(DF40,源_6社保表_Sheet1!$C:$BZ,44,FALSE),0)</f>
        <v>0</v>
      </c>
      <c r="BS40">
        <f>IFERROR(VLOOKUP(DF40,源_6社保表_Sheet1!$C:$BZ,43,FALSE),0)</f>
        <v>0</v>
      </c>
      <c r="BT40">
        <f t="shared" si="17"/>
        <v>490.01</v>
      </c>
      <c r="BU40">
        <v>0</v>
      </c>
      <c r="BV40">
        <v>0</v>
      </c>
      <c r="BW40">
        <v>0</v>
      </c>
      <c r="BX40">
        <f t="shared" si="18"/>
        <v>0</v>
      </c>
      <c r="BY40">
        <v>0</v>
      </c>
      <c r="BZ40">
        <f>IFERROR(VLOOKUP(DF40,源_6社保表_Sheet1!$C:$BZ,18,FALSE),0)</f>
        <v>540.48</v>
      </c>
      <c r="CA40">
        <f>IFERROR(VLOOKUP(DF40,源_6社保表_Sheet1!$C:$BZ,19,FALSE),0)</f>
        <v>270.24</v>
      </c>
      <c r="CB40">
        <f>IFERROR(VLOOKUP(DF40,源_6社保表_Sheet1!$C:$BZ,24,FALSE),0)</f>
        <v>197.25</v>
      </c>
      <c r="CC40">
        <f>IFERROR(VLOOKUP(DF40,源_6社保表_Sheet1!$C:$BZ,20,FALSE),0)</f>
        <v>22.52</v>
      </c>
      <c r="CD40">
        <f>IFERROR(VLOOKUP(DF40,源_6社保表_Sheet1!$C:$BZ,21,FALSE),0)</f>
        <v>14.412800000000001</v>
      </c>
      <c r="CE40">
        <f>IFERROR(VLOOKUP(DF40,源_6社保表_Sheet1!$C:$BZ,22,FALSE),0)</f>
        <v>0</v>
      </c>
      <c r="CF40">
        <f>IFERROR(VLOOKUP(DF40,源_6社保表_Sheet1!$C:$BZ,23,FALSE),0)</f>
        <v>0</v>
      </c>
      <c r="CG40">
        <f>IFERROR(VLOOKUP(DF40,源_6社保表_Sheet1!$C:$BZ,32,FALSE),0)</f>
        <v>0</v>
      </c>
      <c r="CH40">
        <f>IFERROR(VLOOKUP(DF40,源_6社保表_Sheet1!$C:$BZ,33,FALSE),0)</f>
        <v>0</v>
      </c>
      <c r="CI40">
        <f>IFERROR(VLOOKUP(DF40,源_6社保表_Sheet1!$C:$BZ,34,FALSE),0)</f>
        <v>0</v>
      </c>
      <c r="CJ40">
        <f>IFERROR(VLOOKUP(DF40,源_6社保表_Sheet1!$C:$BZ,38,FALSE),0)</f>
        <v>0</v>
      </c>
      <c r="CK40">
        <f>IFERROR(VLOOKUP(DF40,源_6社保表_Sheet1!$C:$BZ,35,FALSE),0)</f>
        <v>0</v>
      </c>
      <c r="CL40">
        <f>IFERROR(VLOOKUP(DF40,源_6社保表_Sheet1!$C:$BZ,36,FALSE),0)</f>
        <v>0</v>
      </c>
      <c r="CM40">
        <f>IFERROR(VLOOKUP(DF40,源_6社保表_Sheet1!$C:$BZ,37,FALSE),0)</f>
        <v>0</v>
      </c>
      <c r="CN40">
        <f t="shared" si="19"/>
        <v>1044.9028000000001</v>
      </c>
      <c r="CO40">
        <f t="shared" si="20"/>
        <v>7130.4899739130433</v>
      </c>
      <c r="CP40">
        <f>IF(IFERROR(VLOOKUP(K40,源_13残疾人信息_残疾人信息!$A:$M,1,FALSE),"")&lt;&gt;"",0,IF(OR(P40="门店全职",P40="门店管理组",P40="全职(非门店)"),(BI40-AT40)*IFERROR(VLOOKUP(D40,源_12计提残保金规则_Sheet1!$A:$E,4,FALSE),0)*IFERROR(VLOOKUP(D40,源_12计提残保金规则_Sheet1!$A:$E,5,FALSE),0),0))</f>
        <v>82.067676847826078</v>
      </c>
      <c r="CQ40">
        <f t="shared" si="21"/>
        <v>16.05</v>
      </c>
      <c r="CR40">
        <f t="shared" si="22"/>
        <v>20.67</v>
      </c>
      <c r="CS40">
        <f>IF(DATEVALUE(N40)&gt;DATE(参数!$B$2,9,30),0,IF(M40="行政",0,IF(O40="",R40/12,IF(MONTH(DATEVALUE(O40))=参数!$B$3,0,IF(DATEVALUE(O40)&lt;DATE(参数!$B$2,参数!$B$3,1),0,R40/12)))))</f>
        <v>270.83333333333331</v>
      </c>
      <c r="CT40">
        <f t="shared" si="23"/>
        <v>0</v>
      </c>
      <c r="CU40">
        <f>IFERROR(VLOOKUP(DF40,源_6社保表_Sheet1!$C:$I,2,FALSE),0)</f>
        <v>4504</v>
      </c>
      <c r="CV40">
        <f>IFERROR(VLOOKUP(DF40,源_6社保表_Sheet1!$C:$I,7,FALSE),0)</f>
        <v>3945</v>
      </c>
      <c r="CW40">
        <f>IFERROR(VLOOKUP(DF40,源_6社保表_Sheet1!$C:$I,3,FALSE),0)</f>
        <v>4504</v>
      </c>
      <c r="CX40">
        <f>IFERROR(VLOOKUP(DF40,源_6社保表_Sheet1!$C:$I,4,FALSE),0)</f>
        <v>4504</v>
      </c>
      <c r="CY40">
        <f>IFERROR(VLOOKUP(DF40,源_6社保表_Sheet1!$C:$I,5,FALSE),0)</f>
        <v>4504</v>
      </c>
      <c r="CZ40">
        <f>IFERROR(VLOOKUP(DF40,源_6社保表_Sheet1!$C:$I,6,FALSE),0)</f>
        <v>0</v>
      </c>
      <c r="DA40">
        <f t="shared" si="24"/>
        <v>5212.9899739130433</v>
      </c>
      <c r="DB40">
        <f t="shared" si="25"/>
        <v>5609.1109840942026</v>
      </c>
      <c r="DC40" t="str">
        <f>IFERROR(VLOOKUP(K40,源_7银行卡表_Sheet1!$A:$J,8,FALSE),"")</f>
        <v>建设银行</v>
      </c>
      <c r="DD40" t="str">
        <f>IFERROR(VLOOKUP(K40,源_7银行卡表_Sheet1!$A:$J,9,FALSE),"")</f>
        <v>6288718206066867280</v>
      </c>
      <c r="DE40" t="str">
        <f>IFERROR(VLOOKUP(K40,源_7银行卡表_Sheet1!$A:$J,10,FALSE),"")</f>
        <v>中国建设银行股份有限公司广州黄埔大道中路支行</v>
      </c>
      <c r="DF40" t="s">
        <v>317</v>
      </c>
      <c r="DG40">
        <v>16359399364</v>
      </c>
      <c r="DH40" t="s">
        <v>312</v>
      </c>
      <c r="DI40">
        <v>0</v>
      </c>
      <c r="DJ40">
        <v>0</v>
      </c>
      <c r="DK40">
        <v>0</v>
      </c>
      <c r="DL40">
        <v>0</v>
      </c>
      <c r="DM40">
        <v>0</v>
      </c>
      <c r="DN40">
        <v>0</v>
      </c>
      <c r="DO40">
        <v>0</v>
      </c>
      <c r="DP40">
        <v>0</v>
      </c>
      <c r="DQ40">
        <v>0</v>
      </c>
      <c r="DR40">
        <f>IF(OR(IFERROR(VLOOKUP(K40,源_3考勤报表_考勤表!$F:$BG,39,FALSE),0)+IFERROR(VLOOKUP(K40,源_8补工时表_补当月工时!$A:$AC,24,FALSE),0)=0,IFERROR(VLOOKUP(K40,源_3考勤报表_考勤表!$F:$BG,43,FALSE),0)+IFERROR(VLOOKUP(K40,源_8补工时表_补当月工时!$A:$AC,26,FALSE),0)=0),IF(BI40+BG40-BT40&lt;0,BI40+BG40-BT40,0),0)</f>
        <v>0</v>
      </c>
    </row>
    <row r="41" spans="1:122" x14ac:dyDescent="0.15">
      <c r="A41">
        <f>参数!$B$2</f>
        <v>2025</v>
      </c>
      <c r="B41">
        <f>参数!$B$3</f>
        <v>12</v>
      </c>
      <c r="D41" t="s">
        <v>147</v>
      </c>
      <c r="E41" t="s">
        <v>123</v>
      </c>
      <c r="F41" t="str">
        <f>IFERROR(VLOOKUP(K41,源_7银行卡表_Sheet1!$A:$J,6,FALSE),"")</f>
        <v>华北营运</v>
      </c>
      <c r="G41" t="s">
        <v>148</v>
      </c>
      <c r="H41" t="s">
        <v>318</v>
      </c>
      <c r="I41" t="s">
        <v>150</v>
      </c>
      <c r="J41">
        <v>1</v>
      </c>
      <c r="K41">
        <v>26123040</v>
      </c>
      <c r="L41" t="s">
        <v>319</v>
      </c>
      <c r="M41" t="s">
        <v>187</v>
      </c>
      <c r="N41" t="s">
        <v>320</v>
      </c>
      <c r="P41" t="s">
        <v>154</v>
      </c>
      <c r="Q41">
        <f>IF(P41="门店全职",IFERROR(VLOOKUP(K41,源_3考勤报表_考勤表!$F:$BG,34,FALSE),0)+IFERROR(VLOOKUP(K41,源_8补工时表_补当月工时!$A:$AC,14,FALSE),0),IF(P41="门店管理组",IF(IFERROR(VLOOKUP(K41,源_3考勤报表_考勤表!$F:$BG,34,FALSE),0)+IFERROR(VLOOKUP(K41,源_8补工时表_补当月工时!$A:$AC,14,FALSE),0)+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44,FALSE),0)+IFERROR(VLOOKUP(K41,源_8补工时表_补当月工时!$A:$AC,16,FALSE),0)+IFERROR(VLOOKUP(K41,源_3考勤报表_考勤表!$F:$BG,45,FALSE),0)&gt;=参数!$B$4,参数!$B$4-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44,FALSE),0)-IFERROR(VLOOKUP(K41,源_8补工时表_补当月工时!$A:$AC,16,FALSE),0)-IFERROR(VLOOKUP(K41,源_3考勤报表_考勤表!$F:$BG,45,FALSE),0),IFERROR(VLOOKUP(K41,源_3考勤报表_考勤表!$F:$BG,34,FALSE),0)+IFERROR(VLOOKUP(K41,源_8补工时表_补当月工时!$A:$AC,14,FALSE),0)),0))</f>
        <v>160</v>
      </c>
      <c r="R41">
        <v>3920</v>
      </c>
      <c r="S41">
        <v>0</v>
      </c>
      <c r="T41">
        <f>IF(P41="门店全职",R41/参数!$B$4*(Q41-MAX(IFERROR(VLOOKUP(K41,源_3考勤报表_考勤表!$F:$BG,34,FALSE),0)+IFERROR(VLOOKUP(K41,源_8补工时表_补当月工时!$A:$AC,14,FALSE),0)+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参数!$B$4,0)),R41/参数!$B$4*Q41)</f>
        <v>3408.695652173913</v>
      </c>
      <c r="U41">
        <v>0</v>
      </c>
      <c r="V41">
        <v>0</v>
      </c>
      <c r="W41">
        <f t="shared" si="13"/>
        <v>0</v>
      </c>
      <c r="X41">
        <f>IFERROR(VLOOKUP(K41,源_4奖金汇总表_拆分手工算!$A:$N,8,FALSE),0)</f>
        <v>0</v>
      </c>
      <c r="Y41">
        <f>IFERROR(VLOOKUP(K41,源_5薪资备忘录_工资调整项!$A:$AC,14,FALSE),0)</f>
        <v>0</v>
      </c>
      <c r="Z41">
        <f>IFERROR(VLOOKUP(K41,源_5薪资备忘录_工资调整项!$A:$AC,16,FALSE),0)</f>
        <v>0</v>
      </c>
      <c r="AA41">
        <f>IFERROR(VLOOKUP(K41,源_5薪资备忘录_工资调整项!$A:$AC,15,FALSE),0)</f>
        <v>0</v>
      </c>
      <c r="AB41">
        <f t="shared" si="14"/>
        <v>0</v>
      </c>
      <c r="AC41">
        <f>IF(P41="门店全职",R41/174*MAX(IFERROR(VLOOKUP(K41,源_3考勤报表_考勤表!$F:$BG,34,FALSE),0)+IFERROR(VLOOKUP(K41,源_8补工时表_补当月工时!$A:$AC,14,FALSE),0)+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参数!$B$4,0)*1.5,0)</f>
        <v>0</v>
      </c>
      <c r="AD41">
        <v>0</v>
      </c>
      <c r="AE41">
        <f>IFERROR(VLOOKUP(K41,源_3考勤报表_考勤表!$F:$BG,46,FALSE),0)+IFERROR(VLOOKUP(K41,源_8补工时表_补当月工时!$A:$AC,25,FALSE),0)</f>
        <v>0</v>
      </c>
      <c r="AF41">
        <f t="shared" si="15"/>
        <v>0</v>
      </c>
      <c r="AG41">
        <f>IFERROR(VLOOKUP(K41,源_4奖金汇总表_拆分手工算!$A:$N,10,FALSE),0)</f>
        <v>252</v>
      </c>
      <c r="AH41">
        <f>IFERROR(VLOOKUP(K41,源_4奖金汇总表_拆分手工算!$A:$N,5,FALSE),0)</f>
        <v>0</v>
      </c>
      <c r="AI41">
        <f>IFERROR(VLOOKUP(K41,源_4奖金汇总表_拆分手工算!$A:$N,11,FALSE),0)</f>
        <v>0</v>
      </c>
      <c r="AJ41">
        <f>IFERROR(VLOOKUP(K41,源_4奖金汇总表_拆分手工算!$A:$N,4,FALSE),0)</f>
        <v>0</v>
      </c>
      <c r="AK41">
        <f>IFERROR(VLOOKUP(K41,源_4奖金汇总表_拆分手工算!$A:$N,3,FALSE),0)</f>
        <v>0</v>
      </c>
      <c r="AL41">
        <f>IFERROR(VLOOKUP(K41,源_4奖金汇总表_拆分手工算!$A:$N,6,FALSE),0)</f>
        <v>0</v>
      </c>
      <c r="AM41">
        <f>IFERROR(VLOOKUP(K41,源_5薪资备忘录_工资调整项!$A:$AC,18,FALSE),0)+IFERROR(VLOOKUP(K41,源_4奖金汇总表_拆分手工算!$A:$N,7,FALSE),0)</f>
        <v>0</v>
      </c>
      <c r="AN41">
        <f>IFERROR(VLOOKUP(K41,源_5薪资备忘录_工资调整项!$A:$AC,17,FALSE),0)</f>
        <v>0</v>
      </c>
      <c r="AO41">
        <f>IF(OR(IFERROR(VLOOKUP(K41,源_3考勤报表_考勤表!$F:$BG,39,FALSE),0)+IFERROR(VLOOKUP(K41,源_8补工时表_补当月工时!$A:$AC,24,FALSE),0)&gt;0,IFERROR(VLOOKUP(K41,源_3考勤报表_考勤表!$F:$BG,43,FALSE),0)+IFERROR(VLOOKUP(K41,源_8补工时表_补当月工时!$A:$AC,26,FALSE),0)&gt;0),IF(IFERROR(VLOOKUP(DH41,源_11产假政策_Sheet1!$C:$F,4,FALSE),"")="是",R41/参数!$B$4*(IFERROR(VLOOKUP(K41,源_3考勤报表_考勤表!$F:$BG,39,FALSE),0)+IFERROR(VLOOKUP(K41,源_8补工时表_补当月工时!$A:$AC,24,FALSE),0)+IFERROR(VLOOKUP(K41,源_3考勤报表_考勤表!$F:$BG,43,FALSE),0)+IFERROR(VLOOKUP(K41,源_8补工时表_补当月工时!$A:$AC,26,FALSE),0)),IFERROR(VLOOKUP(K41,源_5薪资备忘录_工资调整项!$A:$AC,19,FALSE),0)),0)</f>
        <v>0</v>
      </c>
      <c r="AP41">
        <v>0</v>
      </c>
      <c r="AQ41">
        <f>IFERROR(VLOOKUP(K41,源_4奖金汇总表_拆分手工算!$A:$N,12,FALSE),0)+IFERROR(VLOOKUP(K41,源_9年终奖表_Sheet1!$A:$E,3,FALSE),0)</f>
        <v>1200</v>
      </c>
      <c r="AR41">
        <f>IFERROR(VLOOKUP(K41,源_4奖金汇总表_拆分手工算!$A:$N,13,FALSE),0)+IFERROR(VLOOKUP(K41,源_9年终奖表_Sheet1!$A:$E,4,FALSE),0)</f>
        <v>600</v>
      </c>
      <c r="AS41">
        <f>IFERROR(VLOOKUP(K41,源_4奖金汇总表_拆分手工算!$A:$N,14,FALSE),0)+IFERROR(VLOOKUP(K41,源_9年终奖表_Sheet1!$A:$E,5,FALSE),0)</f>
        <v>222</v>
      </c>
      <c r="AT41">
        <f>IFERROR(VLOOKUP(K41,源_5薪资备忘录_工资调整项!$A:$AC,20,FALSE),0)</f>
        <v>0</v>
      </c>
      <c r="AU41">
        <f>IFERROR(VLOOKUP(K41,源_5薪资备忘录_工资调整项!$A:$AC,21,FALSE),0)+IFERROR(VLOOKUP(K41,源_4奖金汇总表_拆分手工算!$A:$N,9,FALSE),0)</f>
        <v>0</v>
      </c>
      <c r="AV41">
        <f>R41/参数!$B$4*(IFERROR(VLOOKUP(K41,源_3考勤报表_考勤表!$F:$BG,37,FALSE),0)+IFERROR(VLOOKUP(K41,源_8补工时表_补当月工时!$A:$AC,15,FALSE),0))</f>
        <v>511.304347826087</v>
      </c>
      <c r="AW41">
        <f>R41/174*MIN(IFERROR(VLOOKUP(K41,源_3考勤报表_考勤表!$F:$BG,35,FALSE),0),174)*IF(DATEDIF(N41,DATE(参数!$B$2,参数!$B$3+1,0),"Y")&lt;2,0.6,IF(DATEDIF(N41,DATE(参数!$B$2,参数!$B$3+1,0),"Y")&lt;4,0.7,IF(DATEDIF(N41,DATE(参数!$B$2,参数!$B$3+1,0),"Y")&lt;6,0.8,IF(DATEDIF(N41,DATE(参数!$B$2,参数!$B$3+1,0),"Y")&lt;8,0.9,1))))</f>
        <v>0</v>
      </c>
      <c r="AX41">
        <f>IF(Q41+IFERROR(VLOOKUP(K41,源_3考勤报表_考勤表!$F:$BG,37,FALSE),0)+IFERROR(VLOOKUP(K41,源_8补工时表_补当月工时!$A:$AC,15,FALSE),0)&gt;=参数!$B$4,0,IF(Q41+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lt;=参数!$B$4,R41/参数!$B$4*(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0))</f>
        <v>0</v>
      </c>
      <c r="AY41">
        <v>0</v>
      </c>
      <c r="AZ41">
        <v>0</v>
      </c>
      <c r="BA41">
        <v>0</v>
      </c>
      <c r="BB41">
        <v>0</v>
      </c>
      <c r="BC41">
        <f>IFERROR(VLOOKUP(K41,源_5薪资备忘录_工资调整项!$A:$AC,25,FALSE),0)</f>
        <v>0</v>
      </c>
      <c r="BD41">
        <v>0</v>
      </c>
      <c r="BE41">
        <f>(T41+W41+AB41+AG41+AH41+AI41+AJ41+AK41+AL41+AM41+AN41+AO41+AP41+AU41+AV41+AW41+AX41+BC41-IFERROR(VLOOKUP(DF41,源_6社保表_Sheet1!$C:$BZ,76,FALSE),0))*0.02</f>
        <v>65.900599999999997</v>
      </c>
      <c r="BF41">
        <v>0</v>
      </c>
      <c r="BG41">
        <f>IFERROR(VLOOKUP(K41,源_5薪资备忘录_工资调整项!$A:$AC,22,FALSE),0)+IFERROR(VLOOKUP(K41,源_5薪资备忘录_工资调整项!$A:$AC,23,FALSE),0)+IFERROR(VLOOKUP(K41,源_5薪资备忘录_工资调整项!$A:$AC,24,FALSE),0)</f>
        <v>0</v>
      </c>
      <c r="BH41">
        <f>IFERROR(VLOOKUP(DF41,源_6社保表_Sheet1!$C:$CD,80,FALSE),0)+4.5</f>
        <v>6.5</v>
      </c>
      <c r="BI41">
        <f t="shared" si="16"/>
        <v>6194</v>
      </c>
      <c r="BJ41">
        <f>IFERROR(VLOOKUP(DF41,源_6社保表_Sheet1!$C:$BZ,26,FALSE),0)</f>
        <v>501.34</v>
      </c>
      <c r="BK41">
        <f>IFERROR(VLOOKUP(DF41,源_6社保表_Sheet1!$C:$BZ,27,FALSE),0)</f>
        <v>71.62</v>
      </c>
      <c r="BL41">
        <f>IFERROR(VLOOKUP(DF41,源_6社保表_Sheet1!$C:$BZ,28,FALSE),0)</f>
        <v>35.81</v>
      </c>
      <c r="BM41">
        <f>IFERROR(VLOOKUP(DF41,源_6社保表_Sheet1!$C:$BZ,30,FALSE),0)</f>
        <v>268.2</v>
      </c>
      <c r="BN41">
        <f>IFERROR(VLOOKUP(DF41,源_6社保表_Sheet1!$C:$BZ,29,FALSE),0)</f>
        <v>0</v>
      </c>
      <c r="BO41">
        <f>IFERROR(VLOOKUP(DF41,源_6社保表_Sheet1!$C:$BZ,40,FALSE),0)</f>
        <v>0</v>
      </c>
      <c r="BP41">
        <f>IFERROR(VLOOKUP(DF41,源_6社保表_Sheet1!$C:$BZ,41,FALSE),0)</f>
        <v>0</v>
      </c>
      <c r="BQ41">
        <f>IFERROR(VLOOKUP(DF41,源_6社保表_Sheet1!$C:$BZ,42,FALSE),0)</f>
        <v>0</v>
      </c>
      <c r="BR41">
        <f>IFERROR(VLOOKUP(DF41,源_6社保表_Sheet1!$C:$BZ,44,FALSE),0)</f>
        <v>0</v>
      </c>
      <c r="BS41">
        <f>IFERROR(VLOOKUP(DF41,源_6社保表_Sheet1!$C:$BZ,43,FALSE),0)</f>
        <v>0</v>
      </c>
      <c r="BT41">
        <f t="shared" si="17"/>
        <v>876.97</v>
      </c>
      <c r="BU41">
        <v>0</v>
      </c>
      <c r="BV41">
        <v>0</v>
      </c>
      <c r="BW41">
        <v>0</v>
      </c>
      <c r="BX41">
        <f t="shared" si="18"/>
        <v>0</v>
      </c>
      <c r="BY41">
        <v>0</v>
      </c>
      <c r="BZ41">
        <f>IFERROR(VLOOKUP(DF41,源_6社保表_Sheet1!$C:$BZ,18,FALSE),0)</f>
        <v>1074.3</v>
      </c>
      <c r="CA41">
        <f>IFERROR(VLOOKUP(DF41,源_6社保表_Sheet1!$C:$BZ,19,FALSE),0)</f>
        <v>572.96</v>
      </c>
      <c r="CB41">
        <f>IFERROR(VLOOKUP(DF41,源_6社保表_Sheet1!$C:$BZ,24,FALSE),0)</f>
        <v>268.2</v>
      </c>
      <c r="CC41">
        <f>IFERROR(VLOOKUP(DF41,源_6社保表_Sheet1!$C:$BZ,20,FALSE),0)</f>
        <v>35.81</v>
      </c>
      <c r="CD41">
        <f>IFERROR(VLOOKUP(DF41,源_6社保表_Sheet1!$C:$BZ,21,FALSE),0)</f>
        <v>22.918399999999998</v>
      </c>
      <c r="CE41">
        <f>IFERROR(VLOOKUP(DF41,源_6社保表_Sheet1!$C:$BZ,22,FALSE),0)</f>
        <v>0</v>
      </c>
      <c r="CF41">
        <f>IFERROR(VLOOKUP(DF41,源_6社保表_Sheet1!$C:$BZ,23,FALSE),0)</f>
        <v>0</v>
      </c>
      <c r="CG41">
        <f>IFERROR(VLOOKUP(DF41,源_6社保表_Sheet1!$C:$BZ,32,FALSE),0)</f>
        <v>0</v>
      </c>
      <c r="CH41">
        <f>IFERROR(VLOOKUP(DF41,源_6社保表_Sheet1!$C:$BZ,33,FALSE),0)</f>
        <v>0</v>
      </c>
      <c r="CI41">
        <f>IFERROR(VLOOKUP(DF41,源_6社保表_Sheet1!$C:$BZ,34,FALSE),0)</f>
        <v>0</v>
      </c>
      <c r="CJ41">
        <f>IFERROR(VLOOKUP(DF41,源_6社保表_Sheet1!$C:$BZ,38,FALSE),0)</f>
        <v>0</v>
      </c>
      <c r="CK41">
        <f>IFERROR(VLOOKUP(DF41,源_6社保表_Sheet1!$C:$BZ,35,FALSE),0)</f>
        <v>0</v>
      </c>
      <c r="CL41">
        <f>IFERROR(VLOOKUP(DF41,源_6社保表_Sheet1!$C:$BZ,36,FALSE),0)</f>
        <v>0</v>
      </c>
      <c r="CM41">
        <f>IFERROR(VLOOKUP(DF41,源_6社保表_Sheet1!$C:$BZ,37,FALSE),0)</f>
        <v>0</v>
      </c>
      <c r="CN41">
        <f t="shared" si="19"/>
        <v>1974.1884</v>
      </c>
      <c r="CO41">
        <f t="shared" si="20"/>
        <v>8240.5889999999999</v>
      </c>
      <c r="CP41">
        <f>IF(IFERROR(VLOOKUP(K41,源_13残疾人信息_残疾人信息!$A:$M,1,FALSE),"")&lt;&gt;"",0,IF(OR(P41="门店全职",P41="门店管理组",P41="全职(非门店)"),(BI41-AT41)*IFERROR(VLOOKUP(D41,源_12计提残保金规则_Sheet1!$A:$E,4,FALSE),0)*IFERROR(VLOOKUP(D41,源_12计提残保金规则_Sheet1!$A:$E,5,FALSE),0),0))</f>
        <v>83.619</v>
      </c>
      <c r="CQ41">
        <f t="shared" si="21"/>
        <v>16.05</v>
      </c>
      <c r="CR41">
        <f t="shared" si="22"/>
        <v>20.67</v>
      </c>
      <c r="CS41">
        <f>IF(DATEVALUE(N41)&gt;DATE(参数!$B$2,9,30),0,IF(M41="行政",0,IF(O41="",R41/12,IF(MONTH(DATEVALUE(O41))=参数!$B$3,0,IF(DATEVALUE(O41)&lt;DATE(参数!$B$2,参数!$B$3,1),0,R41/12)))))</f>
        <v>326.66666666666669</v>
      </c>
      <c r="CT41">
        <f t="shared" si="23"/>
        <v>0</v>
      </c>
      <c r="CU41">
        <f>IFERROR(VLOOKUP(DF41,源_6社保表_Sheet1!$C:$I,2,FALSE),0)</f>
        <v>7162</v>
      </c>
      <c r="CV41">
        <f>IFERROR(VLOOKUP(DF41,源_6社保表_Sheet1!$C:$I,7,FALSE),0)</f>
        <v>4470</v>
      </c>
      <c r="CW41">
        <f>IFERROR(VLOOKUP(DF41,源_6社保表_Sheet1!$C:$I,3,FALSE),0)</f>
        <v>7162</v>
      </c>
      <c r="CX41">
        <f>IFERROR(VLOOKUP(DF41,源_6社保表_Sheet1!$C:$I,4,FALSE),0)</f>
        <v>7162</v>
      </c>
      <c r="CY41">
        <f>IFERROR(VLOOKUP(DF41,源_6社保表_Sheet1!$C:$I,5,FALSE),0)</f>
        <v>7162</v>
      </c>
      <c r="CZ41">
        <f>IFERROR(VLOOKUP(DF41,源_6社保表_Sheet1!$C:$I,6,FALSE),0)</f>
        <v>0</v>
      </c>
      <c r="DA41">
        <f t="shared" si="24"/>
        <v>5894.1884</v>
      </c>
      <c r="DB41">
        <f t="shared" si="25"/>
        <v>6347.6940666666669</v>
      </c>
      <c r="DC41" t="str">
        <f>IFERROR(VLOOKUP(K41,源_7银行卡表_Sheet1!$A:$J,8,FALSE),"")</f>
        <v>中信银行</v>
      </c>
      <c r="DD41" t="str">
        <f>IFERROR(VLOOKUP(K41,源_7银行卡表_Sheet1!$A:$J,9,FALSE),"")</f>
        <v>6289363705695664888</v>
      </c>
      <c r="DE41" t="str">
        <f>IFERROR(VLOOKUP(K41,源_7银行卡表_Sheet1!$A:$J,10,FALSE),"")</f>
        <v>中信银行股份有限公司贵阳分行（不对外办理业务</v>
      </c>
      <c r="DF41" t="s">
        <v>321</v>
      </c>
      <c r="DG41">
        <v>16584896534</v>
      </c>
      <c r="DH41" t="s">
        <v>148</v>
      </c>
      <c r="DI41">
        <v>0</v>
      </c>
      <c r="DJ41">
        <v>0</v>
      </c>
      <c r="DK41">
        <v>0</v>
      </c>
      <c r="DL41">
        <v>0</v>
      </c>
      <c r="DM41">
        <v>0</v>
      </c>
      <c r="DN41">
        <v>0</v>
      </c>
      <c r="DO41">
        <v>0</v>
      </c>
      <c r="DP41">
        <v>0</v>
      </c>
      <c r="DQ41">
        <v>0</v>
      </c>
      <c r="DR41">
        <f>IF(OR(IFERROR(VLOOKUP(K41,源_3考勤报表_考勤表!$F:$BG,39,FALSE),0)+IFERROR(VLOOKUP(K41,源_8补工时表_补当月工时!$A:$AC,24,FALSE),0)=0,IFERROR(VLOOKUP(K41,源_3考勤报表_考勤表!$F:$BG,43,FALSE),0)+IFERROR(VLOOKUP(K41,源_8补工时表_补当月工时!$A:$AC,26,FALSE),0)=0),IF(BI41+BG41-BT41&lt;0,BI41+BG41-BT41,0),0)</f>
        <v>0</v>
      </c>
    </row>
    <row r="42" spans="1:122" x14ac:dyDescent="0.15">
      <c r="A42">
        <f>参数!$B$2</f>
        <v>2025</v>
      </c>
      <c r="B42">
        <f>参数!$B$3</f>
        <v>12</v>
      </c>
      <c r="D42" t="s">
        <v>322</v>
      </c>
      <c r="E42" t="s">
        <v>123</v>
      </c>
      <c r="F42" t="str">
        <f>IFERROR(VLOOKUP(K42,源_7银行卡表_Sheet1!$A:$J,6,FALSE),"")</f>
        <v>华东营运</v>
      </c>
      <c r="G42" t="s">
        <v>323</v>
      </c>
      <c r="H42" t="s">
        <v>324</v>
      </c>
      <c r="I42" t="s">
        <v>325</v>
      </c>
      <c r="J42">
        <v>1</v>
      </c>
      <c r="K42">
        <v>26123041</v>
      </c>
      <c r="L42" t="s">
        <v>326</v>
      </c>
      <c r="M42" t="s">
        <v>187</v>
      </c>
      <c r="N42" t="s">
        <v>327</v>
      </c>
      <c r="P42" t="s">
        <v>154</v>
      </c>
      <c r="Q42">
        <f>IF(P42="门店全职",IFERROR(VLOOKUP(K42,源_3考勤报表_考勤表!$F:$BG,34,FALSE),0)+IFERROR(VLOOKUP(K42,源_8补工时表_补当月工时!$A:$AC,14,FALSE),0),IF(P42="门店管理组",IF(IFERROR(VLOOKUP(K42,源_3考勤报表_考勤表!$F:$BG,34,FALSE),0)+IFERROR(VLOOKUP(K42,源_8补工时表_补当月工时!$A:$AC,14,FALSE),0)+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44,FALSE),0)+IFERROR(VLOOKUP(K42,源_8补工时表_补当月工时!$A:$AC,16,FALSE),0)+IFERROR(VLOOKUP(K42,源_3考勤报表_考勤表!$F:$BG,45,FALSE),0)&gt;=参数!$B$4,参数!$B$4-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44,FALSE),0)-IFERROR(VLOOKUP(K42,源_8补工时表_补当月工时!$A:$AC,16,FALSE),0)-IFERROR(VLOOKUP(K42,源_3考勤报表_考勤表!$F:$BG,45,FALSE),0),IFERROR(VLOOKUP(K42,源_3考勤报表_考勤表!$F:$BG,34,FALSE),0)+IFERROR(VLOOKUP(K42,源_8补工时表_补当月工时!$A:$AC,14,FALSE),0)),0))</f>
        <v>164</v>
      </c>
      <c r="R42">
        <v>3840</v>
      </c>
      <c r="S42">
        <v>0</v>
      </c>
      <c r="T42">
        <f>IF(P42="门店全职",R42/参数!$B$4*(Q42-MAX(IFERROR(VLOOKUP(K42,源_3考勤报表_考勤表!$F:$BG,34,FALSE),0)+IFERROR(VLOOKUP(K42,源_8补工时表_补当月工时!$A:$AC,14,FALSE),0)+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参数!$B$4,0)),R42/参数!$B$4*Q42)</f>
        <v>3422.608695652174</v>
      </c>
      <c r="U42">
        <v>0</v>
      </c>
      <c r="V42">
        <v>0</v>
      </c>
      <c r="W42">
        <f t="shared" si="13"/>
        <v>25.5</v>
      </c>
      <c r="X42">
        <f>IFERROR(VLOOKUP(K42,源_4奖金汇总表_拆分手工算!$A:$N,8,FALSE),0)</f>
        <v>25.5</v>
      </c>
      <c r="Y42">
        <f>IFERROR(VLOOKUP(K42,源_5薪资备忘录_工资调整项!$A:$AC,14,FALSE),0)</f>
        <v>0</v>
      </c>
      <c r="Z42">
        <f>IFERROR(VLOOKUP(K42,源_5薪资备忘录_工资调整项!$A:$AC,16,FALSE),0)</f>
        <v>0</v>
      </c>
      <c r="AA42">
        <f>IFERROR(VLOOKUP(K42,源_5薪资备忘录_工资调整项!$A:$AC,15,FALSE),0)</f>
        <v>0</v>
      </c>
      <c r="AB42">
        <f t="shared" si="14"/>
        <v>0</v>
      </c>
      <c r="AC42">
        <f>IF(P42="门店全职",R42/174*MAX(IFERROR(VLOOKUP(K42,源_3考勤报表_考勤表!$F:$BG,34,FALSE),0)+IFERROR(VLOOKUP(K42,源_8补工时表_补当月工时!$A:$AC,14,FALSE),0)+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参数!$B$4,0)*1.5,0)</f>
        <v>0</v>
      </c>
      <c r="AD42">
        <v>0</v>
      </c>
      <c r="AE42">
        <f>IFERROR(VLOOKUP(K42,源_3考勤报表_考勤表!$F:$BG,46,FALSE),0)+IFERROR(VLOOKUP(K42,源_8补工时表_补当月工时!$A:$AC,25,FALSE),0)</f>
        <v>0</v>
      </c>
      <c r="AF42">
        <f t="shared" si="15"/>
        <v>0</v>
      </c>
      <c r="AG42">
        <f>IFERROR(VLOOKUP(K42,源_4奖金汇总表_拆分手工算!$A:$N,10,FALSE),0)</f>
        <v>0</v>
      </c>
      <c r="AH42">
        <f>IFERROR(VLOOKUP(K42,源_4奖金汇总表_拆分手工算!$A:$N,5,FALSE),0)</f>
        <v>0</v>
      </c>
      <c r="AI42">
        <f>IFERROR(VLOOKUP(K42,源_4奖金汇总表_拆分手工算!$A:$N,11,FALSE),0)</f>
        <v>0</v>
      </c>
      <c r="AJ42">
        <f>IFERROR(VLOOKUP(K42,源_4奖金汇总表_拆分手工算!$A:$N,4,FALSE),0)</f>
        <v>0</v>
      </c>
      <c r="AK42">
        <f>IFERROR(VLOOKUP(K42,源_4奖金汇总表_拆分手工算!$A:$N,3,FALSE),0)</f>
        <v>0</v>
      </c>
      <c r="AL42">
        <f>IFERROR(VLOOKUP(K42,源_4奖金汇总表_拆分手工算!$A:$N,6,FALSE),0)</f>
        <v>0</v>
      </c>
      <c r="AM42">
        <f>IFERROR(VLOOKUP(K42,源_5薪资备忘录_工资调整项!$A:$AC,18,FALSE),0)+IFERROR(VLOOKUP(K42,源_4奖金汇总表_拆分手工算!$A:$N,7,FALSE),0)</f>
        <v>0</v>
      </c>
      <c r="AN42">
        <f>IFERROR(VLOOKUP(K42,源_5薪资备忘录_工资调整项!$A:$AC,17,FALSE),0)</f>
        <v>0</v>
      </c>
      <c r="AO42">
        <f>IF(OR(IFERROR(VLOOKUP(K42,源_3考勤报表_考勤表!$F:$BG,39,FALSE),0)+IFERROR(VLOOKUP(K42,源_8补工时表_补当月工时!$A:$AC,24,FALSE),0)&gt;0,IFERROR(VLOOKUP(K42,源_3考勤报表_考勤表!$F:$BG,43,FALSE),0)+IFERROR(VLOOKUP(K42,源_8补工时表_补当月工时!$A:$AC,26,FALSE),0)&gt;0),IF(IFERROR(VLOOKUP(DH42,源_11产假政策_Sheet1!$C:$F,4,FALSE),"")="是",R42/参数!$B$4*(IFERROR(VLOOKUP(K42,源_3考勤报表_考勤表!$F:$BG,39,FALSE),0)+IFERROR(VLOOKUP(K42,源_8补工时表_补当月工时!$A:$AC,24,FALSE),0)+IFERROR(VLOOKUP(K42,源_3考勤报表_考勤表!$F:$BG,43,FALSE),0)+IFERROR(VLOOKUP(K42,源_8补工时表_补当月工时!$A:$AC,26,FALSE),0)),IFERROR(VLOOKUP(K42,源_5薪资备忘录_工资调整项!$A:$AC,19,FALSE),0)),0)</f>
        <v>0</v>
      </c>
      <c r="AP42">
        <v>0</v>
      </c>
      <c r="AQ42">
        <f>IFERROR(VLOOKUP(K42,源_4奖金汇总表_拆分手工算!$A:$N,12,FALSE),0)+IFERROR(VLOOKUP(K42,源_9年终奖表_Sheet1!$A:$E,3,FALSE),0)</f>
        <v>0</v>
      </c>
      <c r="AR42">
        <f>IFERROR(VLOOKUP(K42,源_4奖金汇总表_拆分手工算!$A:$N,13,FALSE),0)+IFERROR(VLOOKUP(K42,源_9年终奖表_Sheet1!$A:$E,4,FALSE),0)</f>
        <v>0</v>
      </c>
      <c r="AS42">
        <f>IFERROR(VLOOKUP(K42,源_4奖金汇总表_拆分手工算!$A:$N,14,FALSE),0)+IFERROR(VLOOKUP(K42,源_9年终奖表_Sheet1!$A:$E,5,FALSE),0)</f>
        <v>0</v>
      </c>
      <c r="AT42">
        <f>IFERROR(VLOOKUP(K42,源_5薪资备忘录_工资调整项!$A:$AC,20,FALSE),0)</f>
        <v>0</v>
      </c>
      <c r="AU42">
        <f>IFERROR(VLOOKUP(K42,源_5薪资备忘录_工资调整项!$A:$AC,21,FALSE),0)+IFERROR(VLOOKUP(K42,源_4奖金汇总表_拆分手工算!$A:$N,9,FALSE),0)</f>
        <v>0</v>
      </c>
      <c r="AV42">
        <f>R42/参数!$B$4*(IFERROR(VLOOKUP(K42,源_3考勤报表_考勤表!$F:$BG,37,FALSE),0)+IFERROR(VLOOKUP(K42,源_8补工时表_补当月工时!$A:$AC,15,FALSE),0))</f>
        <v>0</v>
      </c>
      <c r="AW42">
        <f>R42/174*MIN(IFERROR(VLOOKUP(K42,源_3考勤报表_考勤表!$F:$BG,35,FALSE),0),174)*IF(DATEDIF(N42,DATE(参数!$B$2,参数!$B$3+1,0),"Y")&lt;2,0.6,IF(DATEDIF(N42,DATE(参数!$B$2,参数!$B$3+1,0),"Y")&lt;4,0.7,IF(DATEDIF(N42,DATE(参数!$B$2,参数!$B$3+1,0),"Y")&lt;6,0.8,IF(DATEDIF(N42,DATE(参数!$B$2,参数!$B$3+1,0),"Y")&lt;8,0.9,1))))</f>
        <v>308.9655172413793</v>
      </c>
      <c r="AX42">
        <f>IF(Q42+IFERROR(VLOOKUP(K42,源_3考勤报表_考勤表!$F:$BG,37,FALSE),0)+IFERROR(VLOOKUP(K42,源_8补工时表_补当月工时!$A:$AC,15,FALSE),0)&gt;=参数!$B$4,0,IF(Q42+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lt;=参数!$B$4,R42/参数!$B$4*(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0))</f>
        <v>0</v>
      </c>
      <c r="AY42">
        <v>0</v>
      </c>
      <c r="AZ42">
        <v>0</v>
      </c>
      <c r="BA42">
        <v>0</v>
      </c>
      <c r="BB42">
        <v>0</v>
      </c>
      <c r="BC42">
        <f>IFERROR(VLOOKUP(K42,源_5薪资备忘录_工资调整项!$A:$AC,25,FALSE),0)</f>
        <v>0</v>
      </c>
      <c r="BD42">
        <v>0</v>
      </c>
      <c r="BE42">
        <v>0</v>
      </c>
      <c r="BF42">
        <v>0</v>
      </c>
      <c r="BG42">
        <f>IFERROR(VLOOKUP(K42,源_5薪资备忘录_工资调整项!$A:$AC,22,FALSE),0)+IFERROR(VLOOKUP(K42,源_5薪资备忘录_工资调整项!$A:$AC,23,FALSE),0)+IFERROR(VLOOKUP(K42,源_5薪资备忘录_工资调整项!$A:$AC,24,FALSE),0)</f>
        <v>0</v>
      </c>
      <c r="BH42">
        <f>IFERROR(VLOOKUP(DF42,源_6社保表_Sheet1!$C:$CD,80,FALSE),0)+4.5</f>
        <v>6.5</v>
      </c>
      <c r="BI42">
        <f t="shared" si="16"/>
        <v>3757.0742128935535</v>
      </c>
      <c r="BJ42">
        <f>IFERROR(VLOOKUP(DF42,源_6社保表_Sheet1!$C:$BZ,26,FALSE),0)</f>
        <v>407.68</v>
      </c>
      <c r="BK42">
        <f>IFERROR(VLOOKUP(DF42,源_6社保表_Sheet1!$C:$BZ,27,FALSE),0)</f>
        <v>58.24</v>
      </c>
      <c r="BL42">
        <f>IFERROR(VLOOKUP(DF42,源_6社保表_Sheet1!$C:$BZ,28,FALSE),0)</f>
        <v>29.12</v>
      </c>
      <c r="BM42">
        <f>IFERROR(VLOOKUP(DF42,源_6社保表_Sheet1!$C:$BZ,30,FALSE),0)</f>
        <v>349.44</v>
      </c>
      <c r="BN42">
        <f>IFERROR(VLOOKUP(DF42,源_6社保表_Sheet1!$C:$BZ,29,FALSE),0)</f>
        <v>0</v>
      </c>
      <c r="BO42">
        <f>IFERROR(VLOOKUP(DF42,源_6社保表_Sheet1!$C:$BZ,40,FALSE),0)</f>
        <v>0</v>
      </c>
      <c r="BP42">
        <f>IFERROR(VLOOKUP(DF42,源_6社保表_Sheet1!$C:$BZ,41,FALSE),0)</f>
        <v>0</v>
      </c>
      <c r="BQ42">
        <f>IFERROR(VLOOKUP(DF42,源_6社保表_Sheet1!$C:$BZ,42,FALSE),0)</f>
        <v>0</v>
      </c>
      <c r="BR42">
        <f>IFERROR(VLOOKUP(DF42,源_6社保表_Sheet1!$C:$BZ,44,FALSE),0)</f>
        <v>0</v>
      </c>
      <c r="BS42">
        <f>IFERROR(VLOOKUP(DF42,源_6社保表_Sheet1!$C:$BZ,43,FALSE),0)</f>
        <v>0</v>
      </c>
      <c r="BT42">
        <f t="shared" si="17"/>
        <v>844.48</v>
      </c>
      <c r="BU42">
        <v>0</v>
      </c>
      <c r="BV42">
        <v>0</v>
      </c>
      <c r="BW42">
        <v>0</v>
      </c>
      <c r="BX42">
        <f t="shared" si="18"/>
        <v>0</v>
      </c>
      <c r="BY42">
        <v>0</v>
      </c>
      <c r="BZ42">
        <f>IFERROR(VLOOKUP(DF42,源_6社保表_Sheet1!$C:$BZ,18,FALSE),0)</f>
        <v>873.6</v>
      </c>
      <c r="CA42">
        <f>IFERROR(VLOOKUP(DF42,源_6社保表_Sheet1!$C:$BZ,19,FALSE),0)</f>
        <v>465.92</v>
      </c>
      <c r="CB42">
        <f>IFERROR(VLOOKUP(DF42,源_6社保表_Sheet1!$C:$BZ,24,FALSE),0)</f>
        <v>349.44</v>
      </c>
      <c r="CC42">
        <f>IFERROR(VLOOKUP(DF42,源_6社保表_Sheet1!$C:$BZ,20,FALSE),0)</f>
        <v>29.12</v>
      </c>
      <c r="CD42">
        <f>IFERROR(VLOOKUP(DF42,源_6社保表_Sheet1!$C:$BZ,21,FALSE),0)</f>
        <v>18.636800000000001</v>
      </c>
      <c r="CE42">
        <f>IFERROR(VLOOKUP(DF42,源_6社保表_Sheet1!$C:$BZ,22,FALSE),0)</f>
        <v>0</v>
      </c>
      <c r="CF42">
        <f>IFERROR(VLOOKUP(DF42,源_6社保表_Sheet1!$C:$BZ,23,FALSE),0)</f>
        <v>0</v>
      </c>
      <c r="CG42">
        <f>IFERROR(VLOOKUP(DF42,源_6社保表_Sheet1!$C:$BZ,32,FALSE),0)</f>
        <v>0</v>
      </c>
      <c r="CH42">
        <f>IFERROR(VLOOKUP(DF42,源_6社保表_Sheet1!$C:$BZ,33,FALSE),0)</f>
        <v>0</v>
      </c>
      <c r="CI42">
        <f>IFERROR(VLOOKUP(DF42,源_6社保表_Sheet1!$C:$BZ,34,FALSE),0)</f>
        <v>0</v>
      </c>
      <c r="CJ42">
        <f>IFERROR(VLOOKUP(DF42,源_6社保表_Sheet1!$C:$BZ,38,FALSE),0)</f>
        <v>0</v>
      </c>
      <c r="CK42">
        <f>IFERROR(VLOOKUP(DF42,源_6社保表_Sheet1!$C:$BZ,35,FALSE),0)</f>
        <v>0</v>
      </c>
      <c r="CL42">
        <f>IFERROR(VLOOKUP(DF42,源_6社保表_Sheet1!$C:$BZ,36,FALSE),0)</f>
        <v>0</v>
      </c>
      <c r="CM42">
        <f>IFERROR(VLOOKUP(DF42,源_6社保表_Sheet1!$C:$BZ,37,FALSE),0)</f>
        <v>0</v>
      </c>
      <c r="CN42">
        <f t="shared" si="19"/>
        <v>1736.7167999999999</v>
      </c>
      <c r="CO42">
        <f t="shared" si="20"/>
        <v>5500.2910128935537</v>
      </c>
      <c r="CP42">
        <f>IF(IFERROR(VLOOKUP(K42,源_13残疾人信息_残疾人信息!$A:$M,1,FALSE),"")&lt;&gt;"",0,IF(OR(P42="门店全职",P42="门店管理组",P42="全职(非门店)"),(BI42-AT42)*IFERROR(VLOOKUP(D42,源_12计提残保金规则_Sheet1!$A:$E,4,FALSE),0)*IFERROR(VLOOKUP(D42,源_12计提残保金规则_Sheet1!$A:$E,5,FALSE),0),0))</f>
        <v>50.720501874062975</v>
      </c>
      <c r="CQ42">
        <f t="shared" si="21"/>
        <v>16.05</v>
      </c>
      <c r="CR42">
        <f t="shared" si="22"/>
        <v>20.67</v>
      </c>
      <c r="CS42">
        <f>IF(DATEVALUE(N42)&gt;DATE(参数!$B$2,9,30),0,IF(M42="行政",0,IF(O42="",R42/12,IF(MONTH(DATEVALUE(O42))=参数!$B$3,0,IF(DATEVALUE(O42)&lt;DATE(参数!$B$2,参数!$B$3,1),0,R42/12)))))</f>
        <v>320</v>
      </c>
      <c r="CT42">
        <f t="shared" si="23"/>
        <v>0</v>
      </c>
      <c r="CU42">
        <f>IFERROR(VLOOKUP(DF42,源_6社保表_Sheet1!$C:$I,2,FALSE),0)</f>
        <v>5824</v>
      </c>
      <c r="CV42">
        <f>IFERROR(VLOOKUP(DF42,源_6社保表_Sheet1!$C:$I,7,FALSE),0)</f>
        <v>5824</v>
      </c>
      <c r="CW42">
        <f>IFERROR(VLOOKUP(DF42,源_6社保表_Sheet1!$C:$I,3,FALSE),0)</f>
        <v>5824</v>
      </c>
      <c r="CX42">
        <f>IFERROR(VLOOKUP(DF42,源_6社保表_Sheet1!$C:$I,4,FALSE),0)</f>
        <v>5824</v>
      </c>
      <c r="CY42">
        <f>IFERROR(VLOOKUP(DF42,源_6社保表_Sheet1!$C:$I,5,FALSE),0)</f>
        <v>5824</v>
      </c>
      <c r="CZ42">
        <f>IFERROR(VLOOKUP(DF42,源_6社保表_Sheet1!$C:$I,6,FALSE),0)</f>
        <v>0</v>
      </c>
      <c r="DA42">
        <f t="shared" si="24"/>
        <v>5493.7910128935537</v>
      </c>
      <c r="DB42">
        <f t="shared" si="25"/>
        <v>5907.7315147676172</v>
      </c>
      <c r="DC42" t="str">
        <f>IFERROR(VLOOKUP(K42,源_7银行卡表_Sheet1!$A:$J,8,FALSE),"")</f>
        <v>工商银行</v>
      </c>
      <c r="DD42" t="str">
        <f>IFERROR(VLOOKUP(K42,源_7银行卡表_Sheet1!$A:$J,9,FALSE),"")</f>
        <v>6284784611727771937</v>
      </c>
      <c r="DE42" t="str">
        <f>IFERROR(VLOOKUP(K42,源_7银行卡表_Sheet1!$A:$J,10,FALSE),"")</f>
        <v>中国工商银行股份有限公司遵义医学院支行</v>
      </c>
      <c r="DF42" t="s">
        <v>328</v>
      </c>
      <c r="DG42">
        <v>13710571910</v>
      </c>
      <c r="DH42" t="s">
        <v>323</v>
      </c>
      <c r="DI42">
        <v>0</v>
      </c>
      <c r="DJ42">
        <v>0</v>
      </c>
      <c r="DK42">
        <v>0</v>
      </c>
      <c r="DL42">
        <v>0</v>
      </c>
      <c r="DM42">
        <v>0</v>
      </c>
      <c r="DN42">
        <v>0</v>
      </c>
      <c r="DO42">
        <v>0</v>
      </c>
      <c r="DP42">
        <v>0</v>
      </c>
      <c r="DQ42">
        <v>0</v>
      </c>
      <c r="DR42">
        <f>IF(OR(IFERROR(VLOOKUP(K42,源_3考勤报表_考勤表!$F:$BG,39,FALSE),0)+IFERROR(VLOOKUP(K42,源_8补工时表_补当月工时!$A:$AC,24,FALSE),0)=0,IFERROR(VLOOKUP(K42,源_3考勤报表_考勤表!$F:$BG,43,FALSE),0)+IFERROR(VLOOKUP(K42,源_8补工时表_补当月工时!$A:$AC,26,FALSE),0)=0),IF(BI42+BG42-BT42&lt;0,BI42+BG42-BT42,0),0)</f>
        <v>0</v>
      </c>
    </row>
    <row r="43" spans="1:122" x14ac:dyDescent="0.15">
      <c r="A43">
        <f>参数!$B$2</f>
        <v>2025</v>
      </c>
      <c r="B43">
        <f>参数!$B$3</f>
        <v>12</v>
      </c>
      <c r="D43" t="s">
        <v>165</v>
      </c>
      <c r="E43" t="s">
        <v>123</v>
      </c>
      <c r="F43" t="str">
        <f>IFERROR(VLOOKUP(K43,源_7银行卡表_Sheet1!$A:$J,6,FALSE),"")</f>
        <v>华北营运</v>
      </c>
      <c r="G43" t="s">
        <v>166</v>
      </c>
      <c r="H43" t="s">
        <v>329</v>
      </c>
      <c r="I43" t="s">
        <v>168</v>
      </c>
      <c r="J43">
        <v>1</v>
      </c>
      <c r="K43">
        <v>26123042</v>
      </c>
      <c r="L43" t="s">
        <v>330</v>
      </c>
      <c r="M43" t="s">
        <v>152</v>
      </c>
      <c r="N43" t="s">
        <v>331</v>
      </c>
      <c r="P43" t="s">
        <v>154</v>
      </c>
      <c r="Q43">
        <f>IF(P43="门店全职",IFERROR(VLOOKUP(K43,源_3考勤报表_考勤表!$F:$BG,34,FALSE),0)+IFERROR(VLOOKUP(K43,源_8补工时表_补当月工时!$A:$AC,14,FALSE),0),IF(P43="门店管理组",IF(IFERROR(VLOOKUP(K43,源_3考勤报表_考勤表!$F:$BG,34,FALSE),0)+IFERROR(VLOOKUP(K43,源_8补工时表_补当月工时!$A:$AC,14,FALSE),0)+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44,FALSE),0)+IFERROR(VLOOKUP(K43,源_8补工时表_补当月工时!$A:$AC,16,FALSE),0)+IFERROR(VLOOKUP(K43,源_3考勤报表_考勤表!$F:$BG,45,FALSE),0)&gt;=参数!$B$4,参数!$B$4-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44,FALSE),0)-IFERROR(VLOOKUP(K43,源_8补工时表_补当月工时!$A:$AC,16,FALSE),0)-IFERROR(VLOOKUP(K43,源_3考勤报表_考勤表!$F:$BG,45,FALSE),0),IFERROR(VLOOKUP(K43,源_3考勤报表_考勤表!$F:$BG,34,FALSE),0)+IFERROR(VLOOKUP(K43,源_8补工时表_补当月工时!$A:$AC,14,FALSE),0)),0))</f>
        <v>160</v>
      </c>
      <c r="R43">
        <v>3310</v>
      </c>
      <c r="S43">
        <v>0</v>
      </c>
      <c r="T43">
        <f>IF(P43="门店全职",R43/参数!$B$4*(Q43-MAX(IFERROR(VLOOKUP(K43,源_3考勤报表_考勤表!$F:$BG,34,FALSE),0)+IFERROR(VLOOKUP(K43,源_8补工时表_补当月工时!$A:$AC,14,FALSE),0)+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参数!$B$4,0)),R43/参数!$B$4*Q43)</f>
        <v>2878.2608695652175</v>
      </c>
      <c r="U43">
        <v>0</v>
      </c>
      <c r="V43">
        <v>0</v>
      </c>
      <c r="W43">
        <f t="shared" si="13"/>
        <v>0</v>
      </c>
      <c r="X43">
        <f>IFERROR(VLOOKUP(K43,源_4奖金汇总表_拆分手工算!$A:$N,8,FALSE),0)</f>
        <v>0</v>
      </c>
      <c r="Y43">
        <f>IFERROR(VLOOKUP(K43,源_5薪资备忘录_工资调整项!$A:$AC,14,FALSE),0)</f>
        <v>0</v>
      </c>
      <c r="Z43">
        <f>IFERROR(VLOOKUP(K43,源_5薪资备忘录_工资调整项!$A:$AC,16,FALSE),0)</f>
        <v>0</v>
      </c>
      <c r="AA43">
        <f>IFERROR(VLOOKUP(K43,源_5薪资备忘录_工资调整项!$A:$AC,15,FALSE),0)</f>
        <v>0</v>
      </c>
      <c r="AB43">
        <f t="shared" si="14"/>
        <v>0</v>
      </c>
      <c r="AC43">
        <f>IF(P43="门店全职",R43/174*MAX(IFERROR(VLOOKUP(K43,源_3考勤报表_考勤表!$F:$BG,34,FALSE),0)+IFERROR(VLOOKUP(K43,源_8补工时表_补当月工时!$A:$AC,14,FALSE),0)+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参数!$B$4,0)*1.5,0)</f>
        <v>0</v>
      </c>
      <c r="AD43">
        <v>0</v>
      </c>
      <c r="AE43">
        <f>IFERROR(VLOOKUP(K43,源_3考勤报表_考勤表!$F:$BG,46,FALSE),0)+IFERROR(VLOOKUP(K43,源_8补工时表_补当月工时!$A:$AC,25,FALSE),0)</f>
        <v>0</v>
      </c>
      <c r="AF43">
        <f t="shared" si="15"/>
        <v>0</v>
      </c>
      <c r="AG43">
        <f>IFERROR(VLOOKUP(K43,源_4奖金汇总表_拆分手工算!$A:$N,10,FALSE),0)</f>
        <v>0</v>
      </c>
      <c r="AH43">
        <f>IFERROR(VLOOKUP(K43,源_4奖金汇总表_拆分手工算!$A:$N,5,FALSE),0)</f>
        <v>0</v>
      </c>
      <c r="AI43">
        <f>IFERROR(VLOOKUP(K43,源_4奖金汇总表_拆分手工算!$A:$N,11,FALSE),0)</f>
        <v>0</v>
      </c>
      <c r="AJ43">
        <f>IFERROR(VLOOKUP(K43,源_4奖金汇总表_拆分手工算!$A:$N,4,FALSE),0)</f>
        <v>0</v>
      </c>
      <c r="AK43">
        <f>IFERROR(VLOOKUP(K43,源_4奖金汇总表_拆分手工算!$A:$N,3,FALSE),0)</f>
        <v>0</v>
      </c>
      <c r="AL43">
        <f>IFERROR(VLOOKUP(K43,源_4奖金汇总表_拆分手工算!$A:$N,6,FALSE),0)</f>
        <v>80</v>
      </c>
      <c r="AM43">
        <f>IFERROR(VLOOKUP(K43,源_5薪资备忘录_工资调整项!$A:$AC,18,FALSE),0)+IFERROR(VLOOKUP(K43,源_4奖金汇总表_拆分手工算!$A:$N,7,FALSE),0)</f>
        <v>0</v>
      </c>
      <c r="AN43">
        <f>IFERROR(VLOOKUP(K43,源_5薪资备忘录_工资调整项!$A:$AC,17,FALSE),0)</f>
        <v>0</v>
      </c>
      <c r="AO43">
        <f>IF(OR(IFERROR(VLOOKUP(K43,源_3考勤报表_考勤表!$F:$BG,39,FALSE),0)+IFERROR(VLOOKUP(K43,源_8补工时表_补当月工时!$A:$AC,24,FALSE),0)&gt;0,IFERROR(VLOOKUP(K43,源_3考勤报表_考勤表!$F:$BG,43,FALSE),0)+IFERROR(VLOOKUP(K43,源_8补工时表_补当月工时!$A:$AC,26,FALSE),0)&gt;0),IF(IFERROR(VLOOKUP(DH43,源_11产假政策_Sheet1!$C:$F,4,FALSE),"")="是",R43/参数!$B$4*(IFERROR(VLOOKUP(K43,源_3考勤报表_考勤表!$F:$BG,39,FALSE),0)+IFERROR(VLOOKUP(K43,源_8补工时表_补当月工时!$A:$AC,24,FALSE),0)+IFERROR(VLOOKUP(K43,源_3考勤报表_考勤表!$F:$BG,43,FALSE),0)+IFERROR(VLOOKUP(K43,源_8补工时表_补当月工时!$A:$AC,26,FALSE),0)),IFERROR(VLOOKUP(K43,源_5薪资备忘录_工资调整项!$A:$AC,19,FALSE),0)),0)</f>
        <v>0</v>
      </c>
      <c r="AP43">
        <v>0</v>
      </c>
      <c r="AQ43">
        <f>IFERROR(VLOOKUP(K43,源_4奖金汇总表_拆分手工算!$A:$N,12,FALSE),0)+IFERROR(VLOOKUP(K43,源_9年终奖表_Sheet1!$A:$E,3,FALSE),0)</f>
        <v>0</v>
      </c>
      <c r="AR43">
        <f>IFERROR(VLOOKUP(K43,源_4奖金汇总表_拆分手工算!$A:$N,13,FALSE),0)+IFERROR(VLOOKUP(K43,源_9年终奖表_Sheet1!$A:$E,4,FALSE),0)</f>
        <v>0</v>
      </c>
      <c r="AS43">
        <f>IFERROR(VLOOKUP(K43,源_4奖金汇总表_拆分手工算!$A:$N,14,FALSE),0)+IFERROR(VLOOKUP(K43,源_9年终奖表_Sheet1!$A:$E,5,FALSE),0)</f>
        <v>0</v>
      </c>
      <c r="AT43">
        <f>IFERROR(VLOOKUP(K43,源_5薪资备忘录_工资调整项!$A:$AC,20,FALSE),0)</f>
        <v>0</v>
      </c>
      <c r="AU43">
        <f>IFERROR(VLOOKUP(K43,源_5薪资备忘录_工资调整项!$A:$AC,21,FALSE),0)+IFERROR(VLOOKUP(K43,源_4奖金汇总表_拆分手工算!$A:$N,9,FALSE),0)</f>
        <v>0</v>
      </c>
      <c r="AV43">
        <f>R43/参数!$B$4*(IFERROR(VLOOKUP(K43,源_3考勤报表_考勤表!$F:$BG,37,FALSE),0)+IFERROR(VLOOKUP(K43,源_8补工时表_补当月工时!$A:$AC,15,FALSE),0))</f>
        <v>431.73913043478262</v>
      </c>
      <c r="AW43">
        <f>R43/174*MIN(IFERROR(VLOOKUP(K43,源_3考勤报表_考勤表!$F:$BG,35,FALSE),0),174)*IF(DATEDIF(N43,DATE(参数!$B$2,参数!$B$3+1,0),"Y")&lt;2,0.6,IF(DATEDIF(N43,DATE(参数!$B$2,参数!$B$3+1,0),"Y")&lt;4,0.7,IF(DATEDIF(N43,DATE(参数!$B$2,参数!$B$3+1,0),"Y")&lt;6,0.8,IF(DATEDIF(N43,DATE(参数!$B$2,参数!$B$3+1,0),"Y")&lt;8,0.9,1))))</f>
        <v>0</v>
      </c>
      <c r="AX43">
        <f>IF(Q43+IFERROR(VLOOKUP(K43,源_3考勤报表_考勤表!$F:$BG,37,FALSE),0)+IFERROR(VLOOKUP(K43,源_8补工时表_补当月工时!$A:$AC,15,FALSE),0)&gt;=参数!$B$4,0,IF(Q43+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lt;=参数!$B$4,R43/参数!$B$4*(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0))</f>
        <v>0</v>
      </c>
      <c r="AY43">
        <v>0</v>
      </c>
      <c r="AZ43">
        <v>0</v>
      </c>
      <c r="BA43">
        <v>0</v>
      </c>
      <c r="BB43">
        <v>0</v>
      </c>
      <c r="BC43">
        <f>IFERROR(VLOOKUP(K43,源_5薪资备忘录_工资调整项!$A:$AC,25,FALSE),0)</f>
        <v>0</v>
      </c>
      <c r="BD43">
        <v>0</v>
      </c>
      <c r="BE43">
        <v>0</v>
      </c>
      <c r="BF43">
        <v>0</v>
      </c>
      <c r="BG43">
        <f>IFERROR(VLOOKUP(K43,源_5薪资备忘录_工资调整项!$A:$AC,22,FALSE),0)+IFERROR(VLOOKUP(K43,源_5薪资备忘录_工资调整项!$A:$AC,23,FALSE),0)+IFERROR(VLOOKUP(K43,源_5薪资备忘录_工资调整项!$A:$AC,24,FALSE),0)</f>
        <v>0</v>
      </c>
      <c r="BH43">
        <f>IFERROR(VLOOKUP(DF43,源_6社保表_Sheet1!$C:$CD,80,FALSE),0)+4.5</f>
        <v>6.5</v>
      </c>
      <c r="BI43">
        <f t="shared" si="16"/>
        <v>3390</v>
      </c>
      <c r="BJ43">
        <f>IFERROR(VLOOKUP(DF43,源_6社保表_Sheet1!$C:$BZ,26,FALSE),0)</f>
        <v>358.68</v>
      </c>
      <c r="BK43">
        <f>IFERROR(VLOOKUP(DF43,源_6社保表_Sheet1!$C:$BZ,27,FALSE),0)</f>
        <v>51.24</v>
      </c>
      <c r="BL43">
        <f>IFERROR(VLOOKUP(DF43,源_6社保表_Sheet1!$C:$BZ,28,FALSE),0)</f>
        <v>25.62</v>
      </c>
      <c r="BM43">
        <f>IFERROR(VLOOKUP(DF43,源_6社保表_Sheet1!$C:$BZ,30,FALSE),0)</f>
        <v>230.88</v>
      </c>
      <c r="BN43">
        <f>IFERROR(VLOOKUP(DF43,源_6社保表_Sheet1!$C:$BZ,29,FALSE),0)</f>
        <v>0</v>
      </c>
      <c r="BO43">
        <f>IFERROR(VLOOKUP(DF43,源_6社保表_Sheet1!$C:$BZ,40,FALSE),0)</f>
        <v>0</v>
      </c>
      <c r="BP43">
        <f>IFERROR(VLOOKUP(DF43,源_6社保表_Sheet1!$C:$BZ,41,FALSE),0)</f>
        <v>0</v>
      </c>
      <c r="BQ43">
        <f>IFERROR(VLOOKUP(DF43,源_6社保表_Sheet1!$C:$BZ,42,FALSE),0)</f>
        <v>0</v>
      </c>
      <c r="BR43">
        <f>IFERROR(VLOOKUP(DF43,源_6社保表_Sheet1!$C:$BZ,44,FALSE),0)</f>
        <v>0</v>
      </c>
      <c r="BS43">
        <f>IFERROR(VLOOKUP(DF43,源_6社保表_Sheet1!$C:$BZ,43,FALSE),0)</f>
        <v>0</v>
      </c>
      <c r="BT43">
        <f t="shared" si="17"/>
        <v>666.42000000000007</v>
      </c>
      <c r="BU43">
        <v>0</v>
      </c>
      <c r="BV43">
        <v>0</v>
      </c>
      <c r="BW43">
        <v>0</v>
      </c>
      <c r="BX43">
        <f t="shared" si="18"/>
        <v>0</v>
      </c>
      <c r="BY43">
        <v>0</v>
      </c>
      <c r="BZ43">
        <f>IFERROR(VLOOKUP(DF43,源_6社保表_Sheet1!$C:$BZ,18,FALSE),0)</f>
        <v>768.6</v>
      </c>
      <c r="CA43">
        <f>IFERROR(VLOOKUP(DF43,源_6社保表_Sheet1!$C:$BZ,19,FALSE),0)</f>
        <v>409.92</v>
      </c>
      <c r="CB43">
        <f>IFERROR(VLOOKUP(DF43,源_6社保表_Sheet1!$C:$BZ,24,FALSE),0)</f>
        <v>230.88</v>
      </c>
      <c r="CC43">
        <f>IFERROR(VLOOKUP(DF43,源_6社保表_Sheet1!$C:$BZ,20,FALSE),0)</f>
        <v>25.62</v>
      </c>
      <c r="CD43">
        <f>IFERROR(VLOOKUP(DF43,源_6社保表_Sheet1!$C:$BZ,21,FALSE),0)</f>
        <v>16.396799999999999</v>
      </c>
      <c r="CE43">
        <f>IFERROR(VLOOKUP(DF43,源_6社保表_Sheet1!$C:$BZ,22,FALSE),0)</f>
        <v>0</v>
      </c>
      <c r="CF43">
        <f>IFERROR(VLOOKUP(DF43,源_6社保表_Sheet1!$C:$BZ,23,FALSE),0)</f>
        <v>0</v>
      </c>
      <c r="CG43">
        <f>IFERROR(VLOOKUP(DF43,源_6社保表_Sheet1!$C:$BZ,32,FALSE),0)</f>
        <v>0</v>
      </c>
      <c r="CH43">
        <f>IFERROR(VLOOKUP(DF43,源_6社保表_Sheet1!$C:$BZ,33,FALSE),0)</f>
        <v>0</v>
      </c>
      <c r="CI43">
        <f>IFERROR(VLOOKUP(DF43,源_6社保表_Sheet1!$C:$BZ,34,FALSE),0)</f>
        <v>0</v>
      </c>
      <c r="CJ43">
        <f>IFERROR(VLOOKUP(DF43,源_6社保表_Sheet1!$C:$BZ,38,FALSE),0)</f>
        <v>0</v>
      </c>
      <c r="CK43">
        <f>IFERROR(VLOOKUP(DF43,源_6社保表_Sheet1!$C:$BZ,35,FALSE),0)</f>
        <v>0</v>
      </c>
      <c r="CL43">
        <f>IFERROR(VLOOKUP(DF43,源_6社保表_Sheet1!$C:$BZ,36,FALSE),0)</f>
        <v>0</v>
      </c>
      <c r="CM43">
        <f>IFERROR(VLOOKUP(DF43,源_6社保表_Sheet1!$C:$BZ,37,FALSE),0)</f>
        <v>0</v>
      </c>
      <c r="CN43">
        <f t="shared" si="19"/>
        <v>1451.4168</v>
      </c>
      <c r="CO43">
        <f t="shared" si="20"/>
        <v>4847.9168</v>
      </c>
      <c r="CP43">
        <f>IF(IFERROR(VLOOKUP(K43,源_13残疾人信息_残疾人信息!$A:$M,1,FALSE),"")&lt;&gt;"",0,IF(OR(P43="门店全职",P43="门店管理组",P43="全职(非门店)"),(BI43-AT43)*IFERROR(VLOOKUP(D43,源_12计提残保金规则_Sheet1!$A:$E,4,FALSE),0)*IFERROR(VLOOKUP(D43,源_12计提残保金规则_Sheet1!$A:$E,5,FALSE),0),0))</f>
        <v>45.765000000000001</v>
      </c>
      <c r="CQ43">
        <f t="shared" si="21"/>
        <v>16.05</v>
      </c>
      <c r="CR43">
        <f t="shared" si="22"/>
        <v>20.67</v>
      </c>
      <c r="CS43">
        <f>IF(DATEVALUE(N43)&gt;DATE(参数!$B$2,9,30),0,IF(M43="行政",0,IF(O43="",R43/12,IF(MONTH(DATEVALUE(O43))=参数!$B$3,0,IF(DATEVALUE(O43)&lt;DATE(参数!$B$2,参数!$B$3,1),0,R43/12)))))</f>
        <v>275.83333333333331</v>
      </c>
      <c r="CT43">
        <f t="shared" si="23"/>
        <v>0</v>
      </c>
      <c r="CU43">
        <f>IFERROR(VLOOKUP(DF43,源_6社保表_Sheet1!$C:$I,2,FALSE),0)</f>
        <v>5124</v>
      </c>
      <c r="CV43">
        <f>IFERROR(VLOOKUP(DF43,源_6社保表_Sheet1!$C:$I,7,FALSE),0)</f>
        <v>3848</v>
      </c>
      <c r="CW43">
        <f>IFERROR(VLOOKUP(DF43,源_6社保表_Sheet1!$C:$I,3,FALSE),0)</f>
        <v>5124</v>
      </c>
      <c r="CX43">
        <f>IFERROR(VLOOKUP(DF43,源_6社保表_Sheet1!$C:$I,4,FALSE),0)</f>
        <v>5124</v>
      </c>
      <c r="CY43">
        <f>IFERROR(VLOOKUP(DF43,源_6社保表_Sheet1!$C:$I,5,FALSE),0)</f>
        <v>5124</v>
      </c>
      <c r="CZ43">
        <f>IFERROR(VLOOKUP(DF43,源_6社保表_Sheet1!$C:$I,6,FALSE),0)</f>
        <v>0</v>
      </c>
      <c r="DA43">
        <f t="shared" si="24"/>
        <v>4761.4168</v>
      </c>
      <c r="DB43">
        <f t="shared" si="25"/>
        <v>5126.2351333333336</v>
      </c>
      <c r="DC43" t="str">
        <f>IFERROR(VLOOKUP(K43,源_7银行卡表_Sheet1!$A:$J,8,FALSE),"")</f>
        <v>光大银行</v>
      </c>
      <c r="DD43" t="str">
        <f>IFERROR(VLOOKUP(K43,源_7银行卡表_Sheet1!$A:$J,9,FALSE),"")</f>
        <v>6287144086036147789</v>
      </c>
      <c r="DE43" t="str">
        <f>IFERROR(VLOOKUP(K43,源_7银行卡表_Sheet1!$A:$J,10,FALSE),"")</f>
        <v>石家庄维明北大街支行</v>
      </c>
      <c r="DF43" t="s">
        <v>332</v>
      </c>
      <c r="DG43">
        <v>13772465609</v>
      </c>
      <c r="DH43" t="s">
        <v>166</v>
      </c>
      <c r="DI43">
        <v>0</v>
      </c>
      <c r="DJ43">
        <v>0</v>
      </c>
      <c r="DK43">
        <v>0</v>
      </c>
      <c r="DL43">
        <v>0</v>
      </c>
      <c r="DM43">
        <v>0</v>
      </c>
      <c r="DN43">
        <v>0</v>
      </c>
      <c r="DO43">
        <v>0</v>
      </c>
      <c r="DP43">
        <v>0</v>
      </c>
      <c r="DQ43">
        <v>0</v>
      </c>
      <c r="DR43">
        <f>IF(OR(IFERROR(VLOOKUP(K43,源_3考勤报表_考勤表!$F:$BG,39,FALSE),0)+IFERROR(VLOOKUP(K43,源_8补工时表_补当月工时!$A:$AC,24,FALSE),0)=0,IFERROR(VLOOKUP(K43,源_3考勤报表_考勤表!$F:$BG,43,FALSE),0)+IFERROR(VLOOKUP(K43,源_8补工时表_补当月工时!$A:$AC,26,FALSE),0)=0),IF(BI43+BG43-BT43&lt;0,BI43+BG43-BT43,0),0)</f>
        <v>0</v>
      </c>
    </row>
    <row r="44" spans="1:122" x14ac:dyDescent="0.15">
      <c r="A44">
        <f>参数!$B$2</f>
        <v>2025</v>
      </c>
      <c r="B44">
        <f>参数!$B$3</f>
        <v>12</v>
      </c>
      <c r="D44" t="s">
        <v>333</v>
      </c>
      <c r="E44" t="s">
        <v>123</v>
      </c>
      <c r="F44" t="str">
        <f>IFERROR(VLOOKUP(K44,源_7银行卡表_Sheet1!$A:$J,6,FALSE),"")</f>
        <v>华东营运</v>
      </c>
      <c r="G44" t="s">
        <v>334</v>
      </c>
      <c r="H44" t="s">
        <v>335</v>
      </c>
      <c r="I44" t="s">
        <v>336</v>
      </c>
      <c r="J44">
        <v>1</v>
      </c>
      <c r="K44">
        <v>26123043</v>
      </c>
      <c r="L44" t="s">
        <v>337</v>
      </c>
      <c r="M44" t="s">
        <v>128</v>
      </c>
      <c r="N44" t="s">
        <v>338</v>
      </c>
      <c r="P44" t="s">
        <v>131</v>
      </c>
      <c r="Q44">
        <f>IF(P44="门店全职",IFERROR(VLOOKUP(K44,源_3考勤报表_考勤表!$F:$BG,34,FALSE),0)+IFERROR(VLOOKUP(K44,源_8补工时表_补当月工时!$A:$AC,14,FALSE),0),IF(P44="门店管理组",IF(IFERROR(VLOOKUP(K44,源_3考勤报表_考勤表!$F:$BG,34,FALSE),0)+IFERROR(VLOOKUP(K44,源_8补工时表_补当月工时!$A:$AC,14,FALSE),0)+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44,FALSE),0)+IFERROR(VLOOKUP(K44,源_8补工时表_补当月工时!$A:$AC,16,FALSE),0)+IFERROR(VLOOKUP(K44,源_3考勤报表_考勤表!$F:$BG,45,FALSE),0)&gt;=参数!$B$4,参数!$B$4-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44,FALSE),0)-IFERROR(VLOOKUP(K44,源_8补工时表_补当月工时!$A:$AC,16,FALSE),0)-IFERROR(VLOOKUP(K44,源_3考勤报表_考勤表!$F:$BG,45,FALSE),0),IFERROR(VLOOKUP(K44,源_3考勤报表_考勤表!$F:$BG,34,FALSE),0)+IFERROR(VLOOKUP(K44,源_8补工时表_补当月工时!$A:$AC,14,FALSE),0)),0))</f>
        <v>0</v>
      </c>
      <c r="R44">
        <v>6500</v>
      </c>
      <c r="S44">
        <v>0</v>
      </c>
      <c r="T44">
        <f>IF(P44="门店全职",R44/参数!$B$4*(Q44-MAX(IFERROR(VLOOKUP(K44,源_3考勤报表_考勤表!$F:$BG,34,FALSE),0)+IFERROR(VLOOKUP(K44,源_8补工时表_补当月工时!$A:$AC,14,FALSE),0)+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参数!$B$4,0)),R44/参数!$B$4*Q44)</f>
        <v>0</v>
      </c>
      <c r="U44">
        <v>0</v>
      </c>
      <c r="V44">
        <v>0</v>
      </c>
      <c r="W44">
        <f t="shared" si="13"/>
        <v>53</v>
      </c>
      <c r="X44">
        <f>IFERROR(VLOOKUP(K44,源_4奖金汇总表_拆分手工算!$A:$N,8,FALSE),0)</f>
        <v>53</v>
      </c>
      <c r="Y44">
        <f>IFERROR(VLOOKUP(K44,源_5薪资备忘录_工资调整项!$A:$AC,14,FALSE),0)</f>
        <v>0</v>
      </c>
      <c r="Z44">
        <f>IFERROR(VLOOKUP(K44,源_5薪资备忘录_工资调整项!$A:$AC,16,FALSE),0)</f>
        <v>0</v>
      </c>
      <c r="AA44">
        <f>IFERROR(VLOOKUP(K44,源_5薪资备忘录_工资调整项!$A:$AC,15,FALSE),0)</f>
        <v>0</v>
      </c>
      <c r="AB44">
        <f t="shared" si="14"/>
        <v>0</v>
      </c>
      <c r="AC44">
        <f>IF(P44="门店全职",R44/174*MAX(IFERROR(VLOOKUP(K44,源_3考勤报表_考勤表!$F:$BG,34,FALSE),0)+IFERROR(VLOOKUP(K44,源_8补工时表_补当月工时!$A:$AC,14,FALSE),0)+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参数!$B$4,0)*1.5,0)</f>
        <v>0</v>
      </c>
      <c r="AD44">
        <v>0</v>
      </c>
      <c r="AE44">
        <f>IFERROR(VLOOKUP(K44,源_3考勤报表_考勤表!$F:$BG,46,FALSE),0)+IFERROR(VLOOKUP(K44,源_8补工时表_补当月工时!$A:$AC,25,FALSE),0)</f>
        <v>0</v>
      </c>
      <c r="AF44">
        <f t="shared" si="15"/>
        <v>0</v>
      </c>
      <c r="AG44">
        <f>IFERROR(VLOOKUP(K44,源_4奖金汇总表_拆分手工算!$A:$N,10,FALSE),0)</f>
        <v>0</v>
      </c>
      <c r="AH44">
        <f>IFERROR(VLOOKUP(K44,源_4奖金汇总表_拆分手工算!$A:$N,5,FALSE),0)</f>
        <v>0</v>
      </c>
      <c r="AI44">
        <f>IFERROR(VLOOKUP(K44,源_4奖金汇总表_拆分手工算!$A:$N,11,FALSE),0)</f>
        <v>0</v>
      </c>
      <c r="AJ44">
        <f>IFERROR(VLOOKUP(K44,源_4奖金汇总表_拆分手工算!$A:$N,4,FALSE),0)</f>
        <v>0</v>
      </c>
      <c r="AK44">
        <f>IFERROR(VLOOKUP(K44,源_4奖金汇总表_拆分手工算!$A:$N,3,FALSE),0)</f>
        <v>0</v>
      </c>
      <c r="AL44">
        <f>IFERROR(VLOOKUP(K44,源_4奖金汇总表_拆分手工算!$A:$N,6,FALSE),0)</f>
        <v>0</v>
      </c>
      <c r="AM44">
        <f>IFERROR(VLOOKUP(K44,源_5薪资备忘录_工资调整项!$A:$AC,18,FALSE),0)+IFERROR(VLOOKUP(K44,源_4奖金汇总表_拆分手工算!$A:$N,7,FALSE),0)</f>
        <v>0</v>
      </c>
      <c r="AN44">
        <f>IFERROR(VLOOKUP(K44,源_5薪资备忘录_工资调整项!$A:$AC,17,FALSE),0)</f>
        <v>0</v>
      </c>
      <c r="AO44">
        <f>IF(OR(IFERROR(VLOOKUP(K44,源_3考勤报表_考勤表!$F:$BG,39,FALSE),0)+IFERROR(VLOOKUP(K44,源_8补工时表_补当月工时!$A:$AC,24,FALSE),0)&gt;0,IFERROR(VLOOKUP(K44,源_3考勤报表_考勤表!$F:$BG,43,FALSE),0)+IFERROR(VLOOKUP(K44,源_8补工时表_补当月工时!$A:$AC,26,FALSE),0)&gt;0),IF(IFERROR(VLOOKUP(DH44,源_11产假政策_Sheet1!$C:$F,4,FALSE),"")="是",R44/参数!$B$4*(IFERROR(VLOOKUP(K44,源_3考勤报表_考勤表!$F:$BG,39,FALSE),0)+IFERROR(VLOOKUP(K44,源_8补工时表_补当月工时!$A:$AC,24,FALSE),0)+IFERROR(VLOOKUP(K44,源_3考勤报表_考勤表!$F:$BG,43,FALSE),0)+IFERROR(VLOOKUP(K44,源_8补工时表_补当月工时!$A:$AC,26,FALSE),0)),IFERROR(VLOOKUP(K44,源_5薪资备忘录_工资调整项!$A:$AC,19,FALSE),0)),0)</f>
        <v>0</v>
      </c>
      <c r="AP44">
        <v>0</v>
      </c>
      <c r="AQ44">
        <f>IFERROR(VLOOKUP(K44,源_4奖金汇总表_拆分手工算!$A:$N,12,FALSE),0)+IFERROR(VLOOKUP(K44,源_9年终奖表_Sheet1!$A:$E,3,FALSE),0)</f>
        <v>1200</v>
      </c>
      <c r="AR44">
        <f>IFERROR(VLOOKUP(K44,源_4奖金汇总表_拆分手工算!$A:$N,13,FALSE),0)+IFERROR(VLOOKUP(K44,源_9年终奖表_Sheet1!$A:$E,4,FALSE),0)</f>
        <v>600</v>
      </c>
      <c r="AS44">
        <f>IFERROR(VLOOKUP(K44,源_4奖金汇总表_拆分手工算!$A:$N,14,FALSE),0)+IFERROR(VLOOKUP(K44,源_9年终奖表_Sheet1!$A:$E,5,FALSE),0)</f>
        <v>111</v>
      </c>
      <c r="AT44">
        <f>IFERROR(VLOOKUP(K44,源_5薪资备忘录_工资调整项!$A:$AC,20,FALSE),0)</f>
        <v>0</v>
      </c>
      <c r="AU44">
        <f>IFERROR(VLOOKUP(K44,源_5薪资备忘录_工资调整项!$A:$AC,21,FALSE),0)+IFERROR(VLOOKUP(K44,源_4奖金汇总表_拆分手工算!$A:$N,9,FALSE),0)</f>
        <v>0</v>
      </c>
      <c r="AV44">
        <f>R44/参数!$B$4*(IFERROR(VLOOKUP(K44,源_3考勤报表_考勤表!$F:$BG,37,FALSE),0)+IFERROR(VLOOKUP(K44,源_8补工时表_补当月工时!$A:$AC,15,FALSE),0))</f>
        <v>0</v>
      </c>
      <c r="AW44">
        <f>R44/174*MIN(IFERROR(VLOOKUP(K44,源_3考勤报表_考勤表!$F:$BG,35,FALSE),0),174)*IF(DATEDIF(N44,DATE(参数!$B$2,参数!$B$3+1,0),"Y")&lt;2,0.6,IF(DATEDIF(N44,DATE(参数!$B$2,参数!$B$3+1,0),"Y")&lt;4,0.7,IF(DATEDIF(N44,DATE(参数!$B$2,参数!$B$3+1,0),"Y")&lt;6,0.8,IF(DATEDIF(N44,DATE(参数!$B$2,参数!$B$3+1,0),"Y")&lt;8,0.9,1))))</f>
        <v>4550</v>
      </c>
      <c r="AX44">
        <f>IF(Q44+IFERROR(VLOOKUP(K44,源_3考勤报表_考勤表!$F:$BG,37,FALSE),0)+IFERROR(VLOOKUP(K44,源_8补工时表_补当月工时!$A:$AC,15,FALSE),0)&gt;=参数!$B$4,0,IF(Q44+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lt;=参数!$B$4,R44/参数!$B$4*(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0))</f>
        <v>0</v>
      </c>
      <c r="AY44">
        <v>0</v>
      </c>
      <c r="AZ44">
        <v>0</v>
      </c>
      <c r="BA44">
        <v>0</v>
      </c>
      <c r="BB44">
        <v>0</v>
      </c>
      <c r="BC44">
        <f>IFERROR(VLOOKUP(K44,源_5薪资备忘录_工资调整项!$A:$AC,25,FALSE),0)</f>
        <v>0</v>
      </c>
      <c r="BD44">
        <v>0</v>
      </c>
      <c r="BE44">
        <v>0</v>
      </c>
      <c r="BF44">
        <v>0</v>
      </c>
      <c r="BG44">
        <f>IFERROR(VLOOKUP(K44,源_5薪资备忘录_工资调整项!$A:$AC,22,FALSE),0)+IFERROR(VLOOKUP(K44,源_5薪资备忘录_工资调整项!$A:$AC,23,FALSE),0)+IFERROR(VLOOKUP(K44,源_5薪资备忘录_工资调整项!$A:$AC,24,FALSE),0)</f>
        <v>0</v>
      </c>
      <c r="BH44">
        <f>IFERROR(VLOOKUP(DF44,源_6社保表_Sheet1!$C:$CD,80,FALSE),0)+4.5</f>
        <v>6.5</v>
      </c>
      <c r="BI44">
        <f t="shared" si="16"/>
        <v>6514</v>
      </c>
      <c r="BJ44">
        <f>IFERROR(VLOOKUP(DF44,源_6社保表_Sheet1!$C:$BZ,26,FALSE),0)</f>
        <v>384.79</v>
      </c>
      <c r="BK44">
        <f>IFERROR(VLOOKUP(DF44,源_6社保表_Sheet1!$C:$BZ,27,FALSE),0)</f>
        <v>54.97</v>
      </c>
      <c r="BL44">
        <f>IFERROR(VLOOKUP(DF44,源_6社保表_Sheet1!$C:$BZ,28,FALSE),0)</f>
        <v>27.484999999999999</v>
      </c>
      <c r="BM44">
        <f>IFERROR(VLOOKUP(DF44,源_6社保表_Sheet1!$C:$BZ,30,FALSE),0)</f>
        <v>329.82</v>
      </c>
      <c r="BN44">
        <f>IFERROR(VLOOKUP(DF44,源_6社保表_Sheet1!$C:$BZ,29,FALSE),0)</f>
        <v>0</v>
      </c>
      <c r="BO44">
        <f>IFERROR(VLOOKUP(DF44,源_6社保表_Sheet1!$C:$BZ,40,FALSE),0)</f>
        <v>0</v>
      </c>
      <c r="BP44">
        <f>IFERROR(VLOOKUP(DF44,源_6社保表_Sheet1!$C:$BZ,41,FALSE),0)</f>
        <v>0</v>
      </c>
      <c r="BQ44">
        <f>IFERROR(VLOOKUP(DF44,源_6社保表_Sheet1!$C:$BZ,42,FALSE),0)</f>
        <v>0</v>
      </c>
      <c r="BR44">
        <f>IFERROR(VLOOKUP(DF44,源_6社保表_Sheet1!$C:$BZ,44,FALSE),0)</f>
        <v>0</v>
      </c>
      <c r="BS44">
        <f>IFERROR(VLOOKUP(DF44,源_6社保表_Sheet1!$C:$BZ,43,FALSE),0)</f>
        <v>0</v>
      </c>
      <c r="BT44">
        <f t="shared" si="17"/>
        <v>797.06500000000005</v>
      </c>
      <c r="BU44">
        <v>0</v>
      </c>
      <c r="BV44">
        <v>0</v>
      </c>
      <c r="BW44">
        <v>0</v>
      </c>
      <c r="BX44">
        <f t="shared" si="18"/>
        <v>0</v>
      </c>
      <c r="BY44">
        <v>0</v>
      </c>
      <c r="BZ44">
        <f>IFERROR(VLOOKUP(DF44,源_6社保表_Sheet1!$C:$BZ,18,FALSE),0)</f>
        <v>824.55</v>
      </c>
      <c r="CA44">
        <f>IFERROR(VLOOKUP(DF44,源_6社保表_Sheet1!$C:$BZ,19,FALSE),0)</f>
        <v>439.76</v>
      </c>
      <c r="CB44">
        <f>IFERROR(VLOOKUP(DF44,源_6社保表_Sheet1!$C:$BZ,24,FALSE),0)</f>
        <v>329.82</v>
      </c>
      <c r="CC44">
        <f>IFERROR(VLOOKUP(DF44,源_6社保表_Sheet1!$C:$BZ,20,FALSE),0)</f>
        <v>27.484999999999999</v>
      </c>
      <c r="CD44">
        <f>IFERROR(VLOOKUP(DF44,源_6社保表_Sheet1!$C:$BZ,21,FALSE),0)</f>
        <v>17.590399999999999</v>
      </c>
      <c r="CE44">
        <f>IFERROR(VLOOKUP(DF44,源_6社保表_Sheet1!$C:$BZ,22,FALSE),0)</f>
        <v>0</v>
      </c>
      <c r="CF44">
        <f>IFERROR(VLOOKUP(DF44,源_6社保表_Sheet1!$C:$BZ,23,FALSE),0)</f>
        <v>0</v>
      </c>
      <c r="CG44">
        <f>IFERROR(VLOOKUP(DF44,源_6社保表_Sheet1!$C:$BZ,32,FALSE),0)</f>
        <v>0</v>
      </c>
      <c r="CH44">
        <f>IFERROR(VLOOKUP(DF44,源_6社保表_Sheet1!$C:$BZ,33,FALSE),0)</f>
        <v>0</v>
      </c>
      <c r="CI44">
        <f>IFERROR(VLOOKUP(DF44,源_6社保表_Sheet1!$C:$BZ,34,FALSE),0)</f>
        <v>0</v>
      </c>
      <c r="CJ44">
        <f>IFERROR(VLOOKUP(DF44,源_6社保表_Sheet1!$C:$BZ,38,FALSE),0)</f>
        <v>0</v>
      </c>
      <c r="CK44">
        <f>IFERROR(VLOOKUP(DF44,源_6社保表_Sheet1!$C:$BZ,35,FALSE),0)</f>
        <v>0</v>
      </c>
      <c r="CL44">
        <f>IFERROR(VLOOKUP(DF44,源_6社保表_Sheet1!$C:$BZ,36,FALSE),0)</f>
        <v>0</v>
      </c>
      <c r="CM44">
        <f>IFERROR(VLOOKUP(DF44,源_6社保表_Sheet1!$C:$BZ,37,FALSE),0)</f>
        <v>0</v>
      </c>
      <c r="CN44">
        <f t="shared" si="19"/>
        <v>1639.2053999999998</v>
      </c>
      <c r="CO44">
        <f t="shared" si="20"/>
        <v>8159.7053999999998</v>
      </c>
      <c r="CP44">
        <f>IF(IFERROR(VLOOKUP(K44,源_13残疾人信息_残疾人信息!$A:$M,1,FALSE),"")&lt;&gt;"",0,IF(OR(P44="门店全职",P44="门店管理组",P44="全职(非门店)"),(BI44-AT44)*IFERROR(VLOOKUP(D44,源_12计提残保金规则_Sheet1!$A:$E,4,FALSE),0)*IFERROR(VLOOKUP(D44,源_12计提残保金规则_Sheet1!$A:$E,5,FALSE),0),0))</f>
        <v>37.129799999999996</v>
      </c>
      <c r="CQ44">
        <f t="shared" si="21"/>
        <v>16.05</v>
      </c>
      <c r="CR44">
        <f t="shared" si="22"/>
        <v>20.67</v>
      </c>
      <c r="CS44">
        <f>IF(DATEVALUE(N44)&gt;DATE(参数!$B$2,9,30),0,IF(M44="行政",0,IF(O44="",R44/12,IF(MONTH(DATEVALUE(O44))=参数!$B$3,0,IF(DATEVALUE(O44)&lt;DATE(参数!$B$2,参数!$B$3,1),0,R44/12)))))</f>
        <v>541.66666666666663</v>
      </c>
      <c r="CT44">
        <f t="shared" si="23"/>
        <v>663</v>
      </c>
      <c r="CU44">
        <f>IFERROR(VLOOKUP(DF44,源_6社保表_Sheet1!$C:$I,2,FALSE),0)</f>
        <v>5497</v>
      </c>
      <c r="CV44">
        <f>IFERROR(VLOOKUP(DF44,源_6社保表_Sheet1!$C:$I,7,FALSE),0)</f>
        <v>5497</v>
      </c>
      <c r="CW44">
        <f>IFERROR(VLOOKUP(DF44,源_6社保表_Sheet1!$C:$I,3,FALSE),0)</f>
        <v>5497</v>
      </c>
      <c r="CX44">
        <f>IFERROR(VLOOKUP(DF44,源_6社保表_Sheet1!$C:$I,4,FALSE),0)</f>
        <v>5497</v>
      </c>
      <c r="CY44">
        <f>IFERROR(VLOOKUP(DF44,源_6社保表_Sheet1!$C:$I,5,FALSE),0)</f>
        <v>5497</v>
      </c>
      <c r="CZ44">
        <f>IFERROR(VLOOKUP(DF44,源_6社保表_Sheet1!$C:$I,6,FALSE),0)</f>
        <v>0</v>
      </c>
      <c r="DA44">
        <f t="shared" si="24"/>
        <v>6242.2053999999998</v>
      </c>
      <c r="DB44">
        <f t="shared" si="25"/>
        <v>7527.2218666666668</v>
      </c>
      <c r="DC44" t="str">
        <f>IFERROR(VLOOKUP(K44,源_7银行卡表_Sheet1!$A:$J,8,FALSE),"")</f>
        <v>光大银行</v>
      </c>
      <c r="DD44" t="str">
        <f>IFERROR(VLOOKUP(K44,源_7银行卡表_Sheet1!$A:$J,9,FALSE),"")</f>
        <v>6286684761966236359</v>
      </c>
      <c r="DE44" t="str">
        <f>IFERROR(VLOOKUP(K44,源_7银行卡表_Sheet1!$A:$J,10,FALSE),"")</f>
        <v>北京双井桥支行</v>
      </c>
      <c r="DF44" t="s">
        <v>339</v>
      </c>
      <c r="DG44">
        <v>16303501994</v>
      </c>
      <c r="DH44" t="s">
        <v>334</v>
      </c>
      <c r="DI44">
        <v>0</v>
      </c>
      <c r="DJ44">
        <v>0</v>
      </c>
      <c r="DK44">
        <v>0</v>
      </c>
      <c r="DL44">
        <v>0</v>
      </c>
      <c r="DM44">
        <v>0</v>
      </c>
      <c r="DN44">
        <v>0</v>
      </c>
      <c r="DO44">
        <v>0</v>
      </c>
      <c r="DP44">
        <v>0</v>
      </c>
      <c r="DQ44">
        <v>0</v>
      </c>
      <c r="DR44">
        <f>IF(OR(IFERROR(VLOOKUP(K44,源_3考勤报表_考勤表!$F:$BG,39,FALSE),0)+IFERROR(VLOOKUP(K44,源_8补工时表_补当月工时!$A:$AC,24,FALSE),0)=0,IFERROR(VLOOKUP(K44,源_3考勤报表_考勤表!$F:$BG,43,FALSE),0)+IFERROR(VLOOKUP(K44,源_8补工时表_补当月工时!$A:$AC,26,FALSE),0)=0),IF(BI44+BG44-BT44&lt;0,BI44+BG44-BT44,0),0)</f>
        <v>0</v>
      </c>
    </row>
    <row r="45" spans="1:122" x14ac:dyDescent="0.15">
      <c r="A45">
        <f>参数!$B$2</f>
        <v>2025</v>
      </c>
      <c r="B45">
        <f>参数!$B$3</f>
        <v>12</v>
      </c>
      <c r="D45" t="s">
        <v>229</v>
      </c>
      <c r="E45" t="s">
        <v>123</v>
      </c>
      <c r="F45" t="str">
        <f>IFERROR(VLOOKUP(K45,源_7银行卡表_Sheet1!$A:$J,6,FALSE),"")</f>
        <v>华东营运</v>
      </c>
      <c r="G45" t="s">
        <v>340</v>
      </c>
      <c r="H45" t="s">
        <v>341</v>
      </c>
      <c r="I45" t="s">
        <v>232</v>
      </c>
      <c r="J45">
        <v>1</v>
      </c>
      <c r="K45">
        <v>26123044</v>
      </c>
      <c r="L45" t="s">
        <v>342</v>
      </c>
      <c r="M45" t="s">
        <v>152</v>
      </c>
      <c r="N45" t="s">
        <v>343</v>
      </c>
      <c r="P45" t="s">
        <v>154</v>
      </c>
      <c r="Q45">
        <f>IF(P45="门店全职",IFERROR(VLOOKUP(K45,源_3考勤报表_考勤表!$F:$BG,34,FALSE),0)+IFERROR(VLOOKUP(K45,源_8补工时表_补当月工时!$A:$AC,14,FALSE),0),IF(P45="门店管理组",IF(IFERROR(VLOOKUP(K45,源_3考勤报表_考勤表!$F:$BG,34,FALSE),0)+IFERROR(VLOOKUP(K45,源_8补工时表_补当月工时!$A:$AC,14,FALSE),0)+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44,FALSE),0)+IFERROR(VLOOKUP(K45,源_8补工时表_补当月工时!$A:$AC,16,FALSE),0)+IFERROR(VLOOKUP(K45,源_3考勤报表_考勤表!$F:$BG,45,FALSE),0)&gt;=参数!$B$4,参数!$B$4-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44,FALSE),0)-IFERROR(VLOOKUP(K45,源_8补工时表_补当月工时!$A:$AC,16,FALSE),0)-IFERROR(VLOOKUP(K45,源_3考勤报表_考勤表!$F:$BG,45,FALSE),0),IFERROR(VLOOKUP(K45,源_3考勤报表_考勤表!$F:$BG,34,FALSE),0)+IFERROR(VLOOKUP(K45,源_8补工时表_补当月工时!$A:$AC,14,FALSE),0)),0))</f>
        <v>141</v>
      </c>
      <c r="R45">
        <v>3480</v>
      </c>
      <c r="S45">
        <v>0</v>
      </c>
      <c r="T45">
        <f>IF(P45="门店全职",R45/参数!$B$4*(Q45-MAX(IFERROR(VLOOKUP(K45,源_3考勤报表_考勤表!$F:$BG,34,FALSE),0)+IFERROR(VLOOKUP(K45,源_8补工时表_补当月工时!$A:$AC,14,FALSE),0)+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参数!$B$4,0)),R45/参数!$B$4*Q45)</f>
        <v>2666.739130434783</v>
      </c>
      <c r="U45">
        <v>0</v>
      </c>
      <c r="V45">
        <v>0</v>
      </c>
      <c r="W45">
        <f t="shared" si="13"/>
        <v>0</v>
      </c>
      <c r="X45">
        <f>IFERROR(VLOOKUP(K45,源_4奖金汇总表_拆分手工算!$A:$N,8,FALSE),0)</f>
        <v>0</v>
      </c>
      <c r="Y45">
        <f>IFERROR(VLOOKUP(K45,源_5薪资备忘录_工资调整项!$A:$AC,14,FALSE),0)</f>
        <v>0</v>
      </c>
      <c r="Z45">
        <f>IFERROR(VLOOKUP(K45,源_5薪资备忘录_工资调整项!$A:$AC,16,FALSE),0)</f>
        <v>0</v>
      </c>
      <c r="AA45">
        <f>IFERROR(VLOOKUP(K45,源_5薪资备忘录_工资调整项!$A:$AC,15,FALSE),0)</f>
        <v>0</v>
      </c>
      <c r="AB45">
        <f t="shared" si="14"/>
        <v>0</v>
      </c>
      <c r="AC45">
        <f>IF(P45="门店全职",R45/174*MAX(IFERROR(VLOOKUP(K45,源_3考勤报表_考勤表!$F:$BG,34,FALSE),0)+IFERROR(VLOOKUP(K45,源_8补工时表_补当月工时!$A:$AC,14,FALSE),0)+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参数!$B$4,0)*1.5,0)</f>
        <v>0</v>
      </c>
      <c r="AD45">
        <v>0</v>
      </c>
      <c r="AE45">
        <f>IFERROR(VLOOKUP(K45,源_3考勤报表_考勤表!$F:$BG,46,FALSE),0)+IFERROR(VLOOKUP(K45,源_8补工时表_补当月工时!$A:$AC,25,FALSE),0)</f>
        <v>0</v>
      </c>
      <c r="AF45">
        <f t="shared" si="15"/>
        <v>0</v>
      </c>
      <c r="AG45">
        <f>IFERROR(VLOOKUP(K45,源_4奖金汇总表_拆分手工算!$A:$N,10,FALSE),0)</f>
        <v>138</v>
      </c>
      <c r="AH45">
        <f>IFERROR(VLOOKUP(K45,源_4奖金汇总表_拆分手工算!$A:$N,5,FALSE),0)</f>
        <v>0</v>
      </c>
      <c r="AI45">
        <f>IFERROR(VLOOKUP(K45,源_4奖金汇总表_拆分手工算!$A:$N,11,FALSE),0)</f>
        <v>0</v>
      </c>
      <c r="AJ45">
        <f>IFERROR(VLOOKUP(K45,源_4奖金汇总表_拆分手工算!$A:$N,4,FALSE),0)</f>
        <v>0</v>
      </c>
      <c r="AK45">
        <f>IFERROR(VLOOKUP(K45,源_4奖金汇总表_拆分手工算!$A:$N,3,FALSE),0)</f>
        <v>0</v>
      </c>
      <c r="AL45">
        <f>IFERROR(VLOOKUP(K45,源_4奖金汇总表_拆分手工算!$A:$N,6,FALSE),0)</f>
        <v>0</v>
      </c>
      <c r="AM45">
        <f>IFERROR(VLOOKUP(K45,源_5薪资备忘录_工资调整项!$A:$AC,18,FALSE),0)+IFERROR(VLOOKUP(K45,源_4奖金汇总表_拆分手工算!$A:$N,7,FALSE),0)</f>
        <v>0</v>
      </c>
      <c r="AN45">
        <f>IFERROR(VLOOKUP(K45,源_5薪资备忘录_工资调整项!$A:$AC,17,FALSE),0)</f>
        <v>0</v>
      </c>
      <c r="AO45">
        <f>IF(OR(IFERROR(VLOOKUP(K45,源_3考勤报表_考勤表!$F:$BG,39,FALSE),0)+IFERROR(VLOOKUP(K45,源_8补工时表_补当月工时!$A:$AC,24,FALSE),0)&gt;0,IFERROR(VLOOKUP(K45,源_3考勤报表_考勤表!$F:$BG,43,FALSE),0)+IFERROR(VLOOKUP(K45,源_8补工时表_补当月工时!$A:$AC,26,FALSE),0)&gt;0),IF(IFERROR(VLOOKUP(DH45,源_11产假政策_Sheet1!$C:$F,4,FALSE),"")="是",R45/参数!$B$4*(IFERROR(VLOOKUP(K45,源_3考勤报表_考勤表!$F:$BG,39,FALSE),0)+IFERROR(VLOOKUP(K45,源_8补工时表_补当月工时!$A:$AC,24,FALSE),0)+IFERROR(VLOOKUP(K45,源_3考勤报表_考勤表!$F:$BG,43,FALSE),0)+IFERROR(VLOOKUP(K45,源_8补工时表_补当月工时!$A:$AC,26,FALSE),0)),IFERROR(VLOOKUP(K45,源_5薪资备忘录_工资调整项!$A:$AC,19,FALSE),0)),0)</f>
        <v>0</v>
      </c>
      <c r="AP45">
        <v>0</v>
      </c>
      <c r="AQ45">
        <f>IFERROR(VLOOKUP(K45,源_4奖金汇总表_拆分手工算!$A:$N,12,FALSE),0)+IFERROR(VLOOKUP(K45,源_9年终奖表_Sheet1!$A:$E,3,FALSE),0)</f>
        <v>0</v>
      </c>
      <c r="AR45">
        <f>IFERROR(VLOOKUP(K45,源_4奖金汇总表_拆分手工算!$A:$N,13,FALSE),0)+IFERROR(VLOOKUP(K45,源_9年终奖表_Sheet1!$A:$E,4,FALSE),0)</f>
        <v>0</v>
      </c>
      <c r="AS45">
        <f>IFERROR(VLOOKUP(K45,源_4奖金汇总表_拆分手工算!$A:$N,14,FALSE),0)+IFERROR(VLOOKUP(K45,源_9年终奖表_Sheet1!$A:$E,5,FALSE),0)</f>
        <v>0</v>
      </c>
      <c r="AT45">
        <f>IFERROR(VLOOKUP(K45,源_5薪资备忘录_工资调整项!$A:$AC,20,FALSE),0)</f>
        <v>0</v>
      </c>
      <c r="AU45">
        <f>IFERROR(VLOOKUP(K45,源_5薪资备忘录_工资调整项!$A:$AC,21,FALSE),0)+IFERROR(VLOOKUP(K45,源_4奖金汇总表_拆分手工算!$A:$N,9,FALSE),0)</f>
        <v>0</v>
      </c>
      <c r="AV45">
        <f>R45/参数!$B$4*(IFERROR(VLOOKUP(K45,源_3考勤报表_考勤表!$F:$BG,37,FALSE),0)+IFERROR(VLOOKUP(K45,源_8补工时表_补当月工时!$A:$AC,15,FALSE),0))</f>
        <v>0</v>
      </c>
      <c r="AW45">
        <f>R45/174*MIN(IFERROR(VLOOKUP(K45,源_3考勤报表_考勤表!$F:$BG,35,FALSE),0),174)*IF(DATEDIF(N45,DATE(参数!$B$2,参数!$B$3+1,0),"Y")&lt;2,0.6,IF(DATEDIF(N45,DATE(参数!$B$2,参数!$B$3+1,0),"Y")&lt;4,0.7,IF(DATEDIF(N45,DATE(参数!$B$2,参数!$B$3+1,0),"Y")&lt;6,0.8,IF(DATEDIF(N45,DATE(参数!$B$2,参数!$B$3+1,0),"Y")&lt;8,0.9,1))))</f>
        <v>560</v>
      </c>
      <c r="AX45">
        <f>IF(Q45+IFERROR(VLOOKUP(K45,源_3考勤报表_考勤表!$F:$BG,37,FALSE),0)+IFERROR(VLOOKUP(K45,源_8补工时表_补当月工时!$A:$AC,15,FALSE),0)&gt;=参数!$B$4,0,IF(Q45+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lt;=参数!$B$4,R45/参数!$B$4*(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0))</f>
        <v>0</v>
      </c>
      <c r="AY45">
        <v>0</v>
      </c>
      <c r="AZ45">
        <v>0</v>
      </c>
      <c r="BA45">
        <v>0</v>
      </c>
      <c r="BB45">
        <v>0</v>
      </c>
      <c r="BC45">
        <f>IFERROR(VLOOKUP(K45,源_5薪资备忘录_工资调整项!$A:$AC,25,FALSE),0)</f>
        <v>0</v>
      </c>
      <c r="BD45">
        <v>0</v>
      </c>
      <c r="BE45">
        <v>0</v>
      </c>
      <c r="BF45">
        <v>0</v>
      </c>
      <c r="BG45">
        <f>IFERROR(VLOOKUP(K45,源_5薪资备忘录_工资调整项!$A:$AC,22,FALSE),0)+IFERROR(VLOOKUP(K45,源_5薪资备忘录_工资调整项!$A:$AC,23,FALSE),0)+IFERROR(VLOOKUP(K45,源_5薪资备忘录_工资调整项!$A:$AC,24,FALSE),0)</f>
        <v>0</v>
      </c>
      <c r="BH45">
        <f>IFERROR(VLOOKUP(DF45,源_6社保表_Sheet1!$C:$CD,80,FALSE),0)+4.5</f>
        <v>6.5</v>
      </c>
      <c r="BI45">
        <f t="shared" si="16"/>
        <v>3364.739130434783</v>
      </c>
      <c r="BJ45">
        <f>IFERROR(VLOOKUP(DF45,源_6社保表_Sheet1!$C:$BZ,26,FALSE),0)</f>
        <v>247.6</v>
      </c>
      <c r="BK45">
        <f>IFERROR(VLOOKUP(DF45,源_6社保表_Sheet1!$C:$BZ,27,FALSE),0)</f>
        <v>49.52</v>
      </c>
      <c r="BL45">
        <f>IFERROR(VLOOKUP(DF45,源_6社保表_Sheet1!$C:$BZ,28,FALSE),0)</f>
        <v>24.76</v>
      </c>
      <c r="BM45">
        <f>IFERROR(VLOOKUP(DF45,源_6社保表_Sheet1!$C:$BZ,30,FALSE),0)</f>
        <v>239.35</v>
      </c>
      <c r="BN45">
        <f>IFERROR(VLOOKUP(DF45,源_6社保表_Sheet1!$C:$BZ,29,FALSE),0)</f>
        <v>0</v>
      </c>
      <c r="BO45">
        <f>IFERROR(VLOOKUP(DF45,源_6社保表_Sheet1!$C:$BZ,40,FALSE),0)</f>
        <v>0</v>
      </c>
      <c r="BP45">
        <f>IFERROR(VLOOKUP(DF45,源_6社保表_Sheet1!$C:$BZ,41,FALSE),0)</f>
        <v>0</v>
      </c>
      <c r="BQ45">
        <f>IFERROR(VLOOKUP(DF45,源_6社保表_Sheet1!$C:$BZ,42,FALSE),0)</f>
        <v>0</v>
      </c>
      <c r="BR45">
        <f>IFERROR(VLOOKUP(DF45,源_6社保表_Sheet1!$C:$BZ,44,FALSE),0)</f>
        <v>0</v>
      </c>
      <c r="BS45">
        <f>IFERROR(VLOOKUP(DF45,源_6社保表_Sheet1!$C:$BZ,43,FALSE),0)</f>
        <v>0</v>
      </c>
      <c r="BT45">
        <f t="shared" si="17"/>
        <v>561.23</v>
      </c>
      <c r="BU45">
        <v>0</v>
      </c>
      <c r="BV45">
        <v>0</v>
      </c>
      <c r="BW45">
        <v>0</v>
      </c>
      <c r="BX45">
        <f t="shared" si="18"/>
        <v>0</v>
      </c>
      <c r="BY45">
        <v>0</v>
      </c>
      <c r="BZ45">
        <f>IFERROR(VLOOKUP(DF45,源_6社保表_Sheet1!$C:$BZ,18,FALSE),0)</f>
        <v>594.24</v>
      </c>
      <c r="CA45">
        <f>IFERROR(VLOOKUP(DF45,源_6社保表_Sheet1!$C:$BZ,19,FALSE),0)</f>
        <v>297.12</v>
      </c>
      <c r="CB45">
        <f>IFERROR(VLOOKUP(DF45,源_6社保表_Sheet1!$C:$BZ,24,FALSE),0)</f>
        <v>239.35</v>
      </c>
      <c r="CC45">
        <f>IFERROR(VLOOKUP(DF45,源_6社保表_Sheet1!$C:$BZ,20,FALSE),0)</f>
        <v>24.76</v>
      </c>
      <c r="CD45">
        <f>IFERROR(VLOOKUP(DF45,源_6社保表_Sheet1!$C:$BZ,21,FALSE),0)</f>
        <v>15.846399999999999</v>
      </c>
      <c r="CE45">
        <f>IFERROR(VLOOKUP(DF45,源_6社保表_Sheet1!$C:$BZ,22,FALSE),0)</f>
        <v>0</v>
      </c>
      <c r="CF45">
        <f>IFERROR(VLOOKUP(DF45,源_6社保表_Sheet1!$C:$BZ,23,FALSE),0)</f>
        <v>0</v>
      </c>
      <c r="CG45">
        <f>IFERROR(VLOOKUP(DF45,源_6社保表_Sheet1!$C:$BZ,32,FALSE),0)</f>
        <v>0</v>
      </c>
      <c r="CH45">
        <f>IFERROR(VLOOKUP(DF45,源_6社保表_Sheet1!$C:$BZ,33,FALSE),0)</f>
        <v>0</v>
      </c>
      <c r="CI45">
        <f>IFERROR(VLOOKUP(DF45,源_6社保表_Sheet1!$C:$BZ,34,FALSE),0)</f>
        <v>0</v>
      </c>
      <c r="CJ45">
        <f>IFERROR(VLOOKUP(DF45,源_6社保表_Sheet1!$C:$BZ,38,FALSE),0)</f>
        <v>0</v>
      </c>
      <c r="CK45">
        <f>IFERROR(VLOOKUP(DF45,源_6社保表_Sheet1!$C:$BZ,35,FALSE),0)</f>
        <v>0</v>
      </c>
      <c r="CL45">
        <f>IFERROR(VLOOKUP(DF45,源_6社保表_Sheet1!$C:$BZ,36,FALSE),0)</f>
        <v>0</v>
      </c>
      <c r="CM45">
        <f>IFERROR(VLOOKUP(DF45,源_6社保表_Sheet1!$C:$BZ,37,FALSE),0)</f>
        <v>0</v>
      </c>
      <c r="CN45">
        <f t="shared" si="19"/>
        <v>1171.3163999999999</v>
      </c>
      <c r="CO45">
        <f t="shared" si="20"/>
        <v>4542.5555304347827</v>
      </c>
      <c r="CP45">
        <f>IF(IFERROR(VLOOKUP(K45,源_13残疾人信息_残疾人信息!$A:$M,1,FALSE),"")&lt;&gt;"",0,IF(OR(P45="门店全职",P45="门店管理组",P45="全职(非门店)"),(BI45-AT45)*IFERROR(VLOOKUP(D45,源_12计提残保金规则_Sheet1!$A:$E,4,FALSE),0)*IFERROR(VLOOKUP(D45,源_12计提残保金规则_Sheet1!$A:$E,5,FALSE),0),0))</f>
        <v>20.188434782608699</v>
      </c>
      <c r="CQ45">
        <f t="shared" si="21"/>
        <v>16.05</v>
      </c>
      <c r="CR45">
        <f t="shared" si="22"/>
        <v>20.67</v>
      </c>
      <c r="CS45">
        <f>IF(DATEVALUE(N45)&gt;DATE(参数!$B$2,9,30),0,IF(M45="行政",0,IF(O45="",R45/12,IF(MONTH(DATEVALUE(O45))=参数!$B$3,0,IF(DATEVALUE(O45)&lt;DATE(参数!$B$2,参数!$B$3,1),0,R45/12)))))</f>
        <v>290</v>
      </c>
      <c r="CT45">
        <f t="shared" si="23"/>
        <v>0</v>
      </c>
      <c r="CU45">
        <f>IFERROR(VLOOKUP(DF45,源_6社保表_Sheet1!$C:$I,2,FALSE),0)</f>
        <v>4952</v>
      </c>
      <c r="CV45">
        <f>IFERROR(VLOOKUP(DF45,源_6社保表_Sheet1!$C:$I,7,FALSE),0)</f>
        <v>4787</v>
      </c>
      <c r="CW45">
        <f>IFERROR(VLOOKUP(DF45,源_6社保表_Sheet1!$C:$I,3,FALSE),0)</f>
        <v>4952</v>
      </c>
      <c r="CX45">
        <f>IFERROR(VLOOKUP(DF45,源_6社保表_Sheet1!$C:$I,4,FALSE),0)</f>
        <v>4952</v>
      </c>
      <c r="CY45">
        <f>IFERROR(VLOOKUP(DF45,源_6社保表_Sheet1!$C:$I,5,FALSE),0)</f>
        <v>4952</v>
      </c>
      <c r="CZ45">
        <f>IFERROR(VLOOKUP(DF45,源_6社保表_Sheet1!$C:$I,6,FALSE),0)</f>
        <v>0</v>
      </c>
      <c r="DA45">
        <f t="shared" si="24"/>
        <v>4398.0555304347827</v>
      </c>
      <c r="DB45">
        <f t="shared" si="25"/>
        <v>4751.4639652173919</v>
      </c>
      <c r="DC45" t="str">
        <f>IFERROR(VLOOKUP(K45,源_7银行卡表_Sheet1!$A:$J,8,FALSE),"")</f>
        <v>光大银行</v>
      </c>
      <c r="DD45" t="str">
        <f>IFERROR(VLOOKUP(K45,源_7银行卡表_Sheet1!$A:$J,9,FALSE),"")</f>
        <v>6287993731516550814</v>
      </c>
      <c r="DE45" t="str">
        <f>IFERROR(VLOOKUP(K45,源_7银行卡表_Sheet1!$A:$J,10,FALSE),"")</f>
        <v>北京顺义后沙峪支行</v>
      </c>
      <c r="DF45" t="s">
        <v>344</v>
      </c>
      <c r="DG45">
        <v>13356970546</v>
      </c>
      <c r="DH45" t="s">
        <v>340</v>
      </c>
      <c r="DI45">
        <v>0</v>
      </c>
      <c r="DJ45">
        <v>0</v>
      </c>
      <c r="DK45">
        <v>0</v>
      </c>
      <c r="DL45">
        <v>0</v>
      </c>
      <c r="DM45">
        <v>0</v>
      </c>
      <c r="DN45">
        <v>0</v>
      </c>
      <c r="DO45">
        <v>0</v>
      </c>
      <c r="DP45">
        <v>0</v>
      </c>
      <c r="DQ45">
        <v>0</v>
      </c>
      <c r="DR45">
        <f>IF(OR(IFERROR(VLOOKUP(K45,源_3考勤报表_考勤表!$F:$BG,39,FALSE),0)+IFERROR(VLOOKUP(K45,源_8补工时表_补当月工时!$A:$AC,24,FALSE),0)=0,IFERROR(VLOOKUP(K45,源_3考勤报表_考勤表!$F:$BG,43,FALSE),0)+IFERROR(VLOOKUP(K45,源_8补工时表_补当月工时!$A:$AC,26,FALSE),0)=0),IF(BI45+BG45-BT45&lt;0,BI45+BG45-BT45,0),0)</f>
        <v>0</v>
      </c>
    </row>
    <row r="46" spans="1:122" x14ac:dyDescent="0.15">
      <c r="A46">
        <f>参数!$B$2</f>
        <v>2025</v>
      </c>
      <c r="B46">
        <f>参数!$B$3</f>
        <v>12</v>
      </c>
      <c r="D46" t="s">
        <v>345</v>
      </c>
      <c r="E46" t="s">
        <v>123</v>
      </c>
      <c r="F46" t="str">
        <f>IFERROR(VLOOKUP(K46,源_7银行卡表_Sheet1!$A:$J,6,FALSE),"")</f>
        <v>华东营运</v>
      </c>
      <c r="G46" t="s">
        <v>346</v>
      </c>
      <c r="H46" t="s">
        <v>347</v>
      </c>
      <c r="I46" t="s">
        <v>348</v>
      </c>
      <c r="J46">
        <v>1</v>
      </c>
      <c r="K46">
        <v>26123045</v>
      </c>
      <c r="L46" t="s">
        <v>349</v>
      </c>
      <c r="M46" t="s">
        <v>140</v>
      </c>
      <c r="N46" t="s">
        <v>343</v>
      </c>
      <c r="P46" t="s">
        <v>131</v>
      </c>
      <c r="Q46">
        <f>IF(P46="门店全职",IFERROR(VLOOKUP(K46,源_3考勤报表_考勤表!$F:$BG,34,FALSE),0)+IFERROR(VLOOKUP(K46,源_8补工时表_补当月工时!$A:$AC,14,FALSE),0),IF(P46="门店管理组",IF(IFERROR(VLOOKUP(K46,源_3考勤报表_考勤表!$F:$BG,34,FALSE),0)+IFERROR(VLOOKUP(K46,源_8补工时表_补当月工时!$A:$AC,14,FALSE),0)+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44,FALSE),0)+IFERROR(VLOOKUP(K46,源_8补工时表_补当月工时!$A:$AC,16,FALSE),0)+IFERROR(VLOOKUP(K46,源_3考勤报表_考勤表!$F:$BG,45,FALSE),0)&gt;=参数!$B$4,参数!$B$4-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44,FALSE),0)-IFERROR(VLOOKUP(K46,源_8补工时表_补当月工时!$A:$AC,16,FALSE),0)-IFERROR(VLOOKUP(K46,源_3考勤报表_考勤表!$F:$BG,45,FALSE),0),IFERROR(VLOOKUP(K46,源_3考勤报表_考勤表!$F:$BG,34,FALSE),0)+IFERROR(VLOOKUP(K46,源_8补工时表_补当月工时!$A:$AC,14,FALSE),0)),0))</f>
        <v>152.5</v>
      </c>
      <c r="R46">
        <v>5200</v>
      </c>
      <c r="S46">
        <v>0</v>
      </c>
      <c r="T46">
        <f>IF(P46="门店全职",R46/参数!$B$4*(Q46-MAX(IFERROR(VLOOKUP(K46,源_3考勤报表_考勤表!$F:$BG,34,FALSE),0)+IFERROR(VLOOKUP(K46,源_8补工时表_补当月工时!$A:$AC,14,FALSE),0)+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参数!$B$4,0)),R46/参数!$B$4*Q46)</f>
        <v>4309.782608695652</v>
      </c>
      <c r="U46">
        <v>0</v>
      </c>
      <c r="V46">
        <v>0</v>
      </c>
      <c r="W46">
        <f t="shared" si="13"/>
        <v>49.5</v>
      </c>
      <c r="X46">
        <f>IFERROR(VLOOKUP(K46,源_4奖金汇总表_拆分手工算!$A:$N,8,FALSE),0)</f>
        <v>49.5</v>
      </c>
      <c r="Y46">
        <f>IFERROR(VLOOKUP(K46,源_5薪资备忘录_工资调整项!$A:$AC,14,FALSE),0)</f>
        <v>0</v>
      </c>
      <c r="Z46">
        <f>IFERROR(VLOOKUP(K46,源_5薪资备忘录_工资调整项!$A:$AC,16,FALSE),0)</f>
        <v>0</v>
      </c>
      <c r="AA46">
        <f>IFERROR(VLOOKUP(K46,源_5薪资备忘录_工资调整项!$A:$AC,15,FALSE),0)</f>
        <v>0</v>
      </c>
      <c r="AB46">
        <f t="shared" si="14"/>
        <v>0</v>
      </c>
      <c r="AC46">
        <f>IF(P46="门店全职",R46/174*MAX(IFERROR(VLOOKUP(K46,源_3考勤报表_考勤表!$F:$BG,34,FALSE),0)+IFERROR(VLOOKUP(K46,源_8补工时表_补当月工时!$A:$AC,14,FALSE),0)+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参数!$B$4,0)*1.5,0)</f>
        <v>0</v>
      </c>
      <c r="AD46">
        <v>0</v>
      </c>
      <c r="AE46">
        <f>IFERROR(VLOOKUP(K46,源_3考勤报表_考勤表!$F:$BG,46,FALSE),0)+IFERROR(VLOOKUP(K46,源_8补工时表_补当月工时!$A:$AC,25,FALSE),0)</f>
        <v>0</v>
      </c>
      <c r="AF46">
        <f t="shared" si="15"/>
        <v>0</v>
      </c>
      <c r="AG46">
        <f>IFERROR(VLOOKUP(K46,源_4奖金汇总表_拆分手工算!$A:$N,10,FALSE),0)</f>
        <v>0</v>
      </c>
      <c r="AH46">
        <f>IFERROR(VLOOKUP(K46,源_4奖金汇总表_拆分手工算!$A:$N,5,FALSE),0)</f>
        <v>0</v>
      </c>
      <c r="AI46">
        <f>IFERROR(VLOOKUP(K46,源_4奖金汇总表_拆分手工算!$A:$N,11,FALSE),0)</f>
        <v>0</v>
      </c>
      <c r="AJ46">
        <f>IFERROR(VLOOKUP(K46,源_4奖金汇总表_拆分手工算!$A:$N,4,FALSE),0)</f>
        <v>0</v>
      </c>
      <c r="AK46">
        <f>IFERROR(VLOOKUP(K46,源_4奖金汇总表_拆分手工算!$A:$N,3,FALSE),0)</f>
        <v>0</v>
      </c>
      <c r="AL46">
        <f>IFERROR(VLOOKUP(K46,源_4奖金汇总表_拆分手工算!$A:$N,6,FALSE),0)</f>
        <v>0</v>
      </c>
      <c r="AM46">
        <f>IFERROR(VLOOKUP(K46,源_5薪资备忘录_工资调整项!$A:$AC,18,FALSE),0)+IFERROR(VLOOKUP(K46,源_4奖金汇总表_拆分手工算!$A:$N,7,FALSE),0)</f>
        <v>0</v>
      </c>
      <c r="AN46">
        <f>IFERROR(VLOOKUP(K46,源_5薪资备忘录_工资调整项!$A:$AC,17,FALSE),0)</f>
        <v>0</v>
      </c>
      <c r="AO46">
        <f>IF(OR(IFERROR(VLOOKUP(K46,源_3考勤报表_考勤表!$F:$BG,39,FALSE),0)+IFERROR(VLOOKUP(K46,源_8补工时表_补当月工时!$A:$AC,24,FALSE),0)&gt;0,IFERROR(VLOOKUP(K46,源_3考勤报表_考勤表!$F:$BG,43,FALSE),0)+IFERROR(VLOOKUP(K46,源_8补工时表_补当月工时!$A:$AC,26,FALSE),0)&gt;0),IF(IFERROR(VLOOKUP(DH46,源_11产假政策_Sheet1!$C:$F,4,FALSE),"")="是",R46/参数!$B$4*(IFERROR(VLOOKUP(K46,源_3考勤报表_考勤表!$F:$BG,39,FALSE),0)+IFERROR(VLOOKUP(K46,源_8补工时表_补当月工时!$A:$AC,24,FALSE),0)+IFERROR(VLOOKUP(K46,源_3考勤报表_考勤表!$F:$BG,43,FALSE),0)+IFERROR(VLOOKUP(K46,源_8补工时表_补当月工时!$A:$AC,26,FALSE),0)),IFERROR(VLOOKUP(K46,源_5薪资备忘录_工资调整项!$A:$AC,19,FALSE),0)),0)</f>
        <v>0</v>
      </c>
      <c r="AP46">
        <v>0</v>
      </c>
      <c r="AQ46">
        <f>IFERROR(VLOOKUP(K46,源_4奖金汇总表_拆分手工算!$A:$N,12,FALSE),0)+IFERROR(VLOOKUP(K46,源_9年终奖表_Sheet1!$A:$E,3,FALSE),0)</f>
        <v>1200</v>
      </c>
      <c r="AR46">
        <f>IFERROR(VLOOKUP(K46,源_4奖金汇总表_拆分手工算!$A:$N,13,FALSE),0)+IFERROR(VLOOKUP(K46,源_9年终奖表_Sheet1!$A:$E,4,FALSE),0)</f>
        <v>600</v>
      </c>
      <c r="AS46">
        <f>IFERROR(VLOOKUP(K46,源_4奖金汇总表_拆分手工算!$A:$N,14,FALSE),0)+IFERROR(VLOOKUP(K46,源_9年终奖表_Sheet1!$A:$E,5,FALSE),0)</f>
        <v>222</v>
      </c>
      <c r="AT46">
        <f>IFERROR(VLOOKUP(K46,源_5薪资备忘录_工资调整项!$A:$AC,20,FALSE),0)</f>
        <v>0</v>
      </c>
      <c r="AU46">
        <f>IFERROR(VLOOKUP(K46,源_5薪资备忘录_工资调整项!$A:$AC,21,FALSE),0)+IFERROR(VLOOKUP(K46,源_4奖金汇总表_拆分手工算!$A:$N,9,FALSE),0)</f>
        <v>0</v>
      </c>
      <c r="AV46">
        <f>R46/参数!$B$4*(IFERROR(VLOOKUP(K46,源_3考勤报表_考勤表!$F:$BG,37,FALSE),0)+IFERROR(VLOOKUP(K46,源_8补工时表_补当月工时!$A:$AC,15,FALSE),0))</f>
        <v>0</v>
      </c>
      <c r="AW46">
        <f>R46/174*MIN(IFERROR(VLOOKUP(K46,源_3考勤报表_考勤表!$F:$BG,35,FALSE),0),174)*IF(DATEDIF(N46,DATE(参数!$B$2,参数!$B$3+1,0),"Y")&lt;2,0.6,IF(DATEDIF(N46,DATE(参数!$B$2,参数!$B$3+1,0),"Y")&lt;4,0.7,IF(DATEDIF(N46,DATE(参数!$B$2,参数!$B$3+1,0),"Y")&lt;6,0.8,IF(DATEDIF(N46,DATE(参数!$B$2,参数!$B$3+1,0),"Y")&lt;8,0.9,1))))</f>
        <v>658.9655172413793</v>
      </c>
      <c r="AX46">
        <f>IF(Q46+IFERROR(VLOOKUP(K46,源_3考勤报表_考勤表!$F:$BG,37,FALSE),0)+IFERROR(VLOOKUP(K46,源_8补工时表_补当月工时!$A:$AC,15,FALSE),0)&gt;=参数!$B$4,0,IF(Q46+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lt;=参数!$B$4,R46/参数!$B$4*(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0))</f>
        <v>0</v>
      </c>
      <c r="AY46">
        <v>0</v>
      </c>
      <c r="AZ46">
        <v>0</v>
      </c>
      <c r="BA46">
        <v>0</v>
      </c>
      <c r="BB46">
        <v>0</v>
      </c>
      <c r="BC46">
        <f>IFERROR(VLOOKUP(K46,源_5薪资备忘录_工资调整项!$A:$AC,25,FALSE),0)</f>
        <v>0</v>
      </c>
      <c r="BD46">
        <v>0</v>
      </c>
      <c r="BE46">
        <v>0</v>
      </c>
      <c r="BF46">
        <v>0</v>
      </c>
      <c r="BG46">
        <f>IFERROR(VLOOKUP(K46,源_5薪资备忘录_工资调整项!$A:$AC,22,FALSE),0)+IFERROR(VLOOKUP(K46,源_5薪资备忘录_工资调整项!$A:$AC,23,FALSE),0)+IFERROR(VLOOKUP(K46,源_5薪资备忘录_工资调整项!$A:$AC,24,FALSE),0)</f>
        <v>0</v>
      </c>
      <c r="BH46">
        <f>IFERROR(VLOOKUP(DF46,源_6社保表_Sheet1!$C:$CD,80,FALSE),0)+4.5</f>
        <v>6.5</v>
      </c>
      <c r="BI46">
        <f t="shared" si="16"/>
        <v>7040.2481259370315</v>
      </c>
      <c r="BJ46">
        <f>IFERROR(VLOOKUP(DF46,源_6社保表_Sheet1!$C:$BZ,26,FALSE),0)</f>
        <v>464.73</v>
      </c>
      <c r="BK46">
        <f>IFERROR(VLOOKUP(DF46,源_6社保表_Sheet1!$C:$BZ,27,FALSE),0)</f>
        <v>66.39</v>
      </c>
      <c r="BL46">
        <f>IFERROR(VLOOKUP(DF46,源_6社保表_Sheet1!$C:$BZ,28,FALSE),0)</f>
        <v>33.195</v>
      </c>
      <c r="BM46">
        <f>IFERROR(VLOOKUP(DF46,源_6社保表_Sheet1!$C:$BZ,30,FALSE),0)</f>
        <v>398.34</v>
      </c>
      <c r="BN46">
        <f>IFERROR(VLOOKUP(DF46,源_6社保表_Sheet1!$C:$BZ,29,FALSE),0)</f>
        <v>0</v>
      </c>
      <c r="BO46">
        <f>IFERROR(VLOOKUP(DF46,源_6社保表_Sheet1!$C:$BZ,40,FALSE),0)</f>
        <v>0</v>
      </c>
      <c r="BP46">
        <f>IFERROR(VLOOKUP(DF46,源_6社保表_Sheet1!$C:$BZ,41,FALSE),0)</f>
        <v>0</v>
      </c>
      <c r="BQ46">
        <f>IFERROR(VLOOKUP(DF46,源_6社保表_Sheet1!$C:$BZ,42,FALSE),0)</f>
        <v>0</v>
      </c>
      <c r="BR46">
        <f>IFERROR(VLOOKUP(DF46,源_6社保表_Sheet1!$C:$BZ,44,FALSE),0)</f>
        <v>0</v>
      </c>
      <c r="BS46">
        <f>IFERROR(VLOOKUP(DF46,源_6社保表_Sheet1!$C:$BZ,43,FALSE),0)</f>
        <v>0</v>
      </c>
      <c r="BT46">
        <f t="shared" si="17"/>
        <v>962.65499999999997</v>
      </c>
      <c r="BU46">
        <v>0</v>
      </c>
      <c r="BV46">
        <v>0</v>
      </c>
      <c r="BW46">
        <v>0</v>
      </c>
      <c r="BX46">
        <f t="shared" si="18"/>
        <v>0</v>
      </c>
      <c r="BY46">
        <v>0</v>
      </c>
      <c r="BZ46">
        <f>IFERROR(VLOOKUP(DF46,源_6社保表_Sheet1!$C:$BZ,18,FALSE),0)</f>
        <v>995.85</v>
      </c>
      <c r="CA46">
        <f>IFERROR(VLOOKUP(DF46,源_6社保表_Sheet1!$C:$BZ,19,FALSE),0)</f>
        <v>531.12</v>
      </c>
      <c r="CB46">
        <f>IFERROR(VLOOKUP(DF46,源_6社保表_Sheet1!$C:$BZ,24,FALSE),0)</f>
        <v>398.34</v>
      </c>
      <c r="CC46">
        <f>IFERROR(VLOOKUP(DF46,源_6社保表_Sheet1!$C:$BZ,20,FALSE),0)</f>
        <v>33.195</v>
      </c>
      <c r="CD46">
        <f>IFERROR(VLOOKUP(DF46,源_6社保表_Sheet1!$C:$BZ,21,FALSE),0)</f>
        <v>21.244800000000001</v>
      </c>
      <c r="CE46">
        <f>IFERROR(VLOOKUP(DF46,源_6社保表_Sheet1!$C:$BZ,22,FALSE),0)</f>
        <v>0</v>
      </c>
      <c r="CF46">
        <f>IFERROR(VLOOKUP(DF46,源_6社保表_Sheet1!$C:$BZ,23,FALSE),0)</f>
        <v>0</v>
      </c>
      <c r="CG46">
        <f>IFERROR(VLOOKUP(DF46,源_6社保表_Sheet1!$C:$BZ,32,FALSE),0)</f>
        <v>0</v>
      </c>
      <c r="CH46">
        <f>IFERROR(VLOOKUP(DF46,源_6社保表_Sheet1!$C:$BZ,33,FALSE),0)</f>
        <v>0</v>
      </c>
      <c r="CI46">
        <f>IFERROR(VLOOKUP(DF46,源_6社保表_Sheet1!$C:$BZ,34,FALSE),0)</f>
        <v>0</v>
      </c>
      <c r="CJ46">
        <f>IFERROR(VLOOKUP(DF46,源_6社保表_Sheet1!$C:$BZ,38,FALSE),0)</f>
        <v>0</v>
      </c>
      <c r="CK46">
        <f>IFERROR(VLOOKUP(DF46,源_6社保表_Sheet1!$C:$BZ,35,FALSE),0)</f>
        <v>0</v>
      </c>
      <c r="CL46">
        <f>IFERROR(VLOOKUP(DF46,源_6社保表_Sheet1!$C:$BZ,36,FALSE),0)</f>
        <v>0</v>
      </c>
      <c r="CM46">
        <f>IFERROR(VLOOKUP(DF46,源_6社保表_Sheet1!$C:$BZ,37,FALSE),0)</f>
        <v>0</v>
      </c>
      <c r="CN46">
        <f t="shared" si="19"/>
        <v>1979.7497999999998</v>
      </c>
      <c r="CO46">
        <f t="shared" si="20"/>
        <v>9026.4979259370321</v>
      </c>
      <c r="CP46">
        <f>IF(IFERROR(VLOOKUP(K46,源_13残疾人信息_残疾人信息!$A:$M,1,FALSE),"")&lt;&gt;"",0,IF(OR(P46="门店全职",P46="门店管理组",P46="全职(非门店)"),(BI46-AT46)*IFERROR(VLOOKUP(D46,源_12计提残保金规则_Sheet1!$A:$E,4,FALSE),0)*IFERROR(VLOOKUP(D46,源_12计提残保金规则_Sheet1!$A:$E,5,FALSE),0),0))</f>
        <v>95.043349700149918</v>
      </c>
      <c r="CQ46">
        <f t="shared" si="21"/>
        <v>16.05</v>
      </c>
      <c r="CR46">
        <f t="shared" si="22"/>
        <v>20.67</v>
      </c>
      <c r="CS46">
        <f>IF(DATEVALUE(N46)&gt;DATE(参数!$B$2,9,30),0,IF(M46="行政",0,IF(O46="",R46/12,IF(MONTH(DATEVALUE(O46))=参数!$B$3,0,IF(DATEVALUE(O46)&lt;DATE(参数!$B$2,参数!$B$3,1),0,R46/12)))))</f>
        <v>433.33333333333331</v>
      </c>
      <c r="CT46">
        <f t="shared" si="23"/>
        <v>530.4</v>
      </c>
      <c r="CU46">
        <f>IFERROR(VLOOKUP(DF46,源_6社保表_Sheet1!$C:$I,2,FALSE),0)</f>
        <v>6639</v>
      </c>
      <c r="CV46">
        <f>IFERROR(VLOOKUP(DF46,源_6社保表_Sheet1!$C:$I,7,FALSE),0)</f>
        <v>6639</v>
      </c>
      <c r="CW46">
        <f>IFERROR(VLOOKUP(DF46,源_6社保表_Sheet1!$C:$I,3,FALSE),0)</f>
        <v>6639</v>
      </c>
      <c r="CX46">
        <f>IFERROR(VLOOKUP(DF46,源_6社保表_Sheet1!$C:$I,4,FALSE),0)</f>
        <v>6639</v>
      </c>
      <c r="CY46">
        <f>IFERROR(VLOOKUP(DF46,源_6社保表_Sheet1!$C:$I,5,FALSE),0)</f>
        <v>6639</v>
      </c>
      <c r="CZ46">
        <f>IFERROR(VLOOKUP(DF46,源_6社保表_Sheet1!$C:$I,6,FALSE),0)</f>
        <v>0</v>
      </c>
      <c r="DA46">
        <f t="shared" si="24"/>
        <v>6997.9979259370321</v>
      </c>
      <c r="DB46">
        <f t="shared" si="25"/>
        <v>8099.9946089705145</v>
      </c>
      <c r="DC46" t="str">
        <f>IFERROR(VLOOKUP(K46,源_7银行卡表_Sheet1!$A:$J,8,FALSE),"")</f>
        <v>光大银行</v>
      </c>
      <c r="DD46" t="str">
        <f>IFERROR(VLOOKUP(K46,源_7银行卡表_Sheet1!$A:$J,9,FALSE),"")</f>
        <v>6282974499668182834</v>
      </c>
      <c r="DE46" t="str">
        <f>IFERROR(VLOOKUP(K46,源_7银行卡表_Sheet1!$A:$J,10,FALSE),"")</f>
        <v>北京科技园支行</v>
      </c>
      <c r="DF46" t="s">
        <v>350</v>
      </c>
      <c r="DG46">
        <v>17815376602</v>
      </c>
      <c r="DH46" t="s">
        <v>346</v>
      </c>
      <c r="DI46">
        <v>0</v>
      </c>
      <c r="DJ46">
        <v>0</v>
      </c>
      <c r="DK46">
        <v>0</v>
      </c>
      <c r="DL46">
        <v>0</v>
      </c>
      <c r="DM46">
        <v>0</v>
      </c>
      <c r="DN46">
        <v>0</v>
      </c>
      <c r="DO46">
        <v>0</v>
      </c>
      <c r="DP46">
        <v>0</v>
      </c>
      <c r="DQ46">
        <v>0</v>
      </c>
      <c r="DR46">
        <f>IF(OR(IFERROR(VLOOKUP(K46,源_3考勤报表_考勤表!$F:$BG,39,FALSE),0)+IFERROR(VLOOKUP(K46,源_8补工时表_补当月工时!$A:$AC,24,FALSE),0)=0,IFERROR(VLOOKUP(K46,源_3考勤报表_考勤表!$F:$BG,43,FALSE),0)+IFERROR(VLOOKUP(K46,源_8补工时表_补当月工时!$A:$AC,26,FALSE),0)=0),IF(BI46+BG46-BT46&lt;0,BI46+BG46-BT46,0),0)</f>
        <v>0</v>
      </c>
    </row>
    <row r="47" spans="1:122" x14ac:dyDescent="0.15">
      <c r="A47">
        <f>参数!$B$2</f>
        <v>2025</v>
      </c>
      <c r="B47">
        <f>参数!$B$3</f>
        <v>12</v>
      </c>
      <c r="D47" t="s">
        <v>351</v>
      </c>
      <c r="E47" t="s">
        <v>123</v>
      </c>
      <c r="F47" t="str">
        <f>IFERROR(VLOOKUP(K47,源_7银行卡表_Sheet1!$A:$J,6,FALSE),"")</f>
        <v>华东营运</v>
      </c>
      <c r="G47" t="s">
        <v>180</v>
      </c>
      <c r="H47" t="s">
        <v>352</v>
      </c>
      <c r="I47" t="s">
        <v>353</v>
      </c>
      <c r="J47">
        <v>1</v>
      </c>
      <c r="K47">
        <v>26123046</v>
      </c>
      <c r="L47" t="s">
        <v>354</v>
      </c>
      <c r="M47" t="s">
        <v>218</v>
      </c>
      <c r="N47" t="s">
        <v>355</v>
      </c>
      <c r="P47" t="s">
        <v>131</v>
      </c>
      <c r="Q47">
        <f>IF(P47="门店全职",IFERROR(VLOOKUP(K47,源_3考勤报表_考勤表!$F:$BG,34,FALSE),0)+IFERROR(VLOOKUP(K47,源_8补工时表_补当月工时!$A:$AC,14,FALSE),0),IF(P47="门店管理组",IF(IFERROR(VLOOKUP(K47,源_3考勤报表_考勤表!$F:$BG,34,FALSE),0)+IFERROR(VLOOKUP(K47,源_8补工时表_补当月工时!$A:$AC,14,FALSE),0)+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44,FALSE),0)+IFERROR(VLOOKUP(K47,源_8补工时表_补当月工时!$A:$AC,16,FALSE),0)+IFERROR(VLOOKUP(K47,源_3考勤报表_考勤表!$F:$BG,45,FALSE),0)&gt;=参数!$B$4,参数!$B$4-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44,FALSE),0)-IFERROR(VLOOKUP(K47,源_8补工时表_补当月工时!$A:$AC,16,FALSE),0)-IFERROR(VLOOKUP(K47,源_3考勤报表_考勤表!$F:$BG,45,FALSE),0),IFERROR(VLOOKUP(K47,源_3考勤报表_考勤表!$F:$BG,34,FALSE),0)+IFERROR(VLOOKUP(K47,源_8补工时表_补当月工时!$A:$AC,14,FALSE),0)),0))</f>
        <v>184</v>
      </c>
      <c r="R47">
        <v>4300</v>
      </c>
      <c r="S47">
        <v>0</v>
      </c>
      <c r="T47">
        <f>IF(P47="门店全职",R47/参数!$B$4*(Q47-MAX(IFERROR(VLOOKUP(K47,源_3考勤报表_考勤表!$F:$BG,34,FALSE),0)+IFERROR(VLOOKUP(K47,源_8补工时表_补当月工时!$A:$AC,14,FALSE),0)+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参数!$B$4,0)),R47/参数!$B$4*Q47)</f>
        <v>4300</v>
      </c>
      <c r="U47">
        <v>0</v>
      </c>
      <c r="V47">
        <v>0</v>
      </c>
      <c r="W47">
        <f t="shared" si="13"/>
        <v>3</v>
      </c>
      <c r="X47">
        <f>IFERROR(VLOOKUP(K47,源_4奖金汇总表_拆分手工算!$A:$N,8,FALSE),0)</f>
        <v>3</v>
      </c>
      <c r="Y47">
        <f>IFERROR(VLOOKUP(K47,源_5薪资备忘录_工资调整项!$A:$AC,14,FALSE),0)</f>
        <v>0</v>
      </c>
      <c r="Z47">
        <f>IFERROR(VLOOKUP(K47,源_5薪资备忘录_工资调整项!$A:$AC,16,FALSE),0)</f>
        <v>0</v>
      </c>
      <c r="AA47">
        <f>IFERROR(VLOOKUP(K47,源_5薪资备忘录_工资调整项!$A:$AC,15,FALSE),0)</f>
        <v>0</v>
      </c>
      <c r="AB47">
        <f t="shared" si="14"/>
        <v>0</v>
      </c>
      <c r="AC47">
        <f>IF(P47="门店全职",R47/174*MAX(IFERROR(VLOOKUP(K47,源_3考勤报表_考勤表!$F:$BG,34,FALSE),0)+IFERROR(VLOOKUP(K47,源_8补工时表_补当月工时!$A:$AC,14,FALSE),0)+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参数!$B$4,0)*1.5,0)</f>
        <v>0</v>
      </c>
      <c r="AD47">
        <v>0</v>
      </c>
      <c r="AE47">
        <f>IFERROR(VLOOKUP(K47,源_3考勤报表_考勤表!$F:$BG,46,FALSE),0)+IFERROR(VLOOKUP(K47,源_8补工时表_补当月工时!$A:$AC,25,FALSE),0)</f>
        <v>0</v>
      </c>
      <c r="AF47">
        <f t="shared" si="15"/>
        <v>0</v>
      </c>
      <c r="AG47">
        <f>IFERROR(VLOOKUP(K47,源_4奖金汇总表_拆分手工算!$A:$N,10,FALSE),0)</f>
        <v>0</v>
      </c>
      <c r="AH47">
        <f>IFERROR(VLOOKUP(K47,源_4奖金汇总表_拆分手工算!$A:$N,5,FALSE),0)</f>
        <v>0</v>
      </c>
      <c r="AI47">
        <f>IFERROR(VLOOKUP(K47,源_4奖金汇总表_拆分手工算!$A:$N,11,FALSE),0)</f>
        <v>0</v>
      </c>
      <c r="AJ47">
        <f>IFERROR(VLOOKUP(K47,源_4奖金汇总表_拆分手工算!$A:$N,4,FALSE),0)</f>
        <v>0</v>
      </c>
      <c r="AK47">
        <f>IFERROR(VLOOKUP(K47,源_4奖金汇总表_拆分手工算!$A:$N,3,FALSE),0)</f>
        <v>0</v>
      </c>
      <c r="AL47">
        <f>IFERROR(VLOOKUP(K47,源_4奖金汇总表_拆分手工算!$A:$N,6,FALSE),0)</f>
        <v>0</v>
      </c>
      <c r="AM47">
        <f>IFERROR(VLOOKUP(K47,源_5薪资备忘录_工资调整项!$A:$AC,18,FALSE),0)+IFERROR(VLOOKUP(K47,源_4奖金汇总表_拆分手工算!$A:$N,7,FALSE),0)</f>
        <v>0</v>
      </c>
      <c r="AN47">
        <f>IFERROR(VLOOKUP(K47,源_5薪资备忘录_工资调整项!$A:$AC,17,FALSE),0)</f>
        <v>0</v>
      </c>
      <c r="AO47">
        <f>IF(OR(IFERROR(VLOOKUP(K47,源_3考勤报表_考勤表!$F:$BG,39,FALSE),0)+IFERROR(VLOOKUP(K47,源_8补工时表_补当月工时!$A:$AC,24,FALSE),0)&gt;0,IFERROR(VLOOKUP(K47,源_3考勤报表_考勤表!$F:$BG,43,FALSE),0)+IFERROR(VLOOKUP(K47,源_8补工时表_补当月工时!$A:$AC,26,FALSE),0)&gt;0),IF(IFERROR(VLOOKUP(DH47,源_11产假政策_Sheet1!$C:$F,4,FALSE),"")="是",R47/参数!$B$4*(IFERROR(VLOOKUP(K47,源_3考勤报表_考勤表!$F:$BG,39,FALSE),0)+IFERROR(VLOOKUP(K47,源_8补工时表_补当月工时!$A:$AC,24,FALSE),0)+IFERROR(VLOOKUP(K47,源_3考勤报表_考勤表!$F:$BG,43,FALSE),0)+IFERROR(VLOOKUP(K47,源_8补工时表_补当月工时!$A:$AC,26,FALSE),0)),IFERROR(VLOOKUP(K47,源_5薪资备忘录_工资调整项!$A:$AC,19,FALSE),0)),0)</f>
        <v>0</v>
      </c>
      <c r="AP47">
        <v>0</v>
      </c>
      <c r="AQ47">
        <f>IFERROR(VLOOKUP(K47,源_4奖金汇总表_拆分手工算!$A:$N,12,FALSE),0)+IFERROR(VLOOKUP(K47,源_9年终奖表_Sheet1!$A:$E,3,FALSE),0)</f>
        <v>0</v>
      </c>
      <c r="AR47">
        <f>IFERROR(VLOOKUP(K47,源_4奖金汇总表_拆分手工算!$A:$N,13,FALSE),0)+IFERROR(VLOOKUP(K47,源_9年终奖表_Sheet1!$A:$E,4,FALSE),0)</f>
        <v>0</v>
      </c>
      <c r="AS47">
        <f>IFERROR(VLOOKUP(K47,源_4奖金汇总表_拆分手工算!$A:$N,14,FALSE),0)+IFERROR(VLOOKUP(K47,源_9年终奖表_Sheet1!$A:$E,5,FALSE),0)</f>
        <v>0</v>
      </c>
      <c r="AT47">
        <f>IFERROR(VLOOKUP(K47,源_5薪资备忘录_工资调整项!$A:$AC,20,FALSE),0)</f>
        <v>0</v>
      </c>
      <c r="AU47">
        <f>IFERROR(VLOOKUP(K47,源_5薪资备忘录_工资调整项!$A:$AC,21,FALSE),0)+IFERROR(VLOOKUP(K47,源_4奖金汇总表_拆分手工算!$A:$N,9,FALSE),0)</f>
        <v>0</v>
      </c>
      <c r="AV47">
        <f>R47/参数!$B$4*(IFERROR(VLOOKUP(K47,源_3考勤报表_考勤表!$F:$BG,37,FALSE),0)+IFERROR(VLOOKUP(K47,源_8补工时表_补当月工时!$A:$AC,15,FALSE),0))</f>
        <v>0</v>
      </c>
      <c r="AW47">
        <f>R47/174*MIN(IFERROR(VLOOKUP(K47,源_3考勤报表_考勤表!$F:$BG,35,FALSE),0),174)*IF(DATEDIF(N47,DATE(参数!$B$2,参数!$B$3+1,0),"Y")&lt;2,0.6,IF(DATEDIF(N47,DATE(参数!$B$2,参数!$B$3+1,0),"Y")&lt;4,0.7,IF(DATEDIF(N47,DATE(参数!$B$2,参数!$B$3+1,0),"Y")&lt;6,0.8,IF(DATEDIF(N47,DATE(参数!$B$2,参数!$B$3+1,0),"Y")&lt;8,0.9,1))))</f>
        <v>0</v>
      </c>
      <c r="AX47">
        <f>IF(Q47+IFERROR(VLOOKUP(K47,源_3考勤报表_考勤表!$F:$BG,37,FALSE),0)+IFERROR(VLOOKUP(K47,源_8补工时表_补当月工时!$A:$AC,15,FALSE),0)&gt;=参数!$B$4,0,IF(Q47+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lt;=参数!$B$4,R47/参数!$B$4*(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0))</f>
        <v>0</v>
      </c>
      <c r="AY47">
        <v>0</v>
      </c>
      <c r="AZ47">
        <v>0</v>
      </c>
      <c r="BA47">
        <v>0</v>
      </c>
      <c r="BB47">
        <v>0</v>
      </c>
      <c r="BC47">
        <f>IFERROR(VLOOKUP(K47,源_5薪资备忘录_工资调整项!$A:$AC,25,FALSE),0)</f>
        <v>0</v>
      </c>
      <c r="BD47">
        <v>0</v>
      </c>
      <c r="BE47">
        <v>0</v>
      </c>
      <c r="BF47">
        <v>0</v>
      </c>
      <c r="BG47">
        <f>IFERROR(VLOOKUP(K47,源_5薪资备忘录_工资调整项!$A:$AC,22,FALSE),0)+IFERROR(VLOOKUP(K47,源_5薪资备忘录_工资调整项!$A:$AC,23,FALSE),0)+IFERROR(VLOOKUP(K47,源_5薪资备忘录_工资调整项!$A:$AC,24,FALSE),0)</f>
        <v>0</v>
      </c>
      <c r="BH47">
        <f>IFERROR(VLOOKUP(DF47,源_6社保表_Sheet1!$C:$CD,80,FALSE),0)+4.5</f>
        <v>6.5</v>
      </c>
      <c r="BI47">
        <f t="shared" si="16"/>
        <v>4303</v>
      </c>
      <c r="BJ47">
        <f>IFERROR(VLOOKUP(DF47,源_6社保表_Sheet1!$C:$BZ,26,FALSE),0)</f>
        <v>249.3</v>
      </c>
      <c r="BK47">
        <f>IFERROR(VLOOKUP(DF47,源_6社保表_Sheet1!$C:$BZ,27,FALSE),0)</f>
        <v>49.86</v>
      </c>
      <c r="BL47">
        <f>IFERROR(VLOOKUP(DF47,源_6社保表_Sheet1!$C:$BZ,28,FALSE),0)</f>
        <v>24.93</v>
      </c>
      <c r="BM47">
        <f>IFERROR(VLOOKUP(DF47,源_6社保表_Sheet1!$C:$BZ,30,FALSE),0)</f>
        <v>228.8</v>
      </c>
      <c r="BN47">
        <f>IFERROR(VLOOKUP(DF47,源_6社保表_Sheet1!$C:$BZ,29,FALSE),0)</f>
        <v>0</v>
      </c>
      <c r="BO47">
        <f>IFERROR(VLOOKUP(DF47,源_6社保表_Sheet1!$C:$BZ,40,FALSE),0)</f>
        <v>0</v>
      </c>
      <c r="BP47">
        <f>IFERROR(VLOOKUP(DF47,源_6社保表_Sheet1!$C:$BZ,41,FALSE),0)</f>
        <v>0</v>
      </c>
      <c r="BQ47">
        <f>IFERROR(VLOOKUP(DF47,源_6社保表_Sheet1!$C:$BZ,42,FALSE),0)</f>
        <v>0</v>
      </c>
      <c r="BR47">
        <f>IFERROR(VLOOKUP(DF47,源_6社保表_Sheet1!$C:$BZ,44,FALSE),0)</f>
        <v>0</v>
      </c>
      <c r="BS47">
        <f>IFERROR(VLOOKUP(DF47,源_6社保表_Sheet1!$C:$BZ,43,FALSE),0)</f>
        <v>0</v>
      </c>
      <c r="BT47">
        <f t="shared" si="17"/>
        <v>552.8900000000001</v>
      </c>
      <c r="BU47">
        <v>0</v>
      </c>
      <c r="BV47">
        <v>0</v>
      </c>
      <c r="BW47">
        <v>0</v>
      </c>
      <c r="BX47">
        <f t="shared" si="18"/>
        <v>0</v>
      </c>
      <c r="BY47">
        <v>0</v>
      </c>
      <c r="BZ47">
        <f>IFERROR(VLOOKUP(DF47,源_6社保表_Sheet1!$C:$BZ,18,FALSE),0)</f>
        <v>598.32000000000005</v>
      </c>
      <c r="CA47">
        <f>IFERROR(VLOOKUP(DF47,源_6社保表_Sheet1!$C:$BZ,19,FALSE),0)</f>
        <v>299.16000000000003</v>
      </c>
      <c r="CB47">
        <f>IFERROR(VLOOKUP(DF47,源_6社保表_Sheet1!$C:$BZ,24,FALSE),0)</f>
        <v>228.8</v>
      </c>
      <c r="CC47">
        <f>IFERROR(VLOOKUP(DF47,源_6社保表_Sheet1!$C:$BZ,20,FALSE),0)</f>
        <v>24.93</v>
      </c>
      <c r="CD47">
        <f>IFERROR(VLOOKUP(DF47,源_6社保表_Sheet1!$C:$BZ,21,FALSE),0)</f>
        <v>15.9552</v>
      </c>
      <c r="CE47">
        <f>IFERROR(VLOOKUP(DF47,源_6社保表_Sheet1!$C:$BZ,22,FALSE),0)</f>
        <v>0</v>
      </c>
      <c r="CF47">
        <f>IFERROR(VLOOKUP(DF47,源_6社保表_Sheet1!$C:$BZ,23,FALSE),0)</f>
        <v>0</v>
      </c>
      <c r="CG47">
        <f>IFERROR(VLOOKUP(DF47,源_6社保表_Sheet1!$C:$BZ,32,FALSE),0)</f>
        <v>0</v>
      </c>
      <c r="CH47">
        <f>IFERROR(VLOOKUP(DF47,源_6社保表_Sheet1!$C:$BZ,33,FALSE),0)</f>
        <v>0</v>
      </c>
      <c r="CI47">
        <f>IFERROR(VLOOKUP(DF47,源_6社保表_Sheet1!$C:$BZ,34,FALSE),0)</f>
        <v>0</v>
      </c>
      <c r="CJ47">
        <f>IFERROR(VLOOKUP(DF47,源_6社保表_Sheet1!$C:$BZ,38,FALSE),0)</f>
        <v>0</v>
      </c>
      <c r="CK47">
        <f>IFERROR(VLOOKUP(DF47,源_6社保表_Sheet1!$C:$BZ,35,FALSE),0)</f>
        <v>0</v>
      </c>
      <c r="CL47">
        <f>IFERROR(VLOOKUP(DF47,源_6社保表_Sheet1!$C:$BZ,36,FALSE),0)</f>
        <v>0</v>
      </c>
      <c r="CM47">
        <f>IFERROR(VLOOKUP(DF47,源_6社保表_Sheet1!$C:$BZ,37,FALSE),0)</f>
        <v>0</v>
      </c>
      <c r="CN47">
        <f t="shared" si="19"/>
        <v>1167.1652000000001</v>
      </c>
      <c r="CO47">
        <f t="shared" si="20"/>
        <v>5476.6652000000004</v>
      </c>
      <c r="CP47">
        <f>IF(IFERROR(VLOOKUP(K47,源_13残疾人信息_残疾人信息!$A:$M,1,FALSE),"")&lt;&gt;"",0,IF(OR(P47="门店全职",P47="门店管理组",P47="全职(非门店)"),(BI47-AT47)*IFERROR(VLOOKUP(D47,源_12计提残保金规则_Sheet1!$A:$E,4,FALSE),0)*IFERROR(VLOOKUP(D47,源_12计提残保金规则_Sheet1!$A:$E,5,FALSE),0),0))</f>
        <v>58.090500000000006</v>
      </c>
      <c r="CQ47">
        <f t="shared" si="21"/>
        <v>16.05</v>
      </c>
      <c r="CR47">
        <f t="shared" si="22"/>
        <v>20.67</v>
      </c>
      <c r="CS47">
        <f>IF(DATEVALUE(N47)&gt;DATE(参数!$B$2,9,30),0,IF(M47="行政",0,IF(O47="",R47/12,IF(MONTH(DATEVALUE(O47))=参数!$B$3,0,IF(DATEVALUE(O47)&lt;DATE(参数!$B$2,参数!$B$3,1),0,R47/12)))))</f>
        <v>358.33333333333331</v>
      </c>
      <c r="CT47">
        <f t="shared" si="23"/>
        <v>438.59999999999997</v>
      </c>
      <c r="CU47">
        <f>IFERROR(VLOOKUP(DF47,源_6社保表_Sheet1!$C:$I,2,FALSE),0)</f>
        <v>4986</v>
      </c>
      <c r="CV47">
        <f>IFERROR(VLOOKUP(DF47,源_6社保表_Sheet1!$C:$I,7,FALSE),0)</f>
        <v>4576</v>
      </c>
      <c r="CW47">
        <f>IFERROR(VLOOKUP(DF47,源_6社保表_Sheet1!$C:$I,3,FALSE),0)</f>
        <v>4986</v>
      </c>
      <c r="CX47">
        <f>IFERROR(VLOOKUP(DF47,源_6社保表_Sheet1!$C:$I,4,FALSE),0)</f>
        <v>4986</v>
      </c>
      <c r="CY47">
        <f>IFERROR(VLOOKUP(DF47,源_6社保表_Sheet1!$C:$I,5,FALSE),0)</f>
        <v>4986</v>
      </c>
      <c r="CZ47">
        <f>IFERROR(VLOOKUP(DF47,源_6社保表_Sheet1!$C:$I,6,FALSE),0)</f>
        <v>0</v>
      </c>
      <c r="DA47">
        <f t="shared" si="24"/>
        <v>5470.1652000000004</v>
      </c>
      <c r="DB47">
        <f t="shared" si="25"/>
        <v>6368.4090333333343</v>
      </c>
      <c r="DC47" t="str">
        <f>IFERROR(VLOOKUP(K47,源_7银行卡表_Sheet1!$A:$J,8,FALSE),"")</f>
        <v>交通银行</v>
      </c>
      <c r="DD47" t="str">
        <f>IFERROR(VLOOKUP(K47,源_7银行卡表_Sheet1!$A:$J,9,FALSE),"")</f>
        <v>6281545302551256866</v>
      </c>
      <c r="DE47" t="str">
        <f>IFERROR(VLOOKUP(K47,源_7银行卡表_Sheet1!$A:$J,10,FALSE),"")</f>
        <v>交通银行天津师范大学支行</v>
      </c>
      <c r="DF47" t="s">
        <v>356</v>
      </c>
      <c r="DG47">
        <v>15344897754</v>
      </c>
      <c r="DH47" t="s">
        <v>180</v>
      </c>
      <c r="DI47">
        <v>0</v>
      </c>
      <c r="DJ47">
        <v>0</v>
      </c>
      <c r="DK47">
        <v>0</v>
      </c>
      <c r="DL47">
        <v>0</v>
      </c>
      <c r="DM47">
        <v>0</v>
      </c>
      <c r="DN47">
        <v>0</v>
      </c>
      <c r="DO47">
        <v>0</v>
      </c>
      <c r="DP47">
        <v>0</v>
      </c>
      <c r="DQ47">
        <v>0</v>
      </c>
      <c r="DR47">
        <f>IF(OR(IFERROR(VLOOKUP(K47,源_3考勤报表_考勤表!$F:$BG,39,FALSE),0)+IFERROR(VLOOKUP(K47,源_8补工时表_补当月工时!$A:$AC,24,FALSE),0)=0,IFERROR(VLOOKUP(K47,源_3考勤报表_考勤表!$F:$BG,43,FALSE),0)+IFERROR(VLOOKUP(K47,源_8补工时表_补当月工时!$A:$AC,26,FALSE),0)=0),IF(BI47+BG47-BT47&lt;0,BI47+BG47-BT47,0),0)</f>
        <v>0</v>
      </c>
    </row>
    <row r="48" spans="1:122" x14ac:dyDescent="0.15">
      <c r="A48">
        <f>参数!$B$2</f>
        <v>2025</v>
      </c>
      <c r="B48">
        <f>参数!$B$3</f>
        <v>12</v>
      </c>
      <c r="D48" t="s">
        <v>165</v>
      </c>
      <c r="E48" t="s">
        <v>123</v>
      </c>
      <c r="F48" t="str">
        <f>IFERROR(VLOOKUP(K48,源_7银行卡表_Sheet1!$A:$J,6,FALSE),"")</f>
        <v>华北营运</v>
      </c>
      <c r="G48" t="s">
        <v>166</v>
      </c>
      <c r="H48" t="s">
        <v>357</v>
      </c>
      <c r="I48" t="s">
        <v>168</v>
      </c>
      <c r="J48">
        <v>1</v>
      </c>
      <c r="K48">
        <v>26123047</v>
      </c>
      <c r="L48" t="s">
        <v>358</v>
      </c>
      <c r="M48" t="s">
        <v>152</v>
      </c>
      <c r="N48" t="s">
        <v>359</v>
      </c>
      <c r="P48" t="s">
        <v>154</v>
      </c>
      <c r="Q48">
        <f>IF(P48="门店全职",IFERROR(VLOOKUP(K48,源_3考勤报表_考勤表!$F:$BG,34,FALSE),0)+IFERROR(VLOOKUP(K48,源_8补工时表_补当月工时!$A:$AC,14,FALSE),0),IF(P48="门店管理组",IF(IFERROR(VLOOKUP(K48,源_3考勤报表_考勤表!$F:$BG,34,FALSE),0)+IFERROR(VLOOKUP(K48,源_8补工时表_补当月工时!$A:$AC,14,FALSE),0)+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44,FALSE),0)+IFERROR(VLOOKUP(K48,源_8补工时表_补当月工时!$A:$AC,16,FALSE),0)+IFERROR(VLOOKUP(K48,源_3考勤报表_考勤表!$F:$BG,45,FALSE),0)&gt;=参数!$B$4,参数!$B$4-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44,FALSE),0)-IFERROR(VLOOKUP(K48,源_8补工时表_补当月工时!$A:$AC,16,FALSE),0)-IFERROR(VLOOKUP(K48,源_3考勤报表_考勤表!$F:$BG,45,FALSE),0),IFERROR(VLOOKUP(K48,源_3考勤报表_考勤表!$F:$BG,34,FALSE),0)+IFERROR(VLOOKUP(K48,源_8补工时表_补当月工时!$A:$AC,14,FALSE),0)),0))</f>
        <v>140</v>
      </c>
      <c r="R48">
        <v>3310</v>
      </c>
      <c r="S48">
        <v>0</v>
      </c>
      <c r="T48">
        <f>IF(P48="门店全职",R48/参数!$B$4*(Q48-MAX(IFERROR(VLOOKUP(K48,源_3考勤报表_考勤表!$F:$BG,34,FALSE),0)+IFERROR(VLOOKUP(K48,源_8补工时表_补当月工时!$A:$AC,14,FALSE),0)+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参数!$B$4,0)),R48/参数!$B$4*Q48)</f>
        <v>2518.4782608695655</v>
      </c>
      <c r="U48">
        <v>0</v>
      </c>
      <c r="V48">
        <v>0</v>
      </c>
      <c r="W48">
        <f t="shared" si="13"/>
        <v>19</v>
      </c>
      <c r="X48">
        <f>IFERROR(VLOOKUP(K48,源_4奖金汇总表_拆分手工算!$A:$N,8,FALSE),0)</f>
        <v>19</v>
      </c>
      <c r="Y48">
        <f>IFERROR(VLOOKUP(K48,源_5薪资备忘录_工资调整项!$A:$AC,14,FALSE),0)</f>
        <v>0</v>
      </c>
      <c r="Z48">
        <f>IFERROR(VLOOKUP(K48,源_5薪资备忘录_工资调整项!$A:$AC,16,FALSE),0)</f>
        <v>0</v>
      </c>
      <c r="AA48">
        <f>IFERROR(VLOOKUP(K48,源_5薪资备忘录_工资调整项!$A:$AC,15,FALSE),0)</f>
        <v>0</v>
      </c>
      <c r="AB48">
        <f t="shared" si="14"/>
        <v>0</v>
      </c>
      <c r="AC48">
        <f>IF(P48="门店全职",R48/174*MAX(IFERROR(VLOOKUP(K48,源_3考勤报表_考勤表!$F:$BG,34,FALSE),0)+IFERROR(VLOOKUP(K48,源_8补工时表_补当月工时!$A:$AC,14,FALSE),0)+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参数!$B$4,0)*1.5,0)</f>
        <v>0</v>
      </c>
      <c r="AD48">
        <v>0</v>
      </c>
      <c r="AE48">
        <f>IFERROR(VLOOKUP(K48,源_3考勤报表_考勤表!$F:$BG,46,FALSE),0)+IFERROR(VLOOKUP(K48,源_8补工时表_补当月工时!$A:$AC,25,FALSE),0)</f>
        <v>0</v>
      </c>
      <c r="AF48">
        <f t="shared" si="15"/>
        <v>0</v>
      </c>
      <c r="AG48">
        <f>IFERROR(VLOOKUP(K48,源_4奖金汇总表_拆分手工算!$A:$N,10,FALSE),0)</f>
        <v>0</v>
      </c>
      <c r="AH48">
        <f>IFERROR(VLOOKUP(K48,源_4奖金汇总表_拆分手工算!$A:$N,5,FALSE),0)</f>
        <v>0</v>
      </c>
      <c r="AI48">
        <f>IFERROR(VLOOKUP(K48,源_4奖金汇总表_拆分手工算!$A:$N,11,FALSE),0)</f>
        <v>0</v>
      </c>
      <c r="AJ48">
        <f>IFERROR(VLOOKUP(K48,源_4奖金汇总表_拆分手工算!$A:$N,4,FALSE),0)</f>
        <v>0</v>
      </c>
      <c r="AK48">
        <f>IFERROR(VLOOKUP(K48,源_4奖金汇总表_拆分手工算!$A:$N,3,FALSE),0)</f>
        <v>0</v>
      </c>
      <c r="AL48">
        <f>IFERROR(VLOOKUP(K48,源_4奖金汇总表_拆分手工算!$A:$N,6,FALSE),0)</f>
        <v>0</v>
      </c>
      <c r="AM48">
        <f>IFERROR(VLOOKUP(K48,源_5薪资备忘录_工资调整项!$A:$AC,18,FALSE),0)+IFERROR(VLOOKUP(K48,源_4奖金汇总表_拆分手工算!$A:$N,7,FALSE),0)</f>
        <v>0</v>
      </c>
      <c r="AN48">
        <f>IFERROR(VLOOKUP(K48,源_5薪资备忘录_工资调整项!$A:$AC,17,FALSE),0)</f>
        <v>0</v>
      </c>
      <c r="AO48">
        <f>IF(OR(IFERROR(VLOOKUP(K48,源_3考勤报表_考勤表!$F:$BG,39,FALSE),0)+IFERROR(VLOOKUP(K48,源_8补工时表_补当月工时!$A:$AC,24,FALSE),0)&gt;0,IFERROR(VLOOKUP(K48,源_3考勤报表_考勤表!$F:$BG,43,FALSE),0)+IFERROR(VLOOKUP(K48,源_8补工时表_补当月工时!$A:$AC,26,FALSE),0)&gt;0),IF(IFERROR(VLOOKUP(DH48,源_11产假政策_Sheet1!$C:$F,4,FALSE),"")="是",R48/参数!$B$4*(IFERROR(VLOOKUP(K48,源_3考勤报表_考勤表!$F:$BG,39,FALSE),0)+IFERROR(VLOOKUP(K48,源_8补工时表_补当月工时!$A:$AC,24,FALSE),0)+IFERROR(VLOOKUP(K48,源_3考勤报表_考勤表!$F:$BG,43,FALSE),0)+IFERROR(VLOOKUP(K48,源_8补工时表_补当月工时!$A:$AC,26,FALSE),0)),IFERROR(VLOOKUP(K48,源_5薪资备忘录_工资调整项!$A:$AC,19,FALSE),0)),0)</f>
        <v>0</v>
      </c>
      <c r="AP48">
        <v>0</v>
      </c>
      <c r="AQ48">
        <f>IFERROR(VLOOKUP(K48,源_4奖金汇总表_拆分手工算!$A:$N,12,FALSE),0)+IFERROR(VLOOKUP(K48,源_9年终奖表_Sheet1!$A:$E,3,FALSE),0)</f>
        <v>0</v>
      </c>
      <c r="AR48">
        <f>IFERROR(VLOOKUP(K48,源_4奖金汇总表_拆分手工算!$A:$N,13,FALSE),0)+IFERROR(VLOOKUP(K48,源_9年终奖表_Sheet1!$A:$E,4,FALSE),0)</f>
        <v>0</v>
      </c>
      <c r="AS48">
        <f>IFERROR(VLOOKUP(K48,源_4奖金汇总表_拆分手工算!$A:$N,14,FALSE),0)+IFERROR(VLOOKUP(K48,源_9年终奖表_Sheet1!$A:$E,5,FALSE),0)</f>
        <v>0</v>
      </c>
      <c r="AT48">
        <f>IFERROR(VLOOKUP(K48,源_5薪资备忘录_工资调整项!$A:$AC,20,FALSE),0)</f>
        <v>0</v>
      </c>
      <c r="AU48">
        <f>IFERROR(VLOOKUP(K48,源_5薪资备忘录_工资调整项!$A:$AC,21,FALSE),0)+IFERROR(VLOOKUP(K48,源_4奖金汇总表_拆分手工算!$A:$N,9,FALSE),0)</f>
        <v>0</v>
      </c>
      <c r="AV48">
        <f>R48/参数!$B$4*(IFERROR(VLOOKUP(K48,源_3考勤报表_考勤表!$F:$BG,37,FALSE),0)+IFERROR(VLOOKUP(K48,源_8补工时表_补当月工时!$A:$AC,15,FALSE),0))</f>
        <v>0</v>
      </c>
      <c r="AW48">
        <f>R48/174*MIN(IFERROR(VLOOKUP(K48,源_3考勤报表_考勤表!$F:$BG,35,FALSE),0),174)*IF(DATEDIF(N48,DATE(参数!$B$2,参数!$B$3+1,0),"Y")&lt;2,0.6,IF(DATEDIF(N48,DATE(参数!$B$2,参数!$B$3+1,0),"Y")&lt;4,0.7,IF(DATEDIF(N48,DATE(参数!$B$2,参数!$B$3+1,0),"Y")&lt;6,0.8,IF(DATEDIF(N48,DATE(参数!$B$2,参数!$B$3+1,0),"Y")&lt;8,0.9,1))))</f>
        <v>0</v>
      </c>
      <c r="AX48">
        <f>IF(Q48+IFERROR(VLOOKUP(K48,源_3考勤报表_考勤表!$F:$BG,37,FALSE),0)+IFERROR(VLOOKUP(K48,源_8补工时表_补当月工时!$A:$AC,15,FALSE),0)&gt;=参数!$B$4,0,IF(Q48+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lt;=参数!$B$4,R48/参数!$B$4*(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0))</f>
        <v>0</v>
      </c>
      <c r="AY48">
        <v>0</v>
      </c>
      <c r="AZ48">
        <v>0</v>
      </c>
      <c r="BA48">
        <v>0</v>
      </c>
      <c r="BB48">
        <v>0</v>
      </c>
      <c r="BC48">
        <f>IFERROR(VLOOKUP(K48,源_5薪资备忘录_工资调整项!$A:$AC,25,FALSE),0)</f>
        <v>0</v>
      </c>
      <c r="BD48">
        <v>0</v>
      </c>
      <c r="BE48">
        <v>0</v>
      </c>
      <c r="BF48">
        <v>0</v>
      </c>
      <c r="BG48">
        <f>IFERROR(VLOOKUP(K48,源_5薪资备忘录_工资调整项!$A:$AC,22,FALSE),0)+IFERROR(VLOOKUP(K48,源_5薪资备忘录_工资调整项!$A:$AC,23,FALSE),0)+IFERROR(VLOOKUP(K48,源_5薪资备忘录_工资调整项!$A:$AC,24,FALSE),0)</f>
        <v>0</v>
      </c>
      <c r="BH48">
        <f>IFERROR(VLOOKUP(DF48,源_6社保表_Sheet1!$C:$CD,80,FALSE),0)+4.5</f>
        <v>6.5</v>
      </c>
      <c r="BI48">
        <f t="shared" si="16"/>
        <v>2537.4782608695655</v>
      </c>
      <c r="BJ48">
        <f>IFERROR(VLOOKUP(DF48,源_6社保表_Sheet1!$C:$BZ,26,FALSE),0)</f>
        <v>389.83</v>
      </c>
      <c r="BK48">
        <f>IFERROR(VLOOKUP(DF48,源_6社保表_Sheet1!$C:$BZ,27,FALSE),0)</f>
        <v>55.69</v>
      </c>
      <c r="BL48">
        <f>IFERROR(VLOOKUP(DF48,源_6社保表_Sheet1!$C:$BZ,28,FALSE),0)</f>
        <v>27.844999999999999</v>
      </c>
      <c r="BM48">
        <f>IFERROR(VLOOKUP(DF48,源_6社保表_Sheet1!$C:$BZ,30,FALSE),0)</f>
        <v>334.14</v>
      </c>
      <c r="BN48">
        <f>IFERROR(VLOOKUP(DF48,源_6社保表_Sheet1!$C:$BZ,29,FALSE),0)</f>
        <v>0</v>
      </c>
      <c r="BO48">
        <f>IFERROR(VLOOKUP(DF48,源_6社保表_Sheet1!$C:$BZ,40,FALSE),0)</f>
        <v>0</v>
      </c>
      <c r="BP48">
        <f>IFERROR(VLOOKUP(DF48,源_6社保表_Sheet1!$C:$BZ,41,FALSE),0)</f>
        <v>0</v>
      </c>
      <c r="BQ48">
        <f>IFERROR(VLOOKUP(DF48,源_6社保表_Sheet1!$C:$BZ,42,FALSE),0)</f>
        <v>0</v>
      </c>
      <c r="BR48">
        <f>IFERROR(VLOOKUP(DF48,源_6社保表_Sheet1!$C:$BZ,44,FALSE),0)</f>
        <v>0</v>
      </c>
      <c r="BS48">
        <f>IFERROR(VLOOKUP(DF48,源_6社保表_Sheet1!$C:$BZ,43,FALSE),0)</f>
        <v>0</v>
      </c>
      <c r="BT48">
        <f t="shared" si="17"/>
        <v>807.505</v>
      </c>
      <c r="BU48">
        <v>0</v>
      </c>
      <c r="BV48">
        <v>0</v>
      </c>
      <c r="BW48">
        <v>0</v>
      </c>
      <c r="BX48">
        <f t="shared" si="18"/>
        <v>0</v>
      </c>
      <c r="BY48">
        <v>0</v>
      </c>
      <c r="BZ48">
        <f>IFERROR(VLOOKUP(DF48,源_6社保表_Sheet1!$C:$BZ,18,FALSE),0)</f>
        <v>835.35</v>
      </c>
      <c r="CA48">
        <f>IFERROR(VLOOKUP(DF48,源_6社保表_Sheet1!$C:$BZ,19,FALSE),0)</f>
        <v>445.52</v>
      </c>
      <c r="CB48">
        <f>IFERROR(VLOOKUP(DF48,源_6社保表_Sheet1!$C:$BZ,24,FALSE),0)</f>
        <v>334.14</v>
      </c>
      <c r="CC48">
        <f>IFERROR(VLOOKUP(DF48,源_6社保表_Sheet1!$C:$BZ,20,FALSE),0)</f>
        <v>27.844999999999999</v>
      </c>
      <c r="CD48">
        <f>IFERROR(VLOOKUP(DF48,源_6社保表_Sheet1!$C:$BZ,21,FALSE),0)</f>
        <v>17.820799999999998</v>
      </c>
      <c r="CE48">
        <f>IFERROR(VLOOKUP(DF48,源_6社保表_Sheet1!$C:$BZ,22,FALSE),0)</f>
        <v>0</v>
      </c>
      <c r="CF48">
        <f>IFERROR(VLOOKUP(DF48,源_6社保表_Sheet1!$C:$BZ,23,FALSE),0)</f>
        <v>0</v>
      </c>
      <c r="CG48">
        <f>IFERROR(VLOOKUP(DF48,源_6社保表_Sheet1!$C:$BZ,32,FALSE),0)</f>
        <v>0</v>
      </c>
      <c r="CH48">
        <f>IFERROR(VLOOKUP(DF48,源_6社保表_Sheet1!$C:$BZ,33,FALSE),0)</f>
        <v>0</v>
      </c>
      <c r="CI48">
        <f>IFERROR(VLOOKUP(DF48,源_6社保表_Sheet1!$C:$BZ,34,FALSE),0)</f>
        <v>0</v>
      </c>
      <c r="CJ48">
        <f>IFERROR(VLOOKUP(DF48,源_6社保表_Sheet1!$C:$BZ,38,FALSE),0)</f>
        <v>0</v>
      </c>
      <c r="CK48">
        <f>IFERROR(VLOOKUP(DF48,源_6社保表_Sheet1!$C:$BZ,35,FALSE),0)</f>
        <v>0</v>
      </c>
      <c r="CL48">
        <f>IFERROR(VLOOKUP(DF48,源_6社保表_Sheet1!$C:$BZ,36,FALSE),0)</f>
        <v>0</v>
      </c>
      <c r="CM48">
        <f>IFERROR(VLOOKUP(DF48,源_6社保表_Sheet1!$C:$BZ,37,FALSE),0)</f>
        <v>0</v>
      </c>
      <c r="CN48">
        <f t="shared" si="19"/>
        <v>1660.6757999999998</v>
      </c>
      <c r="CO48">
        <f t="shared" si="20"/>
        <v>4204.654060869565</v>
      </c>
      <c r="CP48">
        <f>IF(IFERROR(VLOOKUP(K48,源_13残疾人信息_残疾人信息!$A:$M,1,FALSE),"")&lt;&gt;"",0,IF(OR(P48="门店全职",P48="门店管理组",P48="全职(非门店)"),(BI48-AT48)*IFERROR(VLOOKUP(D48,源_12计提残保金规则_Sheet1!$A:$E,4,FALSE),0)*IFERROR(VLOOKUP(D48,源_12计提残保金规则_Sheet1!$A:$E,5,FALSE),0),0))</f>
        <v>34.255956521739137</v>
      </c>
      <c r="CQ48">
        <f t="shared" si="21"/>
        <v>16.05</v>
      </c>
      <c r="CR48">
        <f t="shared" si="22"/>
        <v>20.67</v>
      </c>
      <c r="CS48">
        <f>IF(DATEVALUE(N48)&gt;DATE(参数!$B$2,9,30),0,IF(M48="行政",0,IF(O48="",R48/12,IF(MONTH(DATEVALUE(O48))=参数!$B$3,0,IF(DATEVALUE(O48)&lt;DATE(参数!$B$2,参数!$B$3,1),0,R48/12)))))</f>
        <v>275.83333333333331</v>
      </c>
      <c r="CT48">
        <f t="shared" si="23"/>
        <v>0</v>
      </c>
      <c r="CU48">
        <f>IFERROR(VLOOKUP(DF48,源_6社保表_Sheet1!$C:$I,2,FALSE),0)</f>
        <v>5569</v>
      </c>
      <c r="CV48">
        <f>IFERROR(VLOOKUP(DF48,源_6社保表_Sheet1!$C:$I,7,FALSE),0)</f>
        <v>5569</v>
      </c>
      <c r="CW48">
        <f>IFERROR(VLOOKUP(DF48,源_6社保表_Sheet1!$C:$I,3,FALSE),0)</f>
        <v>5569</v>
      </c>
      <c r="CX48">
        <f>IFERROR(VLOOKUP(DF48,源_6社保表_Sheet1!$C:$I,4,FALSE),0)</f>
        <v>5569</v>
      </c>
      <c r="CY48">
        <f>IFERROR(VLOOKUP(DF48,源_6社保表_Sheet1!$C:$I,5,FALSE),0)</f>
        <v>5569</v>
      </c>
      <c r="CZ48">
        <f>IFERROR(VLOOKUP(DF48,源_6社保表_Sheet1!$C:$I,6,FALSE),0)</f>
        <v>0</v>
      </c>
      <c r="DA48">
        <f t="shared" si="24"/>
        <v>4198.154060869565</v>
      </c>
      <c r="DB48">
        <f t="shared" si="25"/>
        <v>4551.4633507246372</v>
      </c>
      <c r="DC48" t="str">
        <f>IFERROR(VLOOKUP(K48,源_7银行卡表_Sheet1!$A:$J,8,FALSE),"")</f>
        <v>交通银行</v>
      </c>
      <c r="DD48" t="str">
        <f>IFERROR(VLOOKUP(K48,源_7银行卡表_Sheet1!$A:$J,9,FALSE),"")</f>
        <v>6286694021467188681</v>
      </c>
      <c r="DE48" t="str">
        <f>IFERROR(VLOOKUP(K48,源_7银行卡表_Sheet1!$A:$J,10,FALSE),"")</f>
        <v>交通银行吕梁孝义支行</v>
      </c>
      <c r="DF48" t="s">
        <v>360</v>
      </c>
      <c r="DG48">
        <v>16407902026</v>
      </c>
      <c r="DH48" t="s">
        <v>166</v>
      </c>
      <c r="DI48">
        <v>0</v>
      </c>
      <c r="DJ48">
        <v>0</v>
      </c>
      <c r="DK48">
        <v>0</v>
      </c>
      <c r="DL48">
        <v>0</v>
      </c>
      <c r="DM48">
        <v>0</v>
      </c>
      <c r="DN48">
        <v>0</v>
      </c>
      <c r="DO48">
        <v>0</v>
      </c>
      <c r="DP48">
        <v>0</v>
      </c>
      <c r="DQ48">
        <v>0</v>
      </c>
      <c r="DR48">
        <f>IF(OR(IFERROR(VLOOKUP(K48,源_3考勤报表_考勤表!$F:$BG,39,FALSE),0)+IFERROR(VLOOKUP(K48,源_8补工时表_补当月工时!$A:$AC,24,FALSE),0)=0,IFERROR(VLOOKUP(K48,源_3考勤报表_考勤表!$F:$BG,43,FALSE),0)+IFERROR(VLOOKUP(K48,源_8补工时表_补当月工时!$A:$AC,26,FALSE),0)=0),IF(BI48+BG48-BT48&lt;0,BI48+BG48-BT48,0),0)</f>
        <v>0</v>
      </c>
    </row>
    <row r="49" spans="1:122" x14ac:dyDescent="0.15">
      <c r="A49">
        <f>参数!$B$2</f>
        <v>2025</v>
      </c>
      <c r="B49">
        <f>参数!$B$3</f>
        <v>12</v>
      </c>
      <c r="D49" t="s">
        <v>311</v>
      </c>
      <c r="E49" t="s">
        <v>123</v>
      </c>
      <c r="F49" t="str">
        <f>IFERROR(VLOOKUP(K49,源_7银行卡表_Sheet1!$A:$J,6,FALSE),"")</f>
        <v>华北营运</v>
      </c>
      <c r="G49" t="s">
        <v>312</v>
      </c>
      <c r="H49" t="s">
        <v>361</v>
      </c>
      <c r="I49" t="s">
        <v>314</v>
      </c>
      <c r="J49">
        <v>1</v>
      </c>
      <c r="K49">
        <v>26123048</v>
      </c>
      <c r="L49" t="s">
        <v>362</v>
      </c>
      <c r="M49" t="s">
        <v>170</v>
      </c>
      <c r="N49" t="s">
        <v>363</v>
      </c>
      <c r="P49" t="s">
        <v>154</v>
      </c>
      <c r="Q49">
        <f>IF(P49="门店全职",IFERROR(VLOOKUP(K49,源_3考勤报表_考勤表!$F:$BG,34,FALSE),0)+IFERROR(VLOOKUP(K49,源_8补工时表_补当月工时!$A:$AC,14,FALSE),0),IF(P49="门店管理组",IF(IFERROR(VLOOKUP(K49,源_3考勤报表_考勤表!$F:$BG,34,FALSE),0)+IFERROR(VLOOKUP(K49,源_8补工时表_补当月工时!$A:$AC,14,FALSE),0)+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44,FALSE),0)+IFERROR(VLOOKUP(K49,源_8补工时表_补当月工时!$A:$AC,16,FALSE),0)+IFERROR(VLOOKUP(K49,源_3考勤报表_考勤表!$F:$BG,45,FALSE),0)&gt;=参数!$B$4,参数!$B$4-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44,FALSE),0)-IFERROR(VLOOKUP(K49,源_8补工时表_补当月工时!$A:$AC,16,FALSE),0)-IFERROR(VLOOKUP(K49,源_3考勤报表_考勤表!$F:$BG,45,FALSE),0),IFERROR(VLOOKUP(K49,源_3考勤报表_考勤表!$F:$BG,34,FALSE),0)+IFERROR(VLOOKUP(K49,源_8补工时表_补当月工时!$A:$AC,14,FALSE),0)),0))</f>
        <v>184</v>
      </c>
      <c r="R49">
        <v>3050</v>
      </c>
      <c r="S49">
        <v>0</v>
      </c>
      <c r="T49">
        <f>IF(P49="门店全职",R49/参数!$B$4*(Q49-MAX(IFERROR(VLOOKUP(K49,源_3考勤报表_考勤表!$F:$BG,34,FALSE),0)+IFERROR(VLOOKUP(K49,源_8补工时表_补当月工时!$A:$AC,14,FALSE),0)+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参数!$B$4,0)),R49/参数!$B$4*Q49)</f>
        <v>2983.695652173913</v>
      </c>
      <c r="U49">
        <v>0</v>
      </c>
      <c r="V49">
        <v>0</v>
      </c>
      <c r="W49">
        <f t="shared" si="13"/>
        <v>0</v>
      </c>
      <c r="X49">
        <f>IFERROR(VLOOKUP(K49,源_4奖金汇总表_拆分手工算!$A:$N,8,FALSE),0)</f>
        <v>0</v>
      </c>
      <c r="Y49">
        <f>IFERROR(VLOOKUP(K49,源_5薪资备忘录_工资调整项!$A:$AC,14,FALSE),0)</f>
        <v>0</v>
      </c>
      <c r="Z49">
        <f>IFERROR(VLOOKUP(K49,源_5薪资备忘录_工资调整项!$A:$AC,16,FALSE),0)</f>
        <v>0</v>
      </c>
      <c r="AA49">
        <f>IFERROR(VLOOKUP(K49,源_5薪资备忘录_工资调整项!$A:$AC,15,FALSE),0)</f>
        <v>0</v>
      </c>
      <c r="AB49">
        <f t="shared" si="14"/>
        <v>105.17241379310343</v>
      </c>
      <c r="AC49">
        <f>IF(P49="门店全职",R49/174*MAX(IFERROR(VLOOKUP(K49,源_3考勤报表_考勤表!$F:$BG,34,FALSE),0)+IFERROR(VLOOKUP(K49,源_8补工时表_补当月工时!$A:$AC,14,FALSE),0)+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参数!$B$4,0)*1.5,0)</f>
        <v>105.17241379310343</v>
      </c>
      <c r="AD49">
        <v>0</v>
      </c>
      <c r="AE49">
        <f>IFERROR(VLOOKUP(K49,源_3考勤报表_考勤表!$F:$BG,46,FALSE),0)+IFERROR(VLOOKUP(K49,源_8补工时表_补当月工时!$A:$AC,25,FALSE),0)</f>
        <v>0</v>
      </c>
      <c r="AF49">
        <f t="shared" si="15"/>
        <v>0</v>
      </c>
      <c r="AG49">
        <f>IFERROR(VLOOKUP(K49,源_4奖金汇总表_拆分手工算!$A:$N,10,FALSE),0)</f>
        <v>156</v>
      </c>
      <c r="AH49">
        <f>IFERROR(VLOOKUP(K49,源_4奖金汇总表_拆分手工算!$A:$N,5,FALSE),0)</f>
        <v>0</v>
      </c>
      <c r="AI49">
        <f>IFERROR(VLOOKUP(K49,源_4奖金汇总表_拆分手工算!$A:$N,11,FALSE),0)</f>
        <v>0</v>
      </c>
      <c r="AJ49">
        <f>IFERROR(VLOOKUP(K49,源_4奖金汇总表_拆分手工算!$A:$N,4,FALSE),0)</f>
        <v>0</v>
      </c>
      <c r="AK49">
        <f>IFERROR(VLOOKUP(K49,源_4奖金汇总表_拆分手工算!$A:$N,3,FALSE),0)</f>
        <v>0</v>
      </c>
      <c r="AL49">
        <f>IFERROR(VLOOKUP(K49,源_4奖金汇总表_拆分手工算!$A:$N,6,FALSE),0)</f>
        <v>0</v>
      </c>
      <c r="AM49">
        <f>IFERROR(VLOOKUP(K49,源_5薪资备忘录_工资调整项!$A:$AC,18,FALSE),0)+IFERROR(VLOOKUP(K49,源_4奖金汇总表_拆分手工算!$A:$N,7,FALSE),0)</f>
        <v>0</v>
      </c>
      <c r="AN49">
        <f>IFERROR(VLOOKUP(K49,源_5薪资备忘录_工资调整项!$A:$AC,17,FALSE),0)</f>
        <v>0</v>
      </c>
      <c r="AO49">
        <f>IF(OR(IFERROR(VLOOKUP(K49,源_3考勤报表_考勤表!$F:$BG,39,FALSE),0)+IFERROR(VLOOKUP(K49,源_8补工时表_补当月工时!$A:$AC,24,FALSE),0)&gt;0,IFERROR(VLOOKUP(K49,源_3考勤报表_考勤表!$F:$BG,43,FALSE),0)+IFERROR(VLOOKUP(K49,源_8补工时表_补当月工时!$A:$AC,26,FALSE),0)&gt;0),IF(IFERROR(VLOOKUP(DH49,源_11产假政策_Sheet1!$C:$F,4,FALSE),"")="是",R49/参数!$B$4*(IFERROR(VLOOKUP(K49,源_3考勤报表_考勤表!$F:$BG,39,FALSE),0)+IFERROR(VLOOKUP(K49,源_8补工时表_补当月工时!$A:$AC,24,FALSE),0)+IFERROR(VLOOKUP(K49,源_3考勤报表_考勤表!$F:$BG,43,FALSE),0)+IFERROR(VLOOKUP(K49,源_8补工时表_补当月工时!$A:$AC,26,FALSE),0)),IFERROR(VLOOKUP(K49,源_5薪资备忘录_工资调整项!$A:$AC,19,FALSE),0)),0)</f>
        <v>0</v>
      </c>
      <c r="AP49">
        <v>0</v>
      </c>
      <c r="AQ49">
        <f>IFERROR(VLOOKUP(K49,源_4奖金汇总表_拆分手工算!$A:$N,12,FALSE),0)+IFERROR(VLOOKUP(K49,源_9年终奖表_Sheet1!$A:$E,3,FALSE),0)</f>
        <v>0</v>
      </c>
      <c r="AR49">
        <f>IFERROR(VLOOKUP(K49,源_4奖金汇总表_拆分手工算!$A:$N,13,FALSE),0)+IFERROR(VLOOKUP(K49,源_9年终奖表_Sheet1!$A:$E,4,FALSE),0)</f>
        <v>0</v>
      </c>
      <c r="AS49">
        <f>IFERROR(VLOOKUP(K49,源_4奖金汇总表_拆分手工算!$A:$N,14,FALSE),0)+IFERROR(VLOOKUP(K49,源_9年终奖表_Sheet1!$A:$E,5,FALSE),0)</f>
        <v>0</v>
      </c>
      <c r="AT49">
        <f>IFERROR(VLOOKUP(K49,源_5薪资备忘录_工资调整项!$A:$AC,20,FALSE),0)</f>
        <v>0</v>
      </c>
      <c r="AU49">
        <f>IFERROR(VLOOKUP(K49,源_5薪资备忘录_工资调整项!$A:$AC,21,FALSE),0)+IFERROR(VLOOKUP(K49,源_4奖金汇总表_拆分手工算!$A:$N,9,FALSE),0)</f>
        <v>0</v>
      </c>
      <c r="AV49">
        <f>R49/参数!$B$4*(IFERROR(VLOOKUP(K49,源_3考勤报表_考勤表!$F:$BG,37,FALSE),0)+IFERROR(VLOOKUP(K49,源_8补工时表_补当月工时!$A:$AC,15,FALSE),0))</f>
        <v>0</v>
      </c>
      <c r="AW49">
        <f>R49/174*MIN(IFERROR(VLOOKUP(K49,源_3考勤报表_考勤表!$F:$BG,35,FALSE),0),174)*IF(DATEDIF(N49,DATE(参数!$B$2,参数!$B$3+1,0),"Y")&lt;2,0.6,IF(DATEDIF(N49,DATE(参数!$B$2,参数!$B$3+1,0),"Y")&lt;4,0.7,IF(DATEDIF(N49,DATE(参数!$B$2,参数!$B$3+1,0),"Y")&lt;6,0.8,IF(DATEDIF(N49,DATE(参数!$B$2,参数!$B$3+1,0),"Y")&lt;8,0.9,1))))</f>
        <v>0</v>
      </c>
      <c r="AX49">
        <f>IF(Q49+IFERROR(VLOOKUP(K49,源_3考勤报表_考勤表!$F:$BG,37,FALSE),0)+IFERROR(VLOOKUP(K49,源_8补工时表_补当月工时!$A:$AC,15,FALSE),0)&gt;=参数!$B$4,0,IF(Q49+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lt;=参数!$B$4,R49/参数!$B$4*(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0))</f>
        <v>0</v>
      </c>
      <c r="AY49">
        <v>0</v>
      </c>
      <c r="AZ49">
        <v>0</v>
      </c>
      <c r="BA49">
        <v>0</v>
      </c>
      <c r="BB49">
        <v>0</v>
      </c>
      <c r="BC49">
        <f>IFERROR(VLOOKUP(K49,源_5薪资备忘录_工资调整项!$A:$AC,25,FALSE),0)</f>
        <v>0</v>
      </c>
      <c r="BD49">
        <v>0</v>
      </c>
      <c r="BE49">
        <v>0</v>
      </c>
      <c r="BF49">
        <v>0</v>
      </c>
      <c r="BG49">
        <f>IFERROR(VLOOKUP(K49,源_5薪资备忘录_工资调整项!$A:$AC,22,FALSE),0)+IFERROR(VLOOKUP(K49,源_5薪资备忘录_工资调整项!$A:$AC,23,FALSE),0)+IFERROR(VLOOKUP(K49,源_5薪资备忘录_工资调整项!$A:$AC,24,FALSE),0)</f>
        <v>0</v>
      </c>
      <c r="BH49">
        <f>IFERROR(VLOOKUP(DF49,源_6社保表_Sheet1!$C:$CD,80,FALSE),0)+4.5</f>
        <v>6.5</v>
      </c>
      <c r="BI49">
        <f t="shared" si="16"/>
        <v>3244.8680659670163</v>
      </c>
      <c r="BJ49">
        <f>IFERROR(VLOOKUP(DF49,源_6社保表_Sheet1!$C:$BZ,26,FALSE),0)</f>
        <v>225.2</v>
      </c>
      <c r="BK49">
        <f>IFERROR(VLOOKUP(DF49,源_6社保表_Sheet1!$C:$BZ,27,FALSE),0)</f>
        <v>45.04</v>
      </c>
      <c r="BL49">
        <f>IFERROR(VLOOKUP(DF49,源_6社保表_Sheet1!$C:$BZ,28,FALSE),0)</f>
        <v>22.52</v>
      </c>
      <c r="BM49">
        <f>IFERROR(VLOOKUP(DF49,源_6社保表_Sheet1!$C:$BZ,30,FALSE),0)</f>
        <v>182.2</v>
      </c>
      <c r="BN49">
        <f>IFERROR(VLOOKUP(DF49,源_6社保表_Sheet1!$C:$BZ,29,FALSE),0)</f>
        <v>0</v>
      </c>
      <c r="BO49">
        <f>IFERROR(VLOOKUP(DF49,源_6社保表_Sheet1!$C:$BZ,40,FALSE),0)</f>
        <v>0</v>
      </c>
      <c r="BP49">
        <f>IFERROR(VLOOKUP(DF49,源_6社保表_Sheet1!$C:$BZ,41,FALSE),0)</f>
        <v>0</v>
      </c>
      <c r="BQ49">
        <f>IFERROR(VLOOKUP(DF49,源_6社保表_Sheet1!$C:$BZ,42,FALSE),0)</f>
        <v>0</v>
      </c>
      <c r="BR49">
        <f>IFERROR(VLOOKUP(DF49,源_6社保表_Sheet1!$C:$BZ,44,FALSE),0)</f>
        <v>0</v>
      </c>
      <c r="BS49">
        <f>IFERROR(VLOOKUP(DF49,源_6社保表_Sheet1!$C:$BZ,43,FALSE),0)</f>
        <v>0</v>
      </c>
      <c r="BT49">
        <f t="shared" si="17"/>
        <v>474.96</v>
      </c>
      <c r="BU49">
        <v>0</v>
      </c>
      <c r="BV49">
        <v>0</v>
      </c>
      <c r="BW49">
        <v>0</v>
      </c>
      <c r="BX49">
        <f t="shared" si="18"/>
        <v>0</v>
      </c>
      <c r="BY49">
        <v>0</v>
      </c>
      <c r="BZ49">
        <f>IFERROR(VLOOKUP(DF49,源_6社保表_Sheet1!$C:$BZ,18,FALSE),0)</f>
        <v>540.48</v>
      </c>
      <c r="CA49">
        <f>IFERROR(VLOOKUP(DF49,源_6社保表_Sheet1!$C:$BZ,19,FALSE),0)</f>
        <v>270.24</v>
      </c>
      <c r="CB49">
        <f>IFERROR(VLOOKUP(DF49,源_6社保表_Sheet1!$C:$BZ,24,FALSE),0)</f>
        <v>182.2</v>
      </c>
      <c r="CC49">
        <f>IFERROR(VLOOKUP(DF49,源_6社保表_Sheet1!$C:$BZ,20,FALSE),0)</f>
        <v>22.52</v>
      </c>
      <c r="CD49">
        <f>IFERROR(VLOOKUP(DF49,源_6社保表_Sheet1!$C:$BZ,21,FALSE),0)</f>
        <v>14.412800000000001</v>
      </c>
      <c r="CE49">
        <f>IFERROR(VLOOKUP(DF49,源_6社保表_Sheet1!$C:$BZ,22,FALSE),0)</f>
        <v>0</v>
      </c>
      <c r="CF49">
        <f>IFERROR(VLOOKUP(DF49,源_6社保表_Sheet1!$C:$BZ,23,FALSE),0)</f>
        <v>0</v>
      </c>
      <c r="CG49">
        <f>IFERROR(VLOOKUP(DF49,源_6社保表_Sheet1!$C:$BZ,32,FALSE),0)</f>
        <v>0</v>
      </c>
      <c r="CH49">
        <f>IFERROR(VLOOKUP(DF49,源_6社保表_Sheet1!$C:$BZ,33,FALSE),0)</f>
        <v>0</v>
      </c>
      <c r="CI49">
        <f>IFERROR(VLOOKUP(DF49,源_6社保表_Sheet1!$C:$BZ,34,FALSE),0)</f>
        <v>0</v>
      </c>
      <c r="CJ49">
        <f>IFERROR(VLOOKUP(DF49,源_6社保表_Sheet1!$C:$BZ,38,FALSE),0)</f>
        <v>0</v>
      </c>
      <c r="CK49">
        <f>IFERROR(VLOOKUP(DF49,源_6社保表_Sheet1!$C:$BZ,35,FALSE),0)</f>
        <v>0</v>
      </c>
      <c r="CL49">
        <f>IFERROR(VLOOKUP(DF49,源_6社保表_Sheet1!$C:$BZ,36,FALSE),0)</f>
        <v>0</v>
      </c>
      <c r="CM49">
        <f>IFERROR(VLOOKUP(DF49,源_6社保表_Sheet1!$C:$BZ,37,FALSE),0)</f>
        <v>0</v>
      </c>
      <c r="CN49">
        <f t="shared" si="19"/>
        <v>1029.8528000000001</v>
      </c>
      <c r="CO49">
        <f t="shared" si="20"/>
        <v>4281.2208659670159</v>
      </c>
      <c r="CP49">
        <f>IF(IFERROR(VLOOKUP(K49,源_13残疾人信息_残疾人信息!$A:$M,1,FALSE),"")&lt;&gt;"",0,IF(OR(P49="门店全职",P49="门店管理组",P49="全职(非门店)"),(BI49-AT49)*IFERROR(VLOOKUP(D49,源_12计提残保金规则_Sheet1!$A:$E,4,FALSE),0)*IFERROR(VLOOKUP(D49,源_12计提残保金规则_Sheet1!$A:$E,5,FALSE),0),0))</f>
        <v>43.805718890554715</v>
      </c>
      <c r="CQ49">
        <f t="shared" si="21"/>
        <v>16.05</v>
      </c>
      <c r="CR49">
        <f t="shared" si="22"/>
        <v>20.67</v>
      </c>
      <c r="CS49">
        <f>IF(DATEVALUE(N49)&gt;DATE(参数!$B$2,9,30),0,IF(M49="行政",0,IF(O49="",R49/12,IF(MONTH(DATEVALUE(O49))=参数!$B$3,0,IF(DATEVALUE(O49)&lt;DATE(参数!$B$2,参数!$B$3,1),0,R49/12)))))</f>
        <v>254.16666666666666</v>
      </c>
      <c r="CT49">
        <f t="shared" si="23"/>
        <v>0</v>
      </c>
      <c r="CU49">
        <f>IFERROR(VLOOKUP(DF49,源_6社保表_Sheet1!$C:$I,2,FALSE),0)</f>
        <v>4504</v>
      </c>
      <c r="CV49">
        <f>IFERROR(VLOOKUP(DF49,源_6社保表_Sheet1!$C:$I,7,FALSE),0)</f>
        <v>3644</v>
      </c>
      <c r="CW49">
        <f>IFERROR(VLOOKUP(DF49,源_6社保表_Sheet1!$C:$I,3,FALSE),0)</f>
        <v>4504</v>
      </c>
      <c r="CX49">
        <f>IFERROR(VLOOKUP(DF49,源_6社保表_Sheet1!$C:$I,4,FALSE),0)</f>
        <v>4504</v>
      </c>
      <c r="CY49">
        <f>IFERROR(VLOOKUP(DF49,源_6社保表_Sheet1!$C:$I,5,FALSE),0)</f>
        <v>4504</v>
      </c>
      <c r="CZ49">
        <f>IFERROR(VLOOKUP(DF49,源_6社保表_Sheet1!$C:$I,6,FALSE),0)</f>
        <v>0</v>
      </c>
      <c r="DA49">
        <f t="shared" si="24"/>
        <v>4118.7208659670159</v>
      </c>
      <c r="DB49">
        <f t="shared" si="25"/>
        <v>4459.9132515242381</v>
      </c>
      <c r="DC49" t="str">
        <f>IFERROR(VLOOKUP(K49,源_7银行卡表_Sheet1!$A:$J,8,FALSE),"")</f>
        <v>交通银行</v>
      </c>
      <c r="DD49" t="str">
        <f>IFERROR(VLOOKUP(K49,源_7银行卡表_Sheet1!$A:$J,9,FALSE),"")</f>
        <v>6283156264798045690</v>
      </c>
      <c r="DE49" t="str">
        <f>IFERROR(VLOOKUP(K49,源_7银行卡表_Sheet1!$A:$J,10,FALSE),"")</f>
        <v>交通银行大连武汉街支行</v>
      </c>
      <c r="DF49" t="s">
        <v>364</v>
      </c>
      <c r="DG49">
        <v>16314168507</v>
      </c>
      <c r="DH49" t="s">
        <v>312</v>
      </c>
      <c r="DI49">
        <v>0</v>
      </c>
      <c r="DJ49">
        <v>0</v>
      </c>
      <c r="DK49">
        <v>0</v>
      </c>
      <c r="DL49">
        <v>0</v>
      </c>
      <c r="DM49">
        <v>0</v>
      </c>
      <c r="DN49">
        <v>0</v>
      </c>
      <c r="DO49">
        <v>0</v>
      </c>
      <c r="DP49">
        <v>0</v>
      </c>
      <c r="DQ49">
        <v>0</v>
      </c>
      <c r="DR49">
        <f>IF(OR(IFERROR(VLOOKUP(K49,源_3考勤报表_考勤表!$F:$BG,39,FALSE),0)+IFERROR(VLOOKUP(K49,源_8补工时表_补当月工时!$A:$AC,24,FALSE),0)=0,IFERROR(VLOOKUP(K49,源_3考勤报表_考勤表!$F:$BG,43,FALSE),0)+IFERROR(VLOOKUP(K49,源_8补工时表_补当月工时!$A:$AC,26,FALSE),0)=0),IF(BI49+BG49-BT49&lt;0,BI49+BG49-BT49,0),0)</f>
        <v>0</v>
      </c>
    </row>
    <row r="50" spans="1:122" x14ac:dyDescent="0.15">
      <c r="A50">
        <f>参数!$B$2</f>
        <v>2025</v>
      </c>
      <c r="B50">
        <f>参数!$B$3</f>
        <v>12</v>
      </c>
      <c r="D50" t="s">
        <v>147</v>
      </c>
      <c r="E50" t="s">
        <v>123</v>
      </c>
      <c r="F50" t="str">
        <f>IFERROR(VLOOKUP(K50,源_7银行卡表_Sheet1!$A:$J,6,FALSE),"")</f>
        <v>华北营运</v>
      </c>
      <c r="G50" t="s">
        <v>148</v>
      </c>
      <c r="H50" t="s">
        <v>281</v>
      </c>
      <c r="I50" t="s">
        <v>150</v>
      </c>
      <c r="J50">
        <v>1</v>
      </c>
      <c r="K50">
        <v>26123049</v>
      </c>
      <c r="L50" t="s">
        <v>365</v>
      </c>
      <c r="M50" t="s">
        <v>152</v>
      </c>
      <c r="N50" t="s">
        <v>366</v>
      </c>
      <c r="P50" t="s">
        <v>154</v>
      </c>
      <c r="Q50">
        <f>IF(P50="门店全职",IFERROR(VLOOKUP(K50,源_3考勤报表_考勤表!$F:$BG,34,FALSE),0)+IFERROR(VLOOKUP(K50,源_8补工时表_补当月工时!$A:$AC,14,FALSE),0),IF(P50="门店管理组",IF(IFERROR(VLOOKUP(K50,源_3考勤报表_考勤表!$F:$BG,34,FALSE),0)+IFERROR(VLOOKUP(K50,源_8补工时表_补当月工时!$A:$AC,14,FALSE),0)+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44,FALSE),0)+IFERROR(VLOOKUP(K50,源_8补工时表_补当月工时!$A:$AC,16,FALSE),0)+IFERROR(VLOOKUP(K50,源_3考勤报表_考勤表!$F:$BG,45,FALSE),0)&gt;=参数!$B$4,参数!$B$4-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44,FALSE),0)-IFERROR(VLOOKUP(K50,源_8补工时表_补当月工时!$A:$AC,16,FALSE),0)-IFERROR(VLOOKUP(K50,源_3考勤报表_考勤表!$F:$BG,45,FALSE),0),IFERROR(VLOOKUP(K50,源_3考勤报表_考勤表!$F:$BG,34,FALSE),0)+IFERROR(VLOOKUP(K50,源_8补工时表_补当月工时!$A:$AC,14,FALSE),0)),0))</f>
        <v>0</v>
      </c>
      <c r="R50">
        <v>3730</v>
      </c>
      <c r="S50">
        <v>0</v>
      </c>
      <c r="T50">
        <f>IF(P50="门店全职",R50/参数!$B$4*(Q50-MAX(IFERROR(VLOOKUP(K50,源_3考勤报表_考勤表!$F:$BG,34,FALSE),0)+IFERROR(VLOOKUP(K50,源_8补工时表_补当月工时!$A:$AC,14,FALSE),0)+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参数!$B$4,0)),R50/参数!$B$4*Q50)</f>
        <v>0</v>
      </c>
      <c r="U50">
        <v>0</v>
      </c>
      <c r="V50">
        <v>0</v>
      </c>
      <c r="W50">
        <f t="shared" si="13"/>
        <v>0</v>
      </c>
      <c r="X50">
        <f>IFERROR(VLOOKUP(K50,源_4奖金汇总表_拆分手工算!$A:$N,8,FALSE),0)</f>
        <v>0</v>
      </c>
      <c r="Y50">
        <f>IFERROR(VLOOKUP(K50,源_5薪资备忘录_工资调整项!$A:$AC,14,FALSE),0)</f>
        <v>0</v>
      </c>
      <c r="Z50">
        <f>IFERROR(VLOOKUP(K50,源_5薪资备忘录_工资调整项!$A:$AC,16,FALSE),0)</f>
        <v>0</v>
      </c>
      <c r="AA50">
        <f>IFERROR(VLOOKUP(K50,源_5薪资备忘录_工资调整项!$A:$AC,15,FALSE),0)</f>
        <v>0</v>
      </c>
      <c r="AB50">
        <f t="shared" si="14"/>
        <v>0</v>
      </c>
      <c r="AC50">
        <f>IF(P50="门店全职",R50/174*MAX(IFERROR(VLOOKUP(K50,源_3考勤报表_考勤表!$F:$BG,34,FALSE),0)+IFERROR(VLOOKUP(K50,源_8补工时表_补当月工时!$A:$AC,14,FALSE),0)+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参数!$B$4,0)*1.5,0)</f>
        <v>0</v>
      </c>
      <c r="AD50">
        <v>0</v>
      </c>
      <c r="AE50">
        <f>IFERROR(VLOOKUP(K50,源_3考勤报表_考勤表!$F:$BG,46,FALSE),0)+IFERROR(VLOOKUP(K50,源_8补工时表_补当月工时!$A:$AC,25,FALSE),0)</f>
        <v>0</v>
      </c>
      <c r="AF50">
        <f t="shared" si="15"/>
        <v>0</v>
      </c>
      <c r="AG50">
        <f>IFERROR(VLOOKUP(K50,源_4奖金汇总表_拆分手工算!$A:$N,10,FALSE),0)</f>
        <v>30</v>
      </c>
      <c r="AH50">
        <f>IFERROR(VLOOKUP(K50,源_4奖金汇总表_拆分手工算!$A:$N,5,FALSE),0)</f>
        <v>0</v>
      </c>
      <c r="AI50">
        <f>IFERROR(VLOOKUP(K50,源_4奖金汇总表_拆分手工算!$A:$N,11,FALSE),0)</f>
        <v>0</v>
      </c>
      <c r="AJ50">
        <f>IFERROR(VLOOKUP(K50,源_4奖金汇总表_拆分手工算!$A:$N,4,FALSE),0)</f>
        <v>0</v>
      </c>
      <c r="AK50">
        <f>IFERROR(VLOOKUP(K50,源_4奖金汇总表_拆分手工算!$A:$N,3,FALSE),0)</f>
        <v>0</v>
      </c>
      <c r="AL50">
        <f>IFERROR(VLOOKUP(K50,源_4奖金汇总表_拆分手工算!$A:$N,6,FALSE),0)</f>
        <v>0</v>
      </c>
      <c r="AM50">
        <f>IFERROR(VLOOKUP(K50,源_5薪资备忘录_工资调整项!$A:$AC,18,FALSE),0)+IFERROR(VLOOKUP(K50,源_4奖金汇总表_拆分手工算!$A:$N,7,FALSE),0)</f>
        <v>0</v>
      </c>
      <c r="AN50">
        <f>IFERROR(VLOOKUP(K50,源_5薪资备忘录_工资调整项!$A:$AC,17,FALSE),0)</f>
        <v>0</v>
      </c>
      <c r="AO50">
        <f>IF(OR(IFERROR(VLOOKUP(K50,源_3考勤报表_考勤表!$F:$BG,39,FALSE),0)+IFERROR(VLOOKUP(K50,源_8补工时表_补当月工时!$A:$AC,24,FALSE),0)&gt;0,IFERROR(VLOOKUP(K50,源_3考勤报表_考勤表!$F:$BG,43,FALSE),0)+IFERROR(VLOOKUP(K50,源_8补工时表_补当月工时!$A:$AC,26,FALSE),0)&gt;0),IF(IFERROR(VLOOKUP(DH50,源_11产假政策_Sheet1!$C:$F,4,FALSE),"")="是",R50/参数!$B$4*(IFERROR(VLOOKUP(K50,源_3考勤报表_考勤表!$F:$BG,39,FALSE),0)+IFERROR(VLOOKUP(K50,源_8补工时表_补当月工时!$A:$AC,24,FALSE),0)+IFERROR(VLOOKUP(K50,源_3考勤报表_考勤表!$F:$BG,43,FALSE),0)+IFERROR(VLOOKUP(K50,源_8补工时表_补当月工时!$A:$AC,26,FALSE),0)),IFERROR(VLOOKUP(K50,源_5薪资备忘录_工资调整项!$A:$AC,19,FALSE),0)),0)</f>
        <v>0</v>
      </c>
      <c r="AP50">
        <v>0</v>
      </c>
      <c r="AQ50">
        <f>IFERROR(VLOOKUP(K50,源_4奖金汇总表_拆分手工算!$A:$N,12,FALSE),0)+IFERROR(VLOOKUP(K50,源_9年终奖表_Sheet1!$A:$E,3,FALSE),0)</f>
        <v>1200</v>
      </c>
      <c r="AR50">
        <f>IFERROR(VLOOKUP(K50,源_4奖金汇总表_拆分手工算!$A:$N,13,FALSE),0)+IFERROR(VLOOKUP(K50,源_9年终奖表_Sheet1!$A:$E,4,FALSE),0)</f>
        <v>600</v>
      </c>
      <c r="AS50">
        <f>IFERROR(VLOOKUP(K50,源_4奖金汇总表_拆分手工算!$A:$N,14,FALSE),0)+IFERROR(VLOOKUP(K50,源_9年终奖表_Sheet1!$A:$E,5,FALSE),0)</f>
        <v>111</v>
      </c>
      <c r="AT50">
        <f>IFERROR(VLOOKUP(K50,源_5薪资备忘录_工资调整项!$A:$AC,20,FALSE),0)</f>
        <v>0</v>
      </c>
      <c r="AU50">
        <f>IFERROR(VLOOKUP(K50,源_5薪资备忘录_工资调整项!$A:$AC,21,FALSE),0)+IFERROR(VLOOKUP(K50,源_4奖金汇总表_拆分手工算!$A:$N,9,FALSE),0)</f>
        <v>0</v>
      </c>
      <c r="AV50">
        <f>R50/参数!$B$4*(IFERROR(VLOOKUP(K50,源_3考勤报表_考勤表!$F:$BG,37,FALSE),0)+IFERROR(VLOOKUP(K50,源_8补工时表_补当月工时!$A:$AC,15,FALSE),0))</f>
        <v>0</v>
      </c>
      <c r="AW50">
        <f>R50/174*MIN(IFERROR(VLOOKUP(K50,源_3考勤报表_考勤表!$F:$BG,35,FALSE),0),174)*IF(DATEDIF(N50,DATE(参数!$B$2,参数!$B$3+1,0),"Y")&lt;2,0.6,IF(DATEDIF(N50,DATE(参数!$B$2,参数!$B$3+1,0),"Y")&lt;4,0.7,IF(DATEDIF(N50,DATE(参数!$B$2,参数!$B$3+1,0),"Y")&lt;6,0.8,IF(DATEDIF(N50,DATE(参数!$B$2,参数!$B$3+1,0),"Y")&lt;8,0.9,1))))</f>
        <v>0</v>
      </c>
      <c r="AX50">
        <f>IF(Q50+IFERROR(VLOOKUP(K50,源_3考勤报表_考勤表!$F:$BG,37,FALSE),0)+IFERROR(VLOOKUP(K50,源_8补工时表_补当月工时!$A:$AC,15,FALSE),0)&gt;=参数!$B$4,0,IF(Q50+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lt;=参数!$B$4,R50/参数!$B$4*(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0))</f>
        <v>0</v>
      </c>
      <c r="AY50">
        <v>0</v>
      </c>
      <c r="AZ50">
        <v>0</v>
      </c>
      <c r="BA50">
        <v>0</v>
      </c>
      <c r="BB50">
        <v>0</v>
      </c>
      <c r="BC50">
        <f>IFERROR(VLOOKUP(K50,源_5薪资备忘录_工资调整项!$A:$AC,25,FALSE),0)</f>
        <v>0</v>
      </c>
      <c r="BD50">
        <v>0</v>
      </c>
      <c r="BE50">
        <f>(T50+W50+AB50+AG50+AH50+AI50+AJ50+AK50+AL50+AM50+AN50+AO50+AP50+AU50+AV50+AW50+AX50+BC50-IFERROR(VLOOKUP(DF50,源_6社保表_Sheet1!$C:$BZ,76,FALSE),0))*0.02</f>
        <v>-16.012999999999998</v>
      </c>
      <c r="BF50">
        <v>0</v>
      </c>
      <c r="BG50">
        <f>IFERROR(VLOOKUP(K50,源_5薪资备忘录_工资调整项!$A:$AC,22,FALSE),0)+IFERROR(VLOOKUP(K50,源_5薪资备忘录_工资调整项!$A:$AC,23,FALSE),0)+IFERROR(VLOOKUP(K50,源_5薪资备忘录_工资调整项!$A:$AC,24,FALSE),0)</f>
        <v>0</v>
      </c>
      <c r="BH50">
        <f>IFERROR(VLOOKUP(DF50,源_6社保表_Sheet1!$C:$CD,80,FALSE),0)+4.5</f>
        <v>6.5</v>
      </c>
      <c r="BI50">
        <f t="shared" si="16"/>
        <v>1941</v>
      </c>
      <c r="BJ50">
        <f>IFERROR(VLOOKUP(DF50,源_6社保表_Sheet1!$C:$BZ,26,FALSE),0)</f>
        <v>501.34</v>
      </c>
      <c r="BK50">
        <f>IFERROR(VLOOKUP(DF50,源_6社保表_Sheet1!$C:$BZ,27,FALSE),0)</f>
        <v>71.62</v>
      </c>
      <c r="BL50">
        <f>IFERROR(VLOOKUP(DF50,源_6社保表_Sheet1!$C:$BZ,28,FALSE),0)</f>
        <v>35.81</v>
      </c>
      <c r="BM50">
        <f>IFERROR(VLOOKUP(DF50,源_6社保表_Sheet1!$C:$BZ,30,FALSE),0)</f>
        <v>221.88</v>
      </c>
      <c r="BN50">
        <f>IFERROR(VLOOKUP(DF50,源_6社保表_Sheet1!$C:$BZ,29,FALSE),0)</f>
        <v>0</v>
      </c>
      <c r="BO50">
        <f>IFERROR(VLOOKUP(DF50,源_6社保表_Sheet1!$C:$BZ,40,FALSE),0)</f>
        <v>0</v>
      </c>
      <c r="BP50">
        <f>IFERROR(VLOOKUP(DF50,源_6社保表_Sheet1!$C:$BZ,41,FALSE),0)</f>
        <v>0</v>
      </c>
      <c r="BQ50">
        <f>IFERROR(VLOOKUP(DF50,源_6社保表_Sheet1!$C:$BZ,42,FALSE),0)</f>
        <v>0</v>
      </c>
      <c r="BR50">
        <f>IFERROR(VLOOKUP(DF50,源_6社保表_Sheet1!$C:$BZ,44,FALSE),0)</f>
        <v>0</v>
      </c>
      <c r="BS50">
        <f>IFERROR(VLOOKUP(DF50,源_6社保表_Sheet1!$C:$BZ,43,FALSE),0)</f>
        <v>0</v>
      </c>
      <c r="BT50">
        <f t="shared" si="17"/>
        <v>830.65</v>
      </c>
      <c r="BU50">
        <v>0</v>
      </c>
      <c r="BV50">
        <v>0</v>
      </c>
      <c r="BW50">
        <v>0</v>
      </c>
      <c r="BX50">
        <f t="shared" si="18"/>
        <v>0</v>
      </c>
      <c r="BY50">
        <v>0</v>
      </c>
      <c r="BZ50">
        <f>IFERROR(VLOOKUP(DF50,源_6社保表_Sheet1!$C:$BZ,18,FALSE),0)</f>
        <v>1074.3</v>
      </c>
      <c r="CA50">
        <f>IFERROR(VLOOKUP(DF50,源_6社保表_Sheet1!$C:$BZ,19,FALSE),0)</f>
        <v>572.96</v>
      </c>
      <c r="CB50">
        <f>IFERROR(VLOOKUP(DF50,源_6社保表_Sheet1!$C:$BZ,24,FALSE),0)</f>
        <v>221.88</v>
      </c>
      <c r="CC50">
        <f>IFERROR(VLOOKUP(DF50,源_6社保表_Sheet1!$C:$BZ,20,FALSE),0)</f>
        <v>35.81</v>
      </c>
      <c r="CD50">
        <f>IFERROR(VLOOKUP(DF50,源_6社保表_Sheet1!$C:$BZ,21,FALSE),0)</f>
        <v>22.918399999999998</v>
      </c>
      <c r="CE50">
        <f>IFERROR(VLOOKUP(DF50,源_6社保表_Sheet1!$C:$BZ,22,FALSE),0)</f>
        <v>0</v>
      </c>
      <c r="CF50">
        <f>IFERROR(VLOOKUP(DF50,源_6社保表_Sheet1!$C:$BZ,23,FALSE),0)</f>
        <v>0</v>
      </c>
      <c r="CG50">
        <f>IFERROR(VLOOKUP(DF50,源_6社保表_Sheet1!$C:$BZ,32,FALSE),0)</f>
        <v>0</v>
      </c>
      <c r="CH50">
        <f>IFERROR(VLOOKUP(DF50,源_6社保表_Sheet1!$C:$BZ,33,FALSE),0)</f>
        <v>0</v>
      </c>
      <c r="CI50">
        <f>IFERROR(VLOOKUP(DF50,源_6社保表_Sheet1!$C:$BZ,34,FALSE),0)</f>
        <v>0</v>
      </c>
      <c r="CJ50">
        <f>IFERROR(VLOOKUP(DF50,源_6社保表_Sheet1!$C:$BZ,38,FALSE),0)</f>
        <v>0</v>
      </c>
      <c r="CK50">
        <f>IFERROR(VLOOKUP(DF50,源_6社保表_Sheet1!$C:$BZ,35,FALSE),0)</f>
        <v>0</v>
      </c>
      <c r="CL50">
        <f>IFERROR(VLOOKUP(DF50,源_6社保表_Sheet1!$C:$BZ,36,FALSE),0)</f>
        <v>0</v>
      </c>
      <c r="CM50">
        <f>IFERROR(VLOOKUP(DF50,源_6社保表_Sheet1!$C:$BZ,37,FALSE),0)</f>
        <v>0</v>
      </c>
      <c r="CN50">
        <f t="shared" si="19"/>
        <v>1927.8683999999998</v>
      </c>
      <c r="CO50">
        <f t="shared" si="20"/>
        <v>3859.3553999999999</v>
      </c>
      <c r="CP50">
        <f>IF(IFERROR(VLOOKUP(K50,源_13残疾人信息_残疾人信息!$A:$M,1,FALSE),"")&lt;&gt;"",0,IF(OR(P50="门店全职",P50="门店管理组",P50="全职(非门店)"),(BI50-AT50)*IFERROR(VLOOKUP(D50,源_12计提残保金规则_Sheet1!$A:$E,4,FALSE),0)*IFERROR(VLOOKUP(D50,源_12计提残保金规则_Sheet1!$A:$E,5,FALSE),0),0))</f>
        <v>26.203499999999998</v>
      </c>
      <c r="CQ50">
        <f t="shared" si="21"/>
        <v>16.05</v>
      </c>
      <c r="CR50">
        <f t="shared" si="22"/>
        <v>20.67</v>
      </c>
      <c r="CS50">
        <f>IF(DATEVALUE(N50)&gt;DATE(参数!$B$2,9,30),0,IF(M50="行政",0,IF(O50="",R50/12,IF(MONTH(DATEVALUE(O50))=参数!$B$3,0,IF(DATEVALUE(O50)&lt;DATE(参数!$B$2,参数!$B$3,1),0,R50/12)))))</f>
        <v>310.83333333333331</v>
      </c>
      <c r="CT50">
        <f t="shared" si="23"/>
        <v>0</v>
      </c>
      <c r="CU50">
        <f>IFERROR(VLOOKUP(DF50,源_6社保表_Sheet1!$C:$I,2,FALSE),0)</f>
        <v>7162</v>
      </c>
      <c r="CV50">
        <f>IFERROR(VLOOKUP(DF50,源_6社保表_Sheet1!$C:$I,7,FALSE),0)</f>
        <v>3698</v>
      </c>
      <c r="CW50">
        <f>IFERROR(VLOOKUP(DF50,源_6社保表_Sheet1!$C:$I,3,FALSE),0)</f>
        <v>7162</v>
      </c>
      <c r="CX50">
        <f>IFERROR(VLOOKUP(DF50,源_6社保表_Sheet1!$C:$I,4,FALSE),0)</f>
        <v>7162</v>
      </c>
      <c r="CY50">
        <f>IFERROR(VLOOKUP(DF50,源_6社保表_Sheet1!$C:$I,5,FALSE),0)</f>
        <v>7162</v>
      </c>
      <c r="CZ50">
        <f>IFERROR(VLOOKUP(DF50,源_6社保表_Sheet1!$C:$I,6,FALSE),0)</f>
        <v>0</v>
      </c>
      <c r="DA50">
        <f t="shared" si="24"/>
        <v>1927.8683999999998</v>
      </c>
      <c r="DB50">
        <f t="shared" si="25"/>
        <v>2308.1252333333332</v>
      </c>
      <c r="DC50" t="str">
        <f>IFERROR(VLOOKUP(K50,源_7银行卡表_Sheet1!$A:$J,8,FALSE),"")</f>
        <v>交通银行</v>
      </c>
      <c r="DD50" t="str">
        <f>IFERROR(VLOOKUP(K50,源_7银行卡表_Sheet1!$A:$J,9,FALSE),"")</f>
        <v>6281952605716999538</v>
      </c>
      <c r="DE50" t="str">
        <f>IFERROR(VLOOKUP(K50,源_7银行卡表_Sheet1!$A:$J,10,FALSE),"")</f>
        <v>交通银行大连长兴街</v>
      </c>
      <c r="DF50" t="s">
        <v>367</v>
      </c>
      <c r="DG50">
        <v>15697005189</v>
      </c>
      <c r="DH50" t="s">
        <v>148</v>
      </c>
      <c r="DI50">
        <v>0</v>
      </c>
      <c r="DJ50">
        <v>0</v>
      </c>
      <c r="DK50">
        <v>0</v>
      </c>
      <c r="DL50">
        <v>0</v>
      </c>
      <c r="DM50">
        <v>0</v>
      </c>
      <c r="DN50">
        <v>0</v>
      </c>
      <c r="DO50">
        <v>0</v>
      </c>
      <c r="DP50">
        <v>0</v>
      </c>
      <c r="DQ50">
        <v>0</v>
      </c>
      <c r="DR50">
        <f>IF(OR(IFERROR(VLOOKUP(K50,源_3考勤报表_考勤表!$F:$BG,39,FALSE),0)+IFERROR(VLOOKUP(K50,源_8补工时表_补当月工时!$A:$AC,24,FALSE),0)=0,IFERROR(VLOOKUP(K50,源_3考勤报表_考勤表!$F:$BG,43,FALSE),0)+IFERROR(VLOOKUP(K50,源_8补工时表_补当月工时!$A:$AC,26,FALSE),0)=0),IF(BI50+BG50-BT50&lt;0,BI50+BG50-BT50,0),0)</f>
        <v>0</v>
      </c>
    </row>
    <row r="51" spans="1:122" x14ac:dyDescent="0.15">
      <c r="A51">
        <f>参数!$B$2</f>
        <v>2025</v>
      </c>
      <c r="B51">
        <f>参数!$B$3</f>
        <v>12</v>
      </c>
      <c r="D51" t="s">
        <v>122</v>
      </c>
      <c r="E51" t="s">
        <v>123</v>
      </c>
      <c r="F51" t="str">
        <f>IFERROR(VLOOKUP(K51,源_7银行卡表_Sheet1!$A:$J,6,FALSE),"")</f>
        <v>华东营运</v>
      </c>
      <c r="G51" t="s">
        <v>156</v>
      </c>
      <c r="H51" t="s">
        <v>368</v>
      </c>
      <c r="I51" t="s">
        <v>126</v>
      </c>
      <c r="J51">
        <v>1</v>
      </c>
      <c r="K51">
        <v>26123050</v>
      </c>
      <c r="L51" t="s">
        <v>369</v>
      </c>
      <c r="M51" t="s">
        <v>218</v>
      </c>
      <c r="N51" t="s">
        <v>370</v>
      </c>
      <c r="P51" t="s">
        <v>131</v>
      </c>
      <c r="Q51">
        <f>IF(P51="门店全职",IFERROR(VLOOKUP(K51,源_3考勤报表_考勤表!$F:$BG,34,FALSE),0)+IFERROR(VLOOKUP(K51,源_8补工时表_补当月工时!$A:$AC,14,FALSE),0),IF(P51="门店管理组",IF(IFERROR(VLOOKUP(K51,源_3考勤报表_考勤表!$F:$BG,34,FALSE),0)+IFERROR(VLOOKUP(K51,源_8补工时表_补当月工时!$A:$AC,14,FALSE),0)+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44,FALSE),0)+IFERROR(VLOOKUP(K51,源_8补工时表_补当月工时!$A:$AC,16,FALSE),0)+IFERROR(VLOOKUP(K51,源_3考勤报表_考勤表!$F:$BG,45,FALSE),0)&gt;=参数!$B$4,参数!$B$4-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44,FALSE),0)-IFERROR(VLOOKUP(K51,源_8补工时表_补当月工时!$A:$AC,16,FALSE),0)-IFERROR(VLOOKUP(K51,源_3考勤报表_考勤表!$F:$BG,45,FALSE),0),IFERROR(VLOOKUP(K51,源_3考勤报表_考勤表!$F:$BG,34,FALSE),0)+IFERROR(VLOOKUP(K51,源_8补工时表_补当月工时!$A:$AC,14,FALSE),0)),0))</f>
        <v>182</v>
      </c>
      <c r="R51">
        <v>4750</v>
      </c>
      <c r="S51">
        <v>0</v>
      </c>
      <c r="T51">
        <f>IF(P51="门店全职",R51/参数!$B$4*(Q51-MAX(IFERROR(VLOOKUP(K51,源_3考勤报表_考勤表!$F:$BG,34,FALSE),0)+IFERROR(VLOOKUP(K51,源_8补工时表_补当月工时!$A:$AC,14,FALSE),0)+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参数!$B$4,0)),R51/参数!$B$4*Q51)</f>
        <v>4698.369565217391</v>
      </c>
      <c r="U51">
        <v>0</v>
      </c>
      <c r="V51">
        <v>0</v>
      </c>
      <c r="W51">
        <f t="shared" si="13"/>
        <v>0</v>
      </c>
      <c r="X51">
        <f>IFERROR(VLOOKUP(K51,源_4奖金汇总表_拆分手工算!$A:$N,8,FALSE),0)</f>
        <v>0</v>
      </c>
      <c r="Y51">
        <f>IFERROR(VLOOKUP(K51,源_5薪资备忘录_工资调整项!$A:$AC,14,FALSE),0)</f>
        <v>0</v>
      </c>
      <c r="Z51">
        <f>IFERROR(VLOOKUP(K51,源_5薪资备忘录_工资调整项!$A:$AC,16,FALSE),0)</f>
        <v>0</v>
      </c>
      <c r="AA51">
        <f>IFERROR(VLOOKUP(K51,源_5薪资备忘录_工资调整项!$A:$AC,15,FALSE),0)</f>
        <v>0</v>
      </c>
      <c r="AB51">
        <f t="shared" si="14"/>
        <v>0</v>
      </c>
      <c r="AC51">
        <f>IF(P51="门店全职",R51/174*MAX(IFERROR(VLOOKUP(K51,源_3考勤报表_考勤表!$F:$BG,34,FALSE),0)+IFERROR(VLOOKUP(K51,源_8补工时表_补当月工时!$A:$AC,14,FALSE),0)+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参数!$B$4,0)*1.5,0)</f>
        <v>0</v>
      </c>
      <c r="AD51">
        <v>0</v>
      </c>
      <c r="AE51">
        <f>IFERROR(VLOOKUP(K51,源_3考勤报表_考勤表!$F:$BG,46,FALSE),0)+IFERROR(VLOOKUP(K51,源_8补工时表_补当月工时!$A:$AC,25,FALSE),0)</f>
        <v>0</v>
      </c>
      <c r="AF51">
        <f t="shared" si="15"/>
        <v>0</v>
      </c>
      <c r="AG51">
        <f>IFERROR(VLOOKUP(K51,源_4奖金汇总表_拆分手工算!$A:$N,10,FALSE),0)</f>
        <v>0</v>
      </c>
      <c r="AH51">
        <f>IFERROR(VLOOKUP(K51,源_4奖金汇总表_拆分手工算!$A:$N,5,FALSE),0)</f>
        <v>0</v>
      </c>
      <c r="AI51">
        <f>IFERROR(VLOOKUP(K51,源_4奖金汇总表_拆分手工算!$A:$N,11,FALSE),0)</f>
        <v>1500</v>
      </c>
      <c r="AJ51">
        <f>IFERROR(VLOOKUP(K51,源_4奖金汇总表_拆分手工算!$A:$N,4,FALSE),0)</f>
        <v>0</v>
      </c>
      <c r="AK51">
        <f>IFERROR(VLOOKUP(K51,源_4奖金汇总表_拆分手工算!$A:$N,3,FALSE),0)</f>
        <v>0</v>
      </c>
      <c r="AL51">
        <f>IFERROR(VLOOKUP(K51,源_4奖金汇总表_拆分手工算!$A:$N,6,FALSE),0)</f>
        <v>0</v>
      </c>
      <c r="AM51">
        <f>IFERROR(VLOOKUP(K51,源_5薪资备忘录_工资调整项!$A:$AC,18,FALSE),0)+IFERROR(VLOOKUP(K51,源_4奖金汇总表_拆分手工算!$A:$N,7,FALSE),0)</f>
        <v>0</v>
      </c>
      <c r="AN51">
        <f>IFERROR(VLOOKUP(K51,源_5薪资备忘录_工资调整项!$A:$AC,17,FALSE),0)</f>
        <v>0</v>
      </c>
      <c r="AO51">
        <f>IF(OR(IFERROR(VLOOKUP(K51,源_3考勤报表_考勤表!$F:$BG,39,FALSE),0)+IFERROR(VLOOKUP(K51,源_8补工时表_补当月工时!$A:$AC,24,FALSE),0)&gt;0,IFERROR(VLOOKUP(K51,源_3考勤报表_考勤表!$F:$BG,43,FALSE),0)+IFERROR(VLOOKUP(K51,源_8补工时表_补当月工时!$A:$AC,26,FALSE),0)&gt;0),IF(IFERROR(VLOOKUP(DH51,源_11产假政策_Sheet1!$C:$F,4,FALSE),"")="是",R51/参数!$B$4*(IFERROR(VLOOKUP(K51,源_3考勤报表_考勤表!$F:$BG,39,FALSE),0)+IFERROR(VLOOKUP(K51,源_8补工时表_补当月工时!$A:$AC,24,FALSE),0)+IFERROR(VLOOKUP(K51,源_3考勤报表_考勤表!$F:$BG,43,FALSE),0)+IFERROR(VLOOKUP(K51,源_8补工时表_补当月工时!$A:$AC,26,FALSE),0)),IFERROR(VLOOKUP(K51,源_5薪资备忘录_工资调整项!$A:$AC,19,FALSE),0)),0)</f>
        <v>154.89130434782609</v>
      </c>
      <c r="AP51">
        <v>0</v>
      </c>
      <c r="AQ51">
        <f>IFERROR(VLOOKUP(K51,源_4奖金汇总表_拆分手工算!$A:$N,12,FALSE),0)+IFERROR(VLOOKUP(K51,源_9年终奖表_Sheet1!$A:$E,3,FALSE),0)</f>
        <v>0</v>
      </c>
      <c r="AR51">
        <f>IFERROR(VLOOKUP(K51,源_4奖金汇总表_拆分手工算!$A:$N,13,FALSE),0)+IFERROR(VLOOKUP(K51,源_9年终奖表_Sheet1!$A:$E,4,FALSE),0)</f>
        <v>0</v>
      </c>
      <c r="AS51">
        <f>IFERROR(VLOOKUP(K51,源_4奖金汇总表_拆分手工算!$A:$N,14,FALSE),0)+IFERROR(VLOOKUP(K51,源_9年终奖表_Sheet1!$A:$E,5,FALSE),0)</f>
        <v>0</v>
      </c>
      <c r="AT51">
        <f>IFERROR(VLOOKUP(K51,源_5薪资备忘录_工资调整项!$A:$AC,20,FALSE),0)</f>
        <v>0</v>
      </c>
      <c r="AU51">
        <f>IFERROR(VLOOKUP(K51,源_5薪资备忘录_工资调整项!$A:$AC,21,FALSE),0)+IFERROR(VLOOKUP(K51,源_4奖金汇总表_拆分手工算!$A:$N,9,FALSE),0)</f>
        <v>0</v>
      </c>
      <c r="AV51">
        <f>R51/参数!$B$4*(IFERROR(VLOOKUP(K51,源_3考勤报表_考勤表!$F:$BG,37,FALSE),0)+IFERROR(VLOOKUP(K51,源_8补工时表_补当月工时!$A:$AC,15,FALSE),0))</f>
        <v>0</v>
      </c>
      <c r="AW51">
        <f>R51/174*MIN(IFERROR(VLOOKUP(K51,源_3考勤报表_考勤表!$F:$BG,35,FALSE),0),174)*IF(DATEDIF(N51,DATE(参数!$B$2,参数!$B$3+1,0),"Y")&lt;2,0.6,IF(DATEDIF(N51,DATE(参数!$B$2,参数!$B$3+1,0),"Y")&lt;4,0.7,IF(DATEDIF(N51,DATE(参数!$B$2,参数!$B$3+1,0),"Y")&lt;6,0.8,IF(DATEDIF(N51,DATE(参数!$B$2,参数!$B$3+1,0),"Y")&lt;8,0.9,1))))</f>
        <v>0</v>
      </c>
      <c r="AX51">
        <f>IF(Q51+IFERROR(VLOOKUP(K51,源_3考勤报表_考勤表!$F:$BG,37,FALSE),0)+IFERROR(VLOOKUP(K51,源_8补工时表_补当月工时!$A:$AC,15,FALSE),0)&gt;=参数!$B$4,0,IF(Q51+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lt;=参数!$B$4,R51/参数!$B$4*(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0))</f>
        <v>51.630434782608695</v>
      </c>
      <c r="AY51">
        <v>0</v>
      </c>
      <c r="AZ51">
        <v>0</v>
      </c>
      <c r="BA51">
        <v>0</v>
      </c>
      <c r="BB51">
        <v>0</v>
      </c>
      <c r="BC51">
        <f>IFERROR(VLOOKUP(K51,源_5薪资备忘录_工资调整项!$A:$AC,25,FALSE),0)</f>
        <v>0</v>
      </c>
      <c r="BD51">
        <v>0</v>
      </c>
      <c r="BE51">
        <v>0</v>
      </c>
      <c r="BF51">
        <v>0</v>
      </c>
      <c r="BG51">
        <f>IFERROR(VLOOKUP(K51,源_5薪资备忘录_工资调整项!$A:$AC,22,FALSE),0)+IFERROR(VLOOKUP(K51,源_5薪资备忘录_工资调整项!$A:$AC,23,FALSE),0)+IFERROR(VLOOKUP(K51,源_5薪资备忘录_工资调整项!$A:$AC,24,FALSE),0)</f>
        <v>0</v>
      </c>
      <c r="BH51">
        <f>IFERROR(VLOOKUP(DF51,源_6社保表_Sheet1!$C:$CD,80,FALSE),0)+4.5</f>
        <v>6.5</v>
      </c>
      <c r="BI51">
        <f t="shared" si="16"/>
        <v>6404.891304347826</v>
      </c>
      <c r="BJ51">
        <f>IFERROR(VLOOKUP(DF51,源_6社保表_Sheet1!$C:$BZ,26,FALSE),0)</f>
        <v>522.20000000000005</v>
      </c>
      <c r="BK51">
        <f>IFERROR(VLOOKUP(DF51,源_6社保表_Sheet1!$C:$BZ,27,FALSE),0)</f>
        <v>74.599999999999994</v>
      </c>
      <c r="BL51">
        <f>IFERROR(VLOOKUP(DF51,源_6社保表_Sheet1!$C:$BZ,28,FALSE),0)</f>
        <v>37.299999999999997</v>
      </c>
      <c r="BM51">
        <f>IFERROR(VLOOKUP(DF51,源_6社保表_Sheet1!$C:$BZ,30,FALSE),0)</f>
        <v>334.38</v>
      </c>
      <c r="BN51">
        <f>IFERROR(VLOOKUP(DF51,源_6社保表_Sheet1!$C:$BZ,29,FALSE),0)</f>
        <v>0</v>
      </c>
      <c r="BO51">
        <f>IFERROR(VLOOKUP(DF51,源_6社保表_Sheet1!$C:$BZ,40,FALSE),0)</f>
        <v>0</v>
      </c>
      <c r="BP51">
        <f>IFERROR(VLOOKUP(DF51,源_6社保表_Sheet1!$C:$BZ,41,FALSE),0)</f>
        <v>0</v>
      </c>
      <c r="BQ51">
        <f>IFERROR(VLOOKUP(DF51,源_6社保表_Sheet1!$C:$BZ,42,FALSE),0)</f>
        <v>0</v>
      </c>
      <c r="BR51">
        <f>IFERROR(VLOOKUP(DF51,源_6社保表_Sheet1!$C:$BZ,44,FALSE),0)</f>
        <v>0</v>
      </c>
      <c r="BS51">
        <f>IFERROR(VLOOKUP(DF51,源_6社保表_Sheet1!$C:$BZ,43,FALSE),0)</f>
        <v>0</v>
      </c>
      <c r="BT51">
        <f t="shared" si="17"/>
        <v>968.48</v>
      </c>
      <c r="BU51">
        <v>0</v>
      </c>
      <c r="BV51">
        <v>0</v>
      </c>
      <c r="BW51">
        <v>0</v>
      </c>
      <c r="BX51">
        <f t="shared" si="18"/>
        <v>0</v>
      </c>
      <c r="BY51">
        <v>0</v>
      </c>
      <c r="BZ51">
        <f>IFERROR(VLOOKUP(DF51,源_6社保表_Sheet1!$C:$BZ,18,FALSE),0)</f>
        <v>1119</v>
      </c>
      <c r="CA51">
        <f>IFERROR(VLOOKUP(DF51,源_6社保表_Sheet1!$C:$BZ,19,FALSE),0)</f>
        <v>596.79999999999995</v>
      </c>
      <c r="CB51">
        <f>IFERROR(VLOOKUP(DF51,源_6社保表_Sheet1!$C:$BZ,24,FALSE),0)</f>
        <v>334.38</v>
      </c>
      <c r="CC51">
        <f>IFERROR(VLOOKUP(DF51,源_6社保表_Sheet1!$C:$BZ,20,FALSE),0)</f>
        <v>37.299999999999997</v>
      </c>
      <c r="CD51">
        <f>IFERROR(VLOOKUP(DF51,源_6社保表_Sheet1!$C:$BZ,21,FALSE),0)</f>
        <v>23.872</v>
      </c>
      <c r="CE51">
        <f>IFERROR(VLOOKUP(DF51,源_6社保表_Sheet1!$C:$BZ,22,FALSE),0)</f>
        <v>0</v>
      </c>
      <c r="CF51">
        <f>IFERROR(VLOOKUP(DF51,源_6社保表_Sheet1!$C:$BZ,23,FALSE),0)</f>
        <v>0</v>
      </c>
      <c r="CG51">
        <f>IFERROR(VLOOKUP(DF51,源_6社保表_Sheet1!$C:$BZ,32,FALSE),0)</f>
        <v>0</v>
      </c>
      <c r="CH51">
        <f>IFERROR(VLOOKUP(DF51,源_6社保表_Sheet1!$C:$BZ,33,FALSE),0)</f>
        <v>0</v>
      </c>
      <c r="CI51">
        <f>IFERROR(VLOOKUP(DF51,源_6社保表_Sheet1!$C:$BZ,34,FALSE),0)</f>
        <v>0</v>
      </c>
      <c r="CJ51">
        <f>IFERROR(VLOOKUP(DF51,源_6社保表_Sheet1!$C:$BZ,38,FALSE),0)</f>
        <v>0</v>
      </c>
      <c r="CK51">
        <f>IFERROR(VLOOKUP(DF51,源_6社保表_Sheet1!$C:$BZ,35,FALSE),0)</f>
        <v>0</v>
      </c>
      <c r="CL51">
        <f>IFERROR(VLOOKUP(DF51,源_6社保表_Sheet1!$C:$BZ,36,FALSE),0)</f>
        <v>0</v>
      </c>
      <c r="CM51">
        <f>IFERROR(VLOOKUP(DF51,源_6社保表_Sheet1!$C:$BZ,37,FALSE),0)</f>
        <v>0</v>
      </c>
      <c r="CN51">
        <f t="shared" si="19"/>
        <v>2111.3519999999999</v>
      </c>
      <c r="CO51">
        <f t="shared" si="20"/>
        <v>8522.7433043478268</v>
      </c>
      <c r="CP51">
        <f>IF(IFERROR(VLOOKUP(K51,源_13残疾人信息_残疾人信息!$A:$M,1,FALSE),"")&lt;&gt;"",0,IF(OR(P51="门店全职",P51="门店管理组",P51="全职(非门店)"),(BI51-AT51)*IFERROR(VLOOKUP(D51,源_12计提残保金规则_Sheet1!$A:$E,4,FALSE),0)*IFERROR(VLOOKUP(D51,源_12计提残保金规则_Sheet1!$A:$E,5,FALSE),0),0))</f>
        <v>86.466032608695656</v>
      </c>
      <c r="CQ51">
        <f t="shared" si="21"/>
        <v>16.05</v>
      </c>
      <c r="CR51">
        <f t="shared" si="22"/>
        <v>20.67</v>
      </c>
      <c r="CS51">
        <f>IF(DATEVALUE(N51)&gt;DATE(参数!$B$2,9,30),0,IF(M51="行政",0,IF(O51="",R51/12,IF(MONTH(DATEVALUE(O51))=参数!$B$3,0,IF(DATEVALUE(O51)&lt;DATE(参数!$B$2,参数!$B$3,1),0,R51/12)))))</f>
        <v>395.83333333333331</v>
      </c>
      <c r="CT51">
        <f t="shared" si="23"/>
        <v>484.5</v>
      </c>
      <c r="CU51">
        <f>IFERROR(VLOOKUP(DF51,源_6社保表_Sheet1!$C:$I,2,FALSE),0)</f>
        <v>7460</v>
      </c>
      <c r="CV51">
        <f>IFERROR(VLOOKUP(DF51,源_6社保表_Sheet1!$C:$I,7,FALSE),0)</f>
        <v>5573</v>
      </c>
      <c r="CW51">
        <f>IFERROR(VLOOKUP(DF51,源_6社保表_Sheet1!$C:$I,3,FALSE),0)</f>
        <v>7460</v>
      </c>
      <c r="CX51">
        <f>IFERROR(VLOOKUP(DF51,源_6社保表_Sheet1!$C:$I,4,FALSE),0)</f>
        <v>7460</v>
      </c>
      <c r="CY51">
        <f>IFERROR(VLOOKUP(DF51,源_6社保表_Sheet1!$C:$I,5,FALSE),0)</f>
        <v>7460</v>
      </c>
      <c r="CZ51">
        <f>IFERROR(VLOOKUP(DF51,源_6社保表_Sheet1!$C:$I,6,FALSE),0)</f>
        <v>0</v>
      </c>
      <c r="DA51">
        <f t="shared" si="24"/>
        <v>7016.2433043478268</v>
      </c>
      <c r="DB51">
        <f t="shared" si="25"/>
        <v>8026.262670289856</v>
      </c>
      <c r="DC51" t="str">
        <f>IFERROR(VLOOKUP(K51,源_7银行卡表_Sheet1!$A:$J,8,FALSE),"")</f>
        <v>交通银行</v>
      </c>
      <c r="DD51" t="str">
        <f>IFERROR(VLOOKUP(K51,源_7银行卡表_Sheet1!$A:$J,9,FALSE),"")</f>
        <v>6286437483303472134</v>
      </c>
      <c r="DE51" t="str">
        <f>IFERROR(VLOOKUP(K51,源_7银行卡表_Sheet1!$A:$J,10,FALSE),"")</f>
        <v>交通银行大连黄河街支行</v>
      </c>
      <c r="DF51" t="s">
        <v>371</v>
      </c>
      <c r="DG51">
        <v>13499159463</v>
      </c>
      <c r="DH51" t="s">
        <v>133</v>
      </c>
      <c r="DI51">
        <v>0</v>
      </c>
      <c r="DJ51">
        <v>0</v>
      </c>
      <c r="DK51">
        <v>0</v>
      </c>
      <c r="DL51">
        <v>0</v>
      </c>
      <c r="DM51">
        <v>0</v>
      </c>
      <c r="DN51">
        <v>0</v>
      </c>
      <c r="DO51">
        <v>0</v>
      </c>
      <c r="DP51">
        <v>0</v>
      </c>
      <c r="DQ51">
        <v>0</v>
      </c>
      <c r="DR51">
        <f>IF(OR(IFERROR(VLOOKUP(K51,源_3考勤报表_考勤表!$F:$BG,39,FALSE),0)+IFERROR(VLOOKUP(K51,源_8补工时表_补当月工时!$A:$AC,24,FALSE),0)=0,IFERROR(VLOOKUP(K51,源_3考勤报表_考勤表!$F:$BG,43,FALSE),0)+IFERROR(VLOOKUP(K51,源_8补工时表_补当月工时!$A:$AC,26,FALSE),0)=0),IF(BI51+BG51-BT51&lt;0,BI51+BG51-BT51,0),0)</f>
        <v>0</v>
      </c>
    </row>
    <row r="52" spans="1:122" x14ac:dyDescent="0.15">
      <c r="A52">
        <f>参数!$B$2</f>
        <v>2025</v>
      </c>
      <c r="B52">
        <f>参数!$B$3</f>
        <v>12</v>
      </c>
      <c r="D52" t="s">
        <v>122</v>
      </c>
      <c r="E52" t="s">
        <v>123</v>
      </c>
      <c r="F52" t="str">
        <f>IFERROR(VLOOKUP(K52,源_7银行卡表_Sheet1!$A:$J,6,FALSE),"")</f>
        <v>华东营运</v>
      </c>
      <c r="G52" t="s">
        <v>124</v>
      </c>
      <c r="H52" t="s">
        <v>372</v>
      </c>
      <c r="I52" t="s">
        <v>126</v>
      </c>
      <c r="J52">
        <v>1</v>
      </c>
      <c r="K52">
        <v>26123051</v>
      </c>
      <c r="L52" t="s">
        <v>373</v>
      </c>
      <c r="M52" t="s">
        <v>152</v>
      </c>
      <c r="N52" t="s">
        <v>374</v>
      </c>
      <c r="P52" t="s">
        <v>154</v>
      </c>
      <c r="Q52">
        <f>IF(P52="门店全职",IFERROR(VLOOKUP(K52,源_3考勤报表_考勤表!$F:$BG,34,FALSE),0)+IFERROR(VLOOKUP(K52,源_8补工时表_补当月工时!$A:$AC,14,FALSE),0),IF(P52="门店管理组",IF(IFERROR(VLOOKUP(K52,源_3考勤报表_考勤表!$F:$BG,34,FALSE),0)+IFERROR(VLOOKUP(K52,源_8补工时表_补当月工时!$A:$AC,14,FALSE),0)+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44,FALSE),0)+IFERROR(VLOOKUP(K52,源_8补工时表_补当月工时!$A:$AC,16,FALSE),0)+IFERROR(VLOOKUP(K52,源_3考勤报表_考勤表!$F:$BG,45,FALSE),0)&gt;=参数!$B$4,参数!$B$4-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44,FALSE),0)-IFERROR(VLOOKUP(K52,源_8补工时表_补当月工时!$A:$AC,16,FALSE),0)-IFERROR(VLOOKUP(K52,源_3考勤报表_考勤表!$F:$BG,45,FALSE),0),IFERROR(VLOOKUP(K52,源_3考勤报表_考勤表!$F:$BG,34,FALSE),0)+IFERROR(VLOOKUP(K52,源_8补工时表_补当月工时!$A:$AC,14,FALSE),0)),0))</f>
        <v>160</v>
      </c>
      <c r="R52">
        <v>3930</v>
      </c>
      <c r="S52">
        <v>20</v>
      </c>
      <c r="T52">
        <f>IF(P52="门店全职",R52/参数!$B$4*(Q52-MAX(IFERROR(VLOOKUP(K52,源_3考勤报表_考勤表!$F:$BG,34,FALSE),0)+IFERROR(VLOOKUP(K52,源_8补工时表_补当月工时!$A:$AC,14,FALSE),0)+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参数!$B$4,0)),R52/参数!$B$4*Q52)</f>
        <v>3417.391304347826</v>
      </c>
      <c r="U52">
        <v>0</v>
      </c>
      <c r="V52">
        <v>0</v>
      </c>
      <c r="W52">
        <f t="shared" si="13"/>
        <v>0</v>
      </c>
      <c r="X52">
        <f>IFERROR(VLOOKUP(K52,源_4奖金汇总表_拆分手工算!$A:$N,8,FALSE),0)</f>
        <v>0</v>
      </c>
      <c r="Y52">
        <f>IFERROR(VLOOKUP(K52,源_5薪资备忘录_工资调整项!$A:$AC,14,FALSE),0)</f>
        <v>0</v>
      </c>
      <c r="Z52">
        <f>IFERROR(VLOOKUP(K52,源_5薪资备忘录_工资调整项!$A:$AC,16,FALSE),0)</f>
        <v>0</v>
      </c>
      <c r="AA52">
        <f>IFERROR(VLOOKUP(K52,源_5薪资备忘录_工资调整项!$A:$AC,15,FALSE),0)</f>
        <v>0</v>
      </c>
      <c r="AB52">
        <f t="shared" si="14"/>
        <v>0</v>
      </c>
      <c r="AC52">
        <f>IF(P52="门店全职",R52/174*MAX(IFERROR(VLOOKUP(K52,源_3考勤报表_考勤表!$F:$BG,34,FALSE),0)+IFERROR(VLOOKUP(K52,源_8补工时表_补当月工时!$A:$AC,14,FALSE),0)+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参数!$B$4,0)*1.5,0)</f>
        <v>0</v>
      </c>
      <c r="AD52">
        <v>0</v>
      </c>
      <c r="AE52">
        <f>IFERROR(VLOOKUP(K52,源_3考勤报表_考勤表!$F:$BG,46,FALSE),0)+IFERROR(VLOOKUP(K52,源_8补工时表_补当月工时!$A:$AC,25,FALSE),0)</f>
        <v>0</v>
      </c>
      <c r="AF52">
        <f t="shared" si="15"/>
        <v>0</v>
      </c>
      <c r="AG52">
        <f>IFERROR(VLOOKUP(K52,源_4奖金汇总表_拆分手工算!$A:$N,10,FALSE),0)</f>
        <v>0</v>
      </c>
      <c r="AH52">
        <f>IFERROR(VLOOKUP(K52,源_4奖金汇总表_拆分手工算!$A:$N,5,FALSE),0)</f>
        <v>0</v>
      </c>
      <c r="AI52">
        <f>IFERROR(VLOOKUP(K52,源_4奖金汇总表_拆分手工算!$A:$N,11,FALSE),0)</f>
        <v>0</v>
      </c>
      <c r="AJ52">
        <f>IFERROR(VLOOKUP(K52,源_4奖金汇总表_拆分手工算!$A:$N,4,FALSE),0)</f>
        <v>0</v>
      </c>
      <c r="AK52">
        <f>IFERROR(VLOOKUP(K52,源_4奖金汇总表_拆分手工算!$A:$N,3,FALSE),0)</f>
        <v>0</v>
      </c>
      <c r="AL52">
        <f>IFERROR(VLOOKUP(K52,源_4奖金汇总表_拆分手工算!$A:$N,6,FALSE),0)</f>
        <v>66.66</v>
      </c>
      <c r="AM52">
        <f>IFERROR(VLOOKUP(K52,源_5薪资备忘录_工资调整项!$A:$AC,18,FALSE),0)+IFERROR(VLOOKUP(K52,源_4奖金汇总表_拆分手工算!$A:$N,7,FALSE),0)</f>
        <v>100</v>
      </c>
      <c r="AN52">
        <f>IFERROR(VLOOKUP(K52,源_5薪资备忘录_工资调整项!$A:$AC,17,FALSE),0)</f>
        <v>0</v>
      </c>
      <c r="AO52">
        <f>IF(OR(IFERROR(VLOOKUP(K52,源_3考勤报表_考勤表!$F:$BG,39,FALSE),0)+IFERROR(VLOOKUP(K52,源_8补工时表_补当月工时!$A:$AC,24,FALSE),0)&gt;0,IFERROR(VLOOKUP(K52,源_3考勤报表_考勤表!$F:$BG,43,FALSE),0)+IFERROR(VLOOKUP(K52,源_8补工时表_补当月工时!$A:$AC,26,FALSE),0)&gt;0),IF(IFERROR(VLOOKUP(DH52,源_11产假政策_Sheet1!$C:$F,4,FALSE),"")="是",R52/参数!$B$4*(IFERROR(VLOOKUP(K52,源_3考勤报表_考勤表!$F:$BG,39,FALSE),0)+IFERROR(VLOOKUP(K52,源_8补工时表_补当月工时!$A:$AC,24,FALSE),0)+IFERROR(VLOOKUP(K52,源_3考勤报表_考勤表!$F:$BG,43,FALSE),0)+IFERROR(VLOOKUP(K52,源_8补工时表_补当月工时!$A:$AC,26,FALSE),0)),IFERROR(VLOOKUP(K52,源_5薪资备忘录_工资调整项!$A:$AC,19,FALSE),0)),0)</f>
        <v>0</v>
      </c>
      <c r="AP52">
        <v>0</v>
      </c>
      <c r="AQ52">
        <f>IFERROR(VLOOKUP(K52,源_4奖金汇总表_拆分手工算!$A:$N,12,FALSE),0)+IFERROR(VLOOKUP(K52,源_9年终奖表_Sheet1!$A:$E,3,FALSE),0)</f>
        <v>1200</v>
      </c>
      <c r="AR52">
        <f>IFERROR(VLOOKUP(K52,源_4奖金汇总表_拆分手工算!$A:$N,13,FALSE),0)+IFERROR(VLOOKUP(K52,源_9年终奖表_Sheet1!$A:$E,4,FALSE),0)</f>
        <v>520.36</v>
      </c>
      <c r="AS52">
        <f>IFERROR(VLOOKUP(K52,源_4奖金汇总表_拆分手工算!$A:$N,14,FALSE),0)+IFERROR(VLOOKUP(K52,源_9年终奖表_Sheet1!$A:$E,5,FALSE),0)</f>
        <v>222.99</v>
      </c>
      <c r="AT52">
        <f>IFERROR(VLOOKUP(K52,源_5薪资备忘录_工资调整项!$A:$AC,20,FALSE),0)</f>
        <v>0</v>
      </c>
      <c r="AU52">
        <f>IFERROR(VLOOKUP(K52,源_5薪资备忘录_工资调整项!$A:$AC,21,FALSE),0)+IFERROR(VLOOKUP(K52,源_4奖金汇总表_拆分手工算!$A:$N,9,FALSE),0)</f>
        <v>0</v>
      </c>
      <c r="AV52">
        <f>R52/参数!$B$4*(IFERROR(VLOOKUP(K52,源_3考勤报表_考勤表!$F:$BG,37,FALSE),0)+IFERROR(VLOOKUP(K52,源_8补工时表_补当月工时!$A:$AC,15,FALSE),0))</f>
        <v>0</v>
      </c>
      <c r="AW52">
        <f>R52/174*MIN(IFERROR(VLOOKUP(K52,源_3考勤报表_考勤表!$F:$BG,35,FALSE),0),174)*IF(DATEDIF(N52,DATE(参数!$B$2,参数!$B$3+1,0),"Y")&lt;2,0.6,IF(DATEDIF(N52,DATE(参数!$B$2,参数!$B$3+1,0),"Y")&lt;4,0.7,IF(DATEDIF(N52,DATE(参数!$B$2,参数!$B$3+1,0),"Y")&lt;6,0.8,IF(DATEDIF(N52,DATE(参数!$B$2,参数!$B$3+1,0),"Y")&lt;8,0.9,1))))</f>
        <v>0</v>
      </c>
      <c r="AX52">
        <f>IF(Q52+IFERROR(VLOOKUP(K52,源_3考勤报表_考勤表!$F:$BG,37,FALSE),0)+IFERROR(VLOOKUP(K52,源_8补工时表_补当月工时!$A:$AC,15,FALSE),0)&gt;=参数!$B$4,0,IF(Q52+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lt;=参数!$B$4,R52/参数!$B$4*(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0))</f>
        <v>0</v>
      </c>
      <c r="AY52">
        <v>0</v>
      </c>
      <c r="AZ52">
        <v>0</v>
      </c>
      <c r="BA52">
        <v>0</v>
      </c>
      <c r="BB52">
        <v>0</v>
      </c>
      <c r="BC52">
        <f>IFERROR(VLOOKUP(K52,源_5薪资备忘录_工资调整项!$A:$AC,25,FALSE),0)</f>
        <v>0</v>
      </c>
      <c r="BD52">
        <v>0</v>
      </c>
      <c r="BE52">
        <v>0</v>
      </c>
      <c r="BF52">
        <v>0</v>
      </c>
      <c r="BG52">
        <f>IFERROR(VLOOKUP(K52,源_5薪资备忘录_工资调整项!$A:$AC,22,FALSE),0)+IFERROR(VLOOKUP(K52,源_5薪资备忘录_工资调整项!$A:$AC,23,FALSE),0)+IFERROR(VLOOKUP(K52,源_5薪资备忘录_工资调整项!$A:$AC,24,FALSE),0)</f>
        <v>0</v>
      </c>
      <c r="BH52">
        <f>IFERROR(VLOOKUP(DF52,源_6社保表_Sheet1!$C:$CD,80,FALSE),0)+4.5</f>
        <v>6.5</v>
      </c>
      <c r="BI52">
        <f t="shared" si="16"/>
        <v>5527.4013043478253</v>
      </c>
      <c r="BJ52">
        <f>IFERROR(VLOOKUP(DF52,源_6社保表_Sheet1!$C:$BZ,26,FALSE),0)</f>
        <v>522.20000000000005</v>
      </c>
      <c r="BK52">
        <f>IFERROR(VLOOKUP(DF52,源_6社保表_Sheet1!$C:$BZ,27,FALSE),0)</f>
        <v>74.599999999999994</v>
      </c>
      <c r="BL52">
        <f>IFERROR(VLOOKUP(DF52,源_6社保表_Sheet1!$C:$BZ,28,FALSE),0)</f>
        <v>37.299999999999997</v>
      </c>
      <c r="BM52">
        <f>IFERROR(VLOOKUP(DF52,源_6社保表_Sheet1!$C:$BZ,30,FALSE),0)</f>
        <v>223.2</v>
      </c>
      <c r="BN52">
        <f>IFERROR(VLOOKUP(DF52,源_6社保表_Sheet1!$C:$BZ,29,FALSE),0)</f>
        <v>0</v>
      </c>
      <c r="BO52">
        <f>IFERROR(VLOOKUP(DF52,源_6社保表_Sheet1!$C:$BZ,40,FALSE),0)</f>
        <v>0</v>
      </c>
      <c r="BP52">
        <f>IFERROR(VLOOKUP(DF52,源_6社保表_Sheet1!$C:$BZ,41,FALSE),0)</f>
        <v>0</v>
      </c>
      <c r="BQ52">
        <f>IFERROR(VLOOKUP(DF52,源_6社保表_Sheet1!$C:$BZ,42,FALSE),0)</f>
        <v>0</v>
      </c>
      <c r="BR52">
        <f>IFERROR(VLOOKUP(DF52,源_6社保表_Sheet1!$C:$BZ,44,FALSE),0)</f>
        <v>0</v>
      </c>
      <c r="BS52">
        <f>IFERROR(VLOOKUP(DF52,源_6社保表_Sheet1!$C:$BZ,43,FALSE),0)</f>
        <v>0</v>
      </c>
      <c r="BT52">
        <f t="shared" si="17"/>
        <v>857.3</v>
      </c>
      <c r="BU52">
        <v>0</v>
      </c>
      <c r="BV52">
        <v>0</v>
      </c>
      <c r="BW52">
        <v>0</v>
      </c>
      <c r="BX52">
        <f t="shared" si="18"/>
        <v>0</v>
      </c>
      <c r="BY52">
        <v>0</v>
      </c>
      <c r="BZ52">
        <f>IFERROR(VLOOKUP(DF52,源_6社保表_Sheet1!$C:$BZ,18,FALSE),0)</f>
        <v>1119</v>
      </c>
      <c r="CA52">
        <f>IFERROR(VLOOKUP(DF52,源_6社保表_Sheet1!$C:$BZ,19,FALSE),0)</f>
        <v>596.79999999999995</v>
      </c>
      <c r="CB52">
        <f>IFERROR(VLOOKUP(DF52,源_6社保表_Sheet1!$C:$BZ,24,FALSE),0)</f>
        <v>223.2</v>
      </c>
      <c r="CC52">
        <f>IFERROR(VLOOKUP(DF52,源_6社保表_Sheet1!$C:$BZ,20,FALSE),0)</f>
        <v>37.299999999999997</v>
      </c>
      <c r="CD52">
        <f>IFERROR(VLOOKUP(DF52,源_6社保表_Sheet1!$C:$BZ,21,FALSE),0)</f>
        <v>23.872</v>
      </c>
      <c r="CE52">
        <f>IFERROR(VLOOKUP(DF52,源_6社保表_Sheet1!$C:$BZ,22,FALSE),0)</f>
        <v>0</v>
      </c>
      <c r="CF52">
        <f>IFERROR(VLOOKUP(DF52,源_6社保表_Sheet1!$C:$BZ,23,FALSE),0)</f>
        <v>0</v>
      </c>
      <c r="CG52">
        <f>IFERROR(VLOOKUP(DF52,源_6社保表_Sheet1!$C:$BZ,32,FALSE),0)</f>
        <v>0</v>
      </c>
      <c r="CH52">
        <f>IFERROR(VLOOKUP(DF52,源_6社保表_Sheet1!$C:$BZ,33,FALSE),0)</f>
        <v>0</v>
      </c>
      <c r="CI52">
        <f>IFERROR(VLOOKUP(DF52,源_6社保表_Sheet1!$C:$BZ,34,FALSE),0)</f>
        <v>0</v>
      </c>
      <c r="CJ52">
        <f>IFERROR(VLOOKUP(DF52,源_6社保表_Sheet1!$C:$BZ,38,FALSE),0)</f>
        <v>0</v>
      </c>
      <c r="CK52">
        <f>IFERROR(VLOOKUP(DF52,源_6社保表_Sheet1!$C:$BZ,35,FALSE),0)</f>
        <v>0</v>
      </c>
      <c r="CL52">
        <f>IFERROR(VLOOKUP(DF52,源_6社保表_Sheet1!$C:$BZ,36,FALSE),0)</f>
        <v>0</v>
      </c>
      <c r="CM52">
        <f>IFERROR(VLOOKUP(DF52,源_6社保表_Sheet1!$C:$BZ,37,FALSE),0)</f>
        <v>0</v>
      </c>
      <c r="CN52">
        <f t="shared" si="19"/>
        <v>2000.172</v>
      </c>
      <c r="CO52">
        <f t="shared" si="20"/>
        <v>7534.0733043478249</v>
      </c>
      <c r="CP52">
        <f>IF(IFERROR(VLOOKUP(K52,源_13残疾人信息_残疾人信息!$A:$M,1,FALSE),"")&lt;&gt;"",0,IF(OR(P52="门店全职",P52="门店管理组",P52="全职(非门店)"),(BI52-AT52)*IFERROR(VLOOKUP(D52,源_12计提残保金规则_Sheet1!$A:$E,4,FALSE),0)*IFERROR(VLOOKUP(D52,源_12计提残保金规则_Sheet1!$A:$E,5,FALSE),0),0))</f>
        <v>74.619917608695644</v>
      </c>
      <c r="CQ52">
        <f t="shared" si="21"/>
        <v>16.05</v>
      </c>
      <c r="CR52">
        <f t="shared" si="22"/>
        <v>20.67</v>
      </c>
      <c r="CS52">
        <f>IF(DATEVALUE(N52)&gt;DATE(参数!$B$2,9,30),0,IF(M52="行政",0,IF(O52="",R52/12,IF(MONTH(DATEVALUE(O52))=参数!$B$3,0,IF(DATEVALUE(O52)&lt;DATE(参数!$B$2,参数!$B$3,1),0,R52/12)))))</f>
        <v>327.5</v>
      </c>
      <c r="CT52">
        <f t="shared" si="23"/>
        <v>0</v>
      </c>
      <c r="CU52">
        <f>IFERROR(VLOOKUP(DF52,源_6社保表_Sheet1!$C:$I,2,FALSE),0)</f>
        <v>7460</v>
      </c>
      <c r="CV52">
        <f>IFERROR(VLOOKUP(DF52,源_6社保表_Sheet1!$C:$I,7,FALSE),0)</f>
        <v>3720</v>
      </c>
      <c r="CW52">
        <f>IFERROR(VLOOKUP(DF52,源_6社保表_Sheet1!$C:$I,3,FALSE),0)</f>
        <v>7460</v>
      </c>
      <c r="CX52">
        <f>IFERROR(VLOOKUP(DF52,源_6社保表_Sheet1!$C:$I,4,FALSE),0)</f>
        <v>7460</v>
      </c>
      <c r="CY52">
        <f>IFERROR(VLOOKUP(DF52,源_6社保表_Sheet1!$C:$I,5,FALSE),0)</f>
        <v>7460</v>
      </c>
      <c r="CZ52">
        <f>IFERROR(VLOOKUP(DF52,源_6社保表_Sheet1!$C:$I,6,FALSE),0)</f>
        <v>0</v>
      </c>
      <c r="DA52">
        <f t="shared" si="24"/>
        <v>5417.5633043478256</v>
      </c>
      <c r="DB52">
        <f t="shared" si="25"/>
        <v>5862.9032219565215</v>
      </c>
      <c r="DC52" t="str">
        <f>IFERROR(VLOOKUP(K52,源_7银行卡表_Sheet1!$A:$J,8,FALSE),"")</f>
        <v>交通银行</v>
      </c>
      <c r="DD52" t="str">
        <f>IFERROR(VLOOKUP(K52,源_7银行卡表_Sheet1!$A:$J,9,FALSE),"")</f>
        <v>6289874155989991194</v>
      </c>
      <c r="DE52" t="str">
        <f>IFERROR(VLOOKUP(K52,源_7银行卡表_Sheet1!$A:$J,10,FALSE),"")</f>
        <v>交通银行大连世达街支行</v>
      </c>
      <c r="DF52" t="s">
        <v>375</v>
      </c>
      <c r="DG52">
        <v>15633638021</v>
      </c>
      <c r="DH52" t="s">
        <v>133</v>
      </c>
      <c r="DI52">
        <v>0</v>
      </c>
      <c r="DJ52">
        <v>0</v>
      </c>
      <c r="DK52">
        <v>0</v>
      </c>
      <c r="DL52">
        <v>0</v>
      </c>
      <c r="DM52">
        <v>0</v>
      </c>
      <c r="DN52">
        <v>0</v>
      </c>
      <c r="DO52">
        <v>0</v>
      </c>
      <c r="DP52">
        <v>0</v>
      </c>
      <c r="DQ52">
        <v>0</v>
      </c>
      <c r="DR52">
        <f>IF(OR(IFERROR(VLOOKUP(K52,源_3考勤报表_考勤表!$F:$BG,39,FALSE),0)+IFERROR(VLOOKUP(K52,源_8补工时表_补当月工时!$A:$AC,24,FALSE),0)=0,IFERROR(VLOOKUP(K52,源_3考勤报表_考勤表!$F:$BG,43,FALSE),0)+IFERROR(VLOOKUP(K52,源_8补工时表_补当月工时!$A:$AC,26,FALSE),0)=0),IF(BI52+BG52-BT52&lt;0,BI52+BG52-BT52,0),0)</f>
        <v>0</v>
      </c>
    </row>
    <row r="53" spans="1:122" x14ac:dyDescent="0.15">
      <c r="A53">
        <f>参数!$B$2</f>
        <v>2025</v>
      </c>
      <c r="B53">
        <f>参数!$B$3</f>
        <v>12</v>
      </c>
      <c r="D53" t="s">
        <v>147</v>
      </c>
      <c r="E53" t="s">
        <v>123</v>
      </c>
      <c r="F53" t="str">
        <f>IFERROR(VLOOKUP(K53,源_7银行卡表_Sheet1!$A:$J,6,FALSE),"")</f>
        <v>华北营运</v>
      </c>
      <c r="G53" t="s">
        <v>148</v>
      </c>
      <c r="H53" t="s">
        <v>296</v>
      </c>
      <c r="I53" t="s">
        <v>150</v>
      </c>
      <c r="J53">
        <v>1</v>
      </c>
      <c r="K53">
        <v>26123052</v>
      </c>
      <c r="L53" t="s">
        <v>376</v>
      </c>
      <c r="M53" t="s">
        <v>377</v>
      </c>
      <c r="N53" t="s">
        <v>378</v>
      </c>
      <c r="P53" t="s">
        <v>154</v>
      </c>
      <c r="Q53">
        <f>IF(P53="门店全职",IFERROR(VLOOKUP(K53,源_3考勤报表_考勤表!$F:$BG,34,FALSE),0)+IFERROR(VLOOKUP(K53,源_8补工时表_补当月工时!$A:$AC,14,FALSE),0),IF(P53="门店管理组",IF(IFERROR(VLOOKUP(K53,源_3考勤报表_考勤表!$F:$BG,34,FALSE),0)+IFERROR(VLOOKUP(K53,源_8补工时表_补当月工时!$A:$AC,14,FALSE),0)+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44,FALSE),0)+IFERROR(VLOOKUP(K53,源_8补工时表_补当月工时!$A:$AC,16,FALSE),0)+IFERROR(VLOOKUP(K53,源_3考勤报表_考勤表!$F:$BG,45,FALSE),0)&gt;=参数!$B$4,参数!$B$4-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44,FALSE),0)-IFERROR(VLOOKUP(K53,源_8补工时表_补当月工时!$A:$AC,16,FALSE),0)-IFERROR(VLOOKUP(K53,源_3考勤报表_考勤表!$F:$BG,45,FALSE),0),IFERROR(VLOOKUP(K53,源_3考勤报表_考勤表!$F:$BG,34,FALSE),0)+IFERROR(VLOOKUP(K53,源_8补工时表_补当月工时!$A:$AC,14,FALSE),0)),0))</f>
        <v>140</v>
      </c>
      <c r="R53">
        <v>2904</v>
      </c>
      <c r="S53">
        <v>0</v>
      </c>
      <c r="T53">
        <f>IF(P53="门店全职",R53/参数!$B$4*(Q53-MAX(IFERROR(VLOOKUP(K53,源_3考勤报表_考勤表!$F:$BG,34,FALSE),0)+IFERROR(VLOOKUP(K53,源_8补工时表_补当月工时!$A:$AC,14,FALSE),0)+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参数!$B$4,0)),R53/参数!$B$4*Q53)</f>
        <v>2146.4347826086955</v>
      </c>
      <c r="U53">
        <v>0</v>
      </c>
      <c r="V53">
        <v>0</v>
      </c>
      <c r="W53">
        <f t="shared" si="13"/>
        <v>0</v>
      </c>
      <c r="X53">
        <f>IFERROR(VLOOKUP(K53,源_4奖金汇总表_拆分手工算!$A:$N,8,FALSE),0)</f>
        <v>0</v>
      </c>
      <c r="Y53">
        <f>IFERROR(VLOOKUP(K53,源_5薪资备忘录_工资调整项!$A:$AC,14,FALSE),0)</f>
        <v>0</v>
      </c>
      <c r="Z53">
        <f>IFERROR(VLOOKUP(K53,源_5薪资备忘录_工资调整项!$A:$AC,16,FALSE),0)</f>
        <v>0</v>
      </c>
      <c r="AA53">
        <f>IFERROR(VLOOKUP(K53,源_5薪资备忘录_工资调整项!$A:$AC,15,FALSE),0)</f>
        <v>0</v>
      </c>
      <c r="AB53">
        <f t="shared" si="14"/>
        <v>100.13793103448276</v>
      </c>
      <c r="AC53">
        <f>IF(P53="门店全职",R53/174*MAX(IFERROR(VLOOKUP(K53,源_3考勤报表_考勤表!$F:$BG,34,FALSE),0)+IFERROR(VLOOKUP(K53,源_8补工时表_补当月工时!$A:$AC,14,FALSE),0)+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参数!$B$4,0)*1.5,0)</f>
        <v>100.13793103448276</v>
      </c>
      <c r="AD53">
        <v>0</v>
      </c>
      <c r="AE53">
        <f>IFERROR(VLOOKUP(K53,源_3考勤报表_考勤表!$F:$BG,46,FALSE),0)+IFERROR(VLOOKUP(K53,源_8补工时表_补当月工时!$A:$AC,25,FALSE),0)</f>
        <v>0</v>
      </c>
      <c r="AF53">
        <f t="shared" si="15"/>
        <v>0</v>
      </c>
      <c r="AG53">
        <f>IFERROR(VLOOKUP(K53,源_4奖金汇总表_拆分手工算!$A:$N,10,FALSE),0)</f>
        <v>0</v>
      </c>
      <c r="AH53">
        <f>IFERROR(VLOOKUP(K53,源_4奖金汇总表_拆分手工算!$A:$N,5,FALSE),0)</f>
        <v>0</v>
      </c>
      <c r="AI53">
        <f>IFERROR(VLOOKUP(K53,源_4奖金汇总表_拆分手工算!$A:$N,11,FALSE),0)</f>
        <v>0</v>
      </c>
      <c r="AJ53">
        <f>IFERROR(VLOOKUP(K53,源_4奖金汇总表_拆分手工算!$A:$N,4,FALSE),0)</f>
        <v>0</v>
      </c>
      <c r="AK53">
        <f>IFERROR(VLOOKUP(K53,源_4奖金汇总表_拆分手工算!$A:$N,3,FALSE),0)</f>
        <v>0</v>
      </c>
      <c r="AL53">
        <f>IFERROR(VLOOKUP(K53,源_4奖金汇总表_拆分手工算!$A:$N,6,FALSE),0)</f>
        <v>0</v>
      </c>
      <c r="AM53">
        <f>IFERROR(VLOOKUP(K53,源_5薪资备忘录_工资调整项!$A:$AC,18,FALSE),0)+IFERROR(VLOOKUP(K53,源_4奖金汇总表_拆分手工算!$A:$N,7,FALSE),0)</f>
        <v>200</v>
      </c>
      <c r="AN53">
        <f>IFERROR(VLOOKUP(K53,源_5薪资备忘录_工资调整项!$A:$AC,17,FALSE),0)</f>
        <v>0</v>
      </c>
      <c r="AO53">
        <f>IF(OR(IFERROR(VLOOKUP(K53,源_3考勤报表_考勤表!$F:$BG,39,FALSE),0)+IFERROR(VLOOKUP(K53,源_8补工时表_补当月工时!$A:$AC,24,FALSE),0)&gt;0,IFERROR(VLOOKUP(K53,源_3考勤报表_考勤表!$F:$BG,43,FALSE),0)+IFERROR(VLOOKUP(K53,源_8补工时表_补当月工时!$A:$AC,26,FALSE),0)&gt;0),IF(IFERROR(VLOOKUP(DH53,源_11产假政策_Sheet1!$C:$F,4,FALSE),"")="是",R53/参数!$B$4*(IFERROR(VLOOKUP(K53,源_3考勤报表_考勤表!$F:$BG,39,FALSE),0)+IFERROR(VLOOKUP(K53,源_8补工时表_补当月工时!$A:$AC,24,FALSE),0)+IFERROR(VLOOKUP(K53,源_3考勤报表_考勤表!$F:$BG,43,FALSE),0)+IFERROR(VLOOKUP(K53,源_8补工时表_补当月工时!$A:$AC,26,FALSE),0)),IFERROR(VLOOKUP(K53,源_5薪资备忘录_工资调整项!$A:$AC,19,FALSE),0)),0)</f>
        <v>0</v>
      </c>
      <c r="AP53">
        <v>0</v>
      </c>
      <c r="AQ53">
        <f>IFERROR(VLOOKUP(K53,源_4奖金汇总表_拆分手工算!$A:$N,12,FALSE),0)+IFERROR(VLOOKUP(K53,源_9年终奖表_Sheet1!$A:$E,3,FALSE),0)</f>
        <v>1200</v>
      </c>
      <c r="AR53">
        <f>IFERROR(VLOOKUP(K53,源_4奖金汇总表_拆分手工算!$A:$N,13,FALSE),0)+IFERROR(VLOOKUP(K53,源_9年终奖表_Sheet1!$A:$E,4,FALSE),0)</f>
        <v>600</v>
      </c>
      <c r="AS53">
        <f>IFERROR(VLOOKUP(K53,源_4奖金汇总表_拆分手工算!$A:$N,14,FALSE),0)+IFERROR(VLOOKUP(K53,源_9年终奖表_Sheet1!$A:$E,5,FALSE),0)</f>
        <v>111.88</v>
      </c>
      <c r="AT53">
        <f>IFERROR(VLOOKUP(K53,源_5薪资备忘录_工资调整项!$A:$AC,20,FALSE),0)</f>
        <v>0</v>
      </c>
      <c r="AU53">
        <f>IFERROR(VLOOKUP(K53,源_5薪资备忘录_工资调整项!$A:$AC,21,FALSE),0)+IFERROR(VLOOKUP(K53,源_4奖金汇总表_拆分手工算!$A:$N,9,FALSE),0)</f>
        <v>0</v>
      </c>
      <c r="AV53">
        <f>R53/参数!$B$4*(IFERROR(VLOOKUP(K53,源_3考勤报表_考勤表!$F:$BG,37,FALSE),0)+IFERROR(VLOOKUP(K53,源_8补工时表_补当月工时!$A:$AC,15,FALSE),0))</f>
        <v>505.04347826086956</v>
      </c>
      <c r="AW53">
        <f>R53/174*MIN(IFERROR(VLOOKUP(K53,源_3考勤报表_考勤表!$F:$BG,35,FALSE),0),174)*IF(DATEDIF(N53,DATE(参数!$B$2,参数!$B$3+1,0),"Y")&lt;2,0.6,IF(DATEDIF(N53,DATE(参数!$B$2,参数!$B$3+1,0),"Y")&lt;4,0.7,IF(DATEDIF(N53,DATE(参数!$B$2,参数!$B$3+1,0),"Y")&lt;6,0.8,IF(DATEDIF(N53,DATE(参数!$B$2,参数!$B$3+1,0),"Y")&lt;8,0.9,1))))</f>
        <v>0</v>
      </c>
      <c r="AX53">
        <f>IF(Q53+IFERROR(VLOOKUP(K53,源_3考勤报表_考勤表!$F:$BG,37,FALSE),0)+IFERROR(VLOOKUP(K53,源_8补工时表_补当月工时!$A:$AC,15,FALSE),0)&gt;=参数!$B$4,0,IF(Q53+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lt;=参数!$B$4,R53/参数!$B$4*(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0))</f>
        <v>0</v>
      </c>
      <c r="AY53">
        <v>0</v>
      </c>
      <c r="AZ53">
        <v>0</v>
      </c>
      <c r="BA53">
        <v>0</v>
      </c>
      <c r="BB53">
        <v>0</v>
      </c>
      <c r="BC53">
        <f>IFERROR(VLOOKUP(K53,源_5薪资备忘录_工资调整项!$A:$AC,25,FALSE),0)</f>
        <v>0</v>
      </c>
      <c r="BD53">
        <v>0</v>
      </c>
      <c r="BE53">
        <f>(T53+W53+AB53+AG53+AH53+AI53+AJ53+AK53+AL53+AM53+AN53+AO53+AP53+AU53+AV53+AW53+AX53+BC53-IFERROR(VLOOKUP(DF53,源_6社保表_Sheet1!$C:$BZ,76,FALSE),0))*0.02</f>
        <v>43.808923838080958</v>
      </c>
      <c r="BF53">
        <v>0</v>
      </c>
      <c r="BG53">
        <f>IFERROR(VLOOKUP(K53,源_5薪资备忘录_工资调整项!$A:$AC,22,FALSE),0)+IFERROR(VLOOKUP(K53,源_5薪资备忘录_工资调整项!$A:$AC,23,FALSE),0)+IFERROR(VLOOKUP(K53,源_5薪资备忘录_工资调整项!$A:$AC,24,FALSE),0)</f>
        <v>0</v>
      </c>
      <c r="BH53">
        <f>IFERROR(VLOOKUP(DF53,源_6社保表_Sheet1!$C:$CD,80,FALSE),0)+4.5</f>
        <v>6.5</v>
      </c>
      <c r="BI53">
        <f t="shared" si="16"/>
        <v>4863.4961919040479</v>
      </c>
      <c r="BJ53">
        <f>IFERROR(VLOOKUP(DF53,源_6社保表_Sheet1!$C:$BZ,26,FALSE),0)</f>
        <v>501.34</v>
      </c>
      <c r="BK53">
        <f>IFERROR(VLOOKUP(DF53,源_6社保表_Sheet1!$C:$BZ,27,FALSE),0)</f>
        <v>71.62</v>
      </c>
      <c r="BL53">
        <f>IFERROR(VLOOKUP(DF53,源_6社保表_Sheet1!$C:$BZ,28,FALSE),0)</f>
        <v>35.81</v>
      </c>
      <c r="BM53">
        <f>IFERROR(VLOOKUP(DF53,源_6社保表_Sheet1!$C:$BZ,30,FALSE),0)</f>
        <v>152.4</v>
      </c>
      <c r="BN53">
        <f>IFERROR(VLOOKUP(DF53,源_6社保表_Sheet1!$C:$BZ,29,FALSE),0)</f>
        <v>0</v>
      </c>
      <c r="BO53">
        <f>IFERROR(VLOOKUP(DF53,源_6社保表_Sheet1!$C:$BZ,40,FALSE),0)</f>
        <v>0</v>
      </c>
      <c r="BP53">
        <f>IFERROR(VLOOKUP(DF53,源_6社保表_Sheet1!$C:$BZ,41,FALSE),0)</f>
        <v>0</v>
      </c>
      <c r="BQ53">
        <f>IFERROR(VLOOKUP(DF53,源_6社保表_Sheet1!$C:$BZ,42,FALSE),0)</f>
        <v>0</v>
      </c>
      <c r="BR53">
        <f>IFERROR(VLOOKUP(DF53,源_6社保表_Sheet1!$C:$BZ,44,FALSE),0)</f>
        <v>0</v>
      </c>
      <c r="BS53">
        <f>IFERROR(VLOOKUP(DF53,源_6社保表_Sheet1!$C:$BZ,43,FALSE),0)</f>
        <v>0</v>
      </c>
      <c r="BT53">
        <f t="shared" si="17"/>
        <v>761.17</v>
      </c>
      <c r="BU53">
        <v>0</v>
      </c>
      <c r="BV53">
        <v>0</v>
      </c>
      <c r="BW53">
        <v>0</v>
      </c>
      <c r="BX53">
        <f t="shared" si="18"/>
        <v>0</v>
      </c>
      <c r="BY53">
        <v>0</v>
      </c>
      <c r="BZ53">
        <f>IFERROR(VLOOKUP(DF53,源_6社保表_Sheet1!$C:$BZ,18,FALSE),0)</f>
        <v>1074.3</v>
      </c>
      <c r="CA53">
        <f>IFERROR(VLOOKUP(DF53,源_6社保表_Sheet1!$C:$BZ,19,FALSE),0)</f>
        <v>572.96</v>
      </c>
      <c r="CB53">
        <f>IFERROR(VLOOKUP(DF53,源_6社保表_Sheet1!$C:$BZ,24,FALSE),0)</f>
        <v>152.4</v>
      </c>
      <c r="CC53">
        <f>IFERROR(VLOOKUP(DF53,源_6社保表_Sheet1!$C:$BZ,20,FALSE),0)</f>
        <v>35.81</v>
      </c>
      <c r="CD53">
        <f>IFERROR(VLOOKUP(DF53,源_6社保表_Sheet1!$C:$BZ,21,FALSE),0)</f>
        <v>22.918399999999998</v>
      </c>
      <c r="CE53">
        <f>IFERROR(VLOOKUP(DF53,源_6社保表_Sheet1!$C:$BZ,22,FALSE),0)</f>
        <v>0</v>
      </c>
      <c r="CF53">
        <f>IFERROR(VLOOKUP(DF53,源_6社保表_Sheet1!$C:$BZ,23,FALSE),0)</f>
        <v>0</v>
      </c>
      <c r="CG53">
        <f>IFERROR(VLOOKUP(DF53,源_6社保表_Sheet1!$C:$BZ,32,FALSE),0)</f>
        <v>0</v>
      </c>
      <c r="CH53">
        <f>IFERROR(VLOOKUP(DF53,源_6社保表_Sheet1!$C:$BZ,33,FALSE),0)</f>
        <v>0</v>
      </c>
      <c r="CI53">
        <f>IFERROR(VLOOKUP(DF53,源_6社保表_Sheet1!$C:$BZ,34,FALSE),0)</f>
        <v>0</v>
      </c>
      <c r="CJ53">
        <f>IFERROR(VLOOKUP(DF53,源_6社保表_Sheet1!$C:$BZ,38,FALSE),0)</f>
        <v>0</v>
      </c>
      <c r="CK53">
        <f>IFERROR(VLOOKUP(DF53,源_6社保表_Sheet1!$C:$BZ,35,FALSE),0)</f>
        <v>0</v>
      </c>
      <c r="CL53">
        <f>IFERROR(VLOOKUP(DF53,源_6社保表_Sheet1!$C:$BZ,36,FALSE),0)</f>
        <v>0</v>
      </c>
      <c r="CM53">
        <f>IFERROR(VLOOKUP(DF53,源_6社保表_Sheet1!$C:$BZ,37,FALSE),0)</f>
        <v>0</v>
      </c>
      <c r="CN53">
        <f t="shared" si="19"/>
        <v>1858.3884</v>
      </c>
      <c r="CO53">
        <f t="shared" si="20"/>
        <v>6772.1935157421285</v>
      </c>
      <c r="CP53">
        <f>IF(IFERROR(VLOOKUP(K53,源_13残疾人信息_残疾人信息!$A:$M,1,FALSE),"")&lt;&gt;"",0,IF(OR(P53="门店全职",P53="门店管理组",P53="全职(非门店)"),(BI53-AT53)*IFERROR(VLOOKUP(D53,源_12计提残保金规则_Sheet1!$A:$E,4,FALSE),0)*IFERROR(VLOOKUP(D53,源_12计提残保金规则_Sheet1!$A:$E,5,FALSE),0),0))</f>
        <v>0</v>
      </c>
      <c r="CQ53">
        <f t="shared" si="21"/>
        <v>0</v>
      </c>
      <c r="CR53">
        <f t="shared" si="22"/>
        <v>20.67</v>
      </c>
      <c r="CS53">
        <f>IF(DATEVALUE(N53)&gt;DATE(参数!$B$2,9,30),0,IF(M53="行政",0,IF(O53="",R53/12,IF(MONTH(DATEVALUE(O53))=参数!$B$3,0,IF(DATEVALUE(O53)&lt;DATE(参数!$B$2,参数!$B$3,1),0,R53/12)))))</f>
        <v>0</v>
      </c>
      <c r="CT53">
        <f t="shared" si="23"/>
        <v>0</v>
      </c>
      <c r="CU53">
        <f>IFERROR(VLOOKUP(DF53,源_6社保表_Sheet1!$C:$I,2,FALSE),0)</f>
        <v>7162</v>
      </c>
      <c r="CV53">
        <f>IFERROR(VLOOKUP(DF53,源_6社保表_Sheet1!$C:$I,7,FALSE),0)</f>
        <v>2540</v>
      </c>
      <c r="CW53">
        <f>IFERROR(VLOOKUP(DF53,源_6社保表_Sheet1!$C:$I,3,FALSE),0)</f>
        <v>7162</v>
      </c>
      <c r="CX53">
        <f>IFERROR(VLOOKUP(DF53,源_6社保表_Sheet1!$C:$I,4,FALSE),0)</f>
        <v>7162</v>
      </c>
      <c r="CY53">
        <f>IFERROR(VLOOKUP(DF53,源_6社保表_Sheet1!$C:$I,5,FALSE),0)</f>
        <v>7162</v>
      </c>
      <c r="CZ53">
        <f>IFERROR(VLOOKUP(DF53,源_6社保表_Sheet1!$C:$I,6,FALSE),0)</f>
        <v>0</v>
      </c>
      <c r="DA53">
        <f t="shared" si="24"/>
        <v>4610.0045919040476</v>
      </c>
      <c r="DB53">
        <f t="shared" si="25"/>
        <v>4637.1745919040477</v>
      </c>
      <c r="DC53" t="str">
        <f>IFERROR(VLOOKUP(K53,源_7银行卡表_Sheet1!$A:$J,8,FALSE),"")</f>
        <v>中国银行</v>
      </c>
      <c r="DD53" t="str">
        <f>IFERROR(VLOOKUP(K53,源_7银行卡表_Sheet1!$A:$J,9,FALSE),"")</f>
        <v>6284195212373191809</v>
      </c>
      <c r="DE53" t="str">
        <f>IFERROR(VLOOKUP(K53,源_7银行卡表_Sheet1!$A:$J,10,FALSE),"")</f>
        <v>北海市分行</v>
      </c>
      <c r="DF53" t="s">
        <v>379</v>
      </c>
      <c r="DG53">
        <v>13467192268</v>
      </c>
      <c r="DH53" t="s">
        <v>148</v>
      </c>
      <c r="DI53">
        <v>0</v>
      </c>
      <c r="DJ53">
        <v>0</v>
      </c>
      <c r="DK53">
        <v>0</v>
      </c>
      <c r="DL53">
        <v>0</v>
      </c>
      <c r="DM53">
        <v>0</v>
      </c>
      <c r="DN53">
        <v>0</v>
      </c>
      <c r="DO53">
        <v>0</v>
      </c>
      <c r="DP53">
        <v>0</v>
      </c>
      <c r="DQ53">
        <v>0</v>
      </c>
      <c r="DR53">
        <f>IF(OR(IFERROR(VLOOKUP(K53,源_3考勤报表_考勤表!$F:$BG,39,FALSE),0)+IFERROR(VLOOKUP(K53,源_8补工时表_补当月工时!$A:$AC,24,FALSE),0)=0,IFERROR(VLOOKUP(K53,源_3考勤报表_考勤表!$F:$BG,43,FALSE),0)+IFERROR(VLOOKUP(K53,源_8补工时表_补当月工时!$A:$AC,26,FALSE),0)=0),IF(BI53+BG53-BT53&lt;0,BI53+BG53-BT53,0),0)</f>
        <v>0</v>
      </c>
    </row>
    <row r="54" spans="1:122" x14ac:dyDescent="0.15">
      <c r="A54">
        <f>参数!$B$2</f>
        <v>2025</v>
      </c>
      <c r="B54">
        <f>参数!$B$3</f>
        <v>12</v>
      </c>
      <c r="D54" t="s">
        <v>147</v>
      </c>
      <c r="E54" t="s">
        <v>123</v>
      </c>
      <c r="F54" t="str">
        <f>IFERROR(VLOOKUP(K54,源_7银行卡表_Sheet1!$A:$J,6,FALSE),"")</f>
        <v>华北营运</v>
      </c>
      <c r="G54" t="s">
        <v>148</v>
      </c>
      <c r="H54" t="s">
        <v>296</v>
      </c>
      <c r="I54" t="s">
        <v>150</v>
      </c>
      <c r="J54">
        <v>1</v>
      </c>
      <c r="K54">
        <v>26123053</v>
      </c>
      <c r="L54" t="s">
        <v>380</v>
      </c>
      <c r="M54" t="s">
        <v>377</v>
      </c>
      <c r="N54" t="s">
        <v>378</v>
      </c>
      <c r="P54" t="s">
        <v>154</v>
      </c>
      <c r="Q54">
        <f>IF(P54="门店全职",IFERROR(VLOOKUP(K54,源_3考勤报表_考勤表!$F:$BG,34,FALSE),0)+IFERROR(VLOOKUP(K54,源_8补工时表_补当月工时!$A:$AC,14,FALSE),0),IF(P54="门店管理组",IF(IFERROR(VLOOKUP(K54,源_3考勤报表_考勤表!$F:$BG,34,FALSE),0)+IFERROR(VLOOKUP(K54,源_8补工时表_补当月工时!$A:$AC,14,FALSE),0)+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44,FALSE),0)+IFERROR(VLOOKUP(K54,源_8补工时表_补当月工时!$A:$AC,16,FALSE),0)+IFERROR(VLOOKUP(K54,源_3考勤报表_考勤表!$F:$BG,45,FALSE),0)&gt;=参数!$B$4,参数!$B$4-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44,FALSE),0)-IFERROR(VLOOKUP(K54,源_8补工时表_补当月工时!$A:$AC,16,FALSE),0)-IFERROR(VLOOKUP(K54,源_3考勤报表_考勤表!$F:$BG,45,FALSE),0),IFERROR(VLOOKUP(K54,源_3考勤报表_考勤表!$F:$BG,34,FALSE),0)+IFERROR(VLOOKUP(K54,源_8补工时表_补当月工时!$A:$AC,14,FALSE),0)),0))</f>
        <v>156</v>
      </c>
      <c r="R54">
        <v>2904</v>
      </c>
      <c r="S54">
        <v>0</v>
      </c>
      <c r="T54">
        <f>IF(P54="门店全职",R54/参数!$B$4*(Q54-MAX(IFERROR(VLOOKUP(K54,源_3考勤报表_考勤表!$F:$BG,34,FALSE),0)+IFERROR(VLOOKUP(K54,源_8补工时表_补当月工时!$A:$AC,14,FALSE),0)+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参数!$B$4,0)),R54/参数!$B$4*Q54)</f>
        <v>2430.521739130435</v>
      </c>
      <c r="U54">
        <v>0</v>
      </c>
      <c r="V54">
        <v>0</v>
      </c>
      <c r="W54">
        <f t="shared" si="13"/>
        <v>0</v>
      </c>
      <c r="X54">
        <f>IFERROR(VLOOKUP(K54,源_4奖金汇总表_拆分手工算!$A:$N,8,FALSE),0)</f>
        <v>0</v>
      </c>
      <c r="Y54">
        <f>IFERROR(VLOOKUP(K54,源_5薪资备忘录_工资调整项!$A:$AC,14,FALSE),0)</f>
        <v>0</v>
      </c>
      <c r="Z54">
        <f>IFERROR(VLOOKUP(K54,源_5薪资备忘录_工资调整项!$A:$AC,16,FALSE),0)</f>
        <v>0</v>
      </c>
      <c r="AA54">
        <f>IFERROR(VLOOKUP(K54,源_5薪资备忘录_工资调整项!$A:$AC,15,FALSE),0)</f>
        <v>0</v>
      </c>
      <c r="AB54">
        <f t="shared" si="14"/>
        <v>50.068965517241381</v>
      </c>
      <c r="AC54">
        <f>IF(P54="门店全职",R54/174*MAX(IFERROR(VLOOKUP(K54,源_3考勤报表_考勤表!$F:$BG,34,FALSE),0)+IFERROR(VLOOKUP(K54,源_8补工时表_补当月工时!$A:$AC,14,FALSE),0)+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参数!$B$4,0)*1.5,0)</f>
        <v>50.068965517241381</v>
      </c>
      <c r="AD54">
        <v>0</v>
      </c>
      <c r="AE54">
        <f>IFERROR(VLOOKUP(K54,源_3考勤报表_考勤表!$F:$BG,46,FALSE),0)+IFERROR(VLOOKUP(K54,源_8补工时表_补当月工时!$A:$AC,25,FALSE),0)</f>
        <v>0</v>
      </c>
      <c r="AF54">
        <f t="shared" si="15"/>
        <v>0</v>
      </c>
      <c r="AG54">
        <f>IFERROR(VLOOKUP(K54,源_4奖金汇总表_拆分手工算!$A:$N,10,FALSE),0)</f>
        <v>0</v>
      </c>
      <c r="AH54">
        <f>IFERROR(VLOOKUP(K54,源_4奖金汇总表_拆分手工算!$A:$N,5,FALSE),0)</f>
        <v>0</v>
      </c>
      <c r="AI54">
        <f>IFERROR(VLOOKUP(K54,源_4奖金汇总表_拆分手工算!$A:$N,11,FALSE),0)</f>
        <v>0</v>
      </c>
      <c r="AJ54">
        <f>IFERROR(VLOOKUP(K54,源_4奖金汇总表_拆分手工算!$A:$N,4,FALSE),0)</f>
        <v>0</v>
      </c>
      <c r="AK54">
        <f>IFERROR(VLOOKUP(K54,源_4奖金汇总表_拆分手工算!$A:$N,3,FALSE),0)</f>
        <v>0</v>
      </c>
      <c r="AL54">
        <f>IFERROR(VLOOKUP(K54,源_4奖金汇总表_拆分手工算!$A:$N,6,FALSE),0)</f>
        <v>0</v>
      </c>
      <c r="AM54">
        <f>IFERROR(VLOOKUP(K54,源_5薪资备忘录_工资调整项!$A:$AC,18,FALSE),0)+IFERROR(VLOOKUP(K54,源_4奖金汇总表_拆分手工算!$A:$N,7,FALSE),0)</f>
        <v>100</v>
      </c>
      <c r="AN54">
        <f>IFERROR(VLOOKUP(K54,源_5薪资备忘录_工资调整项!$A:$AC,17,FALSE),0)</f>
        <v>0</v>
      </c>
      <c r="AO54">
        <f>IF(OR(IFERROR(VLOOKUP(K54,源_3考勤报表_考勤表!$F:$BG,39,FALSE),0)+IFERROR(VLOOKUP(K54,源_8补工时表_补当月工时!$A:$AC,24,FALSE),0)&gt;0,IFERROR(VLOOKUP(K54,源_3考勤报表_考勤表!$F:$BG,43,FALSE),0)+IFERROR(VLOOKUP(K54,源_8补工时表_补当月工时!$A:$AC,26,FALSE),0)&gt;0),IF(IFERROR(VLOOKUP(DH54,源_11产假政策_Sheet1!$C:$F,4,FALSE),"")="是",R54/参数!$B$4*(IFERROR(VLOOKUP(K54,源_3考勤报表_考勤表!$F:$BG,39,FALSE),0)+IFERROR(VLOOKUP(K54,源_8补工时表_补当月工时!$A:$AC,24,FALSE),0)+IFERROR(VLOOKUP(K54,源_3考勤报表_考勤表!$F:$BG,43,FALSE),0)+IFERROR(VLOOKUP(K54,源_8补工时表_补当月工时!$A:$AC,26,FALSE),0)),IFERROR(VLOOKUP(K54,源_5薪资备忘录_工资调整项!$A:$AC,19,FALSE),0)),0)</f>
        <v>0</v>
      </c>
      <c r="AP54">
        <v>0</v>
      </c>
      <c r="AQ54">
        <f>IFERROR(VLOOKUP(K54,源_4奖金汇总表_拆分手工算!$A:$N,12,FALSE),0)+IFERROR(VLOOKUP(K54,源_9年终奖表_Sheet1!$A:$E,3,FALSE),0)</f>
        <v>1200</v>
      </c>
      <c r="AR54">
        <f>IFERROR(VLOOKUP(K54,源_4奖金汇总表_拆分手工算!$A:$N,13,FALSE),0)+IFERROR(VLOOKUP(K54,源_9年终奖表_Sheet1!$A:$E,4,FALSE),0)</f>
        <v>600</v>
      </c>
      <c r="AS54">
        <f>IFERROR(VLOOKUP(K54,源_4奖金汇总表_拆分手工算!$A:$N,14,FALSE),0)+IFERROR(VLOOKUP(K54,源_9年终奖表_Sheet1!$A:$E,5,FALSE),0)</f>
        <v>222</v>
      </c>
      <c r="AT54">
        <f>IFERROR(VLOOKUP(K54,源_5薪资备忘录_工资调整项!$A:$AC,20,FALSE),0)</f>
        <v>0</v>
      </c>
      <c r="AU54">
        <f>IFERROR(VLOOKUP(K54,源_5薪资备忘录_工资调整项!$A:$AC,21,FALSE),0)+IFERROR(VLOOKUP(K54,源_4奖金汇总表_拆分手工算!$A:$N,9,FALSE),0)</f>
        <v>0</v>
      </c>
      <c r="AV54">
        <f>R54/参数!$B$4*(IFERROR(VLOOKUP(K54,源_3考勤报表_考勤表!$F:$BG,37,FALSE),0)+IFERROR(VLOOKUP(K54,源_8补工时表_补当月工时!$A:$AC,15,FALSE),0))</f>
        <v>441.91304347826087</v>
      </c>
      <c r="AW54">
        <f>R54/174*MIN(IFERROR(VLOOKUP(K54,源_3考勤报表_考勤表!$F:$BG,35,FALSE),0),174)*IF(DATEDIF(N54,DATE(参数!$B$2,参数!$B$3+1,0),"Y")&lt;2,0.6,IF(DATEDIF(N54,DATE(参数!$B$2,参数!$B$3+1,0),"Y")&lt;4,0.7,IF(DATEDIF(N54,DATE(参数!$B$2,参数!$B$3+1,0),"Y")&lt;6,0.8,IF(DATEDIF(N54,DATE(参数!$B$2,参数!$B$3+1,0),"Y")&lt;8,0.9,1))))</f>
        <v>0</v>
      </c>
      <c r="AX54">
        <f>IF(Q54+IFERROR(VLOOKUP(K54,源_3考勤报表_考勤表!$F:$BG,37,FALSE),0)+IFERROR(VLOOKUP(K54,源_8补工时表_补当月工时!$A:$AC,15,FALSE),0)&gt;=参数!$B$4,0,IF(Q54+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lt;=参数!$B$4,R54/参数!$B$4*(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0))</f>
        <v>0</v>
      </c>
      <c r="AY54">
        <v>0</v>
      </c>
      <c r="AZ54">
        <v>0</v>
      </c>
      <c r="BA54">
        <v>0</v>
      </c>
      <c r="BB54">
        <v>0</v>
      </c>
      <c r="BC54">
        <f>IFERROR(VLOOKUP(K54,源_5薪资备忘录_工资调整项!$A:$AC,25,FALSE),0)</f>
        <v>0</v>
      </c>
      <c r="BD54">
        <v>0</v>
      </c>
      <c r="BE54">
        <f>(T54+W54+AB54+AG54+AH54+AI54+AJ54+AK54+AL54+AM54+AN54+AO54+AP54+AU54+AV54+AW54+AX54+BC54-IFERROR(VLOOKUP(DF54,源_6社保表_Sheet1!$C:$BZ,76,FALSE),0))*0.02</f>
        <v>45.22667496251875</v>
      </c>
      <c r="BF54">
        <v>0</v>
      </c>
      <c r="BG54">
        <f>IFERROR(VLOOKUP(K54,源_5薪资备忘录_工资调整项!$A:$AC,22,FALSE),0)+IFERROR(VLOOKUP(K54,源_5薪资备忘录_工资调整项!$A:$AC,23,FALSE),0)+IFERROR(VLOOKUP(K54,源_5薪资备忘录_工资调整项!$A:$AC,24,FALSE),0)</f>
        <v>0</v>
      </c>
      <c r="BH54">
        <f>IFERROR(VLOOKUP(DF54,源_6社保表_Sheet1!$C:$CD,80,FALSE),0)+4.5</f>
        <v>6.5</v>
      </c>
      <c r="BI54">
        <f t="shared" si="16"/>
        <v>5044.5037481259378</v>
      </c>
      <c r="BJ54">
        <f>IFERROR(VLOOKUP(DF54,源_6社保表_Sheet1!$C:$BZ,26,FALSE),0)</f>
        <v>501.34</v>
      </c>
      <c r="BK54">
        <f>IFERROR(VLOOKUP(DF54,源_6社保表_Sheet1!$C:$BZ,27,FALSE),0)</f>
        <v>71.62</v>
      </c>
      <c r="BL54">
        <f>IFERROR(VLOOKUP(DF54,源_6社保表_Sheet1!$C:$BZ,28,FALSE),0)</f>
        <v>35.81</v>
      </c>
      <c r="BM54">
        <f>IFERROR(VLOOKUP(DF54,源_6社保表_Sheet1!$C:$BZ,30,FALSE),0)</f>
        <v>152.4</v>
      </c>
      <c r="BN54">
        <f>IFERROR(VLOOKUP(DF54,源_6社保表_Sheet1!$C:$BZ,29,FALSE),0)</f>
        <v>0</v>
      </c>
      <c r="BO54">
        <f>IFERROR(VLOOKUP(DF54,源_6社保表_Sheet1!$C:$BZ,40,FALSE),0)</f>
        <v>0</v>
      </c>
      <c r="BP54">
        <f>IFERROR(VLOOKUP(DF54,源_6社保表_Sheet1!$C:$BZ,41,FALSE),0)</f>
        <v>0</v>
      </c>
      <c r="BQ54">
        <f>IFERROR(VLOOKUP(DF54,源_6社保表_Sheet1!$C:$BZ,42,FALSE),0)</f>
        <v>0</v>
      </c>
      <c r="BR54">
        <f>IFERROR(VLOOKUP(DF54,源_6社保表_Sheet1!$C:$BZ,44,FALSE),0)</f>
        <v>0</v>
      </c>
      <c r="BS54">
        <f>IFERROR(VLOOKUP(DF54,源_6社保表_Sheet1!$C:$BZ,43,FALSE),0)</f>
        <v>0</v>
      </c>
      <c r="BT54">
        <f t="shared" si="17"/>
        <v>761.17</v>
      </c>
      <c r="BU54">
        <v>0</v>
      </c>
      <c r="BV54">
        <v>0</v>
      </c>
      <c r="BW54">
        <v>0</v>
      </c>
      <c r="BX54">
        <f t="shared" si="18"/>
        <v>0</v>
      </c>
      <c r="BY54">
        <v>0</v>
      </c>
      <c r="BZ54">
        <f>IFERROR(VLOOKUP(DF54,源_6社保表_Sheet1!$C:$BZ,18,FALSE),0)</f>
        <v>1074.3</v>
      </c>
      <c r="CA54">
        <f>IFERROR(VLOOKUP(DF54,源_6社保表_Sheet1!$C:$BZ,19,FALSE),0)</f>
        <v>572.96</v>
      </c>
      <c r="CB54">
        <f>IFERROR(VLOOKUP(DF54,源_6社保表_Sheet1!$C:$BZ,24,FALSE),0)</f>
        <v>152.4</v>
      </c>
      <c r="CC54">
        <f>IFERROR(VLOOKUP(DF54,源_6社保表_Sheet1!$C:$BZ,20,FALSE),0)</f>
        <v>35.81</v>
      </c>
      <c r="CD54">
        <f>IFERROR(VLOOKUP(DF54,源_6社保表_Sheet1!$C:$BZ,21,FALSE),0)</f>
        <v>22.918399999999998</v>
      </c>
      <c r="CE54">
        <f>IFERROR(VLOOKUP(DF54,源_6社保表_Sheet1!$C:$BZ,22,FALSE),0)</f>
        <v>0</v>
      </c>
      <c r="CF54">
        <f>IFERROR(VLOOKUP(DF54,源_6社保表_Sheet1!$C:$BZ,23,FALSE),0)</f>
        <v>0</v>
      </c>
      <c r="CG54">
        <f>IFERROR(VLOOKUP(DF54,源_6社保表_Sheet1!$C:$BZ,32,FALSE),0)</f>
        <v>0</v>
      </c>
      <c r="CH54">
        <f>IFERROR(VLOOKUP(DF54,源_6社保表_Sheet1!$C:$BZ,33,FALSE),0)</f>
        <v>0</v>
      </c>
      <c r="CI54">
        <f>IFERROR(VLOOKUP(DF54,源_6社保表_Sheet1!$C:$BZ,34,FALSE),0)</f>
        <v>0</v>
      </c>
      <c r="CJ54">
        <f>IFERROR(VLOOKUP(DF54,源_6社保表_Sheet1!$C:$BZ,38,FALSE),0)</f>
        <v>0</v>
      </c>
      <c r="CK54">
        <f>IFERROR(VLOOKUP(DF54,源_6社保表_Sheet1!$C:$BZ,35,FALSE),0)</f>
        <v>0</v>
      </c>
      <c r="CL54">
        <f>IFERROR(VLOOKUP(DF54,源_6社保表_Sheet1!$C:$BZ,36,FALSE),0)</f>
        <v>0</v>
      </c>
      <c r="CM54">
        <f>IFERROR(VLOOKUP(DF54,源_6社保表_Sheet1!$C:$BZ,37,FALSE),0)</f>
        <v>0</v>
      </c>
      <c r="CN54">
        <f t="shared" si="19"/>
        <v>1858.3884</v>
      </c>
      <c r="CO54">
        <f t="shared" si="20"/>
        <v>6954.6188230884563</v>
      </c>
      <c r="CP54">
        <f>IF(IFERROR(VLOOKUP(K54,源_13残疾人信息_残疾人信息!$A:$M,1,FALSE),"")&lt;&gt;"",0,IF(OR(P54="门店全职",P54="门店管理组",P54="全职(非门店)"),(BI54-AT54)*IFERROR(VLOOKUP(D54,源_12计提残保金规则_Sheet1!$A:$E,4,FALSE),0)*IFERROR(VLOOKUP(D54,源_12计提残保金规则_Sheet1!$A:$E,5,FALSE),0),0))</f>
        <v>0</v>
      </c>
      <c r="CQ54">
        <f t="shared" si="21"/>
        <v>0</v>
      </c>
      <c r="CR54">
        <f t="shared" si="22"/>
        <v>20.67</v>
      </c>
      <c r="CS54">
        <f>IF(DATEVALUE(N54)&gt;DATE(参数!$B$2,9,30),0,IF(M54="行政",0,IF(O54="",R54/12,IF(MONTH(DATEVALUE(O54))=参数!$B$3,0,IF(DATEVALUE(O54)&lt;DATE(参数!$B$2,参数!$B$3,1),0,R54/12)))))</f>
        <v>0</v>
      </c>
      <c r="CT54">
        <f t="shared" si="23"/>
        <v>0</v>
      </c>
      <c r="CU54">
        <f>IFERROR(VLOOKUP(DF54,源_6社保表_Sheet1!$C:$I,2,FALSE),0)</f>
        <v>7162</v>
      </c>
      <c r="CV54">
        <f>IFERROR(VLOOKUP(DF54,源_6社保表_Sheet1!$C:$I,7,FALSE),0)</f>
        <v>2540</v>
      </c>
      <c r="CW54">
        <f>IFERROR(VLOOKUP(DF54,源_6社保表_Sheet1!$C:$I,3,FALSE),0)</f>
        <v>7162</v>
      </c>
      <c r="CX54">
        <f>IFERROR(VLOOKUP(DF54,源_6社保表_Sheet1!$C:$I,4,FALSE),0)</f>
        <v>7162</v>
      </c>
      <c r="CY54">
        <f>IFERROR(VLOOKUP(DF54,源_6社保表_Sheet1!$C:$I,5,FALSE),0)</f>
        <v>7162</v>
      </c>
      <c r="CZ54">
        <f>IFERROR(VLOOKUP(DF54,源_6社保表_Sheet1!$C:$I,6,FALSE),0)</f>
        <v>0</v>
      </c>
      <c r="DA54">
        <f t="shared" si="24"/>
        <v>4780.8921481259376</v>
      </c>
      <c r="DB54">
        <f t="shared" si="25"/>
        <v>4808.0621481259377</v>
      </c>
      <c r="DC54" t="str">
        <f>IFERROR(VLOOKUP(K54,源_7银行卡表_Sheet1!$A:$J,8,FALSE),"")</f>
        <v>中国银行</v>
      </c>
      <c r="DD54" t="str">
        <f>IFERROR(VLOOKUP(K54,源_7银行卡表_Sheet1!$A:$J,9,FALSE),"")</f>
        <v>6281958569840469529</v>
      </c>
      <c r="DE54" t="str">
        <f>IFERROR(VLOOKUP(K54,源_7银行卡表_Sheet1!$A:$J,10,FALSE),"")</f>
        <v>江西省分行</v>
      </c>
      <c r="DF54" t="s">
        <v>381</v>
      </c>
      <c r="DG54">
        <v>15322620225</v>
      </c>
      <c r="DH54" t="s">
        <v>148</v>
      </c>
      <c r="DI54">
        <v>0</v>
      </c>
      <c r="DJ54">
        <v>0</v>
      </c>
      <c r="DK54">
        <v>0</v>
      </c>
      <c r="DL54">
        <v>0</v>
      </c>
      <c r="DM54">
        <v>0</v>
      </c>
      <c r="DN54">
        <v>0</v>
      </c>
      <c r="DO54">
        <v>0</v>
      </c>
      <c r="DP54">
        <v>0</v>
      </c>
      <c r="DQ54">
        <v>0</v>
      </c>
      <c r="DR54">
        <f>IF(OR(IFERROR(VLOOKUP(K54,源_3考勤报表_考勤表!$F:$BG,39,FALSE),0)+IFERROR(VLOOKUP(K54,源_8补工时表_补当月工时!$A:$AC,24,FALSE),0)=0,IFERROR(VLOOKUP(K54,源_3考勤报表_考勤表!$F:$BG,43,FALSE),0)+IFERROR(VLOOKUP(K54,源_8补工时表_补当月工时!$A:$AC,26,FALSE),0)=0),IF(BI54+BG54-BT54&lt;0,BI54+BG54-BT54,0),0)</f>
        <v>0</v>
      </c>
    </row>
    <row r="55" spans="1:122" x14ac:dyDescent="0.15">
      <c r="A55">
        <f>参数!$B$2</f>
        <v>2025</v>
      </c>
      <c r="B55">
        <f>参数!$B$3</f>
        <v>12</v>
      </c>
      <c r="D55" t="s">
        <v>147</v>
      </c>
      <c r="E55" t="s">
        <v>123</v>
      </c>
      <c r="F55" t="str">
        <f>IFERROR(VLOOKUP(K55,源_7银行卡表_Sheet1!$A:$J,6,FALSE),"")</f>
        <v>华北营运</v>
      </c>
      <c r="G55" t="s">
        <v>148</v>
      </c>
      <c r="H55" t="s">
        <v>382</v>
      </c>
      <c r="I55" t="s">
        <v>150</v>
      </c>
      <c r="J55">
        <v>1</v>
      </c>
      <c r="K55">
        <v>26123054</v>
      </c>
      <c r="L55" t="s">
        <v>383</v>
      </c>
      <c r="M55" t="s">
        <v>377</v>
      </c>
      <c r="N55" t="s">
        <v>378</v>
      </c>
      <c r="P55" t="s">
        <v>154</v>
      </c>
      <c r="Q55">
        <f>IF(P55="门店全职",IFERROR(VLOOKUP(K55,源_3考勤报表_考勤表!$F:$BG,34,FALSE),0)+IFERROR(VLOOKUP(K55,源_8补工时表_补当月工时!$A:$AC,14,FALSE),0),IF(P55="门店管理组",IF(IFERROR(VLOOKUP(K55,源_3考勤报表_考勤表!$F:$BG,34,FALSE),0)+IFERROR(VLOOKUP(K55,源_8补工时表_补当月工时!$A:$AC,14,FALSE),0)+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44,FALSE),0)+IFERROR(VLOOKUP(K55,源_8补工时表_补当月工时!$A:$AC,16,FALSE),0)+IFERROR(VLOOKUP(K55,源_3考勤报表_考勤表!$F:$BG,45,FALSE),0)&gt;=参数!$B$4,参数!$B$4-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44,FALSE),0)-IFERROR(VLOOKUP(K55,源_8补工时表_补当月工时!$A:$AC,16,FALSE),0)-IFERROR(VLOOKUP(K55,源_3考勤报表_考勤表!$F:$BG,45,FALSE),0),IFERROR(VLOOKUP(K55,源_3考勤报表_考勤表!$F:$BG,34,FALSE),0)+IFERROR(VLOOKUP(K55,源_8补工时表_补当月工时!$A:$AC,14,FALSE),0)),0))</f>
        <v>189</v>
      </c>
      <c r="R55">
        <v>2904</v>
      </c>
      <c r="S55">
        <v>0</v>
      </c>
      <c r="T55">
        <f>IF(P55="门店全职",R55/参数!$B$4*(Q55-MAX(IFERROR(VLOOKUP(K55,源_3考勤报表_考勤表!$F:$BG,34,FALSE),0)+IFERROR(VLOOKUP(K55,源_8补工时表_补当月工时!$A:$AC,14,FALSE),0)+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参数!$B$4,0)),R55/参数!$B$4*Q55)</f>
        <v>2714.608695652174</v>
      </c>
      <c r="U55">
        <v>0</v>
      </c>
      <c r="V55">
        <v>0</v>
      </c>
      <c r="W55">
        <f t="shared" si="13"/>
        <v>0</v>
      </c>
      <c r="X55">
        <f>IFERROR(VLOOKUP(K55,源_4奖金汇总表_拆分手工算!$A:$N,8,FALSE),0)</f>
        <v>0</v>
      </c>
      <c r="Y55">
        <f>IFERROR(VLOOKUP(K55,源_5薪资备忘录_工资调整项!$A:$AC,14,FALSE),0)</f>
        <v>0</v>
      </c>
      <c r="Z55">
        <f>IFERROR(VLOOKUP(K55,源_5薪资备忘录_工资调整项!$A:$AC,16,FALSE),0)</f>
        <v>0</v>
      </c>
      <c r="AA55">
        <f>IFERROR(VLOOKUP(K55,源_5薪资备忘录_工资调整项!$A:$AC,15,FALSE),0)</f>
        <v>0</v>
      </c>
      <c r="AB55">
        <f t="shared" si="14"/>
        <v>425.58620689655174</v>
      </c>
      <c r="AC55">
        <f>IF(P55="门店全职",R55/174*MAX(IFERROR(VLOOKUP(K55,源_3考勤报表_考勤表!$F:$BG,34,FALSE),0)+IFERROR(VLOOKUP(K55,源_8补工时表_补当月工时!$A:$AC,14,FALSE),0)+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参数!$B$4,0)*1.5,0)</f>
        <v>425.58620689655174</v>
      </c>
      <c r="AD55">
        <v>0</v>
      </c>
      <c r="AE55">
        <f>IFERROR(VLOOKUP(K55,源_3考勤报表_考勤表!$F:$BG,46,FALSE),0)+IFERROR(VLOOKUP(K55,源_8补工时表_补当月工时!$A:$AC,25,FALSE),0)</f>
        <v>0</v>
      </c>
      <c r="AF55">
        <f t="shared" si="15"/>
        <v>0</v>
      </c>
      <c r="AG55">
        <f>IFERROR(VLOOKUP(K55,源_4奖金汇总表_拆分手工算!$A:$N,10,FALSE),0)</f>
        <v>0</v>
      </c>
      <c r="AH55">
        <f>IFERROR(VLOOKUP(K55,源_4奖金汇总表_拆分手工算!$A:$N,5,FALSE),0)</f>
        <v>0</v>
      </c>
      <c r="AI55">
        <f>IFERROR(VLOOKUP(K55,源_4奖金汇总表_拆分手工算!$A:$N,11,FALSE),0)</f>
        <v>0</v>
      </c>
      <c r="AJ55">
        <f>IFERROR(VLOOKUP(K55,源_4奖金汇总表_拆分手工算!$A:$N,4,FALSE),0)</f>
        <v>0</v>
      </c>
      <c r="AK55">
        <f>IFERROR(VLOOKUP(K55,源_4奖金汇总表_拆分手工算!$A:$N,3,FALSE),0)</f>
        <v>0</v>
      </c>
      <c r="AL55">
        <f>IFERROR(VLOOKUP(K55,源_4奖金汇总表_拆分手工算!$A:$N,6,FALSE),0)</f>
        <v>0</v>
      </c>
      <c r="AM55">
        <f>IFERROR(VLOOKUP(K55,源_5薪资备忘录_工资调整项!$A:$AC,18,FALSE),0)+IFERROR(VLOOKUP(K55,源_4奖金汇总表_拆分手工算!$A:$N,7,FALSE),0)</f>
        <v>100</v>
      </c>
      <c r="AN55">
        <f>IFERROR(VLOOKUP(K55,源_5薪资备忘录_工资调整项!$A:$AC,17,FALSE),0)</f>
        <v>0</v>
      </c>
      <c r="AO55">
        <f>IF(OR(IFERROR(VLOOKUP(K55,源_3考勤报表_考勤表!$F:$BG,39,FALSE),0)+IFERROR(VLOOKUP(K55,源_8补工时表_补当月工时!$A:$AC,24,FALSE),0)&gt;0,IFERROR(VLOOKUP(K55,源_3考勤报表_考勤表!$F:$BG,43,FALSE),0)+IFERROR(VLOOKUP(K55,源_8补工时表_补当月工时!$A:$AC,26,FALSE),0)&gt;0),IF(IFERROR(VLOOKUP(DH55,源_11产假政策_Sheet1!$C:$F,4,FALSE),"")="是",R55/参数!$B$4*(IFERROR(VLOOKUP(K55,源_3考勤报表_考勤表!$F:$BG,39,FALSE),0)+IFERROR(VLOOKUP(K55,源_8补工时表_补当月工时!$A:$AC,24,FALSE),0)+IFERROR(VLOOKUP(K55,源_3考勤报表_考勤表!$F:$BG,43,FALSE),0)+IFERROR(VLOOKUP(K55,源_8补工时表_补当月工时!$A:$AC,26,FALSE),0)),IFERROR(VLOOKUP(K55,源_5薪资备忘录_工资调整项!$A:$AC,19,FALSE),0)),0)</f>
        <v>0</v>
      </c>
      <c r="AP55">
        <v>0</v>
      </c>
      <c r="AQ55">
        <f>IFERROR(VLOOKUP(K55,源_4奖金汇总表_拆分手工算!$A:$N,12,FALSE),0)+IFERROR(VLOOKUP(K55,源_9年终奖表_Sheet1!$A:$E,3,FALSE),0)</f>
        <v>1200</v>
      </c>
      <c r="AR55">
        <f>IFERROR(VLOOKUP(K55,源_4奖金汇总表_拆分手工算!$A:$N,13,FALSE),0)+IFERROR(VLOOKUP(K55,源_9年终奖表_Sheet1!$A:$E,4,FALSE),0)</f>
        <v>600</v>
      </c>
      <c r="AS55">
        <f>IFERROR(VLOOKUP(K55,源_4奖金汇总表_拆分手工算!$A:$N,14,FALSE),0)+IFERROR(VLOOKUP(K55,源_9年终奖表_Sheet1!$A:$E,5,FALSE),0)</f>
        <v>111</v>
      </c>
      <c r="AT55">
        <f>IFERROR(VLOOKUP(K55,源_5薪资备忘录_工资调整项!$A:$AC,20,FALSE),0)</f>
        <v>0</v>
      </c>
      <c r="AU55">
        <f>IFERROR(VLOOKUP(K55,源_5薪资备忘录_工资调整项!$A:$AC,21,FALSE),0)+IFERROR(VLOOKUP(K55,源_4奖金汇总表_拆分手工算!$A:$N,9,FALSE),0)</f>
        <v>0</v>
      </c>
      <c r="AV55">
        <f>R55/参数!$B$4*(IFERROR(VLOOKUP(K55,源_3考勤报表_考勤表!$F:$BG,37,FALSE),0)+IFERROR(VLOOKUP(K55,源_8补工时表_补当月工时!$A:$AC,15,FALSE),0))</f>
        <v>189.39130434782609</v>
      </c>
      <c r="AW55">
        <f>R55/174*MIN(IFERROR(VLOOKUP(K55,源_3考勤报表_考勤表!$F:$BG,35,FALSE),0),174)*IF(DATEDIF(N55,DATE(参数!$B$2,参数!$B$3+1,0),"Y")&lt;2,0.6,IF(DATEDIF(N55,DATE(参数!$B$2,参数!$B$3+1,0),"Y")&lt;4,0.7,IF(DATEDIF(N55,DATE(参数!$B$2,参数!$B$3+1,0),"Y")&lt;6,0.8,IF(DATEDIF(N55,DATE(参数!$B$2,参数!$B$3+1,0),"Y")&lt;8,0.9,1))))</f>
        <v>0</v>
      </c>
      <c r="AX55">
        <f>IF(Q55+IFERROR(VLOOKUP(K55,源_3考勤报表_考勤表!$F:$BG,37,FALSE),0)+IFERROR(VLOOKUP(K55,源_8补工时表_补当月工时!$A:$AC,15,FALSE),0)&gt;=参数!$B$4,0,IF(Q55+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lt;=参数!$B$4,R55/参数!$B$4*(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0))</f>
        <v>0</v>
      </c>
      <c r="AY55">
        <v>0</v>
      </c>
      <c r="AZ55">
        <v>0</v>
      </c>
      <c r="BA55">
        <v>0</v>
      </c>
      <c r="BB55">
        <v>0</v>
      </c>
      <c r="BC55">
        <f>IFERROR(VLOOKUP(K55,源_5薪资备忘录_工资调整项!$A:$AC,25,FALSE),0)</f>
        <v>0</v>
      </c>
      <c r="BD55">
        <v>0</v>
      </c>
      <c r="BE55">
        <f>(T55+W55+AB55+AG55+AH55+AI55+AJ55+AK55+AL55+AM55+AN55+AO55+AP55+AU55+AV55+AW55+AX55+BC55-IFERROR(VLOOKUP(DF55,源_6社保表_Sheet1!$C:$BZ,76,FALSE),0))*0.02</f>
        <v>53.368324137931033</v>
      </c>
      <c r="BF55">
        <v>0</v>
      </c>
      <c r="BG55">
        <f>IFERROR(VLOOKUP(K55,源_5薪资备忘录_工资调整项!$A:$AC,22,FALSE),0)+IFERROR(VLOOKUP(K55,源_5薪资备忘录_工资调整项!$A:$AC,23,FALSE),0)+IFERROR(VLOOKUP(K55,源_5薪资备忘录_工资调整项!$A:$AC,24,FALSE),0)</f>
        <v>0</v>
      </c>
      <c r="BH55">
        <f>IFERROR(VLOOKUP(DF55,源_6社保表_Sheet1!$C:$CD,80,FALSE),0)+4.5</f>
        <v>6.5</v>
      </c>
      <c r="BI55">
        <f t="shared" si="16"/>
        <v>5340.5862068965516</v>
      </c>
      <c r="BJ55">
        <f>IFERROR(VLOOKUP(DF55,源_6社保表_Sheet1!$C:$BZ,26,FALSE),0)</f>
        <v>501.34</v>
      </c>
      <c r="BK55">
        <f>IFERROR(VLOOKUP(DF55,源_6社保表_Sheet1!$C:$BZ,27,FALSE),0)</f>
        <v>71.62</v>
      </c>
      <c r="BL55">
        <f>IFERROR(VLOOKUP(DF55,源_6社保表_Sheet1!$C:$BZ,28,FALSE),0)</f>
        <v>35.81</v>
      </c>
      <c r="BM55">
        <f>IFERROR(VLOOKUP(DF55,源_6社保表_Sheet1!$C:$BZ,30,FALSE),0)</f>
        <v>152.4</v>
      </c>
      <c r="BN55">
        <f>IFERROR(VLOOKUP(DF55,源_6社保表_Sheet1!$C:$BZ,29,FALSE),0)</f>
        <v>0</v>
      </c>
      <c r="BO55">
        <f>IFERROR(VLOOKUP(DF55,源_6社保表_Sheet1!$C:$BZ,40,FALSE),0)</f>
        <v>0</v>
      </c>
      <c r="BP55">
        <f>IFERROR(VLOOKUP(DF55,源_6社保表_Sheet1!$C:$BZ,41,FALSE),0)</f>
        <v>0</v>
      </c>
      <c r="BQ55">
        <f>IFERROR(VLOOKUP(DF55,源_6社保表_Sheet1!$C:$BZ,42,FALSE),0)</f>
        <v>0</v>
      </c>
      <c r="BR55">
        <f>IFERROR(VLOOKUP(DF55,源_6社保表_Sheet1!$C:$BZ,44,FALSE),0)</f>
        <v>0</v>
      </c>
      <c r="BS55">
        <f>IFERROR(VLOOKUP(DF55,源_6社保表_Sheet1!$C:$BZ,43,FALSE),0)</f>
        <v>0</v>
      </c>
      <c r="BT55">
        <f t="shared" si="17"/>
        <v>761.17</v>
      </c>
      <c r="BU55">
        <v>0</v>
      </c>
      <c r="BV55">
        <v>0</v>
      </c>
      <c r="BW55">
        <v>0</v>
      </c>
      <c r="BX55">
        <f t="shared" si="18"/>
        <v>0</v>
      </c>
      <c r="BY55">
        <v>0</v>
      </c>
      <c r="BZ55">
        <f>IFERROR(VLOOKUP(DF55,源_6社保表_Sheet1!$C:$BZ,18,FALSE),0)</f>
        <v>1074.3</v>
      </c>
      <c r="CA55">
        <f>IFERROR(VLOOKUP(DF55,源_6社保表_Sheet1!$C:$BZ,19,FALSE),0)</f>
        <v>572.96</v>
      </c>
      <c r="CB55">
        <f>IFERROR(VLOOKUP(DF55,源_6社保表_Sheet1!$C:$BZ,24,FALSE),0)</f>
        <v>152.4</v>
      </c>
      <c r="CC55">
        <f>IFERROR(VLOOKUP(DF55,源_6社保表_Sheet1!$C:$BZ,20,FALSE),0)</f>
        <v>35.81</v>
      </c>
      <c r="CD55">
        <f>IFERROR(VLOOKUP(DF55,源_6社保表_Sheet1!$C:$BZ,21,FALSE),0)</f>
        <v>22.918399999999998</v>
      </c>
      <c r="CE55">
        <f>IFERROR(VLOOKUP(DF55,源_6社保表_Sheet1!$C:$BZ,22,FALSE),0)</f>
        <v>0</v>
      </c>
      <c r="CF55">
        <f>IFERROR(VLOOKUP(DF55,源_6社保表_Sheet1!$C:$BZ,23,FALSE),0)</f>
        <v>0</v>
      </c>
      <c r="CG55">
        <f>IFERROR(VLOOKUP(DF55,源_6社保表_Sheet1!$C:$BZ,32,FALSE),0)</f>
        <v>0</v>
      </c>
      <c r="CH55">
        <f>IFERROR(VLOOKUP(DF55,源_6社保表_Sheet1!$C:$BZ,33,FALSE),0)</f>
        <v>0</v>
      </c>
      <c r="CI55">
        <f>IFERROR(VLOOKUP(DF55,源_6社保表_Sheet1!$C:$BZ,34,FALSE),0)</f>
        <v>0</v>
      </c>
      <c r="CJ55">
        <f>IFERROR(VLOOKUP(DF55,源_6社保表_Sheet1!$C:$BZ,38,FALSE),0)</f>
        <v>0</v>
      </c>
      <c r="CK55">
        <f>IFERROR(VLOOKUP(DF55,源_6社保表_Sheet1!$C:$BZ,35,FALSE),0)</f>
        <v>0</v>
      </c>
      <c r="CL55">
        <f>IFERROR(VLOOKUP(DF55,源_6社保表_Sheet1!$C:$BZ,36,FALSE),0)</f>
        <v>0</v>
      </c>
      <c r="CM55">
        <f>IFERROR(VLOOKUP(DF55,源_6社保表_Sheet1!$C:$BZ,37,FALSE),0)</f>
        <v>0</v>
      </c>
      <c r="CN55">
        <f t="shared" si="19"/>
        <v>1858.3884</v>
      </c>
      <c r="CO55">
        <f t="shared" si="20"/>
        <v>7258.8429310344827</v>
      </c>
      <c r="CP55">
        <f>IF(IFERROR(VLOOKUP(K55,源_13残疾人信息_残疾人信息!$A:$M,1,FALSE),"")&lt;&gt;"",0,IF(OR(P55="门店全职",P55="门店管理组",P55="全职(非门店)"),(BI55-AT55)*IFERROR(VLOOKUP(D55,源_12计提残保金规则_Sheet1!$A:$E,4,FALSE),0)*IFERROR(VLOOKUP(D55,源_12计提残保金规则_Sheet1!$A:$E,5,FALSE),0),0))</f>
        <v>72.097913793103459</v>
      </c>
      <c r="CQ55">
        <f t="shared" si="21"/>
        <v>0</v>
      </c>
      <c r="CR55">
        <f t="shared" si="22"/>
        <v>20.67</v>
      </c>
      <c r="CS55">
        <f>IF(DATEVALUE(N55)&gt;DATE(参数!$B$2,9,30),0,IF(M55="行政",0,IF(O55="",R55/12,IF(MONTH(DATEVALUE(O55))=参数!$B$3,0,IF(DATEVALUE(O55)&lt;DATE(参数!$B$2,参数!$B$3,1),0,R55/12)))))</f>
        <v>0</v>
      </c>
      <c r="CT55">
        <f t="shared" si="23"/>
        <v>0</v>
      </c>
      <c r="CU55">
        <f>IFERROR(VLOOKUP(DF55,源_6社保表_Sheet1!$C:$I,2,FALSE),0)</f>
        <v>7162</v>
      </c>
      <c r="CV55">
        <f>IFERROR(VLOOKUP(DF55,源_6社保表_Sheet1!$C:$I,7,FALSE),0)</f>
        <v>2540</v>
      </c>
      <c r="CW55">
        <f>IFERROR(VLOOKUP(DF55,源_6社保表_Sheet1!$C:$I,3,FALSE),0)</f>
        <v>7162</v>
      </c>
      <c r="CX55">
        <f>IFERROR(VLOOKUP(DF55,源_6社保表_Sheet1!$C:$I,4,FALSE),0)</f>
        <v>7162</v>
      </c>
      <c r="CY55">
        <f>IFERROR(VLOOKUP(DF55,源_6社保表_Sheet1!$C:$I,5,FALSE),0)</f>
        <v>7162</v>
      </c>
      <c r="CZ55">
        <f>IFERROR(VLOOKUP(DF55,源_6社保表_Sheet1!$C:$I,6,FALSE),0)</f>
        <v>0</v>
      </c>
      <c r="DA55">
        <f t="shared" si="24"/>
        <v>5187.9746068965514</v>
      </c>
      <c r="DB55">
        <f t="shared" si="25"/>
        <v>5287.2425206896551</v>
      </c>
      <c r="DC55" t="str">
        <f>IFERROR(VLOOKUP(K55,源_7银行卡表_Sheet1!$A:$J,8,FALSE),"")</f>
        <v>中国银行</v>
      </c>
      <c r="DD55" t="str">
        <f>IFERROR(VLOOKUP(K55,源_7银行卡表_Sheet1!$A:$J,9,FALSE),"")</f>
        <v>6288967721965267634</v>
      </c>
      <c r="DE55" t="str">
        <f>IFERROR(VLOOKUP(K55,源_7银行卡表_Sheet1!$A:$J,10,FALSE),"")</f>
        <v>江苏省分行</v>
      </c>
      <c r="DF55" t="s">
        <v>384</v>
      </c>
      <c r="DG55">
        <v>17596272617</v>
      </c>
      <c r="DH55" t="s">
        <v>148</v>
      </c>
      <c r="DI55">
        <v>0</v>
      </c>
      <c r="DJ55">
        <v>0</v>
      </c>
      <c r="DK55">
        <v>0</v>
      </c>
      <c r="DL55">
        <v>0</v>
      </c>
      <c r="DM55">
        <v>0</v>
      </c>
      <c r="DN55">
        <v>0</v>
      </c>
      <c r="DO55">
        <v>0</v>
      </c>
      <c r="DP55">
        <v>0</v>
      </c>
      <c r="DQ55">
        <v>0</v>
      </c>
      <c r="DR55">
        <f>IF(OR(IFERROR(VLOOKUP(K55,源_3考勤报表_考勤表!$F:$BG,39,FALSE),0)+IFERROR(VLOOKUP(K55,源_8补工时表_补当月工时!$A:$AC,24,FALSE),0)=0,IFERROR(VLOOKUP(K55,源_3考勤报表_考勤表!$F:$BG,43,FALSE),0)+IFERROR(VLOOKUP(K55,源_8补工时表_补当月工时!$A:$AC,26,FALSE),0)=0),IF(BI55+BG55-BT55&lt;0,BI55+BG55-BT55,0),0)</f>
        <v>0</v>
      </c>
    </row>
    <row r="56" spans="1:122" x14ac:dyDescent="0.15">
      <c r="A56">
        <f>参数!$B$2</f>
        <v>2025</v>
      </c>
      <c r="B56">
        <f>参数!$B$3</f>
        <v>12</v>
      </c>
      <c r="D56" t="s">
        <v>147</v>
      </c>
      <c r="E56" t="s">
        <v>123</v>
      </c>
      <c r="F56" t="str">
        <f>IFERROR(VLOOKUP(K56,源_7银行卡表_Sheet1!$A:$J,6,FALSE),"")</f>
        <v>华北营运</v>
      </c>
      <c r="G56" t="s">
        <v>148</v>
      </c>
      <c r="H56" t="s">
        <v>382</v>
      </c>
      <c r="I56" t="s">
        <v>150</v>
      </c>
      <c r="J56">
        <v>1</v>
      </c>
      <c r="K56">
        <v>26123055</v>
      </c>
      <c r="L56" t="s">
        <v>385</v>
      </c>
      <c r="M56" t="s">
        <v>377</v>
      </c>
      <c r="N56" t="s">
        <v>378</v>
      </c>
      <c r="P56" t="s">
        <v>154</v>
      </c>
      <c r="Q56">
        <f>IF(P56="门店全职",IFERROR(VLOOKUP(K56,源_3考勤报表_考勤表!$F:$BG,34,FALSE),0)+IFERROR(VLOOKUP(K56,源_8补工时表_补当月工时!$A:$AC,14,FALSE),0),IF(P56="门店管理组",IF(IFERROR(VLOOKUP(K56,源_3考勤报表_考勤表!$F:$BG,34,FALSE),0)+IFERROR(VLOOKUP(K56,源_8补工时表_补当月工时!$A:$AC,14,FALSE),0)+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44,FALSE),0)+IFERROR(VLOOKUP(K56,源_8补工时表_补当月工时!$A:$AC,16,FALSE),0)+IFERROR(VLOOKUP(K56,源_3考勤报表_考勤表!$F:$BG,45,FALSE),0)&gt;=参数!$B$4,参数!$B$4-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44,FALSE),0)-IFERROR(VLOOKUP(K56,源_8补工时表_补当月工时!$A:$AC,16,FALSE),0)-IFERROR(VLOOKUP(K56,源_3考勤报表_考勤表!$F:$BG,45,FALSE),0),IFERROR(VLOOKUP(K56,源_3考勤报表_考勤表!$F:$BG,34,FALSE),0)+IFERROR(VLOOKUP(K56,源_8补工时表_补当月工时!$A:$AC,14,FALSE),0)),0))</f>
        <v>0</v>
      </c>
      <c r="R56">
        <v>2904</v>
      </c>
      <c r="S56">
        <v>0</v>
      </c>
      <c r="T56">
        <f>IF(P56="门店全职",R56/参数!$B$4*(Q56-MAX(IFERROR(VLOOKUP(K56,源_3考勤报表_考勤表!$F:$BG,34,FALSE),0)+IFERROR(VLOOKUP(K56,源_8补工时表_补当月工时!$A:$AC,14,FALSE),0)+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参数!$B$4,0)),R56/参数!$B$4*Q56)</f>
        <v>0</v>
      </c>
      <c r="U56">
        <v>0</v>
      </c>
      <c r="V56">
        <v>0</v>
      </c>
      <c r="W56">
        <f t="shared" si="13"/>
        <v>0</v>
      </c>
      <c r="X56">
        <f>IFERROR(VLOOKUP(K56,源_4奖金汇总表_拆分手工算!$A:$N,8,FALSE),0)</f>
        <v>0</v>
      </c>
      <c r="Y56">
        <f>IFERROR(VLOOKUP(K56,源_5薪资备忘录_工资调整项!$A:$AC,14,FALSE),0)</f>
        <v>0</v>
      </c>
      <c r="Z56">
        <f>IFERROR(VLOOKUP(K56,源_5薪资备忘录_工资调整项!$A:$AC,16,FALSE),0)</f>
        <v>0</v>
      </c>
      <c r="AA56">
        <f>IFERROR(VLOOKUP(K56,源_5薪资备忘录_工资调整项!$A:$AC,15,FALSE),0)</f>
        <v>0</v>
      </c>
      <c r="AB56">
        <f t="shared" si="14"/>
        <v>0</v>
      </c>
      <c r="AC56">
        <f>IF(P56="门店全职",R56/174*MAX(IFERROR(VLOOKUP(K56,源_3考勤报表_考勤表!$F:$BG,34,FALSE),0)+IFERROR(VLOOKUP(K56,源_8补工时表_补当月工时!$A:$AC,14,FALSE),0)+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参数!$B$4,0)*1.5,0)</f>
        <v>0</v>
      </c>
      <c r="AD56">
        <v>0</v>
      </c>
      <c r="AE56">
        <f>IFERROR(VLOOKUP(K56,源_3考勤报表_考勤表!$F:$BG,46,FALSE),0)+IFERROR(VLOOKUP(K56,源_8补工时表_补当月工时!$A:$AC,25,FALSE),0)</f>
        <v>0</v>
      </c>
      <c r="AF56">
        <f t="shared" si="15"/>
        <v>0</v>
      </c>
      <c r="AG56">
        <f>IFERROR(VLOOKUP(K56,源_4奖金汇总表_拆分手工算!$A:$N,10,FALSE),0)</f>
        <v>120</v>
      </c>
      <c r="AH56">
        <f>IFERROR(VLOOKUP(K56,源_4奖金汇总表_拆分手工算!$A:$N,5,FALSE),0)</f>
        <v>0</v>
      </c>
      <c r="AI56">
        <f>IFERROR(VLOOKUP(K56,源_4奖金汇总表_拆分手工算!$A:$N,11,FALSE),0)</f>
        <v>0</v>
      </c>
      <c r="AJ56">
        <f>IFERROR(VLOOKUP(K56,源_4奖金汇总表_拆分手工算!$A:$N,4,FALSE),0)</f>
        <v>0</v>
      </c>
      <c r="AK56">
        <f>IFERROR(VLOOKUP(K56,源_4奖金汇总表_拆分手工算!$A:$N,3,FALSE),0)</f>
        <v>0</v>
      </c>
      <c r="AL56">
        <f>IFERROR(VLOOKUP(K56,源_4奖金汇总表_拆分手工算!$A:$N,6,FALSE),0)</f>
        <v>0</v>
      </c>
      <c r="AM56">
        <f>IFERROR(VLOOKUP(K56,源_5薪资备忘录_工资调整项!$A:$AC,18,FALSE),0)+IFERROR(VLOOKUP(K56,源_4奖金汇总表_拆分手工算!$A:$N,7,FALSE),0)</f>
        <v>0</v>
      </c>
      <c r="AN56">
        <f>IFERROR(VLOOKUP(K56,源_5薪资备忘录_工资调整项!$A:$AC,17,FALSE),0)</f>
        <v>0</v>
      </c>
      <c r="AO56">
        <f>IF(OR(IFERROR(VLOOKUP(K56,源_3考勤报表_考勤表!$F:$BG,39,FALSE),0)+IFERROR(VLOOKUP(K56,源_8补工时表_补当月工时!$A:$AC,24,FALSE),0)&gt;0,IFERROR(VLOOKUP(K56,源_3考勤报表_考勤表!$F:$BG,43,FALSE),0)+IFERROR(VLOOKUP(K56,源_8补工时表_补当月工时!$A:$AC,26,FALSE),0)&gt;0),IF(IFERROR(VLOOKUP(DH56,源_11产假政策_Sheet1!$C:$F,4,FALSE),"")="是",R56/参数!$B$4*(IFERROR(VLOOKUP(K56,源_3考勤报表_考勤表!$F:$BG,39,FALSE),0)+IFERROR(VLOOKUP(K56,源_8补工时表_补当月工时!$A:$AC,24,FALSE),0)+IFERROR(VLOOKUP(K56,源_3考勤报表_考勤表!$F:$BG,43,FALSE),0)+IFERROR(VLOOKUP(K56,源_8补工时表_补当月工时!$A:$AC,26,FALSE),0)),IFERROR(VLOOKUP(K56,源_5薪资备忘录_工资调整项!$A:$AC,19,FALSE),0)),0)</f>
        <v>0</v>
      </c>
      <c r="AP56">
        <v>0</v>
      </c>
      <c r="AQ56">
        <f>IFERROR(VLOOKUP(K56,源_4奖金汇总表_拆分手工算!$A:$N,12,FALSE),0)+IFERROR(VLOOKUP(K56,源_9年终奖表_Sheet1!$A:$E,3,FALSE),0)</f>
        <v>1200</v>
      </c>
      <c r="AR56">
        <f>IFERROR(VLOOKUP(K56,源_4奖金汇总表_拆分手工算!$A:$N,13,FALSE),0)+IFERROR(VLOOKUP(K56,源_9年终奖表_Sheet1!$A:$E,4,FALSE),0)</f>
        <v>600</v>
      </c>
      <c r="AS56">
        <f>IFERROR(VLOOKUP(K56,源_4奖金汇总表_拆分手工算!$A:$N,14,FALSE),0)+IFERROR(VLOOKUP(K56,源_9年终奖表_Sheet1!$A:$E,5,FALSE),0)</f>
        <v>222</v>
      </c>
      <c r="AT56">
        <f>IFERROR(VLOOKUP(K56,源_5薪资备忘录_工资调整项!$A:$AC,20,FALSE),0)</f>
        <v>0</v>
      </c>
      <c r="AU56">
        <f>IFERROR(VLOOKUP(K56,源_5薪资备忘录_工资调整项!$A:$AC,21,FALSE),0)+IFERROR(VLOOKUP(K56,源_4奖金汇总表_拆分手工算!$A:$N,9,FALSE),0)</f>
        <v>0</v>
      </c>
      <c r="AV56">
        <f>R56/参数!$B$4*(IFERROR(VLOOKUP(K56,源_3考勤报表_考勤表!$F:$BG,37,FALSE),0)+IFERROR(VLOOKUP(K56,源_8补工时表_补当月工时!$A:$AC,15,FALSE),0))</f>
        <v>0</v>
      </c>
      <c r="AW56">
        <f>R56/174*MIN(IFERROR(VLOOKUP(K56,源_3考勤报表_考勤表!$F:$BG,35,FALSE),0),174)*IF(DATEDIF(N56,DATE(参数!$B$2,参数!$B$3+1,0),"Y")&lt;2,0.6,IF(DATEDIF(N56,DATE(参数!$B$2,参数!$B$3+1,0),"Y")&lt;4,0.7,IF(DATEDIF(N56,DATE(参数!$B$2,参数!$B$3+1,0),"Y")&lt;6,0.8,IF(DATEDIF(N56,DATE(参数!$B$2,参数!$B$3+1,0),"Y")&lt;8,0.9,1))))</f>
        <v>1742.3999999999999</v>
      </c>
      <c r="AX56">
        <f>IF(Q56+IFERROR(VLOOKUP(K56,源_3考勤报表_考勤表!$F:$BG,37,FALSE),0)+IFERROR(VLOOKUP(K56,源_8补工时表_补当月工时!$A:$AC,15,FALSE),0)&gt;=参数!$B$4,0,IF(Q56+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lt;=参数!$B$4,R56/参数!$B$4*(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0))</f>
        <v>0</v>
      </c>
      <c r="AY56">
        <v>0</v>
      </c>
      <c r="AZ56">
        <v>0</v>
      </c>
      <c r="BA56">
        <v>0</v>
      </c>
      <c r="BB56">
        <v>0</v>
      </c>
      <c r="BC56">
        <f>IFERROR(VLOOKUP(K56,源_5薪资备忘录_工资调整项!$A:$AC,25,FALSE),0)</f>
        <v>0</v>
      </c>
      <c r="BD56">
        <v>0</v>
      </c>
      <c r="BE56">
        <f>(T56+W56+AB56+AG56+AH56+AI56+AJ56+AK56+AL56+AM56+AN56+AO56+AP56+AU56+AV56+AW56+AX56+BC56-IFERROR(VLOOKUP(DF56,源_6社保表_Sheet1!$C:$BZ,76,FALSE),0))*0.02</f>
        <v>22.0246</v>
      </c>
      <c r="BF56">
        <v>0</v>
      </c>
      <c r="BG56">
        <f>IFERROR(VLOOKUP(K56,源_5薪资备忘录_工资调整项!$A:$AC,22,FALSE),0)+IFERROR(VLOOKUP(K56,源_5薪资备忘录_工资调整项!$A:$AC,23,FALSE),0)+IFERROR(VLOOKUP(K56,源_5薪资备忘录_工资调整项!$A:$AC,24,FALSE),0)</f>
        <v>0</v>
      </c>
      <c r="BH56">
        <f>IFERROR(VLOOKUP(DF56,源_6社保表_Sheet1!$C:$CD,80,FALSE),0)+4.5</f>
        <v>6.5</v>
      </c>
      <c r="BI56">
        <f t="shared" si="16"/>
        <v>3884.3999999999996</v>
      </c>
      <c r="BJ56">
        <f>IFERROR(VLOOKUP(DF56,源_6社保表_Sheet1!$C:$BZ,26,FALSE),0)</f>
        <v>501.34</v>
      </c>
      <c r="BK56">
        <f>IFERROR(VLOOKUP(DF56,源_6社保表_Sheet1!$C:$BZ,27,FALSE),0)</f>
        <v>71.62</v>
      </c>
      <c r="BL56">
        <f>IFERROR(VLOOKUP(DF56,源_6社保表_Sheet1!$C:$BZ,28,FALSE),0)</f>
        <v>35.81</v>
      </c>
      <c r="BM56">
        <f>IFERROR(VLOOKUP(DF56,源_6社保表_Sheet1!$C:$BZ,30,FALSE),0)</f>
        <v>152.4</v>
      </c>
      <c r="BN56">
        <f>IFERROR(VLOOKUP(DF56,源_6社保表_Sheet1!$C:$BZ,29,FALSE),0)</f>
        <v>0</v>
      </c>
      <c r="BO56">
        <f>IFERROR(VLOOKUP(DF56,源_6社保表_Sheet1!$C:$BZ,40,FALSE),0)</f>
        <v>0</v>
      </c>
      <c r="BP56">
        <f>IFERROR(VLOOKUP(DF56,源_6社保表_Sheet1!$C:$BZ,41,FALSE),0)</f>
        <v>0</v>
      </c>
      <c r="BQ56">
        <f>IFERROR(VLOOKUP(DF56,源_6社保表_Sheet1!$C:$BZ,42,FALSE),0)</f>
        <v>0</v>
      </c>
      <c r="BR56">
        <f>IFERROR(VLOOKUP(DF56,源_6社保表_Sheet1!$C:$BZ,44,FALSE),0)</f>
        <v>0</v>
      </c>
      <c r="BS56">
        <f>IFERROR(VLOOKUP(DF56,源_6社保表_Sheet1!$C:$BZ,43,FALSE),0)</f>
        <v>0</v>
      </c>
      <c r="BT56">
        <f t="shared" si="17"/>
        <v>761.17</v>
      </c>
      <c r="BU56">
        <v>0</v>
      </c>
      <c r="BV56">
        <v>0</v>
      </c>
      <c r="BW56">
        <v>0</v>
      </c>
      <c r="BX56">
        <f t="shared" si="18"/>
        <v>0</v>
      </c>
      <c r="BY56">
        <v>0</v>
      </c>
      <c r="BZ56">
        <f>IFERROR(VLOOKUP(DF56,源_6社保表_Sheet1!$C:$BZ,18,FALSE),0)</f>
        <v>1074.3</v>
      </c>
      <c r="CA56">
        <f>IFERROR(VLOOKUP(DF56,源_6社保表_Sheet1!$C:$BZ,19,FALSE),0)</f>
        <v>572.96</v>
      </c>
      <c r="CB56">
        <f>IFERROR(VLOOKUP(DF56,源_6社保表_Sheet1!$C:$BZ,24,FALSE),0)</f>
        <v>152.4</v>
      </c>
      <c r="CC56">
        <f>IFERROR(VLOOKUP(DF56,源_6社保表_Sheet1!$C:$BZ,20,FALSE),0)</f>
        <v>35.81</v>
      </c>
      <c r="CD56">
        <f>IFERROR(VLOOKUP(DF56,源_6社保表_Sheet1!$C:$BZ,21,FALSE),0)</f>
        <v>22.918399999999998</v>
      </c>
      <c r="CE56">
        <f>IFERROR(VLOOKUP(DF56,源_6社保表_Sheet1!$C:$BZ,22,FALSE),0)</f>
        <v>0</v>
      </c>
      <c r="CF56">
        <f>IFERROR(VLOOKUP(DF56,源_6社保表_Sheet1!$C:$BZ,23,FALSE),0)</f>
        <v>0</v>
      </c>
      <c r="CG56">
        <f>IFERROR(VLOOKUP(DF56,源_6社保表_Sheet1!$C:$BZ,32,FALSE),0)</f>
        <v>0</v>
      </c>
      <c r="CH56">
        <f>IFERROR(VLOOKUP(DF56,源_6社保表_Sheet1!$C:$BZ,33,FALSE),0)</f>
        <v>0</v>
      </c>
      <c r="CI56">
        <f>IFERROR(VLOOKUP(DF56,源_6社保表_Sheet1!$C:$BZ,34,FALSE),0)</f>
        <v>0</v>
      </c>
      <c r="CJ56">
        <f>IFERROR(VLOOKUP(DF56,源_6社保表_Sheet1!$C:$BZ,38,FALSE),0)</f>
        <v>0</v>
      </c>
      <c r="CK56">
        <f>IFERROR(VLOOKUP(DF56,源_6社保表_Sheet1!$C:$BZ,35,FALSE),0)</f>
        <v>0</v>
      </c>
      <c r="CL56">
        <f>IFERROR(VLOOKUP(DF56,源_6社保表_Sheet1!$C:$BZ,36,FALSE),0)</f>
        <v>0</v>
      </c>
      <c r="CM56">
        <f>IFERROR(VLOOKUP(DF56,源_6社保表_Sheet1!$C:$BZ,37,FALSE),0)</f>
        <v>0</v>
      </c>
      <c r="CN56">
        <f t="shared" si="19"/>
        <v>1858.3884</v>
      </c>
      <c r="CO56">
        <f t="shared" si="20"/>
        <v>5771.3129999999992</v>
      </c>
      <c r="CP56">
        <f>IF(IFERROR(VLOOKUP(K56,源_13残疾人信息_残疾人信息!$A:$M,1,FALSE),"")&lt;&gt;"",0,IF(OR(P56="门店全职",P56="门店管理组",P56="全职(非门店)"),(BI56-AT56)*IFERROR(VLOOKUP(D56,源_12计提残保金规则_Sheet1!$A:$E,4,FALSE),0)*IFERROR(VLOOKUP(D56,源_12计提残保金规则_Sheet1!$A:$E,5,FALSE),0),0))</f>
        <v>52.439399999999992</v>
      </c>
      <c r="CQ56">
        <f t="shared" si="21"/>
        <v>0</v>
      </c>
      <c r="CR56">
        <f t="shared" si="22"/>
        <v>20.67</v>
      </c>
      <c r="CS56">
        <f>IF(DATEVALUE(N56)&gt;DATE(参数!$B$2,9,30),0,IF(M56="行政",0,IF(O56="",R56/12,IF(MONTH(DATEVALUE(O56))=参数!$B$3,0,IF(DATEVALUE(O56)&lt;DATE(参数!$B$2,参数!$B$3,1),0,R56/12)))))</f>
        <v>0</v>
      </c>
      <c r="CT56">
        <f t="shared" si="23"/>
        <v>0</v>
      </c>
      <c r="CU56">
        <f>IFERROR(VLOOKUP(DF56,源_6社保表_Sheet1!$C:$I,2,FALSE),0)</f>
        <v>7162</v>
      </c>
      <c r="CV56">
        <f>IFERROR(VLOOKUP(DF56,源_6社保表_Sheet1!$C:$I,7,FALSE),0)</f>
        <v>2540</v>
      </c>
      <c r="CW56">
        <f>IFERROR(VLOOKUP(DF56,源_6社保表_Sheet1!$C:$I,3,FALSE),0)</f>
        <v>7162</v>
      </c>
      <c r="CX56">
        <f>IFERROR(VLOOKUP(DF56,源_6社保表_Sheet1!$C:$I,4,FALSE),0)</f>
        <v>7162</v>
      </c>
      <c r="CY56">
        <f>IFERROR(VLOOKUP(DF56,源_6社保表_Sheet1!$C:$I,5,FALSE),0)</f>
        <v>7162</v>
      </c>
      <c r="CZ56">
        <f>IFERROR(VLOOKUP(DF56,源_6社保表_Sheet1!$C:$I,6,FALSE),0)</f>
        <v>0</v>
      </c>
      <c r="DA56">
        <f t="shared" si="24"/>
        <v>3600.7883999999995</v>
      </c>
      <c r="DB56">
        <f t="shared" si="25"/>
        <v>3680.3977999999997</v>
      </c>
      <c r="DC56" t="str">
        <f>IFERROR(VLOOKUP(K56,源_7银行卡表_Sheet1!$A:$J,8,FALSE),"")</f>
        <v>中国银行</v>
      </c>
      <c r="DD56" t="str">
        <f>IFERROR(VLOOKUP(K56,源_7银行卡表_Sheet1!$A:$J,9,FALSE),"")</f>
        <v>6285035867350146611</v>
      </c>
      <c r="DE56" t="str">
        <f>IFERROR(VLOOKUP(K56,源_7银行卡表_Sheet1!$A:$J,10,FALSE),"")</f>
        <v>枣庄市分行</v>
      </c>
      <c r="DF56" t="s">
        <v>386</v>
      </c>
      <c r="DG56">
        <v>14697876281</v>
      </c>
      <c r="DH56" t="s">
        <v>148</v>
      </c>
      <c r="DI56">
        <v>0</v>
      </c>
      <c r="DJ56">
        <v>0</v>
      </c>
      <c r="DK56">
        <v>0</v>
      </c>
      <c r="DL56">
        <v>0</v>
      </c>
      <c r="DM56">
        <v>0</v>
      </c>
      <c r="DN56">
        <v>0</v>
      </c>
      <c r="DO56">
        <v>0</v>
      </c>
      <c r="DP56">
        <v>0</v>
      </c>
      <c r="DQ56">
        <v>0</v>
      </c>
      <c r="DR56">
        <f>IF(OR(IFERROR(VLOOKUP(K56,源_3考勤报表_考勤表!$F:$BG,39,FALSE),0)+IFERROR(VLOOKUP(K56,源_8补工时表_补当月工时!$A:$AC,24,FALSE),0)=0,IFERROR(VLOOKUP(K56,源_3考勤报表_考勤表!$F:$BG,43,FALSE),0)+IFERROR(VLOOKUP(K56,源_8补工时表_补当月工时!$A:$AC,26,FALSE),0)=0),IF(BI56+BG56-BT56&lt;0,BI56+BG56-BT56,0),0)</f>
        <v>0</v>
      </c>
    </row>
    <row r="57" spans="1:122" x14ac:dyDescent="0.15">
      <c r="A57">
        <f>参数!$B$2</f>
        <v>2025</v>
      </c>
      <c r="B57">
        <f>参数!$B$3</f>
        <v>12</v>
      </c>
      <c r="D57" t="s">
        <v>147</v>
      </c>
      <c r="E57" t="s">
        <v>123</v>
      </c>
      <c r="F57" t="str">
        <f>IFERROR(VLOOKUP(K57,源_7银行卡表_Sheet1!$A:$J,6,FALSE),"")</f>
        <v>华北营运</v>
      </c>
      <c r="G57" t="s">
        <v>148</v>
      </c>
      <c r="H57" t="s">
        <v>382</v>
      </c>
      <c r="I57" t="s">
        <v>150</v>
      </c>
      <c r="J57">
        <v>1</v>
      </c>
      <c r="K57">
        <v>26123056</v>
      </c>
      <c r="L57" t="s">
        <v>387</v>
      </c>
      <c r="M57" t="s">
        <v>377</v>
      </c>
      <c r="N57" t="s">
        <v>378</v>
      </c>
      <c r="P57" t="s">
        <v>154</v>
      </c>
      <c r="Q57">
        <f>IF(P57="门店全职",IFERROR(VLOOKUP(K57,源_3考勤报表_考勤表!$F:$BG,34,FALSE),0)+IFERROR(VLOOKUP(K57,源_8补工时表_补当月工时!$A:$AC,14,FALSE),0),IF(P57="门店管理组",IF(IFERROR(VLOOKUP(K57,源_3考勤报表_考勤表!$F:$BG,34,FALSE),0)+IFERROR(VLOOKUP(K57,源_8补工时表_补当月工时!$A:$AC,14,FALSE),0)+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44,FALSE),0)+IFERROR(VLOOKUP(K57,源_8补工时表_补当月工时!$A:$AC,16,FALSE),0)+IFERROR(VLOOKUP(K57,源_3考勤报表_考勤表!$F:$BG,45,FALSE),0)&gt;=参数!$B$4,参数!$B$4-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44,FALSE),0)-IFERROR(VLOOKUP(K57,源_8补工时表_补当月工时!$A:$AC,16,FALSE),0)-IFERROR(VLOOKUP(K57,源_3考勤报表_考勤表!$F:$BG,45,FALSE),0),IFERROR(VLOOKUP(K57,源_3考勤报表_考勤表!$F:$BG,34,FALSE),0)+IFERROR(VLOOKUP(K57,源_8补工时表_补当月工时!$A:$AC,14,FALSE),0)),0))</f>
        <v>104</v>
      </c>
      <c r="R57">
        <v>2904</v>
      </c>
      <c r="S57">
        <v>0</v>
      </c>
      <c r="T57">
        <f>IF(P57="门店全职",R57/参数!$B$4*(Q57-MAX(IFERROR(VLOOKUP(K57,源_3考勤报表_考勤表!$F:$BG,34,FALSE),0)+IFERROR(VLOOKUP(K57,源_8补工时表_补当月工时!$A:$AC,14,FALSE),0)+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参数!$B$4,0)),R57/参数!$B$4*Q57)</f>
        <v>1641.391304347826</v>
      </c>
      <c r="U57">
        <v>0</v>
      </c>
      <c r="V57">
        <v>0</v>
      </c>
      <c r="W57">
        <f t="shared" si="13"/>
        <v>0</v>
      </c>
      <c r="X57">
        <f>IFERROR(VLOOKUP(K57,源_4奖金汇总表_拆分手工算!$A:$N,8,FALSE),0)</f>
        <v>0</v>
      </c>
      <c r="Y57">
        <f>IFERROR(VLOOKUP(K57,源_5薪资备忘录_工资调整项!$A:$AC,14,FALSE),0)</f>
        <v>0</v>
      </c>
      <c r="Z57">
        <f>IFERROR(VLOOKUP(K57,源_5薪资备忘录_工资调整项!$A:$AC,16,FALSE),0)</f>
        <v>0</v>
      </c>
      <c r="AA57">
        <f>IFERROR(VLOOKUP(K57,源_5薪资备忘录_工资调整项!$A:$AC,15,FALSE),0)</f>
        <v>0</v>
      </c>
      <c r="AB57">
        <f t="shared" si="14"/>
        <v>0</v>
      </c>
      <c r="AC57">
        <f>IF(P57="门店全职",R57/174*MAX(IFERROR(VLOOKUP(K57,源_3考勤报表_考勤表!$F:$BG,34,FALSE),0)+IFERROR(VLOOKUP(K57,源_8补工时表_补当月工时!$A:$AC,14,FALSE),0)+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参数!$B$4,0)*1.5,0)</f>
        <v>0</v>
      </c>
      <c r="AD57">
        <v>0</v>
      </c>
      <c r="AE57">
        <f>IFERROR(VLOOKUP(K57,源_3考勤报表_考勤表!$F:$BG,46,FALSE),0)+IFERROR(VLOOKUP(K57,源_8补工时表_补当月工时!$A:$AC,25,FALSE),0)</f>
        <v>0</v>
      </c>
      <c r="AF57">
        <f t="shared" si="15"/>
        <v>0</v>
      </c>
      <c r="AG57">
        <f>IFERROR(VLOOKUP(K57,源_4奖金汇总表_拆分手工算!$A:$N,10,FALSE),0)</f>
        <v>0</v>
      </c>
      <c r="AH57">
        <f>IFERROR(VLOOKUP(K57,源_4奖金汇总表_拆分手工算!$A:$N,5,FALSE),0)</f>
        <v>0</v>
      </c>
      <c r="AI57">
        <f>IFERROR(VLOOKUP(K57,源_4奖金汇总表_拆分手工算!$A:$N,11,FALSE),0)</f>
        <v>2000</v>
      </c>
      <c r="AJ57">
        <f>IFERROR(VLOOKUP(K57,源_4奖金汇总表_拆分手工算!$A:$N,4,FALSE),0)</f>
        <v>0</v>
      </c>
      <c r="AK57">
        <f>IFERROR(VLOOKUP(K57,源_4奖金汇总表_拆分手工算!$A:$N,3,FALSE),0)</f>
        <v>0</v>
      </c>
      <c r="AL57">
        <f>IFERROR(VLOOKUP(K57,源_4奖金汇总表_拆分手工算!$A:$N,6,FALSE),0)</f>
        <v>0</v>
      </c>
      <c r="AM57">
        <f>IFERROR(VLOOKUP(K57,源_5薪资备忘录_工资调整项!$A:$AC,18,FALSE),0)+IFERROR(VLOOKUP(K57,源_4奖金汇总表_拆分手工算!$A:$N,7,FALSE),0)</f>
        <v>0</v>
      </c>
      <c r="AN57">
        <f>IFERROR(VLOOKUP(K57,源_5薪资备忘录_工资调整项!$A:$AC,17,FALSE),0)</f>
        <v>0</v>
      </c>
      <c r="AO57">
        <f>IF(OR(IFERROR(VLOOKUP(K57,源_3考勤报表_考勤表!$F:$BG,39,FALSE),0)+IFERROR(VLOOKUP(K57,源_8补工时表_补当月工时!$A:$AC,24,FALSE),0)&gt;0,IFERROR(VLOOKUP(K57,源_3考勤报表_考勤表!$F:$BG,43,FALSE),0)+IFERROR(VLOOKUP(K57,源_8补工时表_补当月工时!$A:$AC,26,FALSE),0)&gt;0),IF(IFERROR(VLOOKUP(DH57,源_11产假政策_Sheet1!$C:$F,4,FALSE),"")="是",R57/参数!$B$4*(IFERROR(VLOOKUP(K57,源_3考勤报表_考勤表!$F:$BG,39,FALSE),0)+IFERROR(VLOOKUP(K57,源_8补工时表_补当月工时!$A:$AC,24,FALSE),0)+IFERROR(VLOOKUP(K57,源_3考勤报表_考勤表!$F:$BG,43,FALSE),0)+IFERROR(VLOOKUP(K57,源_8补工时表_补当月工时!$A:$AC,26,FALSE),0)),IFERROR(VLOOKUP(K57,源_5薪资备忘录_工资调整项!$A:$AC,19,FALSE),0)),0)</f>
        <v>0</v>
      </c>
      <c r="AP57">
        <v>0</v>
      </c>
      <c r="AQ57">
        <f>IFERROR(VLOOKUP(K57,源_4奖金汇总表_拆分手工算!$A:$N,12,FALSE),0)+IFERROR(VLOOKUP(K57,源_9年终奖表_Sheet1!$A:$E,3,FALSE),0)</f>
        <v>1163.45</v>
      </c>
      <c r="AR57">
        <f>IFERROR(VLOOKUP(K57,源_4奖金汇总表_拆分手工算!$A:$N,13,FALSE),0)+IFERROR(VLOOKUP(K57,源_9年终奖表_Sheet1!$A:$E,4,FALSE),0)</f>
        <v>600</v>
      </c>
      <c r="AS57">
        <f>IFERROR(VLOOKUP(K57,源_4奖金汇总表_拆分手工算!$A:$N,14,FALSE),0)+IFERROR(VLOOKUP(K57,源_9年终奖表_Sheet1!$A:$E,5,FALSE),0)</f>
        <v>111</v>
      </c>
      <c r="AT57">
        <f>IFERROR(VLOOKUP(K57,源_5薪资备忘录_工资调整项!$A:$AC,20,FALSE),0)</f>
        <v>0</v>
      </c>
      <c r="AU57">
        <f>IFERROR(VLOOKUP(K57,源_5薪资备忘录_工资调整项!$A:$AC,21,FALSE),0)+IFERROR(VLOOKUP(K57,源_4奖金汇总表_拆分手工算!$A:$N,9,FALSE),0)</f>
        <v>0</v>
      </c>
      <c r="AV57">
        <f>R57/参数!$B$4*(IFERROR(VLOOKUP(K57,源_3考勤报表_考勤表!$F:$BG,37,FALSE),0)+IFERROR(VLOOKUP(K57,源_8补工时表_补当月工时!$A:$AC,15,FALSE),0))</f>
        <v>1010.0869565217391</v>
      </c>
      <c r="AW57">
        <f>R57/174*MIN(IFERROR(VLOOKUP(K57,源_3考勤报表_考勤表!$F:$BG,35,FALSE),0),174)*IF(DATEDIF(N57,DATE(参数!$B$2,参数!$B$3+1,0),"Y")&lt;2,0.6,IF(DATEDIF(N57,DATE(参数!$B$2,参数!$B$3+1,0),"Y")&lt;4,0.7,IF(DATEDIF(N57,DATE(参数!$B$2,参数!$B$3+1,0),"Y")&lt;6,0.8,IF(DATEDIF(N57,DATE(参数!$B$2,参数!$B$3+1,0),"Y")&lt;8,0.9,1))))</f>
        <v>0</v>
      </c>
      <c r="AX57">
        <f>IF(Q57+IFERROR(VLOOKUP(K57,源_3考勤报表_考勤表!$F:$BG,37,FALSE),0)+IFERROR(VLOOKUP(K57,源_8补工时表_补当月工时!$A:$AC,15,FALSE),0)&gt;=参数!$B$4,0,IF(Q57+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lt;=参数!$B$4,R57/参数!$B$4*(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0))</f>
        <v>252.52173913043478</v>
      </c>
      <c r="AY57">
        <v>0</v>
      </c>
      <c r="AZ57">
        <v>0</v>
      </c>
      <c r="BA57">
        <v>0</v>
      </c>
      <c r="BB57">
        <v>0</v>
      </c>
      <c r="BC57">
        <f>IFERROR(VLOOKUP(K57,源_5薪资备忘录_工资调整项!$A:$AC,25,FALSE),0)</f>
        <v>0</v>
      </c>
      <c r="BD57">
        <v>0</v>
      </c>
      <c r="BE57">
        <f>(T57+W57+AB57+AG57+AH57+AI57+AJ57+AK57+AL57+AM57+AN57+AO57+AP57+AU57+AV57+AW57+AX57+BC57-IFERROR(VLOOKUP(DF57,源_6社保表_Sheet1!$C:$BZ,76,FALSE),0))*0.02</f>
        <v>82.8566</v>
      </c>
      <c r="BF57">
        <v>0</v>
      </c>
      <c r="BG57">
        <f>IFERROR(VLOOKUP(K57,源_5薪资备忘录_工资调整项!$A:$AC,22,FALSE),0)+IFERROR(VLOOKUP(K57,源_5薪资备忘录_工资调整项!$A:$AC,23,FALSE),0)+IFERROR(VLOOKUP(K57,源_5薪资备忘录_工资调整项!$A:$AC,24,FALSE),0)</f>
        <v>0</v>
      </c>
      <c r="BH57">
        <f>IFERROR(VLOOKUP(DF57,源_6社保表_Sheet1!$C:$CD,80,FALSE),0)+4.5</f>
        <v>6.5</v>
      </c>
      <c r="BI57">
        <f t="shared" si="16"/>
        <v>6778.45</v>
      </c>
      <c r="BJ57">
        <f>IFERROR(VLOOKUP(DF57,源_6社保表_Sheet1!$C:$BZ,26,FALSE),0)</f>
        <v>501.34</v>
      </c>
      <c r="BK57">
        <f>IFERROR(VLOOKUP(DF57,源_6社保表_Sheet1!$C:$BZ,27,FALSE),0)</f>
        <v>71.62</v>
      </c>
      <c r="BL57">
        <f>IFERROR(VLOOKUP(DF57,源_6社保表_Sheet1!$C:$BZ,28,FALSE),0)</f>
        <v>35.81</v>
      </c>
      <c r="BM57">
        <f>IFERROR(VLOOKUP(DF57,源_6社保表_Sheet1!$C:$BZ,30,FALSE),0)</f>
        <v>152.4</v>
      </c>
      <c r="BN57">
        <f>IFERROR(VLOOKUP(DF57,源_6社保表_Sheet1!$C:$BZ,29,FALSE),0)</f>
        <v>0</v>
      </c>
      <c r="BO57">
        <f>IFERROR(VLOOKUP(DF57,源_6社保表_Sheet1!$C:$BZ,40,FALSE),0)</f>
        <v>0</v>
      </c>
      <c r="BP57">
        <f>IFERROR(VLOOKUP(DF57,源_6社保表_Sheet1!$C:$BZ,41,FALSE),0)</f>
        <v>0</v>
      </c>
      <c r="BQ57">
        <f>IFERROR(VLOOKUP(DF57,源_6社保表_Sheet1!$C:$BZ,42,FALSE),0)</f>
        <v>0</v>
      </c>
      <c r="BR57">
        <f>IFERROR(VLOOKUP(DF57,源_6社保表_Sheet1!$C:$BZ,44,FALSE),0)</f>
        <v>0</v>
      </c>
      <c r="BS57">
        <f>IFERROR(VLOOKUP(DF57,源_6社保表_Sheet1!$C:$BZ,43,FALSE),0)</f>
        <v>0</v>
      </c>
      <c r="BT57">
        <f t="shared" si="17"/>
        <v>761.17</v>
      </c>
      <c r="BU57">
        <v>0</v>
      </c>
      <c r="BV57">
        <v>0</v>
      </c>
      <c r="BW57">
        <v>0</v>
      </c>
      <c r="BX57">
        <f t="shared" si="18"/>
        <v>0</v>
      </c>
      <c r="BY57">
        <v>0</v>
      </c>
      <c r="BZ57">
        <f>IFERROR(VLOOKUP(DF57,源_6社保表_Sheet1!$C:$BZ,18,FALSE),0)</f>
        <v>1074.3</v>
      </c>
      <c r="CA57">
        <f>IFERROR(VLOOKUP(DF57,源_6社保表_Sheet1!$C:$BZ,19,FALSE),0)</f>
        <v>572.96</v>
      </c>
      <c r="CB57">
        <f>IFERROR(VLOOKUP(DF57,源_6社保表_Sheet1!$C:$BZ,24,FALSE),0)</f>
        <v>152.4</v>
      </c>
      <c r="CC57">
        <f>IFERROR(VLOOKUP(DF57,源_6社保表_Sheet1!$C:$BZ,20,FALSE),0)</f>
        <v>35.81</v>
      </c>
      <c r="CD57">
        <f>IFERROR(VLOOKUP(DF57,源_6社保表_Sheet1!$C:$BZ,21,FALSE),0)</f>
        <v>22.918399999999998</v>
      </c>
      <c r="CE57">
        <f>IFERROR(VLOOKUP(DF57,源_6社保表_Sheet1!$C:$BZ,22,FALSE),0)</f>
        <v>0</v>
      </c>
      <c r="CF57">
        <f>IFERROR(VLOOKUP(DF57,源_6社保表_Sheet1!$C:$BZ,23,FALSE),0)</f>
        <v>0</v>
      </c>
      <c r="CG57">
        <f>IFERROR(VLOOKUP(DF57,源_6社保表_Sheet1!$C:$BZ,32,FALSE),0)</f>
        <v>0</v>
      </c>
      <c r="CH57">
        <f>IFERROR(VLOOKUP(DF57,源_6社保表_Sheet1!$C:$BZ,33,FALSE),0)</f>
        <v>0</v>
      </c>
      <c r="CI57">
        <f>IFERROR(VLOOKUP(DF57,源_6社保表_Sheet1!$C:$BZ,34,FALSE),0)</f>
        <v>0</v>
      </c>
      <c r="CJ57">
        <f>IFERROR(VLOOKUP(DF57,源_6社保表_Sheet1!$C:$BZ,38,FALSE),0)</f>
        <v>0</v>
      </c>
      <c r="CK57">
        <f>IFERROR(VLOOKUP(DF57,源_6社保表_Sheet1!$C:$BZ,35,FALSE),0)</f>
        <v>0</v>
      </c>
      <c r="CL57">
        <f>IFERROR(VLOOKUP(DF57,源_6社保表_Sheet1!$C:$BZ,36,FALSE),0)</f>
        <v>0</v>
      </c>
      <c r="CM57">
        <f>IFERROR(VLOOKUP(DF57,源_6社保表_Sheet1!$C:$BZ,37,FALSE),0)</f>
        <v>0</v>
      </c>
      <c r="CN57">
        <f t="shared" si="19"/>
        <v>1858.3884</v>
      </c>
      <c r="CO57">
        <f t="shared" si="20"/>
        <v>8726.1949999999997</v>
      </c>
      <c r="CP57">
        <f>IF(IFERROR(VLOOKUP(K57,源_13残疾人信息_残疾人信息!$A:$M,1,FALSE),"")&lt;&gt;"",0,IF(OR(P57="门店全职",P57="门店管理组",P57="全职(非门店)"),(BI57-AT57)*IFERROR(VLOOKUP(D57,源_12计提残保金规则_Sheet1!$A:$E,4,FALSE),0)*IFERROR(VLOOKUP(D57,源_12计提残保金规则_Sheet1!$A:$E,5,FALSE),0),0))</f>
        <v>91.509074999999996</v>
      </c>
      <c r="CQ57">
        <f t="shared" si="21"/>
        <v>0</v>
      </c>
      <c r="CR57">
        <f t="shared" si="22"/>
        <v>20.67</v>
      </c>
      <c r="CS57">
        <f>IF(DATEVALUE(N57)&gt;DATE(参数!$B$2,9,30),0,IF(M57="行政",0,IF(O57="",R57/12,IF(MONTH(DATEVALUE(O57))=参数!$B$3,0,IF(DATEVALUE(O57)&lt;DATE(参数!$B$2,参数!$B$3,1),0,R57/12)))))</f>
        <v>0</v>
      </c>
      <c r="CT57">
        <f t="shared" si="23"/>
        <v>0</v>
      </c>
      <c r="CU57">
        <f>IFERROR(VLOOKUP(DF57,源_6社保表_Sheet1!$C:$I,2,FALSE),0)</f>
        <v>7162</v>
      </c>
      <c r="CV57">
        <f>IFERROR(VLOOKUP(DF57,源_6社保表_Sheet1!$C:$I,7,FALSE),0)</f>
        <v>2540</v>
      </c>
      <c r="CW57">
        <f>IFERROR(VLOOKUP(DF57,源_6社保表_Sheet1!$C:$I,3,FALSE),0)</f>
        <v>7162</v>
      </c>
      <c r="CX57">
        <f>IFERROR(VLOOKUP(DF57,源_6社保表_Sheet1!$C:$I,4,FALSE),0)</f>
        <v>7162</v>
      </c>
      <c r="CY57">
        <f>IFERROR(VLOOKUP(DF57,源_6社保表_Sheet1!$C:$I,5,FALSE),0)</f>
        <v>7162</v>
      </c>
      <c r="CZ57">
        <f>IFERROR(VLOOKUP(DF57,源_6社保表_Sheet1!$C:$I,6,FALSE),0)</f>
        <v>0</v>
      </c>
      <c r="DA57">
        <f t="shared" si="24"/>
        <v>4762.3884000000007</v>
      </c>
      <c r="DB57">
        <f t="shared" si="25"/>
        <v>4881.0674750000007</v>
      </c>
      <c r="DC57" t="str">
        <f>IFERROR(VLOOKUP(K57,源_7银行卡表_Sheet1!$A:$J,8,FALSE),"")</f>
        <v>招商银行</v>
      </c>
      <c r="DD57" t="str">
        <f>IFERROR(VLOOKUP(K57,源_7银行卡表_Sheet1!$A:$J,9,FALSE),"")</f>
        <v>6288091407804826666</v>
      </c>
      <c r="DE57" t="str">
        <f>IFERROR(VLOOKUP(K57,源_7银行卡表_Sheet1!$A:$J,10,FALSE),"")</f>
        <v>北京清河支行</v>
      </c>
      <c r="DF57" t="s">
        <v>388</v>
      </c>
      <c r="DG57">
        <v>15687834063</v>
      </c>
      <c r="DH57" t="s">
        <v>148</v>
      </c>
      <c r="DI57">
        <v>0</v>
      </c>
      <c r="DJ57">
        <v>0</v>
      </c>
      <c r="DK57">
        <v>0</v>
      </c>
      <c r="DL57">
        <v>0</v>
      </c>
      <c r="DM57">
        <v>0</v>
      </c>
      <c r="DN57">
        <v>0</v>
      </c>
      <c r="DO57">
        <v>0</v>
      </c>
      <c r="DP57">
        <v>0</v>
      </c>
      <c r="DQ57">
        <v>0</v>
      </c>
      <c r="DR57">
        <f>IF(OR(IFERROR(VLOOKUP(K57,源_3考勤报表_考勤表!$F:$BG,39,FALSE),0)+IFERROR(VLOOKUP(K57,源_8补工时表_补当月工时!$A:$AC,24,FALSE),0)=0,IFERROR(VLOOKUP(K57,源_3考勤报表_考勤表!$F:$BG,43,FALSE),0)+IFERROR(VLOOKUP(K57,源_8补工时表_补当月工时!$A:$AC,26,FALSE),0)=0),IF(BI57+BG57-BT57&lt;0,BI57+BG57-BT57,0),0)</f>
        <v>0</v>
      </c>
    </row>
    <row r="58" spans="1:122" x14ac:dyDescent="0.15">
      <c r="A58">
        <f>参数!$B$2</f>
        <v>2025</v>
      </c>
      <c r="B58">
        <f>参数!$B$3</f>
        <v>12</v>
      </c>
      <c r="D58" t="s">
        <v>165</v>
      </c>
      <c r="E58" t="s">
        <v>123</v>
      </c>
      <c r="F58" t="str">
        <f>IFERROR(VLOOKUP(K58,源_7银行卡表_Sheet1!$A:$J,6,FALSE),"")</f>
        <v>华北营运</v>
      </c>
      <c r="G58" t="s">
        <v>166</v>
      </c>
      <c r="H58" t="s">
        <v>389</v>
      </c>
      <c r="I58" t="s">
        <v>168</v>
      </c>
      <c r="J58">
        <v>1</v>
      </c>
      <c r="K58">
        <v>26123057</v>
      </c>
      <c r="L58" t="s">
        <v>390</v>
      </c>
      <c r="M58" t="s">
        <v>377</v>
      </c>
      <c r="N58" t="s">
        <v>378</v>
      </c>
      <c r="P58" t="s">
        <v>154</v>
      </c>
      <c r="Q58">
        <f>IF(P58="门店全职",IFERROR(VLOOKUP(K58,源_3考勤报表_考勤表!$F:$BG,34,FALSE),0)+IFERROR(VLOOKUP(K58,源_8补工时表_补当月工时!$A:$AC,14,FALSE),0),IF(P58="门店管理组",IF(IFERROR(VLOOKUP(K58,源_3考勤报表_考勤表!$F:$BG,34,FALSE),0)+IFERROR(VLOOKUP(K58,源_8补工时表_补当月工时!$A:$AC,14,FALSE),0)+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44,FALSE),0)+IFERROR(VLOOKUP(K58,源_8补工时表_补当月工时!$A:$AC,16,FALSE),0)+IFERROR(VLOOKUP(K58,源_3考勤报表_考勤表!$F:$BG,45,FALSE),0)&gt;=参数!$B$4,参数!$B$4-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44,FALSE),0)-IFERROR(VLOOKUP(K58,源_8补工时表_补当月工时!$A:$AC,16,FALSE),0)-IFERROR(VLOOKUP(K58,源_3考勤报表_考勤表!$F:$BG,45,FALSE),0),IFERROR(VLOOKUP(K58,源_3考勤报表_考勤表!$F:$BG,34,FALSE),0)+IFERROR(VLOOKUP(K58,源_8补工时表_补当月工时!$A:$AC,14,FALSE),0)),0))</f>
        <v>0</v>
      </c>
      <c r="R58">
        <v>2320</v>
      </c>
      <c r="S58">
        <v>0</v>
      </c>
      <c r="T58">
        <f>IF(P58="门店全职",R58/参数!$B$4*(Q58-MAX(IFERROR(VLOOKUP(K58,源_3考勤报表_考勤表!$F:$BG,34,FALSE),0)+IFERROR(VLOOKUP(K58,源_8补工时表_补当月工时!$A:$AC,14,FALSE),0)+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参数!$B$4,0)),R58/参数!$B$4*Q58)</f>
        <v>0</v>
      </c>
      <c r="U58">
        <v>0</v>
      </c>
      <c r="V58">
        <v>0</v>
      </c>
      <c r="W58">
        <f t="shared" si="13"/>
        <v>0</v>
      </c>
      <c r="X58">
        <f>IFERROR(VLOOKUP(K58,源_4奖金汇总表_拆分手工算!$A:$N,8,FALSE),0)</f>
        <v>0</v>
      </c>
      <c r="Y58">
        <f>IFERROR(VLOOKUP(K58,源_5薪资备忘录_工资调整项!$A:$AC,14,FALSE),0)</f>
        <v>0</v>
      </c>
      <c r="Z58">
        <f>IFERROR(VLOOKUP(K58,源_5薪资备忘录_工资调整项!$A:$AC,16,FALSE),0)</f>
        <v>0</v>
      </c>
      <c r="AA58">
        <f>IFERROR(VLOOKUP(K58,源_5薪资备忘录_工资调整项!$A:$AC,15,FALSE),0)</f>
        <v>0</v>
      </c>
      <c r="AB58">
        <f t="shared" si="14"/>
        <v>0</v>
      </c>
      <c r="AC58">
        <f>IF(P58="门店全职",R58/174*MAX(IFERROR(VLOOKUP(K58,源_3考勤报表_考勤表!$F:$BG,34,FALSE),0)+IFERROR(VLOOKUP(K58,源_8补工时表_补当月工时!$A:$AC,14,FALSE),0)+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参数!$B$4,0)*1.5,0)</f>
        <v>0</v>
      </c>
      <c r="AD58">
        <v>0</v>
      </c>
      <c r="AE58">
        <f>IFERROR(VLOOKUP(K58,源_3考勤报表_考勤表!$F:$BG,46,FALSE),0)+IFERROR(VLOOKUP(K58,源_8补工时表_补当月工时!$A:$AC,25,FALSE),0)</f>
        <v>0</v>
      </c>
      <c r="AF58">
        <f t="shared" si="15"/>
        <v>0</v>
      </c>
      <c r="AG58">
        <f>IFERROR(VLOOKUP(K58,源_4奖金汇总表_拆分手工算!$A:$N,10,FALSE),0)</f>
        <v>0</v>
      </c>
      <c r="AH58">
        <f>IFERROR(VLOOKUP(K58,源_4奖金汇总表_拆分手工算!$A:$N,5,FALSE),0)</f>
        <v>0</v>
      </c>
      <c r="AI58">
        <f>IFERROR(VLOOKUP(K58,源_4奖金汇总表_拆分手工算!$A:$N,11,FALSE),0)</f>
        <v>0</v>
      </c>
      <c r="AJ58">
        <f>IFERROR(VLOOKUP(K58,源_4奖金汇总表_拆分手工算!$A:$N,4,FALSE),0)</f>
        <v>1200</v>
      </c>
      <c r="AK58">
        <f>IFERROR(VLOOKUP(K58,源_4奖金汇总表_拆分手工算!$A:$N,3,FALSE),0)</f>
        <v>0</v>
      </c>
      <c r="AL58">
        <f>IFERROR(VLOOKUP(K58,源_4奖金汇总表_拆分手工算!$A:$N,6,FALSE),0)</f>
        <v>0</v>
      </c>
      <c r="AM58">
        <f>IFERROR(VLOOKUP(K58,源_5薪资备忘录_工资调整项!$A:$AC,18,FALSE),0)+IFERROR(VLOOKUP(K58,源_4奖金汇总表_拆分手工算!$A:$N,7,FALSE),0)</f>
        <v>0</v>
      </c>
      <c r="AN58">
        <f>IFERROR(VLOOKUP(K58,源_5薪资备忘录_工资调整项!$A:$AC,17,FALSE),0)</f>
        <v>0</v>
      </c>
      <c r="AO58">
        <f>IF(OR(IFERROR(VLOOKUP(K58,源_3考勤报表_考勤表!$F:$BG,39,FALSE),0)+IFERROR(VLOOKUP(K58,源_8补工时表_补当月工时!$A:$AC,24,FALSE),0)&gt;0,IFERROR(VLOOKUP(K58,源_3考勤报表_考勤表!$F:$BG,43,FALSE),0)+IFERROR(VLOOKUP(K58,源_8补工时表_补当月工时!$A:$AC,26,FALSE),0)&gt;0),IF(IFERROR(VLOOKUP(DH58,源_11产假政策_Sheet1!$C:$F,4,FALSE),"")="是",R58/参数!$B$4*(IFERROR(VLOOKUP(K58,源_3考勤报表_考勤表!$F:$BG,39,FALSE),0)+IFERROR(VLOOKUP(K58,源_8补工时表_补当月工时!$A:$AC,24,FALSE),0)+IFERROR(VLOOKUP(K58,源_3考勤报表_考勤表!$F:$BG,43,FALSE),0)+IFERROR(VLOOKUP(K58,源_8补工时表_补当月工时!$A:$AC,26,FALSE),0)),IFERROR(VLOOKUP(K58,源_5薪资备忘录_工资调整项!$A:$AC,19,FALSE),0)),0)</f>
        <v>0</v>
      </c>
      <c r="AP58">
        <v>0</v>
      </c>
      <c r="AQ58">
        <f>IFERROR(VLOOKUP(K58,源_4奖金汇总表_拆分手工算!$A:$N,12,FALSE),0)+IFERROR(VLOOKUP(K58,源_9年终奖表_Sheet1!$A:$E,3,FALSE),0)</f>
        <v>1200</v>
      </c>
      <c r="AR58">
        <f>IFERROR(VLOOKUP(K58,源_4奖金汇总表_拆分手工算!$A:$N,13,FALSE),0)+IFERROR(VLOOKUP(K58,源_9年终奖表_Sheet1!$A:$E,4,FALSE),0)</f>
        <v>600</v>
      </c>
      <c r="AS58">
        <f>IFERROR(VLOOKUP(K58,源_4奖金汇总表_拆分手工算!$A:$N,14,FALSE),0)+IFERROR(VLOOKUP(K58,源_9年终奖表_Sheet1!$A:$E,5,FALSE),0)</f>
        <v>222</v>
      </c>
      <c r="AT58">
        <f>IFERROR(VLOOKUP(K58,源_5薪资备忘录_工资调整项!$A:$AC,20,FALSE),0)</f>
        <v>0</v>
      </c>
      <c r="AU58">
        <f>IFERROR(VLOOKUP(K58,源_5薪资备忘录_工资调整项!$A:$AC,21,FALSE),0)+IFERROR(VLOOKUP(K58,源_4奖金汇总表_拆分手工算!$A:$N,9,FALSE),0)</f>
        <v>0</v>
      </c>
      <c r="AV58">
        <f>R58/参数!$B$4*(IFERROR(VLOOKUP(K58,源_3考勤报表_考勤表!$F:$BG,37,FALSE),0)+IFERROR(VLOOKUP(K58,源_8补工时表_补当月工时!$A:$AC,15,FALSE),0))</f>
        <v>504.3478260869565</v>
      </c>
      <c r="AW58">
        <f>R58/174*MIN(IFERROR(VLOOKUP(K58,源_3考勤报表_考勤表!$F:$BG,35,FALSE),0),174)*IF(DATEDIF(N58,DATE(参数!$B$2,参数!$B$3+1,0),"Y")&lt;2,0.6,IF(DATEDIF(N58,DATE(参数!$B$2,参数!$B$3+1,0),"Y")&lt;4,0.7,IF(DATEDIF(N58,DATE(参数!$B$2,参数!$B$3+1,0),"Y")&lt;6,0.8,IF(DATEDIF(N58,DATE(参数!$B$2,参数!$B$3+1,0),"Y")&lt;8,0.9,1))))</f>
        <v>0</v>
      </c>
      <c r="AX58">
        <f>IF(Q58+IFERROR(VLOOKUP(K58,源_3考勤报表_考勤表!$F:$BG,37,FALSE),0)+IFERROR(VLOOKUP(K58,源_8补工时表_补当月工时!$A:$AC,15,FALSE),0)&gt;=参数!$B$4,0,IF(Q58+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lt;=参数!$B$4,R58/参数!$B$4*(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0))</f>
        <v>0</v>
      </c>
      <c r="AY58">
        <v>0</v>
      </c>
      <c r="AZ58">
        <v>0</v>
      </c>
      <c r="BA58">
        <v>0</v>
      </c>
      <c r="BB58">
        <v>0</v>
      </c>
      <c r="BC58">
        <f>IFERROR(VLOOKUP(K58,源_5薪资备忘录_工资调整项!$A:$AC,25,FALSE),0)</f>
        <v>0</v>
      </c>
      <c r="BD58">
        <v>0</v>
      </c>
      <c r="BE58">
        <v>0</v>
      </c>
      <c r="BF58">
        <v>0</v>
      </c>
      <c r="BG58">
        <f>IFERROR(VLOOKUP(K58,源_5薪资备忘录_工资调整项!$A:$AC,22,FALSE),0)+IFERROR(VLOOKUP(K58,源_5薪资备忘录_工资调整项!$A:$AC,23,FALSE),0)+IFERROR(VLOOKUP(K58,源_5薪资备忘录_工资调整项!$A:$AC,24,FALSE),0)</f>
        <v>0</v>
      </c>
      <c r="BH58">
        <f>IFERROR(VLOOKUP(DF58,源_6社保表_Sheet1!$C:$CD,80,FALSE),0)+4.5</f>
        <v>6.5</v>
      </c>
      <c r="BI58">
        <f t="shared" si="16"/>
        <v>3726.3478260869565</v>
      </c>
      <c r="BJ58">
        <f>IFERROR(VLOOKUP(DF58,源_6社保表_Sheet1!$C:$BZ,26,FALSE),0)</f>
        <v>358.68</v>
      </c>
      <c r="BK58">
        <f>IFERROR(VLOOKUP(DF58,源_6社保表_Sheet1!$C:$BZ,27,FALSE),0)</f>
        <v>51.24</v>
      </c>
      <c r="BL58">
        <f>IFERROR(VLOOKUP(DF58,源_6社保表_Sheet1!$C:$BZ,28,FALSE),0)</f>
        <v>25.62</v>
      </c>
      <c r="BM58">
        <f>IFERROR(VLOOKUP(DF58,源_6社保表_Sheet1!$C:$BZ,30,FALSE),0)</f>
        <v>139.19999999999999</v>
      </c>
      <c r="BN58">
        <f>IFERROR(VLOOKUP(DF58,源_6社保表_Sheet1!$C:$BZ,29,FALSE),0)</f>
        <v>0</v>
      </c>
      <c r="BO58">
        <f>IFERROR(VLOOKUP(DF58,源_6社保表_Sheet1!$C:$BZ,40,FALSE),0)</f>
        <v>0</v>
      </c>
      <c r="BP58">
        <f>IFERROR(VLOOKUP(DF58,源_6社保表_Sheet1!$C:$BZ,41,FALSE),0)</f>
        <v>0</v>
      </c>
      <c r="BQ58">
        <f>IFERROR(VLOOKUP(DF58,源_6社保表_Sheet1!$C:$BZ,42,FALSE),0)</f>
        <v>0</v>
      </c>
      <c r="BR58">
        <f>IFERROR(VLOOKUP(DF58,源_6社保表_Sheet1!$C:$BZ,44,FALSE),0)</f>
        <v>0</v>
      </c>
      <c r="BS58">
        <f>IFERROR(VLOOKUP(DF58,源_6社保表_Sheet1!$C:$BZ,43,FALSE),0)</f>
        <v>0</v>
      </c>
      <c r="BT58">
        <f t="shared" si="17"/>
        <v>574.74</v>
      </c>
      <c r="BU58">
        <v>0</v>
      </c>
      <c r="BV58">
        <v>0</v>
      </c>
      <c r="BW58">
        <v>0</v>
      </c>
      <c r="BX58">
        <f t="shared" si="18"/>
        <v>0</v>
      </c>
      <c r="BY58">
        <v>0</v>
      </c>
      <c r="BZ58">
        <f>IFERROR(VLOOKUP(DF58,源_6社保表_Sheet1!$C:$BZ,18,FALSE),0)</f>
        <v>768.6</v>
      </c>
      <c r="CA58">
        <f>IFERROR(VLOOKUP(DF58,源_6社保表_Sheet1!$C:$BZ,19,FALSE),0)</f>
        <v>409.92</v>
      </c>
      <c r="CB58">
        <f>IFERROR(VLOOKUP(DF58,源_6社保表_Sheet1!$C:$BZ,24,FALSE),0)</f>
        <v>139.19999999999999</v>
      </c>
      <c r="CC58">
        <f>IFERROR(VLOOKUP(DF58,源_6社保表_Sheet1!$C:$BZ,20,FALSE),0)</f>
        <v>25.62</v>
      </c>
      <c r="CD58">
        <f>IFERROR(VLOOKUP(DF58,源_6社保表_Sheet1!$C:$BZ,21,FALSE),0)</f>
        <v>16.396799999999999</v>
      </c>
      <c r="CE58">
        <f>IFERROR(VLOOKUP(DF58,源_6社保表_Sheet1!$C:$BZ,22,FALSE),0)</f>
        <v>0</v>
      </c>
      <c r="CF58">
        <f>IFERROR(VLOOKUP(DF58,源_6社保表_Sheet1!$C:$BZ,23,FALSE),0)</f>
        <v>0</v>
      </c>
      <c r="CG58">
        <f>IFERROR(VLOOKUP(DF58,源_6社保表_Sheet1!$C:$BZ,32,FALSE),0)</f>
        <v>0</v>
      </c>
      <c r="CH58">
        <f>IFERROR(VLOOKUP(DF58,源_6社保表_Sheet1!$C:$BZ,33,FALSE),0)</f>
        <v>0</v>
      </c>
      <c r="CI58">
        <f>IFERROR(VLOOKUP(DF58,源_6社保表_Sheet1!$C:$BZ,34,FALSE),0)</f>
        <v>0</v>
      </c>
      <c r="CJ58">
        <f>IFERROR(VLOOKUP(DF58,源_6社保表_Sheet1!$C:$BZ,38,FALSE),0)</f>
        <v>0</v>
      </c>
      <c r="CK58">
        <f>IFERROR(VLOOKUP(DF58,源_6社保表_Sheet1!$C:$BZ,35,FALSE),0)</f>
        <v>0</v>
      </c>
      <c r="CL58">
        <f>IFERROR(VLOOKUP(DF58,源_6社保表_Sheet1!$C:$BZ,36,FALSE),0)</f>
        <v>0</v>
      </c>
      <c r="CM58">
        <f>IFERROR(VLOOKUP(DF58,源_6社保表_Sheet1!$C:$BZ,37,FALSE),0)</f>
        <v>0</v>
      </c>
      <c r="CN58">
        <f t="shared" si="19"/>
        <v>1359.7367999999999</v>
      </c>
      <c r="CO58">
        <f t="shared" si="20"/>
        <v>5092.5846260869566</v>
      </c>
      <c r="CP58">
        <f>IF(IFERROR(VLOOKUP(K58,源_13残疾人信息_残疾人信息!$A:$M,1,FALSE),"")&lt;&gt;"",0,IF(OR(P58="门店全职",P58="门店管理组",P58="全职(非门店)"),(BI58-AT58)*IFERROR(VLOOKUP(D58,源_12计提残保金规则_Sheet1!$A:$E,4,FALSE),0)*IFERROR(VLOOKUP(D58,源_12计提残保金规则_Sheet1!$A:$E,5,FALSE),0),0))</f>
        <v>50.30569565217391</v>
      </c>
      <c r="CQ58">
        <f t="shared" si="21"/>
        <v>0</v>
      </c>
      <c r="CR58">
        <f t="shared" si="22"/>
        <v>20.67</v>
      </c>
      <c r="CS58">
        <f>IF(DATEVALUE(N58)&gt;DATE(参数!$B$2,9,30),0,IF(M58="行政",0,IF(O58="",R58/12,IF(MONTH(DATEVALUE(O58))=参数!$B$3,0,IF(DATEVALUE(O58)&lt;DATE(参数!$B$2,参数!$B$3,1),0,R58/12)))))</f>
        <v>0</v>
      </c>
      <c r="CT58">
        <f t="shared" si="23"/>
        <v>0</v>
      </c>
      <c r="CU58">
        <f>IFERROR(VLOOKUP(DF58,源_6社保表_Sheet1!$C:$I,2,FALSE),0)</f>
        <v>5124</v>
      </c>
      <c r="CV58">
        <f>IFERROR(VLOOKUP(DF58,源_6社保表_Sheet1!$C:$I,7,FALSE),0)</f>
        <v>2320</v>
      </c>
      <c r="CW58">
        <f>IFERROR(VLOOKUP(DF58,源_6社保表_Sheet1!$C:$I,3,FALSE),0)</f>
        <v>5124</v>
      </c>
      <c r="CX58">
        <f>IFERROR(VLOOKUP(DF58,源_6社保表_Sheet1!$C:$I,4,FALSE),0)</f>
        <v>5124</v>
      </c>
      <c r="CY58">
        <f>IFERROR(VLOOKUP(DF58,源_6社保表_Sheet1!$C:$I,5,FALSE),0)</f>
        <v>5124</v>
      </c>
      <c r="CZ58">
        <f>IFERROR(VLOOKUP(DF58,源_6社保表_Sheet1!$C:$I,6,FALSE),0)</f>
        <v>0</v>
      </c>
      <c r="DA58">
        <f t="shared" si="24"/>
        <v>1864.0846260869566</v>
      </c>
      <c r="DB58">
        <f t="shared" si="25"/>
        <v>1941.5603217391306</v>
      </c>
      <c r="DC58" t="str">
        <f>IFERROR(VLOOKUP(K58,源_7银行卡表_Sheet1!$A:$J,8,FALSE),"")</f>
        <v>招商银行</v>
      </c>
      <c r="DD58" t="str">
        <f>IFERROR(VLOOKUP(K58,源_7银行卡表_Sheet1!$A:$J,9,FALSE),"")</f>
        <v>6287148987617240934</v>
      </c>
      <c r="DE58" t="str">
        <f>IFERROR(VLOOKUP(K58,源_7银行卡表_Sheet1!$A:$J,10,FALSE),"")</f>
        <v>大望路支行</v>
      </c>
      <c r="DF58" t="s">
        <v>391</v>
      </c>
      <c r="DG58">
        <v>14676473043</v>
      </c>
      <c r="DH58" t="s">
        <v>166</v>
      </c>
      <c r="DI58">
        <v>0</v>
      </c>
      <c r="DJ58">
        <v>0</v>
      </c>
      <c r="DK58">
        <v>0</v>
      </c>
      <c r="DL58">
        <v>0</v>
      </c>
      <c r="DM58">
        <v>0</v>
      </c>
      <c r="DN58">
        <v>0</v>
      </c>
      <c r="DO58">
        <v>0</v>
      </c>
      <c r="DP58">
        <v>0</v>
      </c>
      <c r="DQ58">
        <v>0</v>
      </c>
      <c r="DR58">
        <f>IF(OR(IFERROR(VLOOKUP(K58,源_3考勤报表_考勤表!$F:$BG,39,FALSE),0)+IFERROR(VLOOKUP(K58,源_8补工时表_补当月工时!$A:$AC,24,FALSE),0)=0,IFERROR(VLOOKUP(K58,源_3考勤报表_考勤表!$F:$BG,43,FALSE),0)+IFERROR(VLOOKUP(K58,源_8补工时表_补当月工时!$A:$AC,26,FALSE),0)=0),IF(BI58+BG58-BT58&lt;0,BI58+BG58-BT58,0),0)</f>
        <v>0</v>
      </c>
    </row>
    <row r="59" spans="1:122" x14ac:dyDescent="0.15">
      <c r="A59">
        <f>参数!$B$2</f>
        <v>2025</v>
      </c>
      <c r="B59">
        <f>参数!$B$3</f>
        <v>12</v>
      </c>
      <c r="D59" t="s">
        <v>165</v>
      </c>
      <c r="E59" t="s">
        <v>123</v>
      </c>
      <c r="F59" t="str">
        <f>IFERROR(VLOOKUP(K59,源_7银行卡表_Sheet1!$A:$J,6,FALSE),"")</f>
        <v>华北营运</v>
      </c>
      <c r="G59" t="s">
        <v>166</v>
      </c>
      <c r="H59" t="s">
        <v>389</v>
      </c>
      <c r="I59" t="s">
        <v>168</v>
      </c>
      <c r="J59">
        <v>1</v>
      </c>
      <c r="K59">
        <v>26123058</v>
      </c>
      <c r="L59" t="s">
        <v>392</v>
      </c>
      <c r="M59" t="s">
        <v>377</v>
      </c>
      <c r="N59" t="s">
        <v>378</v>
      </c>
      <c r="P59" t="s">
        <v>154</v>
      </c>
      <c r="Q59">
        <f>IF(P59="门店全职",IFERROR(VLOOKUP(K59,源_3考勤报表_考勤表!$F:$BG,34,FALSE),0)+IFERROR(VLOOKUP(K59,源_8补工时表_补当月工时!$A:$AC,14,FALSE),0),IF(P59="门店管理组",IF(IFERROR(VLOOKUP(K59,源_3考勤报表_考勤表!$F:$BG,34,FALSE),0)+IFERROR(VLOOKUP(K59,源_8补工时表_补当月工时!$A:$AC,14,FALSE),0)+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44,FALSE),0)+IFERROR(VLOOKUP(K59,源_8补工时表_补当月工时!$A:$AC,16,FALSE),0)+IFERROR(VLOOKUP(K59,源_3考勤报表_考勤表!$F:$BG,45,FALSE),0)&gt;=参数!$B$4,参数!$B$4-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44,FALSE),0)-IFERROR(VLOOKUP(K59,源_8补工时表_补当月工时!$A:$AC,16,FALSE),0)-IFERROR(VLOOKUP(K59,源_3考勤报表_考勤表!$F:$BG,45,FALSE),0),IFERROR(VLOOKUP(K59,源_3考勤报表_考勤表!$F:$BG,34,FALSE),0)+IFERROR(VLOOKUP(K59,源_8补工时表_补当月工时!$A:$AC,14,FALSE),0)),0))</f>
        <v>184</v>
      </c>
      <c r="R59">
        <v>2320</v>
      </c>
      <c r="S59">
        <v>0</v>
      </c>
      <c r="T59">
        <f>IF(P59="门店全职",R59/参数!$B$4*(Q59-MAX(IFERROR(VLOOKUP(K59,源_3考勤报表_考勤表!$F:$BG,34,FALSE),0)+IFERROR(VLOOKUP(K59,源_8补工时表_补当月工时!$A:$AC,14,FALSE),0)+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参数!$B$4,0)),R59/参数!$B$4*Q59)</f>
        <v>2320</v>
      </c>
      <c r="U59">
        <v>0</v>
      </c>
      <c r="V59">
        <v>0</v>
      </c>
      <c r="W59">
        <f t="shared" si="13"/>
        <v>200</v>
      </c>
      <c r="X59">
        <f>IFERROR(VLOOKUP(K59,源_4奖金汇总表_拆分手工算!$A:$N,8,FALSE),0)</f>
        <v>0</v>
      </c>
      <c r="Y59">
        <f>IFERROR(VLOOKUP(K59,源_5薪资备忘录_工资调整项!$A:$AC,14,FALSE),0)</f>
        <v>200</v>
      </c>
      <c r="Z59">
        <f>IFERROR(VLOOKUP(K59,源_5薪资备忘录_工资调整项!$A:$AC,16,FALSE),0)</f>
        <v>0</v>
      </c>
      <c r="AA59">
        <f>IFERROR(VLOOKUP(K59,源_5薪资备忘录_工资调整项!$A:$AC,15,FALSE),0)</f>
        <v>0</v>
      </c>
      <c r="AB59">
        <f t="shared" si="14"/>
        <v>0</v>
      </c>
      <c r="AC59">
        <f>IF(P59="门店全职",R59/174*MAX(IFERROR(VLOOKUP(K59,源_3考勤报表_考勤表!$F:$BG,34,FALSE),0)+IFERROR(VLOOKUP(K59,源_8补工时表_补当月工时!$A:$AC,14,FALSE),0)+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参数!$B$4,0)*1.5,0)</f>
        <v>0</v>
      </c>
      <c r="AD59">
        <v>0</v>
      </c>
      <c r="AE59">
        <f>IFERROR(VLOOKUP(K59,源_3考勤报表_考勤表!$F:$BG,46,FALSE),0)+IFERROR(VLOOKUP(K59,源_8补工时表_补当月工时!$A:$AC,25,FALSE),0)</f>
        <v>0</v>
      </c>
      <c r="AF59">
        <f t="shared" si="15"/>
        <v>0</v>
      </c>
      <c r="AG59">
        <f>IFERROR(VLOOKUP(K59,源_4奖金汇总表_拆分手工算!$A:$N,10,FALSE),0)</f>
        <v>96</v>
      </c>
      <c r="AH59">
        <f>IFERROR(VLOOKUP(K59,源_4奖金汇总表_拆分手工算!$A:$N,5,FALSE),0)</f>
        <v>0</v>
      </c>
      <c r="AI59">
        <f>IFERROR(VLOOKUP(K59,源_4奖金汇总表_拆分手工算!$A:$N,11,FALSE),0)</f>
        <v>0</v>
      </c>
      <c r="AJ59">
        <f>IFERROR(VLOOKUP(K59,源_4奖金汇总表_拆分手工算!$A:$N,4,FALSE),0)</f>
        <v>0</v>
      </c>
      <c r="AK59">
        <f>IFERROR(VLOOKUP(K59,源_4奖金汇总表_拆分手工算!$A:$N,3,FALSE),0)</f>
        <v>0</v>
      </c>
      <c r="AL59">
        <f>IFERROR(VLOOKUP(K59,源_4奖金汇总表_拆分手工算!$A:$N,6,FALSE),0)</f>
        <v>0</v>
      </c>
      <c r="AM59">
        <f>IFERROR(VLOOKUP(K59,源_5薪资备忘录_工资调整项!$A:$AC,18,FALSE),0)+IFERROR(VLOOKUP(K59,源_4奖金汇总表_拆分手工算!$A:$N,7,FALSE),0)</f>
        <v>0</v>
      </c>
      <c r="AN59">
        <f>IFERROR(VLOOKUP(K59,源_5薪资备忘录_工资调整项!$A:$AC,17,FALSE),0)</f>
        <v>0</v>
      </c>
      <c r="AO59">
        <f>IF(OR(IFERROR(VLOOKUP(K59,源_3考勤报表_考勤表!$F:$BG,39,FALSE),0)+IFERROR(VLOOKUP(K59,源_8补工时表_补当月工时!$A:$AC,24,FALSE),0)&gt;0,IFERROR(VLOOKUP(K59,源_3考勤报表_考勤表!$F:$BG,43,FALSE),0)+IFERROR(VLOOKUP(K59,源_8补工时表_补当月工时!$A:$AC,26,FALSE),0)&gt;0),IF(IFERROR(VLOOKUP(DH59,源_11产假政策_Sheet1!$C:$F,4,FALSE),"")="是",R59/参数!$B$4*(IFERROR(VLOOKUP(K59,源_3考勤报表_考勤表!$F:$BG,39,FALSE),0)+IFERROR(VLOOKUP(K59,源_8补工时表_补当月工时!$A:$AC,24,FALSE),0)+IFERROR(VLOOKUP(K59,源_3考勤报表_考勤表!$F:$BG,43,FALSE),0)+IFERROR(VLOOKUP(K59,源_8补工时表_补当月工时!$A:$AC,26,FALSE),0)),IFERROR(VLOOKUP(K59,源_5薪资备忘录_工资调整项!$A:$AC,19,FALSE),0)),0)</f>
        <v>0</v>
      </c>
      <c r="AP59">
        <v>0</v>
      </c>
      <c r="AQ59">
        <f>IFERROR(VLOOKUP(K59,源_4奖金汇总表_拆分手工算!$A:$N,12,FALSE),0)+IFERROR(VLOOKUP(K59,源_9年终奖表_Sheet1!$A:$E,3,FALSE),0)</f>
        <v>0</v>
      </c>
      <c r="AR59">
        <f>IFERROR(VLOOKUP(K59,源_4奖金汇总表_拆分手工算!$A:$N,13,FALSE),0)+IFERROR(VLOOKUP(K59,源_9年终奖表_Sheet1!$A:$E,4,FALSE),0)</f>
        <v>0</v>
      </c>
      <c r="AS59">
        <f>IFERROR(VLOOKUP(K59,源_4奖金汇总表_拆分手工算!$A:$N,14,FALSE),0)+IFERROR(VLOOKUP(K59,源_9年终奖表_Sheet1!$A:$E,5,FALSE),0)</f>
        <v>0</v>
      </c>
      <c r="AT59">
        <f>IFERROR(VLOOKUP(K59,源_5薪资备忘录_工资调整项!$A:$AC,20,FALSE),0)</f>
        <v>0</v>
      </c>
      <c r="AU59">
        <f>IFERROR(VLOOKUP(K59,源_5薪资备忘录_工资调整项!$A:$AC,21,FALSE),0)+IFERROR(VLOOKUP(K59,源_4奖金汇总表_拆分手工算!$A:$N,9,FALSE),0)</f>
        <v>0</v>
      </c>
      <c r="AV59">
        <f>R59/参数!$B$4*(IFERROR(VLOOKUP(K59,源_3考勤报表_考勤表!$F:$BG,37,FALSE),0)+IFERROR(VLOOKUP(K59,源_8补工时表_补当月工时!$A:$AC,15,FALSE),0))</f>
        <v>0</v>
      </c>
      <c r="AW59">
        <f>R59/174*MIN(IFERROR(VLOOKUP(K59,源_3考勤报表_考勤表!$F:$BG,35,FALSE),0),174)*IF(DATEDIF(N59,DATE(参数!$B$2,参数!$B$3+1,0),"Y")&lt;2,0.6,IF(DATEDIF(N59,DATE(参数!$B$2,参数!$B$3+1,0),"Y")&lt;4,0.7,IF(DATEDIF(N59,DATE(参数!$B$2,参数!$B$3+1,0),"Y")&lt;6,0.8,IF(DATEDIF(N59,DATE(参数!$B$2,参数!$B$3+1,0),"Y")&lt;8,0.9,1))))</f>
        <v>0</v>
      </c>
      <c r="AX59">
        <f>IF(Q59+IFERROR(VLOOKUP(K59,源_3考勤报表_考勤表!$F:$BG,37,FALSE),0)+IFERROR(VLOOKUP(K59,源_8补工时表_补当月工时!$A:$AC,15,FALSE),0)&gt;=参数!$B$4,0,IF(Q59+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lt;=参数!$B$4,R59/参数!$B$4*(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0))</f>
        <v>0</v>
      </c>
      <c r="AY59">
        <v>0</v>
      </c>
      <c r="AZ59">
        <v>0</v>
      </c>
      <c r="BA59">
        <v>0</v>
      </c>
      <c r="BB59">
        <v>0</v>
      </c>
      <c r="BC59">
        <f>IFERROR(VLOOKUP(K59,源_5薪资备忘录_工资调整项!$A:$AC,25,FALSE),0)</f>
        <v>0</v>
      </c>
      <c r="BD59">
        <v>0</v>
      </c>
      <c r="BE59">
        <v>0</v>
      </c>
      <c r="BF59">
        <v>0</v>
      </c>
      <c r="BG59">
        <f>IFERROR(VLOOKUP(K59,源_5薪资备忘录_工资调整项!$A:$AC,22,FALSE),0)+IFERROR(VLOOKUP(K59,源_5薪资备忘录_工资调整项!$A:$AC,23,FALSE),0)+IFERROR(VLOOKUP(K59,源_5薪资备忘录_工资调整项!$A:$AC,24,FALSE),0)</f>
        <v>0</v>
      </c>
      <c r="BH59">
        <f>IFERROR(VLOOKUP(DF59,源_6社保表_Sheet1!$C:$CD,80,FALSE),0)+4.5</f>
        <v>6.5</v>
      </c>
      <c r="BI59">
        <f t="shared" si="16"/>
        <v>2616</v>
      </c>
      <c r="BJ59">
        <f>IFERROR(VLOOKUP(DF59,源_6社保表_Sheet1!$C:$BZ,26,FALSE),0)</f>
        <v>358.68</v>
      </c>
      <c r="BK59">
        <f>IFERROR(VLOOKUP(DF59,源_6社保表_Sheet1!$C:$BZ,27,FALSE),0)</f>
        <v>51.24</v>
      </c>
      <c r="BL59">
        <f>IFERROR(VLOOKUP(DF59,源_6社保表_Sheet1!$C:$BZ,28,FALSE),0)</f>
        <v>25.62</v>
      </c>
      <c r="BM59">
        <f>IFERROR(VLOOKUP(DF59,源_6社保表_Sheet1!$C:$BZ,30,FALSE),0)</f>
        <v>139.19999999999999</v>
      </c>
      <c r="BN59">
        <f>IFERROR(VLOOKUP(DF59,源_6社保表_Sheet1!$C:$BZ,29,FALSE),0)</f>
        <v>0</v>
      </c>
      <c r="BO59">
        <f>IFERROR(VLOOKUP(DF59,源_6社保表_Sheet1!$C:$BZ,40,FALSE),0)</f>
        <v>0</v>
      </c>
      <c r="BP59">
        <f>IFERROR(VLOOKUP(DF59,源_6社保表_Sheet1!$C:$BZ,41,FALSE),0)</f>
        <v>0</v>
      </c>
      <c r="BQ59">
        <f>IFERROR(VLOOKUP(DF59,源_6社保表_Sheet1!$C:$BZ,42,FALSE),0)</f>
        <v>0</v>
      </c>
      <c r="BR59">
        <f>IFERROR(VLOOKUP(DF59,源_6社保表_Sheet1!$C:$BZ,44,FALSE),0)</f>
        <v>0</v>
      </c>
      <c r="BS59">
        <f>IFERROR(VLOOKUP(DF59,源_6社保表_Sheet1!$C:$BZ,43,FALSE),0)</f>
        <v>0</v>
      </c>
      <c r="BT59">
        <f t="shared" si="17"/>
        <v>574.74</v>
      </c>
      <c r="BU59">
        <v>0</v>
      </c>
      <c r="BV59">
        <v>0</v>
      </c>
      <c r="BW59">
        <v>0</v>
      </c>
      <c r="BX59">
        <f t="shared" si="18"/>
        <v>0</v>
      </c>
      <c r="BY59">
        <v>0</v>
      </c>
      <c r="BZ59">
        <f>IFERROR(VLOOKUP(DF59,源_6社保表_Sheet1!$C:$BZ,18,FALSE),0)</f>
        <v>768.6</v>
      </c>
      <c r="CA59">
        <f>IFERROR(VLOOKUP(DF59,源_6社保表_Sheet1!$C:$BZ,19,FALSE),0)</f>
        <v>409.92</v>
      </c>
      <c r="CB59">
        <f>IFERROR(VLOOKUP(DF59,源_6社保表_Sheet1!$C:$BZ,24,FALSE),0)</f>
        <v>139.19999999999999</v>
      </c>
      <c r="CC59">
        <f>IFERROR(VLOOKUP(DF59,源_6社保表_Sheet1!$C:$BZ,20,FALSE),0)</f>
        <v>25.62</v>
      </c>
      <c r="CD59">
        <f>IFERROR(VLOOKUP(DF59,源_6社保表_Sheet1!$C:$BZ,21,FALSE),0)</f>
        <v>16.396799999999999</v>
      </c>
      <c r="CE59">
        <f>IFERROR(VLOOKUP(DF59,源_6社保表_Sheet1!$C:$BZ,22,FALSE),0)</f>
        <v>0</v>
      </c>
      <c r="CF59">
        <f>IFERROR(VLOOKUP(DF59,源_6社保表_Sheet1!$C:$BZ,23,FALSE),0)</f>
        <v>0</v>
      </c>
      <c r="CG59">
        <f>IFERROR(VLOOKUP(DF59,源_6社保表_Sheet1!$C:$BZ,32,FALSE),0)</f>
        <v>0</v>
      </c>
      <c r="CH59">
        <f>IFERROR(VLOOKUP(DF59,源_6社保表_Sheet1!$C:$BZ,33,FALSE),0)</f>
        <v>0</v>
      </c>
      <c r="CI59">
        <f>IFERROR(VLOOKUP(DF59,源_6社保表_Sheet1!$C:$BZ,34,FALSE),0)</f>
        <v>0</v>
      </c>
      <c r="CJ59">
        <f>IFERROR(VLOOKUP(DF59,源_6社保表_Sheet1!$C:$BZ,38,FALSE),0)</f>
        <v>0</v>
      </c>
      <c r="CK59">
        <f>IFERROR(VLOOKUP(DF59,源_6社保表_Sheet1!$C:$BZ,35,FALSE),0)</f>
        <v>0</v>
      </c>
      <c r="CL59">
        <f>IFERROR(VLOOKUP(DF59,源_6社保表_Sheet1!$C:$BZ,36,FALSE),0)</f>
        <v>0</v>
      </c>
      <c r="CM59">
        <f>IFERROR(VLOOKUP(DF59,源_6社保表_Sheet1!$C:$BZ,37,FALSE),0)</f>
        <v>0</v>
      </c>
      <c r="CN59">
        <f t="shared" si="19"/>
        <v>1359.7367999999999</v>
      </c>
      <c r="CO59">
        <f t="shared" si="20"/>
        <v>3982.2367999999997</v>
      </c>
      <c r="CP59">
        <f>IF(IFERROR(VLOOKUP(K59,源_13残疾人信息_残疾人信息!$A:$M,1,FALSE),"")&lt;&gt;"",0,IF(OR(P59="门店全职",P59="门店管理组",P59="全职(非门店)"),(BI59-AT59)*IFERROR(VLOOKUP(D59,源_12计提残保金规则_Sheet1!$A:$E,4,FALSE),0)*IFERROR(VLOOKUP(D59,源_12计提残保金规则_Sheet1!$A:$E,5,FALSE),0),0))</f>
        <v>35.316000000000003</v>
      </c>
      <c r="CQ59">
        <f t="shared" si="21"/>
        <v>0</v>
      </c>
      <c r="CR59">
        <f t="shared" si="22"/>
        <v>20.67</v>
      </c>
      <c r="CS59">
        <f>IF(DATEVALUE(N59)&gt;DATE(参数!$B$2,9,30),0,IF(M59="行政",0,IF(O59="",R59/12,IF(MONTH(DATEVALUE(O59))=参数!$B$3,0,IF(DATEVALUE(O59)&lt;DATE(参数!$B$2,参数!$B$3,1),0,R59/12)))))</f>
        <v>0</v>
      </c>
      <c r="CT59">
        <f t="shared" si="23"/>
        <v>0</v>
      </c>
      <c r="CU59">
        <f>IFERROR(VLOOKUP(DF59,源_6社保表_Sheet1!$C:$I,2,FALSE),0)</f>
        <v>5124</v>
      </c>
      <c r="CV59">
        <f>IFERROR(VLOOKUP(DF59,源_6社保表_Sheet1!$C:$I,7,FALSE),0)</f>
        <v>2320</v>
      </c>
      <c r="CW59">
        <f>IFERROR(VLOOKUP(DF59,源_6社保表_Sheet1!$C:$I,3,FALSE),0)</f>
        <v>5124</v>
      </c>
      <c r="CX59">
        <f>IFERROR(VLOOKUP(DF59,源_6社保表_Sheet1!$C:$I,4,FALSE),0)</f>
        <v>5124</v>
      </c>
      <c r="CY59">
        <f>IFERROR(VLOOKUP(DF59,源_6社保表_Sheet1!$C:$I,5,FALSE),0)</f>
        <v>5124</v>
      </c>
      <c r="CZ59">
        <f>IFERROR(VLOOKUP(DF59,源_6社保表_Sheet1!$C:$I,6,FALSE),0)</f>
        <v>0</v>
      </c>
      <c r="DA59">
        <f t="shared" si="24"/>
        <v>3879.7367999999997</v>
      </c>
      <c r="DB59">
        <f t="shared" si="25"/>
        <v>3942.2227999999996</v>
      </c>
      <c r="DC59" t="str">
        <f>IFERROR(VLOOKUP(K59,源_7银行卡表_Sheet1!$A:$J,8,FALSE),"")</f>
        <v>招商银行</v>
      </c>
      <c r="DD59" t="str">
        <f>IFERROR(VLOOKUP(K59,源_7银行卡表_Sheet1!$A:$J,9,FALSE),"")</f>
        <v>6283444300839317270</v>
      </c>
      <c r="DE59" t="str">
        <f>IFERROR(VLOOKUP(K59,源_7银行卡表_Sheet1!$A:$J,10,FALSE),"")</f>
        <v>北京招商银行回龙观支行</v>
      </c>
      <c r="DF59" t="s">
        <v>393</v>
      </c>
      <c r="DG59">
        <v>17618691448</v>
      </c>
      <c r="DH59" t="s">
        <v>166</v>
      </c>
      <c r="DI59">
        <v>0</v>
      </c>
      <c r="DJ59">
        <v>0</v>
      </c>
      <c r="DK59">
        <v>0</v>
      </c>
      <c r="DL59">
        <v>0</v>
      </c>
      <c r="DM59">
        <v>0</v>
      </c>
      <c r="DN59">
        <v>0</v>
      </c>
      <c r="DO59">
        <v>0</v>
      </c>
      <c r="DP59">
        <v>0</v>
      </c>
      <c r="DQ59">
        <v>0</v>
      </c>
      <c r="DR59">
        <f>IF(OR(IFERROR(VLOOKUP(K59,源_3考勤报表_考勤表!$F:$BG,39,FALSE),0)+IFERROR(VLOOKUP(K59,源_8补工时表_补当月工时!$A:$AC,24,FALSE),0)=0,IFERROR(VLOOKUP(K59,源_3考勤报表_考勤表!$F:$BG,43,FALSE),0)+IFERROR(VLOOKUP(K59,源_8补工时表_补当月工时!$A:$AC,26,FALSE),0)=0),IF(BI59+BG59-BT59&lt;0,BI59+BG59-BT59,0),0)</f>
        <v>0</v>
      </c>
    </row>
    <row r="60" spans="1:122" x14ac:dyDescent="0.15">
      <c r="A60">
        <f>参数!$B$2</f>
        <v>2025</v>
      </c>
      <c r="B60">
        <f>参数!$B$3</f>
        <v>12</v>
      </c>
      <c r="D60" t="s">
        <v>165</v>
      </c>
      <c r="E60" t="s">
        <v>123</v>
      </c>
      <c r="F60" t="str">
        <f>IFERROR(VLOOKUP(K60,源_7银行卡表_Sheet1!$A:$J,6,FALSE),"")</f>
        <v>华北营运</v>
      </c>
      <c r="G60" t="s">
        <v>166</v>
      </c>
      <c r="H60" t="s">
        <v>389</v>
      </c>
      <c r="I60" t="s">
        <v>168</v>
      </c>
      <c r="J60">
        <v>1</v>
      </c>
      <c r="K60">
        <v>26123059</v>
      </c>
      <c r="L60" t="s">
        <v>394</v>
      </c>
      <c r="M60" t="s">
        <v>377</v>
      </c>
      <c r="N60" t="s">
        <v>378</v>
      </c>
      <c r="P60" t="s">
        <v>154</v>
      </c>
      <c r="Q60">
        <f>IF(P60="门店全职",IFERROR(VLOOKUP(K60,源_3考勤报表_考勤表!$F:$BG,34,FALSE),0)+IFERROR(VLOOKUP(K60,源_8补工时表_补当月工时!$A:$AC,14,FALSE),0),IF(P60="门店管理组",IF(IFERROR(VLOOKUP(K60,源_3考勤报表_考勤表!$F:$BG,34,FALSE),0)+IFERROR(VLOOKUP(K60,源_8补工时表_补当月工时!$A:$AC,14,FALSE),0)+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44,FALSE),0)+IFERROR(VLOOKUP(K60,源_8补工时表_补当月工时!$A:$AC,16,FALSE),0)+IFERROR(VLOOKUP(K60,源_3考勤报表_考勤表!$F:$BG,45,FALSE),0)&gt;=参数!$B$4,参数!$B$4-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44,FALSE),0)-IFERROR(VLOOKUP(K60,源_8补工时表_补当月工时!$A:$AC,16,FALSE),0)-IFERROR(VLOOKUP(K60,源_3考勤报表_考勤表!$F:$BG,45,FALSE),0),IFERROR(VLOOKUP(K60,源_3考勤报表_考勤表!$F:$BG,34,FALSE),0)+IFERROR(VLOOKUP(K60,源_8补工时表_补当月工时!$A:$AC,14,FALSE),0)),0))</f>
        <v>160</v>
      </c>
      <c r="R60">
        <v>2320</v>
      </c>
      <c r="S60">
        <v>0</v>
      </c>
      <c r="T60">
        <f>IF(P60="门店全职",R60/参数!$B$4*(Q60-MAX(IFERROR(VLOOKUP(K60,源_3考勤报表_考勤表!$F:$BG,34,FALSE),0)+IFERROR(VLOOKUP(K60,源_8补工时表_补当月工时!$A:$AC,14,FALSE),0)+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参数!$B$4,0)),R60/参数!$B$4*Q60)</f>
        <v>2004.782608695652</v>
      </c>
      <c r="U60">
        <v>0</v>
      </c>
      <c r="V60">
        <v>0</v>
      </c>
      <c r="W60">
        <f t="shared" si="13"/>
        <v>0</v>
      </c>
      <c r="X60">
        <f>IFERROR(VLOOKUP(K60,源_4奖金汇总表_拆分手工算!$A:$N,8,FALSE),0)</f>
        <v>0</v>
      </c>
      <c r="Y60">
        <f>IFERROR(VLOOKUP(K60,源_5薪资备忘录_工资调整项!$A:$AC,14,FALSE),0)</f>
        <v>0</v>
      </c>
      <c r="Z60">
        <f>IFERROR(VLOOKUP(K60,源_5薪资备忘录_工资调整项!$A:$AC,16,FALSE),0)</f>
        <v>0</v>
      </c>
      <c r="AA60">
        <f>IFERROR(VLOOKUP(K60,源_5薪资备忘录_工资调整项!$A:$AC,15,FALSE),0)</f>
        <v>0</v>
      </c>
      <c r="AB60">
        <f t="shared" si="14"/>
        <v>20</v>
      </c>
      <c r="AC60">
        <f>IF(P60="门店全职",R60/174*MAX(IFERROR(VLOOKUP(K60,源_3考勤报表_考勤表!$F:$BG,34,FALSE),0)+IFERROR(VLOOKUP(K60,源_8补工时表_补当月工时!$A:$AC,14,FALSE),0)+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参数!$B$4,0)*1.5,0)</f>
        <v>20</v>
      </c>
      <c r="AD60">
        <v>0</v>
      </c>
      <c r="AE60">
        <f>IFERROR(VLOOKUP(K60,源_3考勤报表_考勤表!$F:$BG,46,FALSE),0)+IFERROR(VLOOKUP(K60,源_8补工时表_补当月工时!$A:$AC,25,FALSE),0)</f>
        <v>0</v>
      </c>
      <c r="AF60">
        <f t="shared" si="15"/>
        <v>0</v>
      </c>
      <c r="AG60">
        <f>IFERROR(VLOOKUP(K60,源_4奖金汇总表_拆分手工算!$A:$N,10,FALSE),0)</f>
        <v>9</v>
      </c>
      <c r="AH60">
        <f>IFERROR(VLOOKUP(K60,源_4奖金汇总表_拆分手工算!$A:$N,5,FALSE),0)</f>
        <v>0</v>
      </c>
      <c r="AI60">
        <f>IFERROR(VLOOKUP(K60,源_4奖金汇总表_拆分手工算!$A:$N,11,FALSE),0)</f>
        <v>0</v>
      </c>
      <c r="AJ60">
        <f>IFERROR(VLOOKUP(K60,源_4奖金汇总表_拆分手工算!$A:$N,4,FALSE),0)</f>
        <v>0</v>
      </c>
      <c r="AK60">
        <f>IFERROR(VLOOKUP(K60,源_4奖金汇总表_拆分手工算!$A:$N,3,FALSE),0)</f>
        <v>0</v>
      </c>
      <c r="AL60">
        <f>IFERROR(VLOOKUP(K60,源_4奖金汇总表_拆分手工算!$A:$N,6,FALSE),0)</f>
        <v>0</v>
      </c>
      <c r="AM60">
        <f>IFERROR(VLOOKUP(K60,源_5薪资备忘录_工资调整项!$A:$AC,18,FALSE),0)+IFERROR(VLOOKUP(K60,源_4奖金汇总表_拆分手工算!$A:$N,7,FALSE),0)</f>
        <v>666</v>
      </c>
      <c r="AN60">
        <f>IFERROR(VLOOKUP(K60,源_5薪资备忘录_工资调整项!$A:$AC,17,FALSE),0)</f>
        <v>0</v>
      </c>
      <c r="AO60">
        <f>IF(OR(IFERROR(VLOOKUP(K60,源_3考勤报表_考勤表!$F:$BG,39,FALSE),0)+IFERROR(VLOOKUP(K60,源_8补工时表_补当月工时!$A:$AC,24,FALSE),0)&gt;0,IFERROR(VLOOKUP(K60,源_3考勤报表_考勤表!$F:$BG,43,FALSE),0)+IFERROR(VLOOKUP(K60,源_8补工时表_补当月工时!$A:$AC,26,FALSE),0)&gt;0),IF(IFERROR(VLOOKUP(DH60,源_11产假政策_Sheet1!$C:$F,4,FALSE),"")="是",R60/参数!$B$4*(IFERROR(VLOOKUP(K60,源_3考勤报表_考勤表!$F:$BG,39,FALSE),0)+IFERROR(VLOOKUP(K60,源_8补工时表_补当月工时!$A:$AC,24,FALSE),0)+IFERROR(VLOOKUP(K60,源_3考勤报表_考勤表!$F:$BG,43,FALSE),0)+IFERROR(VLOOKUP(K60,源_8补工时表_补当月工时!$A:$AC,26,FALSE),0)),IFERROR(VLOOKUP(K60,源_5薪资备忘录_工资调整项!$A:$AC,19,FALSE),0)),0)</f>
        <v>0</v>
      </c>
      <c r="AP60">
        <v>0</v>
      </c>
      <c r="AQ60">
        <f>IFERROR(VLOOKUP(K60,源_4奖金汇总表_拆分手工算!$A:$N,12,FALSE),0)+IFERROR(VLOOKUP(K60,源_9年终奖表_Sheet1!$A:$E,3,FALSE),0)</f>
        <v>0</v>
      </c>
      <c r="AR60">
        <f>IFERROR(VLOOKUP(K60,源_4奖金汇总表_拆分手工算!$A:$N,13,FALSE),0)+IFERROR(VLOOKUP(K60,源_9年终奖表_Sheet1!$A:$E,4,FALSE),0)</f>
        <v>0</v>
      </c>
      <c r="AS60">
        <f>IFERROR(VLOOKUP(K60,源_4奖金汇总表_拆分手工算!$A:$N,14,FALSE),0)+IFERROR(VLOOKUP(K60,源_9年终奖表_Sheet1!$A:$E,5,FALSE),0)</f>
        <v>0</v>
      </c>
      <c r="AT60">
        <f>IFERROR(VLOOKUP(K60,源_5薪资备忘录_工资调整项!$A:$AC,20,FALSE),0)</f>
        <v>0</v>
      </c>
      <c r="AU60">
        <f>IFERROR(VLOOKUP(K60,源_5薪资备忘录_工资调整项!$A:$AC,21,FALSE),0)+IFERROR(VLOOKUP(K60,源_4奖金汇总表_拆分手工算!$A:$N,9,FALSE),0)</f>
        <v>0</v>
      </c>
      <c r="AV60">
        <f>R60/参数!$B$4*(IFERROR(VLOOKUP(K60,源_3考勤报表_考勤表!$F:$BG,37,FALSE),0)+IFERROR(VLOOKUP(K60,源_8补工时表_补当月工时!$A:$AC,15,FALSE),0))</f>
        <v>302.60869565217388</v>
      </c>
      <c r="AW60">
        <f>R60/174*MIN(IFERROR(VLOOKUP(K60,源_3考勤报表_考勤表!$F:$BG,35,FALSE),0),174)*IF(DATEDIF(N60,DATE(参数!$B$2,参数!$B$3+1,0),"Y")&lt;2,0.6,IF(DATEDIF(N60,DATE(参数!$B$2,参数!$B$3+1,0),"Y")&lt;4,0.7,IF(DATEDIF(N60,DATE(参数!$B$2,参数!$B$3+1,0),"Y")&lt;6,0.8,IF(DATEDIF(N60,DATE(参数!$B$2,参数!$B$3+1,0),"Y")&lt;8,0.9,1))))</f>
        <v>0</v>
      </c>
      <c r="AX60">
        <f>IF(Q60+IFERROR(VLOOKUP(K60,源_3考勤报表_考勤表!$F:$BG,37,FALSE),0)+IFERROR(VLOOKUP(K60,源_8补工时表_补当月工时!$A:$AC,15,FALSE),0)&gt;=参数!$B$4,0,IF(Q60+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lt;=参数!$B$4,R60/参数!$B$4*(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0))</f>
        <v>0</v>
      </c>
      <c r="AY60">
        <v>0</v>
      </c>
      <c r="AZ60">
        <v>0</v>
      </c>
      <c r="BA60">
        <v>0</v>
      </c>
      <c r="BB60">
        <v>0</v>
      </c>
      <c r="BC60">
        <f>IFERROR(VLOOKUP(K60,源_5薪资备忘录_工资调整项!$A:$AC,25,FALSE),0)</f>
        <v>0</v>
      </c>
      <c r="BD60">
        <v>0</v>
      </c>
      <c r="BE60">
        <v>0</v>
      </c>
      <c r="BF60">
        <v>0</v>
      </c>
      <c r="BG60">
        <f>IFERROR(VLOOKUP(K60,源_5薪资备忘录_工资调整项!$A:$AC,22,FALSE),0)+IFERROR(VLOOKUP(K60,源_5薪资备忘录_工资调整项!$A:$AC,23,FALSE),0)+IFERROR(VLOOKUP(K60,源_5薪资备忘录_工资调整项!$A:$AC,24,FALSE),0)</f>
        <v>0</v>
      </c>
      <c r="BH60">
        <f>IFERROR(VLOOKUP(DF60,源_6社保表_Sheet1!$C:$CD,80,FALSE),0)+4.5</f>
        <v>6.5</v>
      </c>
      <c r="BI60">
        <f t="shared" si="16"/>
        <v>3002.391304347826</v>
      </c>
      <c r="BJ60">
        <f>IFERROR(VLOOKUP(DF60,源_6社保表_Sheet1!$C:$BZ,26,FALSE),0)</f>
        <v>358.68</v>
      </c>
      <c r="BK60">
        <f>IFERROR(VLOOKUP(DF60,源_6社保表_Sheet1!$C:$BZ,27,FALSE),0)</f>
        <v>51.24</v>
      </c>
      <c r="BL60">
        <f>IFERROR(VLOOKUP(DF60,源_6社保表_Sheet1!$C:$BZ,28,FALSE),0)</f>
        <v>25.62</v>
      </c>
      <c r="BM60">
        <f>IFERROR(VLOOKUP(DF60,源_6社保表_Sheet1!$C:$BZ,30,FALSE),0)</f>
        <v>139.19999999999999</v>
      </c>
      <c r="BN60">
        <f>IFERROR(VLOOKUP(DF60,源_6社保表_Sheet1!$C:$BZ,29,FALSE),0)</f>
        <v>0</v>
      </c>
      <c r="BO60">
        <f>IFERROR(VLOOKUP(DF60,源_6社保表_Sheet1!$C:$BZ,40,FALSE),0)</f>
        <v>0</v>
      </c>
      <c r="BP60">
        <f>IFERROR(VLOOKUP(DF60,源_6社保表_Sheet1!$C:$BZ,41,FALSE),0)</f>
        <v>0</v>
      </c>
      <c r="BQ60">
        <f>IFERROR(VLOOKUP(DF60,源_6社保表_Sheet1!$C:$BZ,42,FALSE),0)</f>
        <v>0</v>
      </c>
      <c r="BR60">
        <f>IFERROR(VLOOKUP(DF60,源_6社保表_Sheet1!$C:$BZ,44,FALSE),0)</f>
        <v>0</v>
      </c>
      <c r="BS60">
        <f>IFERROR(VLOOKUP(DF60,源_6社保表_Sheet1!$C:$BZ,43,FALSE),0)</f>
        <v>0</v>
      </c>
      <c r="BT60">
        <f t="shared" si="17"/>
        <v>574.74</v>
      </c>
      <c r="BU60">
        <v>0</v>
      </c>
      <c r="BV60">
        <v>0</v>
      </c>
      <c r="BW60">
        <v>0</v>
      </c>
      <c r="BX60">
        <f t="shared" si="18"/>
        <v>0</v>
      </c>
      <c r="BY60">
        <v>0</v>
      </c>
      <c r="BZ60">
        <f>IFERROR(VLOOKUP(DF60,源_6社保表_Sheet1!$C:$BZ,18,FALSE),0)</f>
        <v>768.6</v>
      </c>
      <c r="CA60">
        <f>IFERROR(VLOOKUP(DF60,源_6社保表_Sheet1!$C:$BZ,19,FALSE),0)</f>
        <v>409.92</v>
      </c>
      <c r="CB60">
        <f>IFERROR(VLOOKUP(DF60,源_6社保表_Sheet1!$C:$BZ,24,FALSE),0)</f>
        <v>139.19999999999999</v>
      </c>
      <c r="CC60">
        <f>IFERROR(VLOOKUP(DF60,源_6社保表_Sheet1!$C:$BZ,20,FALSE),0)</f>
        <v>25.62</v>
      </c>
      <c r="CD60">
        <f>IFERROR(VLOOKUP(DF60,源_6社保表_Sheet1!$C:$BZ,21,FALSE),0)</f>
        <v>16.396799999999999</v>
      </c>
      <c r="CE60">
        <f>IFERROR(VLOOKUP(DF60,源_6社保表_Sheet1!$C:$BZ,22,FALSE),0)</f>
        <v>0</v>
      </c>
      <c r="CF60">
        <f>IFERROR(VLOOKUP(DF60,源_6社保表_Sheet1!$C:$BZ,23,FALSE),0)</f>
        <v>0</v>
      </c>
      <c r="CG60">
        <f>IFERROR(VLOOKUP(DF60,源_6社保表_Sheet1!$C:$BZ,32,FALSE),0)</f>
        <v>0</v>
      </c>
      <c r="CH60">
        <f>IFERROR(VLOOKUP(DF60,源_6社保表_Sheet1!$C:$BZ,33,FALSE),0)</f>
        <v>0</v>
      </c>
      <c r="CI60">
        <f>IFERROR(VLOOKUP(DF60,源_6社保表_Sheet1!$C:$BZ,34,FALSE),0)</f>
        <v>0</v>
      </c>
      <c r="CJ60">
        <f>IFERROR(VLOOKUP(DF60,源_6社保表_Sheet1!$C:$BZ,38,FALSE),0)</f>
        <v>0</v>
      </c>
      <c r="CK60">
        <f>IFERROR(VLOOKUP(DF60,源_6社保表_Sheet1!$C:$BZ,35,FALSE),0)</f>
        <v>0</v>
      </c>
      <c r="CL60">
        <f>IFERROR(VLOOKUP(DF60,源_6社保表_Sheet1!$C:$BZ,36,FALSE),0)</f>
        <v>0</v>
      </c>
      <c r="CM60">
        <f>IFERROR(VLOOKUP(DF60,源_6社保表_Sheet1!$C:$BZ,37,FALSE),0)</f>
        <v>0</v>
      </c>
      <c r="CN60">
        <f t="shared" si="19"/>
        <v>1359.7367999999999</v>
      </c>
      <c r="CO60">
        <f t="shared" si="20"/>
        <v>4368.6281043478257</v>
      </c>
      <c r="CP60">
        <f>IF(IFERROR(VLOOKUP(K60,源_13残疾人信息_残疾人信息!$A:$M,1,FALSE),"")&lt;&gt;"",0,IF(OR(P60="门店全职",P60="门店管理组",P60="全职(非门店)"),(BI60-AT60)*IFERROR(VLOOKUP(D60,源_12计提残保金规则_Sheet1!$A:$E,4,FALSE),0)*IFERROR(VLOOKUP(D60,源_12计提残保金规则_Sheet1!$A:$E,5,FALSE),0),0))</f>
        <v>40.532282608695652</v>
      </c>
      <c r="CQ60">
        <f t="shared" si="21"/>
        <v>0</v>
      </c>
      <c r="CR60">
        <f t="shared" si="22"/>
        <v>20.67</v>
      </c>
      <c r="CS60">
        <f>IF(DATEVALUE(N60)&gt;DATE(参数!$B$2,9,30),0,IF(M60="行政",0,IF(O60="",R60/12,IF(MONTH(DATEVALUE(O60))=参数!$B$3,0,IF(DATEVALUE(O60)&lt;DATE(参数!$B$2,参数!$B$3,1),0,R60/12)))))</f>
        <v>0</v>
      </c>
      <c r="CT60">
        <f t="shared" si="23"/>
        <v>0</v>
      </c>
      <c r="CU60">
        <f>IFERROR(VLOOKUP(DF60,源_6社保表_Sheet1!$C:$I,2,FALSE),0)</f>
        <v>5124</v>
      </c>
      <c r="CV60">
        <f>IFERROR(VLOOKUP(DF60,源_6社保表_Sheet1!$C:$I,7,FALSE),0)</f>
        <v>2320</v>
      </c>
      <c r="CW60">
        <f>IFERROR(VLOOKUP(DF60,源_6社保表_Sheet1!$C:$I,3,FALSE),0)</f>
        <v>5124</v>
      </c>
      <c r="CX60">
        <f>IFERROR(VLOOKUP(DF60,源_6社保表_Sheet1!$C:$I,4,FALSE),0)</f>
        <v>5124</v>
      </c>
      <c r="CY60">
        <f>IFERROR(VLOOKUP(DF60,源_6社保表_Sheet1!$C:$I,5,FALSE),0)</f>
        <v>5124</v>
      </c>
      <c r="CZ60">
        <f>IFERROR(VLOOKUP(DF60,源_6社保表_Sheet1!$C:$I,6,FALSE),0)</f>
        <v>0</v>
      </c>
      <c r="DA60">
        <f t="shared" si="24"/>
        <v>3687.1281043478257</v>
      </c>
      <c r="DB60">
        <f t="shared" si="25"/>
        <v>3754.8303869565216</v>
      </c>
      <c r="DC60" t="str">
        <f>IFERROR(VLOOKUP(K60,源_7银行卡表_Sheet1!$A:$J,8,FALSE),"")</f>
        <v>中信银行</v>
      </c>
      <c r="DD60" t="str">
        <f>IFERROR(VLOOKUP(K60,源_7银行卡表_Sheet1!$A:$J,9,FALSE),"")</f>
        <v>6289052522504302407</v>
      </c>
      <c r="DE60" t="str">
        <f>IFERROR(VLOOKUP(K60,源_7银行卡表_Sheet1!$A:$J,10,FALSE),"")</f>
        <v>中信银行鞍山立山支行</v>
      </c>
      <c r="DF60" t="s">
        <v>395</v>
      </c>
      <c r="DG60">
        <v>16741205179</v>
      </c>
      <c r="DH60" t="s">
        <v>166</v>
      </c>
      <c r="DI60">
        <v>0</v>
      </c>
      <c r="DJ60">
        <v>0</v>
      </c>
      <c r="DK60">
        <v>0</v>
      </c>
      <c r="DL60">
        <v>0</v>
      </c>
      <c r="DM60">
        <v>0</v>
      </c>
      <c r="DN60">
        <v>0</v>
      </c>
      <c r="DO60">
        <v>0</v>
      </c>
      <c r="DP60">
        <v>0</v>
      </c>
      <c r="DQ60">
        <v>0</v>
      </c>
      <c r="DR60">
        <f>IF(OR(IFERROR(VLOOKUP(K60,源_3考勤报表_考勤表!$F:$BG,39,FALSE),0)+IFERROR(VLOOKUP(K60,源_8补工时表_补当月工时!$A:$AC,24,FALSE),0)=0,IFERROR(VLOOKUP(K60,源_3考勤报表_考勤表!$F:$BG,43,FALSE),0)+IFERROR(VLOOKUP(K60,源_8补工时表_补当月工时!$A:$AC,26,FALSE),0)=0),IF(BI60+BG60-BT60&lt;0,BI60+BG60-BT60,0),0)</f>
        <v>0</v>
      </c>
    </row>
    <row r="61" spans="1:122" x14ac:dyDescent="0.15">
      <c r="A61">
        <f>参数!$B$2</f>
        <v>2025</v>
      </c>
      <c r="B61">
        <f>参数!$B$3</f>
        <v>12</v>
      </c>
      <c r="D61" t="s">
        <v>289</v>
      </c>
      <c r="E61" t="s">
        <v>123</v>
      </c>
      <c r="F61" t="str">
        <f>IFERROR(VLOOKUP(K61,源_7银行卡表_Sheet1!$A:$J,6,FALSE),"")</f>
        <v>华北营运</v>
      </c>
      <c r="G61" t="s">
        <v>290</v>
      </c>
      <c r="H61" t="s">
        <v>396</v>
      </c>
      <c r="I61" t="s">
        <v>292</v>
      </c>
      <c r="J61">
        <v>1</v>
      </c>
      <c r="K61">
        <v>26123060</v>
      </c>
      <c r="L61" t="s">
        <v>397</v>
      </c>
      <c r="M61" t="s">
        <v>377</v>
      </c>
      <c r="N61" t="s">
        <v>398</v>
      </c>
      <c r="P61" t="s">
        <v>154</v>
      </c>
      <c r="Q61">
        <f>IF(P61="门店全职",IFERROR(VLOOKUP(K61,源_3考勤报表_考勤表!$F:$BG,34,FALSE),0)+IFERROR(VLOOKUP(K61,源_8补工时表_补当月工时!$A:$AC,14,FALSE),0),IF(P61="门店管理组",IF(IFERROR(VLOOKUP(K61,源_3考勤报表_考勤表!$F:$BG,34,FALSE),0)+IFERROR(VLOOKUP(K61,源_8补工时表_补当月工时!$A:$AC,14,FALSE),0)+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44,FALSE),0)+IFERROR(VLOOKUP(K61,源_8补工时表_补当月工时!$A:$AC,16,FALSE),0)+IFERROR(VLOOKUP(K61,源_3考勤报表_考勤表!$F:$BG,45,FALSE),0)&gt;=参数!$B$4,参数!$B$4-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44,FALSE),0)-IFERROR(VLOOKUP(K61,源_8补工时表_补当月工时!$A:$AC,16,FALSE),0)-IFERROR(VLOOKUP(K61,源_3考勤报表_考勤表!$F:$BG,45,FALSE),0),IFERROR(VLOOKUP(K61,源_3考勤报表_考勤表!$F:$BG,34,FALSE),0)+IFERROR(VLOOKUP(K61,源_8补工时表_补当月工时!$A:$AC,14,FALSE),0)),0))</f>
        <v>136</v>
      </c>
      <c r="R61">
        <v>2200</v>
      </c>
      <c r="S61">
        <v>0</v>
      </c>
      <c r="T61">
        <f>IF(P61="门店全职",R61/参数!$B$4*(Q61-MAX(IFERROR(VLOOKUP(K61,源_3考勤报表_考勤表!$F:$BG,34,FALSE),0)+IFERROR(VLOOKUP(K61,源_8补工时表_补当月工时!$A:$AC,14,FALSE),0)+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参数!$B$4,0)),R61/参数!$B$4*Q61)</f>
        <v>1626.0869565217392</v>
      </c>
      <c r="U61">
        <v>0</v>
      </c>
      <c r="V61">
        <v>0</v>
      </c>
      <c r="W61">
        <f t="shared" si="13"/>
        <v>200</v>
      </c>
      <c r="X61">
        <f>IFERROR(VLOOKUP(K61,源_4奖金汇总表_拆分手工算!$A:$N,8,FALSE),0)</f>
        <v>0</v>
      </c>
      <c r="Y61">
        <f>IFERROR(VLOOKUP(K61,源_5薪资备忘录_工资调整项!$A:$AC,14,FALSE),0)</f>
        <v>200</v>
      </c>
      <c r="Z61">
        <f>IFERROR(VLOOKUP(K61,源_5薪资备忘录_工资调整项!$A:$AC,16,FALSE),0)</f>
        <v>0</v>
      </c>
      <c r="AA61">
        <f>IFERROR(VLOOKUP(K61,源_5薪资备忘录_工资调整项!$A:$AC,15,FALSE),0)</f>
        <v>0</v>
      </c>
      <c r="AB61">
        <f t="shared" si="14"/>
        <v>0</v>
      </c>
      <c r="AC61">
        <f>IF(P61="门店全职",R61/174*MAX(IFERROR(VLOOKUP(K61,源_3考勤报表_考勤表!$F:$BG,34,FALSE),0)+IFERROR(VLOOKUP(K61,源_8补工时表_补当月工时!$A:$AC,14,FALSE),0)+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参数!$B$4,0)*1.5,0)</f>
        <v>0</v>
      </c>
      <c r="AD61">
        <v>0</v>
      </c>
      <c r="AE61">
        <f>IFERROR(VLOOKUP(K61,源_3考勤报表_考勤表!$F:$BG,46,FALSE),0)+IFERROR(VLOOKUP(K61,源_8补工时表_补当月工时!$A:$AC,25,FALSE),0)</f>
        <v>0</v>
      </c>
      <c r="AF61">
        <f t="shared" si="15"/>
        <v>0</v>
      </c>
      <c r="AG61">
        <f>IFERROR(VLOOKUP(K61,源_4奖金汇总表_拆分手工算!$A:$N,10,FALSE),0)</f>
        <v>36</v>
      </c>
      <c r="AH61">
        <f>IFERROR(VLOOKUP(K61,源_4奖金汇总表_拆分手工算!$A:$N,5,FALSE),0)</f>
        <v>0</v>
      </c>
      <c r="AI61">
        <f>IFERROR(VLOOKUP(K61,源_4奖金汇总表_拆分手工算!$A:$N,11,FALSE),0)</f>
        <v>0</v>
      </c>
      <c r="AJ61">
        <f>IFERROR(VLOOKUP(K61,源_4奖金汇总表_拆分手工算!$A:$N,4,FALSE),0)</f>
        <v>0</v>
      </c>
      <c r="AK61">
        <f>IFERROR(VLOOKUP(K61,源_4奖金汇总表_拆分手工算!$A:$N,3,FALSE),0)</f>
        <v>0</v>
      </c>
      <c r="AL61">
        <f>IFERROR(VLOOKUP(K61,源_4奖金汇总表_拆分手工算!$A:$N,6,FALSE),0)</f>
        <v>0</v>
      </c>
      <c r="AM61">
        <f>IFERROR(VLOOKUP(K61,源_5薪资备忘录_工资调整项!$A:$AC,18,FALSE),0)+IFERROR(VLOOKUP(K61,源_4奖金汇总表_拆分手工算!$A:$N,7,FALSE),0)</f>
        <v>0</v>
      </c>
      <c r="AN61">
        <f>IFERROR(VLOOKUP(K61,源_5薪资备忘录_工资调整项!$A:$AC,17,FALSE),0)</f>
        <v>200</v>
      </c>
      <c r="AO61">
        <f>IF(OR(IFERROR(VLOOKUP(K61,源_3考勤报表_考勤表!$F:$BG,39,FALSE),0)+IFERROR(VLOOKUP(K61,源_8补工时表_补当月工时!$A:$AC,24,FALSE),0)&gt;0,IFERROR(VLOOKUP(K61,源_3考勤报表_考勤表!$F:$BG,43,FALSE),0)+IFERROR(VLOOKUP(K61,源_8补工时表_补当月工时!$A:$AC,26,FALSE),0)&gt;0),IF(IFERROR(VLOOKUP(DH61,源_11产假政策_Sheet1!$C:$F,4,FALSE),"")="是",R61/参数!$B$4*(IFERROR(VLOOKUP(K61,源_3考勤报表_考勤表!$F:$BG,39,FALSE),0)+IFERROR(VLOOKUP(K61,源_8补工时表_补当月工时!$A:$AC,24,FALSE),0)+IFERROR(VLOOKUP(K61,源_3考勤报表_考勤表!$F:$BG,43,FALSE),0)+IFERROR(VLOOKUP(K61,源_8补工时表_补当月工时!$A:$AC,26,FALSE),0)),IFERROR(VLOOKUP(K61,源_5薪资备忘录_工资调整项!$A:$AC,19,FALSE),0)),0)</f>
        <v>0</v>
      </c>
      <c r="AP61">
        <v>0</v>
      </c>
      <c r="AQ61">
        <f>IFERROR(VLOOKUP(K61,源_4奖金汇总表_拆分手工算!$A:$N,12,FALSE),0)+IFERROR(VLOOKUP(K61,源_9年终奖表_Sheet1!$A:$E,3,FALSE),0)</f>
        <v>0</v>
      </c>
      <c r="AR61">
        <f>IFERROR(VLOOKUP(K61,源_4奖金汇总表_拆分手工算!$A:$N,13,FALSE),0)+IFERROR(VLOOKUP(K61,源_9年终奖表_Sheet1!$A:$E,4,FALSE),0)</f>
        <v>0</v>
      </c>
      <c r="AS61">
        <f>IFERROR(VLOOKUP(K61,源_4奖金汇总表_拆分手工算!$A:$N,14,FALSE),0)+IFERROR(VLOOKUP(K61,源_9年终奖表_Sheet1!$A:$E,5,FALSE),0)</f>
        <v>0</v>
      </c>
      <c r="AT61">
        <f>IFERROR(VLOOKUP(K61,源_5薪资备忘录_工资调整项!$A:$AC,20,FALSE),0)</f>
        <v>0</v>
      </c>
      <c r="AU61">
        <f>IFERROR(VLOOKUP(K61,源_5薪资备忘录_工资调整项!$A:$AC,21,FALSE),0)+IFERROR(VLOOKUP(K61,源_4奖金汇总表_拆分手工算!$A:$N,9,FALSE),0)</f>
        <v>0</v>
      </c>
      <c r="AV61">
        <f>R61/参数!$B$4*(IFERROR(VLOOKUP(K61,源_3考勤报表_考勤表!$F:$BG,37,FALSE),0)+IFERROR(VLOOKUP(K61,源_8补工时表_补当月工时!$A:$AC,15,FALSE),0))</f>
        <v>0</v>
      </c>
      <c r="AW61">
        <f>R61/174*MIN(IFERROR(VLOOKUP(K61,源_3考勤报表_考勤表!$F:$BG,35,FALSE),0),174)*IF(DATEDIF(N61,DATE(参数!$B$2,参数!$B$3+1,0),"Y")&lt;2,0.6,IF(DATEDIF(N61,DATE(参数!$B$2,参数!$B$3+1,0),"Y")&lt;4,0.7,IF(DATEDIF(N61,DATE(参数!$B$2,参数!$B$3+1,0),"Y")&lt;6,0.8,IF(DATEDIF(N61,DATE(参数!$B$2,参数!$B$3+1,0),"Y")&lt;8,0.9,1))))</f>
        <v>0</v>
      </c>
      <c r="AX61">
        <f>IF(Q61+IFERROR(VLOOKUP(K61,源_3考勤报表_考勤表!$F:$BG,37,FALSE),0)+IFERROR(VLOOKUP(K61,源_8补工时表_补当月工时!$A:$AC,15,FALSE),0)&gt;=参数!$B$4,0,IF(Q61+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lt;=参数!$B$4,R61/参数!$B$4*(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0))</f>
        <v>382.60869565217394</v>
      </c>
      <c r="AY61">
        <v>0</v>
      </c>
      <c r="AZ61">
        <v>0</v>
      </c>
      <c r="BA61">
        <v>0</v>
      </c>
      <c r="BB61">
        <v>0</v>
      </c>
      <c r="BC61">
        <f>IFERROR(VLOOKUP(K61,源_5薪资备忘录_工资调整项!$A:$AC,25,FALSE),0)</f>
        <v>300</v>
      </c>
      <c r="BD61">
        <v>0</v>
      </c>
      <c r="BE61">
        <v>0</v>
      </c>
      <c r="BF61">
        <v>0</v>
      </c>
      <c r="BG61">
        <f>IFERROR(VLOOKUP(K61,源_5薪资备忘录_工资调整项!$A:$AC,22,FALSE),0)+IFERROR(VLOOKUP(K61,源_5薪资备忘录_工资调整项!$A:$AC,23,FALSE),0)+IFERROR(VLOOKUP(K61,源_5薪资备忘录_工资调整项!$A:$AC,24,FALSE),0)</f>
        <v>0</v>
      </c>
      <c r="BH61">
        <f>IFERROR(VLOOKUP(DF61,源_6社保表_Sheet1!$C:$CD,80,FALSE),0)+4.5</f>
        <v>6.5</v>
      </c>
      <c r="BI61">
        <f t="shared" si="16"/>
        <v>2744.695652173913</v>
      </c>
      <c r="BJ61">
        <f>IFERROR(VLOOKUP(DF61,源_6社保表_Sheet1!$C:$BZ,26,FALSE),0)</f>
        <v>225.2</v>
      </c>
      <c r="BK61">
        <f>IFERROR(VLOOKUP(DF61,源_6社保表_Sheet1!$C:$BZ,27,FALSE),0)</f>
        <v>45.04</v>
      </c>
      <c r="BL61">
        <f>IFERROR(VLOOKUP(DF61,源_6社保表_Sheet1!$C:$BZ,28,FALSE),0)</f>
        <v>22.52</v>
      </c>
      <c r="BM61">
        <f>IFERROR(VLOOKUP(DF61,源_6社保表_Sheet1!$C:$BZ,30,FALSE),0)</f>
        <v>120</v>
      </c>
      <c r="BN61">
        <f>IFERROR(VLOOKUP(DF61,源_6社保表_Sheet1!$C:$BZ,29,FALSE),0)</f>
        <v>0</v>
      </c>
      <c r="BO61">
        <f>IFERROR(VLOOKUP(DF61,源_6社保表_Sheet1!$C:$BZ,40,FALSE),0)</f>
        <v>0</v>
      </c>
      <c r="BP61">
        <f>IFERROR(VLOOKUP(DF61,源_6社保表_Sheet1!$C:$BZ,41,FALSE),0)</f>
        <v>0</v>
      </c>
      <c r="BQ61">
        <f>IFERROR(VLOOKUP(DF61,源_6社保表_Sheet1!$C:$BZ,42,FALSE),0)</f>
        <v>0</v>
      </c>
      <c r="BR61">
        <f>IFERROR(VLOOKUP(DF61,源_6社保表_Sheet1!$C:$BZ,44,FALSE),0)</f>
        <v>0</v>
      </c>
      <c r="BS61">
        <f>IFERROR(VLOOKUP(DF61,源_6社保表_Sheet1!$C:$BZ,43,FALSE),0)</f>
        <v>0</v>
      </c>
      <c r="BT61">
        <f t="shared" si="17"/>
        <v>412.76</v>
      </c>
      <c r="BU61">
        <v>0</v>
      </c>
      <c r="BV61">
        <v>0</v>
      </c>
      <c r="BW61">
        <v>0</v>
      </c>
      <c r="BX61">
        <f t="shared" si="18"/>
        <v>0</v>
      </c>
      <c r="BY61">
        <v>0</v>
      </c>
      <c r="BZ61">
        <f>IFERROR(VLOOKUP(DF61,源_6社保表_Sheet1!$C:$BZ,18,FALSE),0)</f>
        <v>540.48</v>
      </c>
      <c r="CA61">
        <f>IFERROR(VLOOKUP(DF61,源_6社保表_Sheet1!$C:$BZ,19,FALSE),0)</f>
        <v>270.24</v>
      </c>
      <c r="CB61">
        <f>IFERROR(VLOOKUP(DF61,源_6社保表_Sheet1!$C:$BZ,24,FALSE),0)</f>
        <v>120</v>
      </c>
      <c r="CC61">
        <f>IFERROR(VLOOKUP(DF61,源_6社保表_Sheet1!$C:$BZ,20,FALSE),0)</f>
        <v>22.52</v>
      </c>
      <c r="CD61">
        <f>IFERROR(VLOOKUP(DF61,源_6社保表_Sheet1!$C:$BZ,21,FALSE),0)</f>
        <v>14.412800000000001</v>
      </c>
      <c r="CE61">
        <f>IFERROR(VLOOKUP(DF61,源_6社保表_Sheet1!$C:$BZ,22,FALSE),0)</f>
        <v>0</v>
      </c>
      <c r="CF61">
        <f>IFERROR(VLOOKUP(DF61,源_6社保表_Sheet1!$C:$BZ,23,FALSE),0)</f>
        <v>0</v>
      </c>
      <c r="CG61">
        <f>IFERROR(VLOOKUP(DF61,源_6社保表_Sheet1!$C:$BZ,32,FALSE),0)</f>
        <v>0</v>
      </c>
      <c r="CH61">
        <f>IFERROR(VLOOKUP(DF61,源_6社保表_Sheet1!$C:$BZ,33,FALSE),0)</f>
        <v>0</v>
      </c>
      <c r="CI61">
        <f>IFERROR(VLOOKUP(DF61,源_6社保表_Sheet1!$C:$BZ,34,FALSE),0)</f>
        <v>0</v>
      </c>
      <c r="CJ61">
        <f>IFERROR(VLOOKUP(DF61,源_6社保表_Sheet1!$C:$BZ,38,FALSE),0)</f>
        <v>0</v>
      </c>
      <c r="CK61">
        <f>IFERROR(VLOOKUP(DF61,源_6社保表_Sheet1!$C:$BZ,35,FALSE),0)</f>
        <v>0</v>
      </c>
      <c r="CL61">
        <f>IFERROR(VLOOKUP(DF61,源_6社保表_Sheet1!$C:$BZ,36,FALSE),0)</f>
        <v>0</v>
      </c>
      <c r="CM61">
        <f>IFERROR(VLOOKUP(DF61,源_6社保表_Sheet1!$C:$BZ,37,FALSE),0)</f>
        <v>0</v>
      </c>
      <c r="CN61">
        <f t="shared" si="19"/>
        <v>967.65279999999996</v>
      </c>
      <c r="CO61">
        <f t="shared" si="20"/>
        <v>3718.8484521739128</v>
      </c>
      <c r="CP61">
        <f>IF(IFERROR(VLOOKUP(K61,源_13残疾人信息_残疾人信息!$A:$M,1,FALSE),"")&lt;&gt;"",0,IF(OR(P61="门店全职",P61="门店管理组",P61="全职(非门店)"),(BI61-AT61)*IFERROR(VLOOKUP(D61,源_12计提残保金规则_Sheet1!$A:$E,4,FALSE),0)*IFERROR(VLOOKUP(D61,源_12计提残保金规则_Sheet1!$A:$E,5,FALSE),0),0))</f>
        <v>37.053391304347826</v>
      </c>
      <c r="CQ61">
        <f t="shared" si="21"/>
        <v>0</v>
      </c>
      <c r="CR61">
        <f t="shared" si="22"/>
        <v>20.67</v>
      </c>
      <c r="CS61">
        <f>IF(DATEVALUE(N61)&gt;DATE(参数!$B$2,9,30),0,IF(M61="行政",0,IF(O61="",R61/12,IF(MONTH(DATEVALUE(O61))=参数!$B$3,0,IF(DATEVALUE(O61)&lt;DATE(参数!$B$2,参数!$B$3,1),0,R61/12)))))</f>
        <v>0</v>
      </c>
      <c r="CT61">
        <f t="shared" si="23"/>
        <v>0</v>
      </c>
      <c r="CU61">
        <f>IFERROR(VLOOKUP(DF61,源_6社保表_Sheet1!$C:$I,2,FALSE),0)</f>
        <v>4504</v>
      </c>
      <c r="CV61">
        <f>IFERROR(VLOOKUP(DF61,源_6社保表_Sheet1!$C:$I,7,FALSE),0)</f>
        <v>2400</v>
      </c>
      <c r="CW61">
        <f>IFERROR(VLOOKUP(DF61,源_6社保表_Sheet1!$C:$I,3,FALSE),0)</f>
        <v>4504</v>
      </c>
      <c r="CX61">
        <f>IFERROR(VLOOKUP(DF61,源_6社保表_Sheet1!$C:$I,4,FALSE),0)</f>
        <v>4504</v>
      </c>
      <c r="CY61">
        <f>IFERROR(VLOOKUP(DF61,源_6社保表_Sheet1!$C:$I,5,FALSE),0)</f>
        <v>4504</v>
      </c>
      <c r="CZ61">
        <f>IFERROR(VLOOKUP(DF61,源_6社保表_Sheet1!$C:$I,6,FALSE),0)</f>
        <v>0</v>
      </c>
      <c r="DA61">
        <f t="shared" si="24"/>
        <v>3676.3484521739128</v>
      </c>
      <c r="DB61">
        <f t="shared" si="25"/>
        <v>3740.5718434782607</v>
      </c>
      <c r="DC61" t="str">
        <f>IFERROR(VLOOKUP(K61,源_7银行卡表_Sheet1!$A:$J,8,FALSE),"")</f>
        <v>中信银行</v>
      </c>
      <c r="DD61" t="str">
        <f>IFERROR(VLOOKUP(K61,源_7银行卡表_Sheet1!$A:$J,9,FALSE),"")</f>
        <v>6284074042386008157</v>
      </c>
      <c r="DE61" t="str">
        <f>IFERROR(VLOOKUP(K61,源_7银行卡表_Sheet1!$A:$J,10,FALSE),"")</f>
        <v>中信银行鞍山分行营业部</v>
      </c>
      <c r="DF61" t="s">
        <v>399</v>
      </c>
      <c r="DG61">
        <v>15397567220</v>
      </c>
      <c r="DH61" t="s">
        <v>290</v>
      </c>
      <c r="DI61">
        <v>0</v>
      </c>
      <c r="DJ61">
        <v>0</v>
      </c>
      <c r="DK61">
        <v>0</v>
      </c>
      <c r="DL61">
        <v>0</v>
      </c>
      <c r="DM61">
        <v>0</v>
      </c>
      <c r="DN61">
        <v>0</v>
      </c>
      <c r="DO61">
        <v>0</v>
      </c>
      <c r="DP61">
        <v>0</v>
      </c>
      <c r="DQ61">
        <v>0</v>
      </c>
      <c r="DR61">
        <f>IF(OR(IFERROR(VLOOKUP(K61,源_3考勤报表_考勤表!$F:$BG,39,FALSE),0)+IFERROR(VLOOKUP(K61,源_8补工时表_补当月工时!$A:$AC,24,FALSE),0)=0,IFERROR(VLOOKUP(K61,源_3考勤报表_考勤表!$F:$BG,43,FALSE),0)+IFERROR(VLOOKUP(K61,源_8补工时表_补当月工时!$A:$AC,26,FALSE),0)=0),IF(BI61+BG61-BT61&lt;0,BI61+BG61-BT61,0),0)</f>
        <v>0</v>
      </c>
    </row>
    <row r="62" spans="1:122" x14ac:dyDescent="0.15">
      <c r="A62">
        <f>参数!$B$2</f>
        <v>2025</v>
      </c>
      <c r="B62">
        <f>参数!$B$3</f>
        <v>12</v>
      </c>
      <c r="D62" t="s">
        <v>202</v>
      </c>
      <c r="E62" t="s">
        <v>123</v>
      </c>
      <c r="F62" t="str">
        <f>IFERROR(VLOOKUP(K62,源_7银行卡表_Sheet1!$A:$J,6,FALSE),"")</f>
        <v>华东营运</v>
      </c>
      <c r="G62" t="s">
        <v>203</v>
      </c>
      <c r="H62" t="s">
        <v>400</v>
      </c>
      <c r="I62" t="s">
        <v>205</v>
      </c>
      <c r="J62">
        <v>1</v>
      </c>
      <c r="K62">
        <v>26123061</v>
      </c>
      <c r="L62" t="s">
        <v>401</v>
      </c>
      <c r="M62" t="s">
        <v>187</v>
      </c>
      <c r="N62" t="s">
        <v>402</v>
      </c>
      <c r="P62" t="s">
        <v>154</v>
      </c>
      <c r="Q62">
        <f>IF(P62="门店全职",IFERROR(VLOOKUP(K62,源_3考勤报表_考勤表!$F:$BG,34,FALSE),0)+IFERROR(VLOOKUP(K62,源_8补工时表_补当月工时!$A:$AC,14,FALSE),0),IF(P62="门店管理组",IF(IFERROR(VLOOKUP(K62,源_3考勤报表_考勤表!$F:$BG,34,FALSE),0)+IFERROR(VLOOKUP(K62,源_8补工时表_补当月工时!$A:$AC,14,FALSE),0)+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44,FALSE),0)+IFERROR(VLOOKUP(K62,源_8补工时表_补当月工时!$A:$AC,16,FALSE),0)+IFERROR(VLOOKUP(K62,源_3考勤报表_考勤表!$F:$BG,45,FALSE),0)&gt;=参数!$B$4,参数!$B$4-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44,FALSE),0)-IFERROR(VLOOKUP(K62,源_8补工时表_补当月工时!$A:$AC,16,FALSE),0)-IFERROR(VLOOKUP(K62,源_3考勤报表_考勤表!$F:$BG,45,FALSE),0),IFERROR(VLOOKUP(K62,源_3考勤报表_考勤表!$F:$BG,34,FALSE),0)+IFERROR(VLOOKUP(K62,源_8补工时表_补当月工时!$A:$AC,14,FALSE),0)),0))</f>
        <v>176</v>
      </c>
      <c r="R62">
        <v>3840</v>
      </c>
      <c r="S62">
        <v>0</v>
      </c>
      <c r="T62">
        <f>IF(P62="门店全职",R62/参数!$B$4*(Q62-MAX(IFERROR(VLOOKUP(K62,源_3考勤报表_考勤表!$F:$BG,34,FALSE),0)+IFERROR(VLOOKUP(K62,源_8补工时表_补当月工时!$A:$AC,14,FALSE),0)+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参数!$B$4,0)),R62/参数!$B$4*Q62)</f>
        <v>3673.0434782608695</v>
      </c>
      <c r="U62">
        <v>0</v>
      </c>
      <c r="V62">
        <v>0</v>
      </c>
      <c r="W62">
        <f t="shared" si="13"/>
        <v>0</v>
      </c>
      <c r="X62">
        <f>IFERROR(VLOOKUP(K62,源_4奖金汇总表_拆分手工算!$A:$N,8,FALSE),0)</f>
        <v>0</v>
      </c>
      <c r="Y62">
        <f>IFERROR(VLOOKUP(K62,源_5薪资备忘录_工资调整项!$A:$AC,14,FALSE),0)</f>
        <v>0</v>
      </c>
      <c r="Z62">
        <f>IFERROR(VLOOKUP(K62,源_5薪资备忘录_工资调整项!$A:$AC,16,FALSE),0)</f>
        <v>0</v>
      </c>
      <c r="AA62">
        <f>IFERROR(VLOOKUP(K62,源_5薪资备忘录_工资调整项!$A:$AC,15,FALSE),0)</f>
        <v>0</v>
      </c>
      <c r="AB62">
        <f t="shared" si="14"/>
        <v>0</v>
      </c>
      <c r="AC62">
        <f>IF(P62="门店全职",R62/174*MAX(IFERROR(VLOOKUP(K62,源_3考勤报表_考勤表!$F:$BG,34,FALSE),0)+IFERROR(VLOOKUP(K62,源_8补工时表_补当月工时!$A:$AC,14,FALSE),0)+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参数!$B$4,0)*1.5,0)</f>
        <v>0</v>
      </c>
      <c r="AD62">
        <v>0</v>
      </c>
      <c r="AE62">
        <f>IFERROR(VLOOKUP(K62,源_3考勤报表_考勤表!$F:$BG,46,FALSE),0)+IFERROR(VLOOKUP(K62,源_8补工时表_补当月工时!$A:$AC,25,FALSE),0)</f>
        <v>0</v>
      </c>
      <c r="AF62">
        <f t="shared" si="15"/>
        <v>0</v>
      </c>
      <c r="AG62">
        <f>IFERROR(VLOOKUP(K62,源_4奖金汇总表_拆分手工算!$A:$N,10,FALSE),0)</f>
        <v>6</v>
      </c>
      <c r="AH62">
        <f>IFERROR(VLOOKUP(K62,源_4奖金汇总表_拆分手工算!$A:$N,5,FALSE),0)</f>
        <v>0</v>
      </c>
      <c r="AI62">
        <f>IFERROR(VLOOKUP(K62,源_4奖金汇总表_拆分手工算!$A:$N,11,FALSE),0)</f>
        <v>0</v>
      </c>
      <c r="AJ62">
        <f>IFERROR(VLOOKUP(K62,源_4奖金汇总表_拆分手工算!$A:$N,4,FALSE),0)</f>
        <v>0</v>
      </c>
      <c r="AK62">
        <f>IFERROR(VLOOKUP(K62,源_4奖金汇总表_拆分手工算!$A:$N,3,FALSE),0)</f>
        <v>0</v>
      </c>
      <c r="AL62">
        <f>IFERROR(VLOOKUP(K62,源_4奖金汇总表_拆分手工算!$A:$N,6,FALSE),0)</f>
        <v>0</v>
      </c>
      <c r="AM62">
        <f>IFERROR(VLOOKUP(K62,源_5薪资备忘录_工资调整项!$A:$AC,18,FALSE),0)+IFERROR(VLOOKUP(K62,源_4奖金汇总表_拆分手工算!$A:$N,7,FALSE),0)</f>
        <v>360</v>
      </c>
      <c r="AN62">
        <f>IFERROR(VLOOKUP(K62,源_5薪资备忘录_工资调整项!$A:$AC,17,FALSE),0)</f>
        <v>0</v>
      </c>
      <c r="AO62">
        <f>IF(OR(IFERROR(VLOOKUP(K62,源_3考勤报表_考勤表!$F:$BG,39,FALSE),0)+IFERROR(VLOOKUP(K62,源_8补工时表_补当月工时!$A:$AC,24,FALSE),0)&gt;0,IFERROR(VLOOKUP(K62,源_3考勤报表_考勤表!$F:$BG,43,FALSE),0)+IFERROR(VLOOKUP(K62,源_8补工时表_补当月工时!$A:$AC,26,FALSE),0)&gt;0),IF(IFERROR(VLOOKUP(DH62,源_11产假政策_Sheet1!$C:$F,4,FALSE),"")="是",R62/参数!$B$4*(IFERROR(VLOOKUP(K62,源_3考勤报表_考勤表!$F:$BG,39,FALSE),0)+IFERROR(VLOOKUP(K62,源_8补工时表_补当月工时!$A:$AC,24,FALSE),0)+IFERROR(VLOOKUP(K62,源_3考勤报表_考勤表!$F:$BG,43,FALSE),0)+IFERROR(VLOOKUP(K62,源_8补工时表_补当月工时!$A:$AC,26,FALSE),0)),IFERROR(VLOOKUP(K62,源_5薪资备忘录_工资调整项!$A:$AC,19,FALSE),0)),0)</f>
        <v>0</v>
      </c>
      <c r="AP62">
        <v>0</v>
      </c>
      <c r="AQ62">
        <f>IFERROR(VLOOKUP(K62,源_4奖金汇总表_拆分手工算!$A:$N,12,FALSE),0)+IFERROR(VLOOKUP(K62,源_9年终奖表_Sheet1!$A:$E,3,FALSE),0)</f>
        <v>0</v>
      </c>
      <c r="AR62">
        <f>IFERROR(VLOOKUP(K62,源_4奖金汇总表_拆分手工算!$A:$N,13,FALSE),0)+IFERROR(VLOOKUP(K62,源_9年终奖表_Sheet1!$A:$E,4,FALSE),0)</f>
        <v>0</v>
      </c>
      <c r="AS62">
        <f>IFERROR(VLOOKUP(K62,源_4奖金汇总表_拆分手工算!$A:$N,14,FALSE),0)+IFERROR(VLOOKUP(K62,源_9年终奖表_Sheet1!$A:$E,5,FALSE),0)</f>
        <v>0</v>
      </c>
      <c r="AT62">
        <f>IFERROR(VLOOKUP(K62,源_5薪资备忘录_工资调整项!$A:$AC,20,FALSE),0)</f>
        <v>200</v>
      </c>
      <c r="AU62">
        <f>IFERROR(VLOOKUP(K62,源_5薪资备忘录_工资调整项!$A:$AC,21,FALSE),0)+IFERROR(VLOOKUP(K62,源_4奖金汇总表_拆分手工算!$A:$N,9,FALSE),0)</f>
        <v>0</v>
      </c>
      <c r="AV62">
        <f>R62/参数!$B$4*(IFERROR(VLOOKUP(K62,源_3考勤报表_考勤表!$F:$BG,37,FALSE),0)+IFERROR(VLOOKUP(K62,源_8补工时表_补当月工时!$A:$AC,15,FALSE),0))</f>
        <v>166.95652173913044</v>
      </c>
      <c r="AW62">
        <f>R62/174*MIN(IFERROR(VLOOKUP(K62,源_3考勤报表_考勤表!$F:$BG,35,FALSE),0),174)*IF(DATEDIF(N62,DATE(参数!$B$2,参数!$B$3+1,0),"Y")&lt;2,0.6,IF(DATEDIF(N62,DATE(参数!$B$2,参数!$B$3+1,0),"Y")&lt;4,0.7,IF(DATEDIF(N62,DATE(参数!$B$2,参数!$B$3+1,0),"Y")&lt;6,0.8,IF(DATEDIF(N62,DATE(参数!$B$2,参数!$B$3+1,0),"Y")&lt;8,0.9,1))))</f>
        <v>0</v>
      </c>
      <c r="AX62">
        <f>IF(Q62+IFERROR(VLOOKUP(K62,源_3考勤报表_考勤表!$F:$BG,37,FALSE),0)+IFERROR(VLOOKUP(K62,源_8补工时表_补当月工时!$A:$AC,15,FALSE),0)&gt;=参数!$B$4,0,IF(Q62+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lt;=参数!$B$4,R62/参数!$B$4*(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0))</f>
        <v>0</v>
      </c>
      <c r="AY62">
        <v>0</v>
      </c>
      <c r="AZ62">
        <v>0</v>
      </c>
      <c r="BA62">
        <v>0</v>
      </c>
      <c r="BB62">
        <v>0</v>
      </c>
      <c r="BC62">
        <f>IFERROR(VLOOKUP(K62,源_5薪资备忘录_工资调整项!$A:$AC,25,FALSE),0)</f>
        <v>0</v>
      </c>
      <c r="BD62">
        <v>0</v>
      </c>
      <c r="BE62">
        <v>0</v>
      </c>
      <c r="BF62">
        <v>0</v>
      </c>
      <c r="BG62">
        <f>IFERROR(VLOOKUP(K62,源_5薪资备忘录_工资调整项!$A:$AC,22,FALSE),0)+IFERROR(VLOOKUP(K62,源_5薪资备忘录_工资调整项!$A:$AC,23,FALSE),0)+IFERROR(VLOOKUP(K62,源_5薪资备忘录_工资调整项!$A:$AC,24,FALSE),0)</f>
        <v>200</v>
      </c>
      <c r="BH62">
        <f>IFERROR(VLOOKUP(DF62,源_6社保表_Sheet1!$C:$CD,80,FALSE),0)+4.5</f>
        <v>6.5</v>
      </c>
      <c r="BI62">
        <f t="shared" si="16"/>
        <v>4406</v>
      </c>
      <c r="BJ62">
        <f>IFERROR(VLOOKUP(DF62,源_6社保表_Sheet1!$C:$BZ,26,FALSE),0)</f>
        <v>247.6</v>
      </c>
      <c r="BK62">
        <f>IFERROR(VLOOKUP(DF62,源_6社保表_Sheet1!$C:$BZ,27,FALSE),0)</f>
        <v>49.52</v>
      </c>
      <c r="BL62">
        <f>IFERROR(VLOOKUP(DF62,源_6社保表_Sheet1!$C:$BZ,28,FALSE),0)</f>
        <v>24.76</v>
      </c>
      <c r="BM62">
        <f>IFERROR(VLOOKUP(DF62,源_6社保表_Sheet1!$C:$BZ,30,FALSE),0)</f>
        <v>247.6</v>
      </c>
      <c r="BN62">
        <f>IFERROR(VLOOKUP(DF62,源_6社保表_Sheet1!$C:$BZ,29,FALSE),0)</f>
        <v>0</v>
      </c>
      <c r="BO62">
        <f>IFERROR(VLOOKUP(DF62,源_6社保表_Sheet1!$C:$BZ,40,FALSE),0)</f>
        <v>0</v>
      </c>
      <c r="BP62">
        <f>IFERROR(VLOOKUP(DF62,源_6社保表_Sheet1!$C:$BZ,41,FALSE),0)</f>
        <v>0</v>
      </c>
      <c r="BQ62">
        <f>IFERROR(VLOOKUP(DF62,源_6社保表_Sheet1!$C:$BZ,42,FALSE),0)</f>
        <v>0</v>
      </c>
      <c r="BR62">
        <f>IFERROR(VLOOKUP(DF62,源_6社保表_Sheet1!$C:$BZ,44,FALSE),0)</f>
        <v>0</v>
      </c>
      <c r="BS62">
        <f>IFERROR(VLOOKUP(DF62,源_6社保表_Sheet1!$C:$BZ,43,FALSE),0)</f>
        <v>0</v>
      </c>
      <c r="BT62">
        <f t="shared" si="17"/>
        <v>569.48</v>
      </c>
      <c r="BU62">
        <v>0</v>
      </c>
      <c r="BV62">
        <v>0</v>
      </c>
      <c r="BW62">
        <v>0</v>
      </c>
      <c r="BX62">
        <f t="shared" si="18"/>
        <v>0</v>
      </c>
      <c r="BY62">
        <v>0</v>
      </c>
      <c r="BZ62">
        <f>IFERROR(VLOOKUP(DF62,源_6社保表_Sheet1!$C:$BZ,18,FALSE),0)</f>
        <v>594.24</v>
      </c>
      <c r="CA62">
        <f>IFERROR(VLOOKUP(DF62,源_6社保表_Sheet1!$C:$BZ,19,FALSE),0)</f>
        <v>297.12</v>
      </c>
      <c r="CB62">
        <f>IFERROR(VLOOKUP(DF62,源_6社保表_Sheet1!$C:$BZ,24,FALSE),0)</f>
        <v>247.6</v>
      </c>
      <c r="CC62">
        <f>IFERROR(VLOOKUP(DF62,源_6社保表_Sheet1!$C:$BZ,20,FALSE),0)</f>
        <v>24.76</v>
      </c>
      <c r="CD62">
        <f>IFERROR(VLOOKUP(DF62,源_6社保表_Sheet1!$C:$BZ,21,FALSE),0)</f>
        <v>15.846399999999999</v>
      </c>
      <c r="CE62">
        <f>IFERROR(VLOOKUP(DF62,源_6社保表_Sheet1!$C:$BZ,22,FALSE),0)</f>
        <v>0</v>
      </c>
      <c r="CF62">
        <f>IFERROR(VLOOKUP(DF62,源_6社保表_Sheet1!$C:$BZ,23,FALSE),0)</f>
        <v>0</v>
      </c>
      <c r="CG62">
        <f>IFERROR(VLOOKUP(DF62,源_6社保表_Sheet1!$C:$BZ,32,FALSE),0)</f>
        <v>0</v>
      </c>
      <c r="CH62">
        <f>IFERROR(VLOOKUP(DF62,源_6社保表_Sheet1!$C:$BZ,33,FALSE),0)</f>
        <v>0</v>
      </c>
      <c r="CI62">
        <f>IFERROR(VLOOKUP(DF62,源_6社保表_Sheet1!$C:$BZ,34,FALSE),0)</f>
        <v>0</v>
      </c>
      <c r="CJ62">
        <f>IFERROR(VLOOKUP(DF62,源_6社保表_Sheet1!$C:$BZ,38,FALSE),0)</f>
        <v>0</v>
      </c>
      <c r="CK62">
        <f>IFERROR(VLOOKUP(DF62,源_6社保表_Sheet1!$C:$BZ,35,FALSE),0)</f>
        <v>0</v>
      </c>
      <c r="CL62">
        <f>IFERROR(VLOOKUP(DF62,源_6社保表_Sheet1!$C:$BZ,36,FALSE),0)</f>
        <v>0</v>
      </c>
      <c r="CM62">
        <f>IFERROR(VLOOKUP(DF62,源_6社保表_Sheet1!$C:$BZ,37,FALSE),0)</f>
        <v>0</v>
      </c>
      <c r="CN62">
        <f t="shared" si="19"/>
        <v>1179.5663999999999</v>
      </c>
      <c r="CO62">
        <f t="shared" si="20"/>
        <v>5792.0663999999997</v>
      </c>
      <c r="CP62">
        <f>IF(IFERROR(VLOOKUP(K62,源_13残疾人信息_残疾人信息!$A:$M,1,FALSE),"")&lt;&gt;"",0,IF(OR(P62="门店全职",P62="门店管理组",P62="全职(非门店)"),(BI62-AT62)*IFERROR(VLOOKUP(D62,源_12计提残保金规则_Sheet1!$A:$E,4,FALSE),0)*IFERROR(VLOOKUP(D62,源_12计提残保金规则_Sheet1!$A:$E,5,FALSE),0),0))</f>
        <v>8.8326000000000011</v>
      </c>
      <c r="CQ62">
        <f t="shared" si="21"/>
        <v>16.05</v>
      </c>
      <c r="CR62">
        <f t="shared" si="22"/>
        <v>20.67</v>
      </c>
      <c r="CS62">
        <f>IF(DATEVALUE(N62)&gt;DATE(参数!$B$2,9,30),0,IF(M62="行政",0,IF(O62="",R62/12,IF(MONTH(DATEVALUE(O62))=参数!$B$3,0,IF(DATEVALUE(O62)&lt;DATE(参数!$B$2,参数!$B$3,1),0,R62/12)))))</f>
        <v>320</v>
      </c>
      <c r="CT62">
        <f t="shared" si="23"/>
        <v>0</v>
      </c>
      <c r="CU62">
        <f>IFERROR(VLOOKUP(DF62,源_6社保表_Sheet1!$C:$I,2,FALSE),0)</f>
        <v>4952</v>
      </c>
      <c r="CV62">
        <f>IFERROR(VLOOKUP(DF62,源_6社保表_Sheet1!$C:$I,7,FALSE),0)</f>
        <v>4952</v>
      </c>
      <c r="CW62">
        <f>IFERROR(VLOOKUP(DF62,源_6社保表_Sheet1!$C:$I,3,FALSE),0)</f>
        <v>4952</v>
      </c>
      <c r="CX62">
        <f>IFERROR(VLOOKUP(DF62,源_6社保表_Sheet1!$C:$I,4,FALSE),0)</f>
        <v>4952</v>
      </c>
      <c r="CY62">
        <f>IFERROR(VLOOKUP(DF62,源_6社保表_Sheet1!$C:$I,5,FALSE),0)</f>
        <v>4952</v>
      </c>
      <c r="CZ62">
        <f>IFERROR(VLOOKUP(DF62,源_6社保表_Sheet1!$C:$I,6,FALSE),0)</f>
        <v>0</v>
      </c>
      <c r="DA62">
        <f t="shared" si="24"/>
        <v>5019.5663999999997</v>
      </c>
      <c r="DB62">
        <f t="shared" si="25"/>
        <v>5391.6189999999997</v>
      </c>
      <c r="DC62" t="str">
        <f>IFERROR(VLOOKUP(K62,源_7银行卡表_Sheet1!$A:$J,8,FALSE),"")</f>
        <v>中信银行</v>
      </c>
      <c r="DD62" t="str">
        <f>IFERROR(VLOOKUP(K62,源_7银行卡表_Sheet1!$A:$J,9,FALSE),"")</f>
        <v>6283105272858432725</v>
      </c>
      <c r="DE62" t="str">
        <f>IFERROR(VLOOKUP(K62,源_7银行卡表_Sheet1!$A:$J,10,FALSE),"")</f>
        <v>中信银行鞍山胜利路支行</v>
      </c>
      <c r="DF62" t="s">
        <v>403</v>
      </c>
      <c r="DG62">
        <v>15674474909</v>
      </c>
      <c r="DH62" t="s">
        <v>203</v>
      </c>
      <c r="DI62">
        <v>0</v>
      </c>
      <c r="DJ62">
        <v>0</v>
      </c>
      <c r="DK62">
        <v>0</v>
      </c>
      <c r="DL62">
        <v>0</v>
      </c>
      <c r="DM62">
        <v>0</v>
      </c>
      <c r="DN62">
        <v>0</v>
      </c>
      <c r="DO62">
        <v>0</v>
      </c>
      <c r="DP62">
        <v>0</v>
      </c>
      <c r="DQ62">
        <v>0</v>
      </c>
      <c r="DR62">
        <f>IF(OR(IFERROR(VLOOKUP(K62,源_3考勤报表_考勤表!$F:$BG,39,FALSE),0)+IFERROR(VLOOKUP(K62,源_8补工时表_补当月工时!$A:$AC,24,FALSE),0)=0,IFERROR(VLOOKUP(K62,源_3考勤报表_考勤表!$F:$BG,43,FALSE),0)+IFERROR(VLOOKUP(K62,源_8补工时表_补当月工时!$A:$AC,26,FALSE),0)=0),IF(BI62+BG62-BT62&lt;0,BI62+BG62-BT62,0),0)</f>
        <v>0</v>
      </c>
    </row>
    <row r="63" spans="1:122" x14ac:dyDescent="0.15">
      <c r="A63">
        <f>参数!$B$2</f>
        <v>2025</v>
      </c>
      <c r="B63">
        <f>参数!$B$3</f>
        <v>12</v>
      </c>
      <c r="D63" t="s">
        <v>404</v>
      </c>
      <c r="E63" t="s">
        <v>123</v>
      </c>
      <c r="F63" t="str">
        <f>IFERROR(VLOOKUP(K63,源_7银行卡表_Sheet1!$A:$J,6,FALSE),"")</f>
        <v>华东营运</v>
      </c>
      <c r="G63" t="s">
        <v>405</v>
      </c>
      <c r="H63" t="s">
        <v>406</v>
      </c>
      <c r="I63" t="s">
        <v>407</v>
      </c>
      <c r="J63">
        <v>1</v>
      </c>
      <c r="K63">
        <v>26123062</v>
      </c>
      <c r="L63" t="s">
        <v>408</v>
      </c>
      <c r="M63" t="s">
        <v>218</v>
      </c>
      <c r="N63" t="s">
        <v>409</v>
      </c>
      <c r="P63" t="s">
        <v>131</v>
      </c>
      <c r="Q63">
        <f>IF(P63="门店全职",IFERROR(VLOOKUP(K63,源_3考勤报表_考勤表!$F:$BG,34,FALSE),0)+IFERROR(VLOOKUP(K63,源_8补工时表_补当月工时!$A:$AC,14,FALSE),0),IF(P63="门店管理组",IF(IFERROR(VLOOKUP(K63,源_3考勤报表_考勤表!$F:$BG,34,FALSE),0)+IFERROR(VLOOKUP(K63,源_8补工时表_补当月工时!$A:$AC,14,FALSE),0)+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44,FALSE),0)+IFERROR(VLOOKUP(K63,源_8补工时表_补当月工时!$A:$AC,16,FALSE),0)+IFERROR(VLOOKUP(K63,源_3考勤报表_考勤表!$F:$BG,45,FALSE),0)&gt;=参数!$B$4,参数!$B$4-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44,FALSE),0)-IFERROR(VLOOKUP(K63,源_8补工时表_补当月工时!$A:$AC,16,FALSE),0)-IFERROR(VLOOKUP(K63,源_3考勤报表_考勤表!$F:$BG,45,FALSE),0),IFERROR(VLOOKUP(K63,源_3考勤报表_考勤表!$F:$BG,34,FALSE),0)+IFERROR(VLOOKUP(K63,源_8补工时表_补当月工时!$A:$AC,14,FALSE),0)),0))</f>
        <v>172</v>
      </c>
      <c r="R63">
        <v>4300</v>
      </c>
      <c r="S63">
        <v>0</v>
      </c>
      <c r="T63">
        <f>IF(P63="门店全职",R63/参数!$B$4*(Q63-MAX(IFERROR(VLOOKUP(K63,源_3考勤报表_考勤表!$F:$BG,34,FALSE),0)+IFERROR(VLOOKUP(K63,源_8补工时表_补当月工时!$A:$AC,14,FALSE),0)+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参数!$B$4,0)),R63/参数!$B$4*Q63)</f>
        <v>4019.5652173913045</v>
      </c>
      <c r="U63">
        <v>0</v>
      </c>
      <c r="V63">
        <v>0</v>
      </c>
      <c r="W63">
        <f t="shared" si="13"/>
        <v>0</v>
      </c>
      <c r="X63">
        <f>IFERROR(VLOOKUP(K63,源_4奖金汇总表_拆分手工算!$A:$N,8,FALSE),0)</f>
        <v>0</v>
      </c>
      <c r="Y63">
        <f>IFERROR(VLOOKUP(K63,源_5薪资备忘录_工资调整项!$A:$AC,14,FALSE),0)</f>
        <v>0</v>
      </c>
      <c r="Z63">
        <f>IFERROR(VLOOKUP(K63,源_5薪资备忘录_工资调整项!$A:$AC,16,FALSE),0)</f>
        <v>0</v>
      </c>
      <c r="AA63">
        <f>IFERROR(VLOOKUP(K63,源_5薪资备忘录_工资调整项!$A:$AC,15,FALSE),0)</f>
        <v>0</v>
      </c>
      <c r="AB63">
        <f t="shared" si="14"/>
        <v>0</v>
      </c>
      <c r="AC63">
        <f>IF(P63="门店全职",R63/174*MAX(IFERROR(VLOOKUP(K63,源_3考勤报表_考勤表!$F:$BG,34,FALSE),0)+IFERROR(VLOOKUP(K63,源_8补工时表_补当月工时!$A:$AC,14,FALSE),0)+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参数!$B$4,0)*1.5,0)</f>
        <v>0</v>
      </c>
      <c r="AD63">
        <v>0</v>
      </c>
      <c r="AE63">
        <f>IFERROR(VLOOKUP(K63,源_3考勤报表_考勤表!$F:$BG,46,FALSE),0)+IFERROR(VLOOKUP(K63,源_8补工时表_补当月工时!$A:$AC,25,FALSE),0)</f>
        <v>0</v>
      </c>
      <c r="AF63">
        <f t="shared" si="15"/>
        <v>0</v>
      </c>
      <c r="AG63">
        <f>IFERROR(VLOOKUP(K63,源_4奖金汇总表_拆分手工算!$A:$N,10,FALSE),0)</f>
        <v>0</v>
      </c>
      <c r="AH63">
        <f>IFERROR(VLOOKUP(K63,源_4奖金汇总表_拆分手工算!$A:$N,5,FALSE),0)</f>
        <v>0</v>
      </c>
      <c r="AI63">
        <f>IFERROR(VLOOKUP(K63,源_4奖金汇总表_拆分手工算!$A:$N,11,FALSE),0)</f>
        <v>0</v>
      </c>
      <c r="AJ63">
        <f>IFERROR(VLOOKUP(K63,源_4奖金汇总表_拆分手工算!$A:$N,4,FALSE),0)</f>
        <v>1200</v>
      </c>
      <c r="AK63">
        <f>IFERROR(VLOOKUP(K63,源_4奖金汇总表_拆分手工算!$A:$N,3,FALSE),0)</f>
        <v>0</v>
      </c>
      <c r="AL63">
        <f>IFERROR(VLOOKUP(K63,源_4奖金汇总表_拆分手工算!$A:$N,6,FALSE),0)</f>
        <v>0</v>
      </c>
      <c r="AM63">
        <f>IFERROR(VLOOKUP(K63,源_5薪资备忘录_工资调整项!$A:$AC,18,FALSE),0)+IFERROR(VLOOKUP(K63,源_4奖金汇总表_拆分手工算!$A:$N,7,FALSE),0)</f>
        <v>0</v>
      </c>
      <c r="AN63">
        <f>IFERROR(VLOOKUP(K63,源_5薪资备忘录_工资调整项!$A:$AC,17,FALSE),0)</f>
        <v>0</v>
      </c>
      <c r="AO63">
        <f>IF(OR(IFERROR(VLOOKUP(K63,源_3考勤报表_考勤表!$F:$BG,39,FALSE),0)+IFERROR(VLOOKUP(K63,源_8补工时表_补当月工时!$A:$AC,24,FALSE),0)&gt;0,IFERROR(VLOOKUP(K63,源_3考勤报表_考勤表!$F:$BG,43,FALSE),0)+IFERROR(VLOOKUP(K63,源_8补工时表_补当月工时!$A:$AC,26,FALSE),0)&gt;0),IF(IFERROR(VLOOKUP(DH63,源_11产假政策_Sheet1!$C:$F,4,FALSE),"")="是",R63/参数!$B$4*(IFERROR(VLOOKUP(K63,源_3考勤报表_考勤表!$F:$BG,39,FALSE),0)+IFERROR(VLOOKUP(K63,源_8补工时表_补当月工时!$A:$AC,24,FALSE),0)+IFERROR(VLOOKUP(K63,源_3考勤报表_考勤表!$F:$BG,43,FALSE),0)+IFERROR(VLOOKUP(K63,源_8补工时表_补当月工时!$A:$AC,26,FALSE),0)),IFERROR(VLOOKUP(K63,源_5薪资备忘录_工资调整项!$A:$AC,19,FALSE),0)),0)</f>
        <v>0</v>
      </c>
      <c r="AP63">
        <v>0</v>
      </c>
      <c r="AQ63">
        <f>IFERROR(VLOOKUP(K63,源_4奖金汇总表_拆分手工算!$A:$N,12,FALSE),0)+IFERROR(VLOOKUP(K63,源_9年终奖表_Sheet1!$A:$E,3,FALSE),0)</f>
        <v>0</v>
      </c>
      <c r="AR63">
        <f>IFERROR(VLOOKUP(K63,源_4奖金汇总表_拆分手工算!$A:$N,13,FALSE),0)+IFERROR(VLOOKUP(K63,源_9年终奖表_Sheet1!$A:$E,4,FALSE),0)</f>
        <v>0</v>
      </c>
      <c r="AS63">
        <f>IFERROR(VLOOKUP(K63,源_4奖金汇总表_拆分手工算!$A:$N,14,FALSE),0)+IFERROR(VLOOKUP(K63,源_9年终奖表_Sheet1!$A:$E,5,FALSE),0)</f>
        <v>0</v>
      </c>
      <c r="AT63">
        <f>IFERROR(VLOOKUP(K63,源_5薪资备忘录_工资调整项!$A:$AC,20,FALSE),0)</f>
        <v>0</v>
      </c>
      <c r="AU63">
        <f>IFERROR(VLOOKUP(K63,源_5薪资备忘录_工资调整项!$A:$AC,21,FALSE),0)+IFERROR(VLOOKUP(K63,源_4奖金汇总表_拆分手工算!$A:$N,9,FALSE),0)</f>
        <v>0</v>
      </c>
      <c r="AV63">
        <f>R63/参数!$B$4*(IFERROR(VLOOKUP(K63,源_3考勤报表_考勤表!$F:$BG,37,FALSE),0)+IFERROR(VLOOKUP(K63,源_8补工时表_补当月工时!$A:$AC,15,FALSE),0))</f>
        <v>280.43478260869563</v>
      </c>
      <c r="AW63">
        <f>R63/174*MIN(IFERROR(VLOOKUP(K63,源_3考勤报表_考勤表!$F:$BG,35,FALSE),0),174)*IF(DATEDIF(N63,DATE(参数!$B$2,参数!$B$3+1,0),"Y")&lt;2,0.6,IF(DATEDIF(N63,DATE(参数!$B$2,参数!$B$3+1,0),"Y")&lt;4,0.7,IF(DATEDIF(N63,DATE(参数!$B$2,参数!$B$3+1,0),"Y")&lt;6,0.8,IF(DATEDIF(N63,DATE(参数!$B$2,参数!$B$3+1,0),"Y")&lt;8,0.9,1))))</f>
        <v>0</v>
      </c>
      <c r="AX63">
        <f>IF(Q63+IFERROR(VLOOKUP(K63,源_3考勤报表_考勤表!$F:$BG,37,FALSE),0)+IFERROR(VLOOKUP(K63,源_8补工时表_补当月工时!$A:$AC,15,FALSE),0)&gt;=参数!$B$4,0,IF(Q63+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lt;=参数!$B$4,R63/参数!$B$4*(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0))</f>
        <v>0</v>
      </c>
      <c r="AY63">
        <v>0</v>
      </c>
      <c r="AZ63">
        <v>0</v>
      </c>
      <c r="BA63">
        <v>0</v>
      </c>
      <c r="BB63">
        <v>0</v>
      </c>
      <c r="BC63">
        <f>IFERROR(VLOOKUP(K63,源_5薪资备忘录_工资调整项!$A:$AC,25,FALSE),0)</f>
        <v>0</v>
      </c>
      <c r="BD63">
        <v>0</v>
      </c>
      <c r="BE63">
        <v>0</v>
      </c>
      <c r="BF63">
        <v>0</v>
      </c>
      <c r="BG63">
        <f>IFERROR(VLOOKUP(K63,源_5薪资备忘录_工资调整项!$A:$AC,22,FALSE),0)+IFERROR(VLOOKUP(K63,源_5薪资备忘录_工资调整项!$A:$AC,23,FALSE),0)+IFERROR(VLOOKUP(K63,源_5薪资备忘录_工资调整项!$A:$AC,24,FALSE),0)</f>
        <v>0</v>
      </c>
      <c r="BH63">
        <f>IFERROR(VLOOKUP(DF63,源_6社保表_Sheet1!$C:$CD,80,FALSE),0)+4.5</f>
        <v>6.5</v>
      </c>
      <c r="BI63">
        <f t="shared" si="16"/>
        <v>5500</v>
      </c>
      <c r="BJ63">
        <f>IFERROR(VLOOKUP(DF63,源_6社保表_Sheet1!$C:$BZ,26,FALSE),0)</f>
        <v>247.6</v>
      </c>
      <c r="BK63">
        <f>IFERROR(VLOOKUP(DF63,源_6社保表_Sheet1!$C:$BZ,27,FALSE),0)</f>
        <v>49.52</v>
      </c>
      <c r="BL63">
        <f>IFERROR(VLOOKUP(DF63,源_6社保表_Sheet1!$C:$BZ,28,FALSE),0)</f>
        <v>24.76</v>
      </c>
      <c r="BM63">
        <f>IFERROR(VLOOKUP(DF63,源_6社保表_Sheet1!$C:$BZ,30,FALSE),0)</f>
        <v>220.65</v>
      </c>
      <c r="BN63">
        <f>IFERROR(VLOOKUP(DF63,源_6社保表_Sheet1!$C:$BZ,29,FALSE),0)</f>
        <v>0</v>
      </c>
      <c r="BO63">
        <f>IFERROR(VLOOKUP(DF63,源_6社保表_Sheet1!$C:$BZ,40,FALSE),0)</f>
        <v>0</v>
      </c>
      <c r="BP63">
        <f>IFERROR(VLOOKUP(DF63,源_6社保表_Sheet1!$C:$BZ,41,FALSE),0)</f>
        <v>0</v>
      </c>
      <c r="BQ63">
        <f>IFERROR(VLOOKUP(DF63,源_6社保表_Sheet1!$C:$BZ,42,FALSE),0)</f>
        <v>0</v>
      </c>
      <c r="BR63">
        <f>IFERROR(VLOOKUP(DF63,源_6社保表_Sheet1!$C:$BZ,44,FALSE),0)</f>
        <v>0</v>
      </c>
      <c r="BS63">
        <f>IFERROR(VLOOKUP(DF63,源_6社保表_Sheet1!$C:$BZ,43,FALSE),0)</f>
        <v>0</v>
      </c>
      <c r="BT63">
        <f t="shared" si="17"/>
        <v>542.53</v>
      </c>
      <c r="BU63">
        <v>0</v>
      </c>
      <c r="BV63">
        <v>0</v>
      </c>
      <c r="BW63">
        <v>0</v>
      </c>
      <c r="BX63">
        <f t="shared" si="18"/>
        <v>0</v>
      </c>
      <c r="BY63">
        <v>0</v>
      </c>
      <c r="BZ63">
        <f>IFERROR(VLOOKUP(DF63,源_6社保表_Sheet1!$C:$BZ,18,FALSE),0)</f>
        <v>594.24</v>
      </c>
      <c r="CA63">
        <f>IFERROR(VLOOKUP(DF63,源_6社保表_Sheet1!$C:$BZ,19,FALSE),0)</f>
        <v>297.12</v>
      </c>
      <c r="CB63">
        <f>IFERROR(VLOOKUP(DF63,源_6社保表_Sheet1!$C:$BZ,24,FALSE),0)</f>
        <v>220.65</v>
      </c>
      <c r="CC63">
        <f>IFERROR(VLOOKUP(DF63,源_6社保表_Sheet1!$C:$BZ,20,FALSE),0)</f>
        <v>24.76</v>
      </c>
      <c r="CD63">
        <f>IFERROR(VLOOKUP(DF63,源_6社保表_Sheet1!$C:$BZ,21,FALSE),0)</f>
        <v>15.846399999999999</v>
      </c>
      <c r="CE63">
        <f>IFERROR(VLOOKUP(DF63,源_6社保表_Sheet1!$C:$BZ,22,FALSE),0)</f>
        <v>0</v>
      </c>
      <c r="CF63">
        <f>IFERROR(VLOOKUP(DF63,源_6社保表_Sheet1!$C:$BZ,23,FALSE),0)</f>
        <v>0</v>
      </c>
      <c r="CG63">
        <f>IFERROR(VLOOKUP(DF63,源_6社保表_Sheet1!$C:$BZ,32,FALSE),0)</f>
        <v>0</v>
      </c>
      <c r="CH63">
        <f>IFERROR(VLOOKUP(DF63,源_6社保表_Sheet1!$C:$BZ,33,FALSE),0)</f>
        <v>0</v>
      </c>
      <c r="CI63">
        <f>IFERROR(VLOOKUP(DF63,源_6社保表_Sheet1!$C:$BZ,34,FALSE),0)</f>
        <v>0</v>
      </c>
      <c r="CJ63">
        <f>IFERROR(VLOOKUP(DF63,源_6社保表_Sheet1!$C:$BZ,38,FALSE),0)</f>
        <v>0</v>
      </c>
      <c r="CK63">
        <f>IFERROR(VLOOKUP(DF63,源_6社保表_Sheet1!$C:$BZ,35,FALSE),0)</f>
        <v>0</v>
      </c>
      <c r="CL63">
        <f>IFERROR(VLOOKUP(DF63,源_6社保表_Sheet1!$C:$BZ,36,FALSE),0)</f>
        <v>0</v>
      </c>
      <c r="CM63">
        <f>IFERROR(VLOOKUP(DF63,源_6社保表_Sheet1!$C:$BZ,37,FALSE),0)</f>
        <v>0</v>
      </c>
      <c r="CN63">
        <f t="shared" si="19"/>
        <v>1152.6163999999999</v>
      </c>
      <c r="CO63">
        <f t="shared" si="20"/>
        <v>6659.1163999999999</v>
      </c>
      <c r="CP63">
        <f>IF(IFERROR(VLOOKUP(K63,源_13残疾人信息_残疾人信息!$A:$M,1,FALSE),"")&lt;&gt;"",0,IF(OR(P63="门店全职",P63="门店管理组",P63="全职(非门店)"),(BI63-AT63)*IFERROR(VLOOKUP(D63,源_12计提残保金规则_Sheet1!$A:$E,4,FALSE),0)*IFERROR(VLOOKUP(D63,源_12计提残保金规则_Sheet1!$A:$E,5,FALSE),0),0))</f>
        <v>57.749999999999993</v>
      </c>
      <c r="CQ63">
        <f t="shared" si="21"/>
        <v>16.05</v>
      </c>
      <c r="CR63">
        <f t="shared" si="22"/>
        <v>20.67</v>
      </c>
      <c r="CS63">
        <f>IF(DATEVALUE(N63)&gt;DATE(参数!$B$2,9,30),0,IF(M63="行政",0,IF(O63="",R63/12,IF(MONTH(DATEVALUE(O63))=参数!$B$3,0,IF(DATEVALUE(O63)&lt;DATE(参数!$B$2,参数!$B$3,1),0,R63/12)))))</f>
        <v>358.33333333333331</v>
      </c>
      <c r="CT63">
        <f t="shared" si="23"/>
        <v>438.59999999999997</v>
      </c>
      <c r="CU63">
        <f>IFERROR(VLOOKUP(DF63,源_6社保表_Sheet1!$C:$I,2,FALSE),0)</f>
        <v>4952</v>
      </c>
      <c r="CV63">
        <f>IFERROR(VLOOKUP(DF63,源_6社保表_Sheet1!$C:$I,7,FALSE),0)</f>
        <v>4413</v>
      </c>
      <c r="CW63">
        <f>IFERROR(VLOOKUP(DF63,源_6社保表_Sheet1!$C:$I,3,FALSE),0)</f>
        <v>4952</v>
      </c>
      <c r="CX63">
        <f>IFERROR(VLOOKUP(DF63,源_6社保表_Sheet1!$C:$I,4,FALSE),0)</f>
        <v>4952</v>
      </c>
      <c r="CY63">
        <f>IFERROR(VLOOKUP(DF63,源_6社保表_Sheet1!$C:$I,5,FALSE),0)</f>
        <v>4952</v>
      </c>
      <c r="CZ63">
        <f>IFERROR(VLOOKUP(DF63,源_6社保表_Sheet1!$C:$I,6,FALSE),0)</f>
        <v>0</v>
      </c>
      <c r="DA63">
        <f t="shared" si="24"/>
        <v>5452.6163999999999</v>
      </c>
      <c r="DB63">
        <f t="shared" si="25"/>
        <v>6350.5197333333335</v>
      </c>
      <c r="DC63" t="str">
        <f>IFERROR(VLOOKUP(K63,源_7银行卡表_Sheet1!$A:$J,8,FALSE),"")</f>
        <v>中信银行</v>
      </c>
      <c r="DD63" t="str">
        <f>IFERROR(VLOOKUP(K63,源_7银行卡表_Sheet1!$A:$J,9,FALSE),"")</f>
        <v>6280468975896648472</v>
      </c>
      <c r="DE63" t="str">
        <f>IFERROR(VLOOKUP(K63,源_7银行卡表_Sheet1!$A:$J,10,FALSE),"")</f>
        <v>中信银行北京安贞支行</v>
      </c>
      <c r="DF63" t="s">
        <v>410</v>
      </c>
      <c r="DG63">
        <v>14867741644</v>
      </c>
      <c r="DH63" t="s">
        <v>405</v>
      </c>
      <c r="DI63">
        <v>0</v>
      </c>
      <c r="DJ63">
        <v>0</v>
      </c>
      <c r="DK63">
        <v>0</v>
      </c>
      <c r="DL63">
        <v>0</v>
      </c>
      <c r="DM63">
        <v>0</v>
      </c>
      <c r="DN63">
        <v>0</v>
      </c>
      <c r="DO63">
        <v>0</v>
      </c>
      <c r="DP63">
        <v>0</v>
      </c>
      <c r="DQ63">
        <v>0</v>
      </c>
      <c r="DR63">
        <f>IF(OR(IFERROR(VLOOKUP(K63,源_3考勤报表_考勤表!$F:$BG,39,FALSE),0)+IFERROR(VLOOKUP(K63,源_8补工时表_补当月工时!$A:$AC,24,FALSE),0)=0,IFERROR(VLOOKUP(K63,源_3考勤报表_考勤表!$F:$BG,43,FALSE),0)+IFERROR(VLOOKUP(K63,源_8补工时表_补当月工时!$A:$AC,26,FALSE),0)=0),IF(BI63+BG63-BT63&lt;0,BI63+BG63-BT63,0),0)</f>
        <v>0</v>
      </c>
    </row>
    <row r="64" spans="1:122" x14ac:dyDescent="0.15">
      <c r="A64">
        <f>参数!$B$2</f>
        <v>2025</v>
      </c>
      <c r="B64">
        <f>参数!$B$3</f>
        <v>12</v>
      </c>
      <c r="D64" t="s">
        <v>411</v>
      </c>
      <c r="E64" t="s">
        <v>123</v>
      </c>
      <c r="F64" t="str">
        <f>IFERROR(VLOOKUP(K64,源_7银行卡表_Sheet1!$A:$J,6,FALSE),"")</f>
        <v>华东营运</v>
      </c>
      <c r="G64" t="s">
        <v>412</v>
      </c>
      <c r="H64" t="s">
        <v>413</v>
      </c>
      <c r="I64" t="s">
        <v>414</v>
      </c>
      <c r="J64">
        <v>1</v>
      </c>
      <c r="K64">
        <v>26123063</v>
      </c>
      <c r="L64" t="s">
        <v>415</v>
      </c>
      <c r="M64" t="s">
        <v>218</v>
      </c>
      <c r="N64" t="s">
        <v>416</v>
      </c>
      <c r="P64" t="s">
        <v>131</v>
      </c>
      <c r="Q64">
        <f>IF(P64="门店全职",IFERROR(VLOOKUP(K64,源_3考勤报表_考勤表!$F:$BG,34,FALSE),0)+IFERROR(VLOOKUP(K64,源_8补工时表_补当月工时!$A:$AC,14,FALSE),0),IF(P64="门店管理组",IF(IFERROR(VLOOKUP(K64,源_3考勤报表_考勤表!$F:$BG,34,FALSE),0)+IFERROR(VLOOKUP(K64,源_8补工时表_补当月工时!$A:$AC,14,FALSE),0)+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44,FALSE),0)+IFERROR(VLOOKUP(K64,源_8补工时表_补当月工时!$A:$AC,16,FALSE),0)+IFERROR(VLOOKUP(K64,源_3考勤报表_考勤表!$F:$BG,45,FALSE),0)&gt;=参数!$B$4,参数!$B$4-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44,FALSE),0)-IFERROR(VLOOKUP(K64,源_8补工时表_补当月工时!$A:$AC,16,FALSE),0)-IFERROR(VLOOKUP(K64,源_3考勤报表_考勤表!$F:$BG,45,FALSE),0),IFERROR(VLOOKUP(K64,源_3考勤报表_考勤表!$F:$BG,34,FALSE),0)+IFERROR(VLOOKUP(K64,源_8补工时表_补当月工时!$A:$AC,14,FALSE),0)),0))</f>
        <v>0</v>
      </c>
      <c r="R64">
        <v>4300</v>
      </c>
      <c r="S64">
        <v>0</v>
      </c>
      <c r="T64">
        <f>IF(P64="门店全职",R64/参数!$B$4*(Q64-MAX(IFERROR(VLOOKUP(K64,源_3考勤报表_考勤表!$F:$BG,34,FALSE),0)+IFERROR(VLOOKUP(K64,源_8补工时表_补当月工时!$A:$AC,14,FALSE),0)+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参数!$B$4,0)),R64/参数!$B$4*Q64)</f>
        <v>0</v>
      </c>
      <c r="U64">
        <v>0</v>
      </c>
      <c r="V64">
        <v>0</v>
      </c>
      <c r="W64">
        <f t="shared" si="13"/>
        <v>102</v>
      </c>
      <c r="X64">
        <f>IFERROR(VLOOKUP(K64,源_4奖金汇总表_拆分手工算!$A:$N,8,FALSE),0)</f>
        <v>102</v>
      </c>
      <c r="Y64">
        <f>IFERROR(VLOOKUP(K64,源_5薪资备忘录_工资调整项!$A:$AC,14,FALSE),0)</f>
        <v>0</v>
      </c>
      <c r="Z64">
        <f>IFERROR(VLOOKUP(K64,源_5薪资备忘录_工资调整项!$A:$AC,16,FALSE),0)</f>
        <v>0</v>
      </c>
      <c r="AA64">
        <f>IFERROR(VLOOKUP(K64,源_5薪资备忘录_工资调整项!$A:$AC,15,FALSE),0)</f>
        <v>0</v>
      </c>
      <c r="AB64">
        <f t="shared" si="14"/>
        <v>0</v>
      </c>
      <c r="AC64">
        <f>IF(P64="门店全职",R64/174*MAX(IFERROR(VLOOKUP(K64,源_3考勤报表_考勤表!$F:$BG,34,FALSE),0)+IFERROR(VLOOKUP(K64,源_8补工时表_补当月工时!$A:$AC,14,FALSE),0)+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参数!$B$4,0)*1.5,0)</f>
        <v>0</v>
      </c>
      <c r="AD64">
        <v>0</v>
      </c>
      <c r="AE64">
        <f>IFERROR(VLOOKUP(K64,源_3考勤报表_考勤表!$F:$BG,46,FALSE),0)+IFERROR(VLOOKUP(K64,源_8补工时表_补当月工时!$A:$AC,25,FALSE),0)</f>
        <v>0</v>
      </c>
      <c r="AF64">
        <f t="shared" si="15"/>
        <v>0</v>
      </c>
      <c r="AG64">
        <f>IFERROR(VLOOKUP(K64,源_4奖金汇总表_拆分手工算!$A:$N,10,FALSE),0)</f>
        <v>0</v>
      </c>
      <c r="AH64">
        <f>IFERROR(VLOOKUP(K64,源_4奖金汇总表_拆分手工算!$A:$N,5,FALSE),0)</f>
        <v>0</v>
      </c>
      <c r="AI64">
        <f>IFERROR(VLOOKUP(K64,源_4奖金汇总表_拆分手工算!$A:$N,11,FALSE),0)</f>
        <v>0</v>
      </c>
      <c r="AJ64">
        <f>IFERROR(VLOOKUP(K64,源_4奖金汇总表_拆分手工算!$A:$N,4,FALSE),0)</f>
        <v>0</v>
      </c>
      <c r="AK64">
        <f>IFERROR(VLOOKUP(K64,源_4奖金汇总表_拆分手工算!$A:$N,3,FALSE),0)</f>
        <v>0</v>
      </c>
      <c r="AL64">
        <f>IFERROR(VLOOKUP(K64,源_4奖金汇总表_拆分手工算!$A:$N,6,FALSE),0)</f>
        <v>0</v>
      </c>
      <c r="AM64">
        <f>IFERROR(VLOOKUP(K64,源_5薪资备忘录_工资调整项!$A:$AC,18,FALSE),0)+IFERROR(VLOOKUP(K64,源_4奖金汇总表_拆分手工算!$A:$N,7,FALSE),0)</f>
        <v>0</v>
      </c>
      <c r="AN64">
        <f>IFERROR(VLOOKUP(K64,源_5薪资备忘录_工资调整项!$A:$AC,17,FALSE),0)</f>
        <v>0</v>
      </c>
      <c r="AO64">
        <f>IF(OR(IFERROR(VLOOKUP(K64,源_3考勤报表_考勤表!$F:$BG,39,FALSE),0)+IFERROR(VLOOKUP(K64,源_8补工时表_补当月工时!$A:$AC,24,FALSE),0)&gt;0,IFERROR(VLOOKUP(K64,源_3考勤报表_考勤表!$F:$BG,43,FALSE),0)+IFERROR(VLOOKUP(K64,源_8补工时表_补当月工时!$A:$AC,26,FALSE),0)&gt;0),IF(IFERROR(VLOOKUP(DH64,源_11产假政策_Sheet1!$C:$F,4,FALSE),"")="是",R64/参数!$B$4*(IFERROR(VLOOKUP(K64,源_3考勤报表_考勤表!$F:$BG,39,FALSE),0)+IFERROR(VLOOKUP(K64,源_8补工时表_补当月工时!$A:$AC,24,FALSE),0)+IFERROR(VLOOKUP(K64,源_3考勤报表_考勤表!$F:$BG,43,FALSE),0)+IFERROR(VLOOKUP(K64,源_8补工时表_补当月工时!$A:$AC,26,FALSE),0)),IFERROR(VLOOKUP(K64,源_5薪资备忘录_工资调整项!$A:$AC,19,FALSE),0)),0)</f>
        <v>0</v>
      </c>
      <c r="AP64">
        <v>0</v>
      </c>
      <c r="AQ64">
        <f>IFERROR(VLOOKUP(K64,源_4奖金汇总表_拆分手工算!$A:$N,12,FALSE),0)+IFERROR(VLOOKUP(K64,源_9年终奖表_Sheet1!$A:$E,3,FALSE),0)</f>
        <v>0</v>
      </c>
      <c r="AR64">
        <f>IFERROR(VLOOKUP(K64,源_4奖金汇总表_拆分手工算!$A:$N,13,FALSE),0)+IFERROR(VLOOKUP(K64,源_9年终奖表_Sheet1!$A:$E,4,FALSE),0)</f>
        <v>0</v>
      </c>
      <c r="AS64">
        <f>IFERROR(VLOOKUP(K64,源_4奖金汇总表_拆分手工算!$A:$N,14,FALSE),0)+IFERROR(VLOOKUP(K64,源_9年终奖表_Sheet1!$A:$E,5,FALSE),0)</f>
        <v>0</v>
      </c>
      <c r="AT64">
        <f>IFERROR(VLOOKUP(K64,源_5薪资备忘录_工资调整项!$A:$AC,20,FALSE),0)</f>
        <v>0</v>
      </c>
      <c r="AU64">
        <f>IFERROR(VLOOKUP(K64,源_5薪资备忘录_工资调整项!$A:$AC,21,FALSE),0)+IFERROR(VLOOKUP(K64,源_4奖金汇总表_拆分手工算!$A:$N,9,FALSE),0)</f>
        <v>0</v>
      </c>
      <c r="AV64">
        <f>R64/参数!$B$4*(IFERROR(VLOOKUP(K64,源_3考勤报表_考勤表!$F:$BG,37,FALSE),0)+IFERROR(VLOOKUP(K64,源_8补工时表_补当月工时!$A:$AC,15,FALSE),0))</f>
        <v>0</v>
      </c>
      <c r="AW64">
        <f>R64/174*MIN(IFERROR(VLOOKUP(K64,源_3考勤报表_考勤表!$F:$BG,35,FALSE),0),174)*IF(DATEDIF(N64,DATE(参数!$B$2,参数!$B$3+1,0),"Y")&lt;2,0.6,IF(DATEDIF(N64,DATE(参数!$B$2,参数!$B$3+1,0),"Y")&lt;4,0.7,IF(DATEDIF(N64,DATE(参数!$B$2,参数!$B$3+1,0),"Y")&lt;6,0.8,IF(DATEDIF(N64,DATE(参数!$B$2,参数!$B$3+1,0),"Y")&lt;8,0.9,1))))</f>
        <v>0</v>
      </c>
      <c r="AX64">
        <f>IF(Q64+IFERROR(VLOOKUP(K64,源_3考勤报表_考勤表!$F:$BG,37,FALSE),0)+IFERROR(VLOOKUP(K64,源_8补工时表_补当月工时!$A:$AC,15,FALSE),0)&gt;=参数!$B$4,0,IF(Q64+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lt;=参数!$B$4,R64/参数!$B$4*(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0))</f>
        <v>0</v>
      </c>
      <c r="AY64">
        <v>0</v>
      </c>
      <c r="AZ64">
        <v>0</v>
      </c>
      <c r="BA64">
        <v>0</v>
      </c>
      <c r="BB64">
        <v>0</v>
      </c>
      <c r="BC64">
        <f>IFERROR(VLOOKUP(K64,源_5薪资备忘录_工资调整项!$A:$AC,25,FALSE),0)</f>
        <v>0</v>
      </c>
      <c r="BD64">
        <v>0</v>
      </c>
      <c r="BE64">
        <v>0</v>
      </c>
      <c r="BF64">
        <v>0</v>
      </c>
      <c r="BG64">
        <f>IFERROR(VLOOKUP(K64,源_5薪资备忘录_工资调整项!$A:$AC,22,FALSE),0)+IFERROR(VLOOKUP(K64,源_5薪资备忘录_工资调整项!$A:$AC,23,FALSE),0)+IFERROR(VLOOKUP(K64,源_5薪资备忘录_工资调整项!$A:$AC,24,FALSE),0)</f>
        <v>0</v>
      </c>
      <c r="BH64">
        <f>IFERROR(VLOOKUP(DF64,源_6社保表_Sheet1!$C:$CD,80,FALSE),0)+4.5</f>
        <v>6.5</v>
      </c>
      <c r="BI64">
        <f t="shared" si="16"/>
        <v>102</v>
      </c>
      <c r="BJ64">
        <f>IFERROR(VLOOKUP(DF64,源_6社保表_Sheet1!$C:$BZ,26,FALSE),0)</f>
        <v>249.3</v>
      </c>
      <c r="BK64">
        <f>IFERROR(VLOOKUP(DF64,源_6社保表_Sheet1!$C:$BZ,27,FALSE),0)</f>
        <v>49.86</v>
      </c>
      <c r="BL64">
        <f>IFERROR(VLOOKUP(DF64,源_6社保表_Sheet1!$C:$BZ,28,FALSE),0)</f>
        <v>24.93</v>
      </c>
      <c r="BM64">
        <f>IFERROR(VLOOKUP(DF64,源_6社保表_Sheet1!$C:$BZ,30,FALSE),0)</f>
        <v>237</v>
      </c>
      <c r="BN64">
        <f>IFERROR(VLOOKUP(DF64,源_6社保表_Sheet1!$C:$BZ,29,FALSE),0)</f>
        <v>0</v>
      </c>
      <c r="BO64">
        <f>IFERROR(VLOOKUP(DF64,源_6社保表_Sheet1!$C:$BZ,40,FALSE),0)</f>
        <v>0</v>
      </c>
      <c r="BP64">
        <f>IFERROR(VLOOKUP(DF64,源_6社保表_Sheet1!$C:$BZ,41,FALSE),0)</f>
        <v>0</v>
      </c>
      <c r="BQ64">
        <f>IFERROR(VLOOKUP(DF64,源_6社保表_Sheet1!$C:$BZ,42,FALSE),0)</f>
        <v>0</v>
      </c>
      <c r="BR64">
        <f>IFERROR(VLOOKUP(DF64,源_6社保表_Sheet1!$C:$BZ,44,FALSE),0)</f>
        <v>0</v>
      </c>
      <c r="BS64">
        <f>IFERROR(VLOOKUP(DF64,源_6社保表_Sheet1!$C:$BZ,43,FALSE),0)</f>
        <v>0</v>
      </c>
      <c r="BT64">
        <f t="shared" si="17"/>
        <v>561.09</v>
      </c>
      <c r="BU64">
        <v>0</v>
      </c>
      <c r="BV64">
        <v>0</v>
      </c>
      <c r="BW64">
        <v>0</v>
      </c>
      <c r="BX64">
        <f t="shared" si="18"/>
        <v>0</v>
      </c>
      <c r="BY64">
        <v>0</v>
      </c>
      <c r="BZ64">
        <f>IFERROR(VLOOKUP(DF64,源_6社保表_Sheet1!$C:$BZ,18,FALSE),0)</f>
        <v>598.32000000000005</v>
      </c>
      <c r="CA64">
        <f>IFERROR(VLOOKUP(DF64,源_6社保表_Sheet1!$C:$BZ,19,FALSE),0)</f>
        <v>299.16000000000003</v>
      </c>
      <c r="CB64">
        <f>IFERROR(VLOOKUP(DF64,源_6社保表_Sheet1!$C:$BZ,24,FALSE),0)</f>
        <v>237</v>
      </c>
      <c r="CC64">
        <f>IFERROR(VLOOKUP(DF64,源_6社保表_Sheet1!$C:$BZ,20,FALSE),0)</f>
        <v>24.93</v>
      </c>
      <c r="CD64">
        <f>IFERROR(VLOOKUP(DF64,源_6社保表_Sheet1!$C:$BZ,21,FALSE),0)</f>
        <v>15.9552</v>
      </c>
      <c r="CE64">
        <f>IFERROR(VLOOKUP(DF64,源_6社保表_Sheet1!$C:$BZ,22,FALSE),0)</f>
        <v>0</v>
      </c>
      <c r="CF64">
        <f>IFERROR(VLOOKUP(DF64,源_6社保表_Sheet1!$C:$BZ,23,FALSE),0)</f>
        <v>0</v>
      </c>
      <c r="CG64">
        <f>IFERROR(VLOOKUP(DF64,源_6社保表_Sheet1!$C:$BZ,32,FALSE),0)</f>
        <v>0</v>
      </c>
      <c r="CH64">
        <f>IFERROR(VLOOKUP(DF64,源_6社保表_Sheet1!$C:$BZ,33,FALSE),0)</f>
        <v>0</v>
      </c>
      <c r="CI64">
        <f>IFERROR(VLOOKUP(DF64,源_6社保表_Sheet1!$C:$BZ,34,FALSE),0)</f>
        <v>0</v>
      </c>
      <c r="CJ64">
        <f>IFERROR(VLOOKUP(DF64,源_6社保表_Sheet1!$C:$BZ,38,FALSE),0)</f>
        <v>0</v>
      </c>
      <c r="CK64">
        <f>IFERROR(VLOOKUP(DF64,源_6社保表_Sheet1!$C:$BZ,35,FALSE),0)</f>
        <v>0</v>
      </c>
      <c r="CL64">
        <f>IFERROR(VLOOKUP(DF64,源_6社保表_Sheet1!$C:$BZ,36,FALSE),0)</f>
        <v>0</v>
      </c>
      <c r="CM64">
        <f>IFERROR(VLOOKUP(DF64,源_6社保表_Sheet1!$C:$BZ,37,FALSE),0)</f>
        <v>0</v>
      </c>
      <c r="CN64">
        <f t="shared" si="19"/>
        <v>1175.3652000000002</v>
      </c>
      <c r="CO64">
        <f t="shared" si="20"/>
        <v>1283.8652000000002</v>
      </c>
      <c r="CP64">
        <f>IF(IFERROR(VLOOKUP(K64,源_13残疾人信息_残疾人信息!$A:$M,1,FALSE),"")&lt;&gt;"",0,IF(OR(P64="门店全职",P64="门店管理组",P64="全职(非门店)"),(BI64-AT64)*IFERROR(VLOOKUP(D64,源_12计提残保金规则_Sheet1!$A:$E,4,FALSE),0)*IFERROR(VLOOKUP(D64,源_12计提残保金规则_Sheet1!$A:$E,5,FALSE),0),0))</f>
        <v>1.377</v>
      </c>
      <c r="CQ64">
        <f t="shared" si="21"/>
        <v>16.05</v>
      </c>
      <c r="CR64">
        <f t="shared" si="22"/>
        <v>20.67</v>
      </c>
      <c r="CS64">
        <f>IF(DATEVALUE(N64)&gt;DATE(参数!$B$2,9,30),0,IF(M64="行政",0,IF(O64="",R64/12,IF(MONTH(DATEVALUE(O64))=参数!$B$3,0,IF(DATEVALUE(O64)&lt;DATE(参数!$B$2,参数!$B$3,1),0,R64/12)))))</f>
        <v>358.33333333333331</v>
      </c>
      <c r="CT64">
        <f t="shared" si="23"/>
        <v>438.59999999999997</v>
      </c>
      <c r="CU64">
        <f>IFERROR(VLOOKUP(DF64,源_6社保表_Sheet1!$C:$I,2,FALSE),0)</f>
        <v>4986</v>
      </c>
      <c r="CV64">
        <f>IFERROR(VLOOKUP(DF64,源_6社保表_Sheet1!$C:$I,7,FALSE),0)</f>
        <v>4740</v>
      </c>
      <c r="CW64">
        <f>IFERROR(VLOOKUP(DF64,源_6社保表_Sheet1!$C:$I,3,FALSE),0)</f>
        <v>4986</v>
      </c>
      <c r="CX64">
        <f>IFERROR(VLOOKUP(DF64,源_6社保表_Sheet1!$C:$I,4,FALSE),0)</f>
        <v>4986</v>
      </c>
      <c r="CY64">
        <f>IFERROR(VLOOKUP(DF64,源_6社保表_Sheet1!$C:$I,5,FALSE),0)</f>
        <v>4986</v>
      </c>
      <c r="CZ64">
        <f>IFERROR(VLOOKUP(DF64,源_6社保表_Sheet1!$C:$I,6,FALSE),0)</f>
        <v>0</v>
      </c>
      <c r="DA64">
        <f t="shared" si="24"/>
        <v>1277.3652000000002</v>
      </c>
      <c r="DB64">
        <f t="shared" si="25"/>
        <v>2118.8955333333333</v>
      </c>
      <c r="DC64" t="str">
        <f>IFERROR(VLOOKUP(K64,源_7银行卡表_Sheet1!$A:$J,8,FALSE),"")</f>
        <v>中信银行</v>
      </c>
      <c r="DD64" t="str">
        <f>IFERROR(VLOOKUP(K64,源_7银行卡表_Sheet1!$A:$J,9,FALSE),"")</f>
        <v>6285845760928685452</v>
      </c>
      <c r="DE64" t="str">
        <f>IFERROR(VLOOKUP(K64,源_7银行卡表_Sheet1!$A:$J,10,FALSE),"")</f>
        <v>中信银行北京奥运村支行</v>
      </c>
      <c r="DF64" t="s">
        <v>417</v>
      </c>
      <c r="DG64">
        <v>14325066439</v>
      </c>
      <c r="DH64" t="s">
        <v>412</v>
      </c>
      <c r="DI64">
        <v>0</v>
      </c>
      <c r="DJ64">
        <v>0</v>
      </c>
      <c r="DK64">
        <v>0</v>
      </c>
      <c r="DL64">
        <v>0</v>
      </c>
      <c r="DM64">
        <v>0</v>
      </c>
      <c r="DN64">
        <v>0</v>
      </c>
      <c r="DO64">
        <v>0</v>
      </c>
      <c r="DP64">
        <v>0</v>
      </c>
      <c r="DQ64">
        <v>0</v>
      </c>
      <c r="DR64">
        <f>IF(OR(IFERROR(VLOOKUP(K64,源_3考勤报表_考勤表!$F:$BG,39,FALSE),0)+IFERROR(VLOOKUP(K64,源_8补工时表_补当月工时!$A:$AC,24,FALSE),0)=0,IFERROR(VLOOKUP(K64,源_3考勤报表_考勤表!$F:$BG,43,FALSE),0)+IFERROR(VLOOKUP(K64,源_8补工时表_补当月工时!$A:$AC,26,FALSE),0)=0),IF(BI64+BG64-BT64&lt;0,BI64+BG64-BT64,0),0)</f>
        <v>-459.09000000000003</v>
      </c>
    </row>
    <row r="65" spans="1:122" x14ac:dyDescent="0.15">
      <c r="A65">
        <f>参数!$B$2</f>
        <v>2025</v>
      </c>
      <c r="B65">
        <f>参数!$B$3</f>
        <v>12</v>
      </c>
      <c r="D65" t="s">
        <v>122</v>
      </c>
      <c r="E65" t="s">
        <v>123</v>
      </c>
      <c r="F65" t="str">
        <f>IFERROR(VLOOKUP(K65,源_7银行卡表_Sheet1!$A:$J,6,FALSE),"")</f>
        <v>华东营运</v>
      </c>
      <c r="G65" t="s">
        <v>124</v>
      </c>
      <c r="H65" t="s">
        <v>418</v>
      </c>
      <c r="I65" t="s">
        <v>126</v>
      </c>
      <c r="J65">
        <v>1</v>
      </c>
      <c r="K65">
        <v>26123064</v>
      </c>
      <c r="L65" t="s">
        <v>419</v>
      </c>
      <c r="M65" t="s">
        <v>420</v>
      </c>
      <c r="N65" t="s">
        <v>416</v>
      </c>
      <c r="O65" t="s">
        <v>239</v>
      </c>
      <c r="P65" t="s">
        <v>131</v>
      </c>
      <c r="Q65">
        <f>IF(P65="门店全职",IFERROR(VLOOKUP(K65,源_3考勤报表_考勤表!$F:$BG,34,FALSE),0)+IFERROR(VLOOKUP(K65,源_8补工时表_补当月工时!$A:$AC,14,FALSE),0),IF(P65="门店管理组",IF(IFERROR(VLOOKUP(K65,源_3考勤报表_考勤表!$F:$BG,34,FALSE),0)+IFERROR(VLOOKUP(K65,源_8补工时表_补当月工时!$A:$AC,14,FALSE),0)+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44,FALSE),0)+IFERROR(VLOOKUP(K65,源_8补工时表_补当月工时!$A:$AC,16,FALSE),0)+IFERROR(VLOOKUP(K65,源_3考勤报表_考勤表!$F:$BG,45,FALSE),0)&gt;=参数!$B$4,参数!$B$4-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44,FALSE),0)-IFERROR(VLOOKUP(K65,源_8补工时表_补当月工时!$A:$AC,16,FALSE),0)-IFERROR(VLOOKUP(K65,源_3考勤报表_考勤表!$F:$BG,45,FALSE),0),IFERROR(VLOOKUP(K65,源_3考勤报表_考勤表!$F:$BG,34,FALSE),0)+IFERROR(VLOOKUP(K65,源_8补工时表_补当月工时!$A:$AC,14,FALSE),0)),0))</f>
        <v>0</v>
      </c>
      <c r="R65">
        <v>4300</v>
      </c>
      <c r="S65">
        <v>0</v>
      </c>
      <c r="T65">
        <f>IF(P65="门店全职",R65/参数!$B$4*(Q65-MAX(IFERROR(VLOOKUP(K65,源_3考勤报表_考勤表!$F:$BG,34,FALSE),0)+IFERROR(VLOOKUP(K65,源_8补工时表_补当月工时!$A:$AC,14,FALSE),0)+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参数!$B$4,0)),R65/参数!$B$4*Q65)</f>
        <v>0</v>
      </c>
      <c r="U65">
        <v>0</v>
      </c>
      <c r="V65">
        <v>0</v>
      </c>
      <c r="W65">
        <f t="shared" si="13"/>
        <v>0</v>
      </c>
      <c r="X65">
        <f>IFERROR(VLOOKUP(K65,源_4奖金汇总表_拆分手工算!$A:$N,8,FALSE),0)</f>
        <v>0</v>
      </c>
      <c r="Y65">
        <f>IFERROR(VLOOKUP(K65,源_5薪资备忘录_工资调整项!$A:$AC,14,FALSE),0)</f>
        <v>0</v>
      </c>
      <c r="Z65">
        <f>IFERROR(VLOOKUP(K65,源_5薪资备忘录_工资调整项!$A:$AC,16,FALSE),0)</f>
        <v>0</v>
      </c>
      <c r="AA65">
        <f>IFERROR(VLOOKUP(K65,源_5薪资备忘录_工资调整项!$A:$AC,15,FALSE),0)</f>
        <v>0</v>
      </c>
      <c r="AB65">
        <f t="shared" si="14"/>
        <v>0</v>
      </c>
      <c r="AC65">
        <f>IF(P65="门店全职",R65/174*MAX(IFERROR(VLOOKUP(K65,源_3考勤报表_考勤表!$F:$BG,34,FALSE),0)+IFERROR(VLOOKUP(K65,源_8补工时表_补当月工时!$A:$AC,14,FALSE),0)+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参数!$B$4,0)*1.5,0)</f>
        <v>0</v>
      </c>
      <c r="AD65">
        <v>0</v>
      </c>
      <c r="AE65">
        <f>IFERROR(VLOOKUP(K65,源_3考勤报表_考勤表!$F:$BG,46,FALSE),0)+IFERROR(VLOOKUP(K65,源_8补工时表_补当月工时!$A:$AC,25,FALSE),0)</f>
        <v>0</v>
      </c>
      <c r="AF65">
        <f t="shared" si="15"/>
        <v>0</v>
      </c>
      <c r="AG65">
        <f>IFERROR(VLOOKUP(K65,源_4奖金汇总表_拆分手工算!$A:$N,10,FALSE),0)</f>
        <v>0</v>
      </c>
      <c r="AH65">
        <f>IFERROR(VLOOKUP(K65,源_4奖金汇总表_拆分手工算!$A:$N,5,FALSE),0)</f>
        <v>250</v>
      </c>
      <c r="AI65">
        <f>IFERROR(VLOOKUP(K65,源_4奖金汇总表_拆分手工算!$A:$N,11,FALSE),0)</f>
        <v>0</v>
      </c>
      <c r="AJ65">
        <f>IFERROR(VLOOKUP(K65,源_4奖金汇总表_拆分手工算!$A:$N,4,FALSE),0)</f>
        <v>0</v>
      </c>
      <c r="AK65">
        <f>IFERROR(VLOOKUP(K65,源_4奖金汇总表_拆分手工算!$A:$N,3,FALSE),0)</f>
        <v>0</v>
      </c>
      <c r="AL65">
        <f>IFERROR(VLOOKUP(K65,源_4奖金汇总表_拆分手工算!$A:$N,6,FALSE),0)</f>
        <v>0</v>
      </c>
      <c r="AM65">
        <f>IFERROR(VLOOKUP(K65,源_5薪资备忘录_工资调整项!$A:$AC,18,FALSE),0)+IFERROR(VLOOKUP(K65,源_4奖金汇总表_拆分手工算!$A:$N,7,FALSE),0)</f>
        <v>0</v>
      </c>
      <c r="AN65">
        <f>IFERROR(VLOOKUP(K65,源_5薪资备忘录_工资调整项!$A:$AC,17,FALSE),0)</f>
        <v>0</v>
      </c>
      <c r="AO65">
        <f>IF(OR(IFERROR(VLOOKUP(K65,源_3考勤报表_考勤表!$F:$BG,39,FALSE),0)+IFERROR(VLOOKUP(K65,源_8补工时表_补当月工时!$A:$AC,24,FALSE),0)&gt;0,IFERROR(VLOOKUP(K65,源_3考勤报表_考勤表!$F:$BG,43,FALSE),0)+IFERROR(VLOOKUP(K65,源_8补工时表_补当月工时!$A:$AC,26,FALSE),0)&gt;0),IF(IFERROR(VLOOKUP(DH65,源_11产假政策_Sheet1!$C:$F,4,FALSE),"")="是",R65/参数!$B$4*(IFERROR(VLOOKUP(K65,源_3考勤报表_考勤表!$F:$BG,39,FALSE),0)+IFERROR(VLOOKUP(K65,源_8补工时表_补当月工时!$A:$AC,24,FALSE),0)+IFERROR(VLOOKUP(K65,源_3考勤报表_考勤表!$F:$BG,43,FALSE),0)+IFERROR(VLOOKUP(K65,源_8补工时表_补当月工时!$A:$AC,26,FALSE),0)),IFERROR(VLOOKUP(K65,源_5薪资备忘录_工资调整项!$A:$AC,19,FALSE),0)),0)</f>
        <v>0</v>
      </c>
      <c r="AP65">
        <v>0</v>
      </c>
      <c r="AQ65">
        <f>IFERROR(VLOOKUP(K65,源_4奖金汇总表_拆分手工算!$A:$N,12,FALSE),0)+IFERROR(VLOOKUP(K65,源_9年终奖表_Sheet1!$A:$E,3,FALSE),0)</f>
        <v>0</v>
      </c>
      <c r="AR65">
        <f>IFERROR(VLOOKUP(K65,源_4奖金汇总表_拆分手工算!$A:$N,13,FALSE),0)+IFERROR(VLOOKUP(K65,源_9年终奖表_Sheet1!$A:$E,4,FALSE),0)</f>
        <v>0</v>
      </c>
      <c r="AS65">
        <f>IFERROR(VLOOKUP(K65,源_4奖金汇总表_拆分手工算!$A:$N,14,FALSE),0)+IFERROR(VLOOKUP(K65,源_9年终奖表_Sheet1!$A:$E,5,FALSE),0)</f>
        <v>0</v>
      </c>
      <c r="AT65">
        <f>IFERROR(VLOOKUP(K65,源_5薪资备忘录_工资调整项!$A:$AC,20,FALSE),0)</f>
        <v>0</v>
      </c>
      <c r="AU65">
        <f>IFERROR(VLOOKUP(K65,源_5薪资备忘录_工资调整项!$A:$AC,21,FALSE),0)+IFERROR(VLOOKUP(K65,源_4奖金汇总表_拆分手工算!$A:$N,9,FALSE),0)</f>
        <v>0</v>
      </c>
      <c r="AV65">
        <f>R65/参数!$B$4*(IFERROR(VLOOKUP(K65,源_3考勤报表_考勤表!$F:$BG,37,FALSE),0)+IFERROR(VLOOKUP(K65,源_8补工时表_补当月工时!$A:$AC,15,FALSE),0))</f>
        <v>934.78260869565224</v>
      </c>
      <c r="AW65">
        <f>R65/174*MIN(IFERROR(VLOOKUP(K65,源_3考勤报表_考勤表!$F:$BG,35,FALSE),0),174)*IF(DATEDIF(N65,DATE(参数!$B$2,参数!$B$3+1,0),"Y")&lt;2,0.6,IF(DATEDIF(N65,DATE(参数!$B$2,参数!$B$3+1,0),"Y")&lt;4,0.7,IF(DATEDIF(N65,DATE(参数!$B$2,参数!$B$3+1,0),"Y")&lt;6,0.8,IF(DATEDIF(N65,DATE(参数!$B$2,参数!$B$3+1,0),"Y")&lt;8,0.9,1))))</f>
        <v>0</v>
      </c>
      <c r="AX65">
        <f>IF(Q65+IFERROR(VLOOKUP(K65,源_3考勤报表_考勤表!$F:$BG,37,FALSE),0)+IFERROR(VLOOKUP(K65,源_8补工时表_补当月工时!$A:$AC,15,FALSE),0)&gt;=参数!$B$4,0,IF(Q65+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lt;=参数!$B$4,R65/参数!$B$4*(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0))</f>
        <v>0</v>
      </c>
      <c r="AY65">
        <v>0</v>
      </c>
      <c r="AZ65">
        <v>0</v>
      </c>
      <c r="BA65">
        <v>0</v>
      </c>
      <c r="BB65">
        <v>0</v>
      </c>
      <c r="BC65">
        <f>IFERROR(VLOOKUP(K65,源_5薪资备忘录_工资调整项!$A:$AC,25,FALSE),0)</f>
        <v>0</v>
      </c>
      <c r="BD65">
        <v>0</v>
      </c>
      <c r="BE65">
        <v>0</v>
      </c>
      <c r="BF65">
        <v>0</v>
      </c>
      <c r="BG65">
        <f>IFERROR(VLOOKUP(K65,源_5薪资备忘录_工资调整项!$A:$AC,22,FALSE),0)+IFERROR(VLOOKUP(K65,源_5薪资备忘录_工资调整项!$A:$AC,23,FALSE),0)+IFERROR(VLOOKUP(K65,源_5薪资备忘录_工资调整项!$A:$AC,24,FALSE),0)</f>
        <v>0</v>
      </c>
      <c r="BH65">
        <f>IFERROR(VLOOKUP(DF65,源_6社保表_Sheet1!$C:$CD,80,FALSE),0)+4.5</f>
        <v>6.5</v>
      </c>
      <c r="BI65">
        <f t="shared" si="16"/>
        <v>1184.7826086956522</v>
      </c>
      <c r="BJ65">
        <f>IFERROR(VLOOKUP(DF65,源_6社保表_Sheet1!$C:$BZ,26,FALSE),0)</f>
        <v>522.20000000000005</v>
      </c>
      <c r="BK65">
        <f>IFERROR(VLOOKUP(DF65,源_6社保表_Sheet1!$C:$BZ,27,FALSE),0)</f>
        <v>74.599999999999994</v>
      </c>
      <c r="BL65">
        <f>IFERROR(VLOOKUP(DF65,源_6社保表_Sheet1!$C:$BZ,28,FALSE),0)</f>
        <v>37.299999999999997</v>
      </c>
      <c r="BM65">
        <f>IFERROR(VLOOKUP(DF65,源_6社保表_Sheet1!$C:$BZ,30,FALSE),0)</f>
        <v>254.1</v>
      </c>
      <c r="BN65">
        <f>IFERROR(VLOOKUP(DF65,源_6社保表_Sheet1!$C:$BZ,29,FALSE),0)</f>
        <v>0</v>
      </c>
      <c r="BO65">
        <f>IFERROR(VLOOKUP(DF65,源_6社保表_Sheet1!$C:$BZ,40,FALSE),0)</f>
        <v>0</v>
      </c>
      <c r="BP65">
        <f>IFERROR(VLOOKUP(DF65,源_6社保表_Sheet1!$C:$BZ,41,FALSE),0)</f>
        <v>0</v>
      </c>
      <c r="BQ65">
        <f>IFERROR(VLOOKUP(DF65,源_6社保表_Sheet1!$C:$BZ,42,FALSE),0)</f>
        <v>0</v>
      </c>
      <c r="BR65">
        <f>IFERROR(VLOOKUP(DF65,源_6社保表_Sheet1!$C:$BZ,44,FALSE),0)</f>
        <v>0</v>
      </c>
      <c r="BS65">
        <f>IFERROR(VLOOKUP(DF65,源_6社保表_Sheet1!$C:$BZ,43,FALSE),0)</f>
        <v>0</v>
      </c>
      <c r="BT65">
        <f t="shared" si="17"/>
        <v>888.2</v>
      </c>
      <c r="BU65">
        <v>0</v>
      </c>
      <c r="BV65">
        <v>0</v>
      </c>
      <c r="BW65">
        <v>0</v>
      </c>
      <c r="BX65">
        <f t="shared" si="18"/>
        <v>0</v>
      </c>
      <c r="BY65">
        <v>0</v>
      </c>
      <c r="BZ65">
        <f>IFERROR(VLOOKUP(DF65,源_6社保表_Sheet1!$C:$BZ,18,FALSE),0)</f>
        <v>1119</v>
      </c>
      <c r="CA65">
        <f>IFERROR(VLOOKUP(DF65,源_6社保表_Sheet1!$C:$BZ,19,FALSE),0)</f>
        <v>596.79999999999995</v>
      </c>
      <c r="CB65">
        <f>IFERROR(VLOOKUP(DF65,源_6社保表_Sheet1!$C:$BZ,24,FALSE),0)</f>
        <v>254.1</v>
      </c>
      <c r="CC65">
        <f>IFERROR(VLOOKUP(DF65,源_6社保表_Sheet1!$C:$BZ,20,FALSE),0)</f>
        <v>37.299999999999997</v>
      </c>
      <c r="CD65">
        <f>IFERROR(VLOOKUP(DF65,源_6社保表_Sheet1!$C:$BZ,21,FALSE),0)</f>
        <v>23.872</v>
      </c>
      <c r="CE65">
        <f>IFERROR(VLOOKUP(DF65,源_6社保表_Sheet1!$C:$BZ,22,FALSE),0)</f>
        <v>0</v>
      </c>
      <c r="CF65">
        <f>IFERROR(VLOOKUP(DF65,源_6社保表_Sheet1!$C:$BZ,23,FALSE),0)</f>
        <v>0</v>
      </c>
      <c r="CG65">
        <f>IFERROR(VLOOKUP(DF65,源_6社保表_Sheet1!$C:$BZ,32,FALSE),0)</f>
        <v>0</v>
      </c>
      <c r="CH65">
        <f>IFERROR(VLOOKUP(DF65,源_6社保表_Sheet1!$C:$BZ,33,FALSE),0)</f>
        <v>0</v>
      </c>
      <c r="CI65">
        <f>IFERROR(VLOOKUP(DF65,源_6社保表_Sheet1!$C:$BZ,34,FALSE),0)</f>
        <v>0</v>
      </c>
      <c r="CJ65">
        <f>IFERROR(VLOOKUP(DF65,源_6社保表_Sheet1!$C:$BZ,38,FALSE),0)</f>
        <v>0</v>
      </c>
      <c r="CK65">
        <f>IFERROR(VLOOKUP(DF65,源_6社保表_Sheet1!$C:$BZ,35,FALSE),0)</f>
        <v>0</v>
      </c>
      <c r="CL65">
        <f>IFERROR(VLOOKUP(DF65,源_6社保表_Sheet1!$C:$BZ,36,FALSE),0)</f>
        <v>0</v>
      </c>
      <c r="CM65">
        <f>IFERROR(VLOOKUP(DF65,源_6社保表_Sheet1!$C:$BZ,37,FALSE),0)</f>
        <v>0</v>
      </c>
      <c r="CN65">
        <f t="shared" si="19"/>
        <v>2031.0719999999999</v>
      </c>
      <c r="CO65">
        <f t="shared" si="20"/>
        <v>3222.3546086956521</v>
      </c>
      <c r="CP65">
        <f>IF(IFERROR(VLOOKUP(K65,源_13残疾人信息_残疾人信息!$A:$M,1,FALSE),"")&lt;&gt;"",0,IF(OR(P65="门店全职",P65="门店管理组",P65="全职(非门店)"),(BI65-AT65)*IFERROR(VLOOKUP(D65,源_12计提残保金规则_Sheet1!$A:$E,4,FALSE),0)*IFERROR(VLOOKUP(D65,源_12计提残保金规则_Sheet1!$A:$E,5,FALSE),0),0))</f>
        <v>0</v>
      </c>
      <c r="CQ65">
        <f t="shared" si="21"/>
        <v>16.05</v>
      </c>
      <c r="CR65">
        <f t="shared" si="22"/>
        <v>20.67</v>
      </c>
      <c r="CS65">
        <f>IF(DATEVALUE(N65)&gt;DATE(参数!$B$2,9,30),0,IF(M65="行政",0,IF(O65="",R65/12,IF(MONTH(DATEVALUE(O65))=参数!$B$3,0,IF(DATEVALUE(O65)&lt;DATE(参数!$B$2,参数!$B$3,1),0,R65/12)))))</f>
        <v>0</v>
      </c>
      <c r="CT65">
        <f t="shared" si="23"/>
        <v>438.59999999999997</v>
      </c>
      <c r="CU65">
        <f>IFERROR(VLOOKUP(DF65,源_6社保表_Sheet1!$C:$I,2,FALSE),0)</f>
        <v>7460</v>
      </c>
      <c r="CV65">
        <f>IFERROR(VLOOKUP(DF65,源_6社保表_Sheet1!$C:$I,7,FALSE),0)</f>
        <v>4235</v>
      </c>
      <c r="CW65">
        <f>IFERROR(VLOOKUP(DF65,源_6社保表_Sheet1!$C:$I,3,FALSE),0)</f>
        <v>7460</v>
      </c>
      <c r="CX65">
        <f>IFERROR(VLOOKUP(DF65,源_6社保表_Sheet1!$C:$I,4,FALSE),0)</f>
        <v>7460</v>
      </c>
      <c r="CY65">
        <f>IFERROR(VLOOKUP(DF65,源_6社保表_Sheet1!$C:$I,5,FALSE),0)</f>
        <v>7460</v>
      </c>
      <c r="CZ65">
        <f>IFERROR(VLOOKUP(DF65,源_6社保表_Sheet1!$C:$I,6,FALSE),0)</f>
        <v>0</v>
      </c>
      <c r="DA65">
        <f t="shared" si="24"/>
        <v>2965.8546086956521</v>
      </c>
      <c r="DB65">
        <f t="shared" si="25"/>
        <v>3447.6746086956523</v>
      </c>
      <c r="DC65" t="str">
        <f>IFERROR(VLOOKUP(K65,源_7银行卡表_Sheet1!$A:$J,8,FALSE),"")</f>
        <v>上海银行</v>
      </c>
      <c r="DD65" t="str">
        <f>IFERROR(VLOOKUP(K65,源_7银行卡表_Sheet1!$A:$J,9,FALSE),"")</f>
        <v>6280563400261872601</v>
      </c>
      <c r="DE65" t="str">
        <f>IFERROR(VLOOKUP(K65,源_7银行卡表_Sheet1!$A:$J,10,FALSE),"")</f>
        <v>上海银行股份有限公司徐家汇支行</v>
      </c>
      <c r="DF65" t="s">
        <v>421</v>
      </c>
      <c r="DG65">
        <v>14823490974</v>
      </c>
      <c r="DH65" t="s">
        <v>133</v>
      </c>
      <c r="DI65">
        <v>0</v>
      </c>
      <c r="DJ65">
        <v>0</v>
      </c>
      <c r="DK65">
        <v>0</v>
      </c>
      <c r="DL65">
        <v>0</v>
      </c>
      <c r="DM65">
        <v>0</v>
      </c>
      <c r="DN65">
        <v>0</v>
      </c>
      <c r="DO65">
        <v>0</v>
      </c>
      <c r="DP65">
        <v>0</v>
      </c>
      <c r="DQ65">
        <v>0</v>
      </c>
      <c r="DR65">
        <f>IF(OR(IFERROR(VLOOKUP(K65,源_3考勤报表_考勤表!$F:$BG,39,FALSE),0)+IFERROR(VLOOKUP(K65,源_8补工时表_补当月工时!$A:$AC,24,FALSE),0)=0,IFERROR(VLOOKUP(K65,源_3考勤报表_考勤表!$F:$BG,43,FALSE),0)+IFERROR(VLOOKUP(K65,源_8补工时表_补当月工时!$A:$AC,26,FALSE),0)=0),IF(BI65+BG65-BT65&lt;0,BI65+BG65-BT65,0),0)</f>
        <v>0</v>
      </c>
    </row>
    <row r="66" spans="1:122" x14ac:dyDescent="0.15">
      <c r="A66">
        <f>参数!$B$2</f>
        <v>2025</v>
      </c>
      <c r="B66">
        <f>参数!$B$3</f>
        <v>12</v>
      </c>
      <c r="D66" t="s">
        <v>147</v>
      </c>
      <c r="E66" t="s">
        <v>123</v>
      </c>
      <c r="F66" t="str">
        <f>IFERROR(VLOOKUP(K66,源_7银行卡表_Sheet1!$A:$J,6,FALSE),"")</f>
        <v>华北营运</v>
      </c>
      <c r="G66" t="s">
        <v>148</v>
      </c>
      <c r="H66" t="s">
        <v>422</v>
      </c>
      <c r="I66" t="s">
        <v>150</v>
      </c>
      <c r="J66">
        <v>1</v>
      </c>
      <c r="K66">
        <v>26123065</v>
      </c>
      <c r="L66" t="s">
        <v>423</v>
      </c>
      <c r="M66" t="s">
        <v>170</v>
      </c>
      <c r="N66" t="s">
        <v>424</v>
      </c>
      <c r="P66" t="s">
        <v>154</v>
      </c>
      <c r="Q66">
        <f>IF(P66="门店全职",IFERROR(VLOOKUP(K66,源_3考勤报表_考勤表!$F:$BG,34,FALSE),0)+IFERROR(VLOOKUP(K66,源_8补工时表_补当月工时!$A:$AC,14,FALSE),0),IF(P66="门店管理组",IF(IFERROR(VLOOKUP(K66,源_3考勤报表_考勤表!$F:$BG,34,FALSE),0)+IFERROR(VLOOKUP(K66,源_8补工时表_补当月工时!$A:$AC,14,FALSE),0)+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44,FALSE),0)+IFERROR(VLOOKUP(K66,源_8补工时表_补当月工时!$A:$AC,16,FALSE),0)+IFERROR(VLOOKUP(K66,源_3考勤报表_考勤表!$F:$BG,45,FALSE),0)&gt;=参数!$B$4,参数!$B$4-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44,FALSE),0)-IFERROR(VLOOKUP(K66,源_8补工时表_补当月工时!$A:$AC,16,FALSE),0)-IFERROR(VLOOKUP(K66,源_3考勤报表_考勤表!$F:$BG,45,FALSE),0),IFERROR(VLOOKUP(K66,源_3考勤报表_考勤表!$F:$BG,34,FALSE),0)+IFERROR(VLOOKUP(K66,源_8补工时表_补当月工时!$A:$AC,14,FALSE),0)),0))</f>
        <v>0</v>
      </c>
      <c r="R66">
        <v>3640</v>
      </c>
      <c r="S66">
        <v>0</v>
      </c>
      <c r="T66">
        <f>IF(P66="门店全职",R66/参数!$B$4*(Q66-MAX(IFERROR(VLOOKUP(K66,源_3考勤报表_考勤表!$F:$BG,34,FALSE),0)+IFERROR(VLOOKUP(K66,源_8补工时表_补当月工时!$A:$AC,14,FALSE),0)+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参数!$B$4,0)),R66/参数!$B$4*Q66)</f>
        <v>0</v>
      </c>
      <c r="U66">
        <v>0</v>
      </c>
      <c r="V66">
        <v>0</v>
      </c>
      <c r="W66">
        <f t="shared" ref="W66:W97" si="26">X66+Y66+Z66+AA66</f>
        <v>200</v>
      </c>
      <c r="X66">
        <f>IFERROR(VLOOKUP(K66,源_4奖金汇总表_拆分手工算!$A:$N,8,FALSE),0)</f>
        <v>0</v>
      </c>
      <c r="Y66">
        <f>IFERROR(VLOOKUP(K66,源_5薪资备忘录_工资调整项!$A:$AC,14,FALSE),0)</f>
        <v>200</v>
      </c>
      <c r="Z66">
        <f>IFERROR(VLOOKUP(K66,源_5薪资备忘录_工资调整项!$A:$AC,16,FALSE),0)</f>
        <v>0</v>
      </c>
      <c r="AA66">
        <f>IFERROR(VLOOKUP(K66,源_5薪资备忘录_工资调整项!$A:$AC,15,FALSE),0)</f>
        <v>0</v>
      </c>
      <c r="AB66">
        <f t="shared" ref="AB66:AB97" si="27">AC66+AD66+AF66</f>
        <v>0</v>
      </c>
      <c r="AC66">
        <f>IF(P66="门店全职",R66/174*MAX(IFERROR(VLOOKUP(K66,源_3考勤报表_考勤表!$F:$BG,34,FALSE),0)+IFERROR(VLOOKUP(K66,源_8补工时表_补当月工时!$A:$AC,14,FALSE),0)+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参数!$B$4,0)*1.5,0)</f>
        <v>0</v>
      </c>
      <c r="AD66">
        <v>0</v>
      </c>
      <c r="AE66">
        <f>IFERROR(VLOOKUP(K66,源_3考勤报表_考勤表!$F:$BG,46,FALSE),0)+IFERROR(VLOOKUP(K66,源_8补工时表_补当月工时!$A:$AC,25,FALSE),0)</f>
        <v>0</v>
      </c>
      <c r="AF66">
        <f t="shared" ref="AF66:AF97" si="28">R66/174*AE66*3</f>
        <v>0</v>
      </c>
      <c r="AG66">
        <f>IFERROR(VLOOKUP(K66,源_4奖金汇总表_拆分手工算!$A:$N,10,FALSE),0)</f>
        <v>909</v>
      </c>
      <c r="AH66">
        <f>IFERROR(VLOOKUP(K66,源_4奖金汇总表_拆分手工算!$A:$N,5,FALSE),0)</f>
        <v>0</v>
      </c>
      <c r="AI66">
        <f>IFERROR(VLOOKUP(K66,源_4奖金汇总表_拆分手工算!$A:$N,11,FALSE),0)</f>
        <v>0</v>
      </c>
      <c r="AJ66">
        <f>IFERROR(VLOOKUP(K66,源_4奖金汇总表_拆分手工算!$A:$N,4,FALSE),0)</f>
        <v>0</v>
      </c>
      <c r="AK66">
        <f>IFERROR(VLOOKUP(K66,源_4奖金汇总表_拆分手工算!$A:$N,3,FALSE),0)</f>
        <v>0</v>
      </c>
      <c r="AL66">
        <f>IFERROR(VLOOKUP(K66,源_4奖金汇总表_拆分手工算!$A:$N,6,FALSE),0)</f>
        <v>0</v>
      </c>
      <c r="AM66">
        <f>IFERROR(VLOOKUP(K66,源_5薪资备忘录_工资调整项!$A:$AC,18,FALSE),0)+IFERROR(VLOOKUP(K66,源_4奖金汇总表_拆分手工算!$A:$N,7,FALSE),0)</f>
        <v>0</v>
      </c>
      <c r="AN66">
        <f>IFERROR(VLOOKUP(K66,源_5薪资备忘录_工资调整项!$A:$AC,17,FALSE),0)</f>
        <v>0</v>
      </c>
      <c r="AO66">
        <f>IF(OR(IFERROR(VLOOKUP(K66,源_3考勤报表_考勤表!$F:$BG,39,FALSE),0)+IFERROR(VLOOKUP(K66,源_8补工时表_补当月工时!$A:$AC,24,FALSE),0)&gt;0,IFERROR(VLOOKUP(K66,源_3考勤报表_考勤表!$F:$BG,43,FALSE),0)+IFERROR(VLOOKUP(K66,源_8补工时表_补当月工时!$A:$AC,26,FALSE),0)&gt;0),IF(IFERROR(VLOOKUP(DH66,源_11产假政策_Sheet1!$C:$F,4,FALSE),"")="是",R66/参数!$B$4*(IFERROR(VLOOKUP(K66,源_3考勤报表_考勤表!$F:$BG,39,FALSE),0)+IFERROR(VLOOKUP(K66,源_8补工时表_补当月工时!$A:$AC,24,FALSE),0)+IFERROR(VLOOKUP(K66,源_3考勤报表_考勤表!$F:$BG,43,FALSE),0)+IFERROR(VLOOKUP(K66,源_8补工时表_补当月工时!$A:$AC,26,FALSE),0)),IFERROR(VLOOKUP(K66,源_5薪资备忘录_工资调整项!$A:$AC,19,FALSE),0)),0)</f>
        <v>0</v>
      </c>
      <c r="AP66">
        <v>0</v>
      </c>
      <c r="AQ66">
        <f>IFERROR(VLOOKUP(K66,源_4奖金汇总表_拆分手工算!$A:$N,12,FALSE),0)+IFERROR(VLOOKUP(K66,源_9年终奖表_Sheet1!$A:$E,3,FALSE),0)</f>
        <v>0</v>
      </c>
      <c r="AR66">
        <f>IFERROR(VLOOKUP(K66,源_4奖金汇总表_拆分手工算!$A:$N,13,FALSE),0)+IFERROR(VLOOKUP(K66,源_9年终奖表_Sheet1!$A:$E,4,FALSE),0)</f>
        <v>0</v>
      </c>
      <c r="AS66">
        <f>IFERROR(VLOOKUP(K66,源_4奖金汇总表_拆分手工算!$A:$N,14,FALSE),0)+IFERROR(VLOOKUP(K66,源_9年终奖表_Sheet1!$A:$E,5,FALSE),0)</f>
        <v>0</v>
      </c>
      <c r="AT66">
        <f>IFERROR(VLOOKUP(K66,源_5薪资备忘录_工资调整项!$A:$AC,20,FALSE),0)</f>
        <v>0</v>
      </c>
      <c r="AU66">
        <f>IFERROR(VLOOKUP(K66,源_5薪资备忘录_工资调整项!$A:$AC,21,FALSE),0)+IFERROR(VLOOKUP(K66,源_4奖金汇总表_拆分手工算!$A:$N,9,FALSE),0)</f>
        <v>0</v>
      </c>
      <c r="AV66">
        <f>R66/参数!$B$4*(IFERROR(VLOOKUP(K66,源_3考勤报表_考勤表!$F:$BG,37,FALSE),0)+IFERROR(VLOOKUP(K66,源_8补工时表_补当月工时!$A:$AC,15,FALSE),0))</f>
        <v>0</v>
      </c>
      <c r="AW66">
        <f>R66/174*MIN(IFERROR(VLOOKUP(K66,源_3考勤报表_考勤表!$F:$BG,35,FALSE),0),174)*IF(DATEDIF(N66,DATE(参数!$B$2,参数!$B$3+1,0),"Y")&lt;2,0.6,IF(DATEDIF(N66,DATE(参数!$B$2,参数!$B$3+1,0),"Y")&lt;4,0.7,IF(DATEDIF(N66,DATE(参数!$B$2,参数!$B$3+1,0),"Y")&lt;6,0.8,IF(DATEDIF(N66,DATE(参数!$B$2,参数!$B$3+1,0),"Y")&lt;8,0.9,1))))</f>
        <v>0</v>
      </c>
      <c r="AX66">
        <f>IF(Q66+IFERROR(VLOOKUP(K66,源_3考勤报表_考勤表!$F:$BG,37,FALSE),0)+IFERROR(VLOOKUP(K66,源_8补工时表_补当月工时!$A:$AC,15,FALSE),0)&gt;=参数!$B$4,0,IF(Q66+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lt;=参数!$B$4,R66/参数!$B$4*(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0))</f>
        <v>0</v>
      </c>
      <c r="AY66">
        <v>0</v>
      </c>
      <c r="AZ66">
        <v>0</v>
      </c>
      <c r="BA66">
        <v>0</v>
      </c>
      <c r="BB66">
        <v>0</v>
      </c>
      <c r="BC66">
        <f>IFERROR(VLOOKUP(K66,源_5薪资备忘录_工资调整项!$A:$AC,25,FALSE),0)</f>
        <v>0</v>
      </c>
      <c r="BD66">
        <v>0</v>
      </c>
      <c r="BE66">
        <f>(T66+W66+AB66+AG66+AH66+AI66+AJ66+AK66+AL66+AM66+AN66+AO66+AP66+AU66+AV66+AW66+AX66+BC66-IFERROR(VLOOKUP(DF66,源_6社保表_Sheet1!$C:$BZ,76,FALSE),0))*0.02</f>
        <v>5.7026000000000003</v>
      </c>
      <c r="BF66">
        <v>0</v>
      </c>
      <c r="BG66">
        <f>IFERROR(VLOOKUP(K66,源_5薪资备忘录_工资调整项!$A:$AC,22,FALSE),0)+IFERROR(VLOOKUP(K66,源_5薪资备忘录_工资调整项!$A:$AC,23,FALSE),0)+IFERROR(VLOOKUP(K66,源_5薪资备忘录_工资调整项!$A:$AC,24,FALSE),0)</f>
        <v>131.11000000000001</v>
      </c>
      <c r="BH66">
        <f>IFERROR(VLOOKUP(DF66,源_6社保表_Sheet1!$C:$CD,80,FALSE),0)+4.5</f>
        <v>6.5</v>
      </c>
      <c r="BI66">
        <f t="shared" ref="BI66:BI97" si="29">T66+W66+AB66+AG66+AH66+AI66+AJ66+AK66+AL66+AM66+AN66+AO66+AP66+AQ66+AR66+AS66+AT66+AU66+AV66+AW66+AX66+BC66</f>
        <v>1109</v>
      </c>
      <c r="BJ66">
        <f>IFERROR(VLOOKUP(DF66,源_6社保表_Sheet1!$C:$BZ,26,FALSE),0)</f>
        <v>501.34</v>
      </c>
      <c r="BK66">
        <f>IFERROR(VLOOKUP(DF66,源_6社保表_Sheet1!$C:$BZ,27,FALSE),0)</f>
        <v>71.62</v>
      </c>
      <c r="BL66">
        <f>IFERROR(VLOOKUP(DF66,源_6社保表_Sheet1!$C:$BZ,28,FALSE),0)</f>
        <v>35.81</v>
      </c>
      <c r="BM66">
        <f>IFERROR(VLOOKUP(DF66,源_6社保表_Sheet1!$C:$BZ,30,FALSE),0)</f>
        <v>215.1</v>
      </c>
      <c r="BN66">
        <f>IFERROR(VLOOKUP(DF66,源_6社保表_Sheet1!$C:$BZ,29,FALSE),0)</f>
        <v>0</v>
      </c>
      <c r="BO66">
        <f>IFERROR(VLOOKUP(DF66,源_6社保表_Sheet1!$C:$BZ,40,FALSE),0)</f>
        <v>0</v>
      </c>
      <c r="BP66">
        <f>IFERROR(VLOOKUP(DF66,源_6社保表_Sheet1!$C:$BZ,41,FALSE),0)</f>
        <v>0</v>
      </c>
      <c r="BQ66">
        <f>IFERROR(VLOOKUP(DF66,源_6社保表_Sheet1!$C:$BZ,42,FALSE),0)</f>
        <v>0</v>
      </c>
      <c r="BR66">
        <f>IFERROR(VLOOKUP(DF66,源_6社保表_Sheet1!$C:$BZ,44,FALSE),0)</f>
        <v>0</v>
      </c>
      <c r="BS66">
        <f>IFERROR(VLOOKUP(DF66,源_6社保表_Sheet1!$C:$BZ,43,FALSE),0)</f>
        <v>0</v>
      </c>
      <c r="BT66">
        <f t="shared" ref="BT66:BT97" si="30">BJ66+BK66+BL66+BM66+BN66+BO66+BP66+BQ66+BR66+BS66</f>
        <v>823.87</v>
      </c>
      <c r="BU66">
        <v>0</v>
      </c>
      <c r="BV66">
        <v>0</v>
      </c>
      <c r="BW66">
        <v>0</v>
      </c>
      <c r="BX66">
        <f t="shared" ref="BX66:BX97" si="31">BU66+BV66+BW66</f>
        <v>0</v>
      </c>
      <c r="BY66">
        <v>0</v>
      </c>
      <c r="BZ66">
        <f>IFERROR(VLOOKUP(DF66,源_6社保表_Sheet1!$C:$BZ,18,FALSE),0)</f>
        <v>1074.3</v>
      </c>
      <c r="CA66">
        <f>IFERROR(VLOOKUP(DF66,源_6社保表_Sheet1!$C:$BZ,19,FALSE),0)</f>
        <v>572.96</v>
      </c>
      <c r="CB66">
        <f>IFERROR(VLOOKUP(DF66,源_6社保表_Sheet1!$C:$BZ,24,FALSE),0)</f>
        <v>215.1</v>
      </c>
      <c r="CC66">
        <f>IFERROR(VLOOKUP(DF66,源_6社保表_Sheet1!$C:$BZ,20,FALSE),0)</f>
        <v>35.81</v>
      </c>
      <c r="CD66">
        <f>IFERROR(VLOOKUP(DF66,源_6社保表_Sheet1!$C:$BZ,21,FALSE),0)</f>
        <v>22.918399999999998</v>
      </c>
      <c r="CE66">
        <f>IFERROR(VLOOKUP(DF66,源_6社保表_Sheet1!$C:$BZ,22,FALSE),0)</f>
        <v>0</v>
      </c>
      <c r="CF66">
        <f>IFERROR(VLOOKUP(DF66,源_6社保表_Sheet1!$C:$BZ,23,FALSE),0)</f>
        <v>0</v>
      </c>
      <c r="CG66">
        <f>IFERROR(VLOOKUP(DF66,源_6社保表_Sheet1!$C:$BZ,32,FALSE),0)</f>
        <v>0</v>
      </c>
      <c r="CH66">
        <f>IFERROR(VLOOKUP(DF66,源_6社保表_Sheet1!$C:$BZ,33,FALSE),0)</f>
        <v>0</v>
      </c>
      <c r="CI66">
        <f>IFERROR(VLOOKUP(DF66,源_6社保表_Sheet1!$C:$BZ,34,FALSE),0)</f>
        <v>0</v>
      </c>
      <c r="CJ66">
        <f>IFERROR(VLOOKUP(DF66,源_6社保表_Sheet1!$C:$BZ,38,FALSE),0)</f>
        <v>0</v>
      </c>
      <c r="CK66">
        <f>IFERROR(VLOOKUP(DF66,源_6社保表_Sheet1!$C:$BZ,35,FALSE),0)</f>
        <v>0</v>
      </c>
      <c r="CL66">
        <f>IFERROR(VLOOKUP(DF66,源_6社保表_Sheet1!$C:$BZ,36,FALSE),0)</f>
        <v>0</v>
      </c>
      <c r="CM66">
        <f>IFERROR(VLOOKUP(DF66,源_6社保表_Sheet1!$C:$BZ,37,FALSE),0)</f>
        <v>0</v>
      </c>
      <c r="CN66">
        <f t="shared" ref="CN66:CN97" si="32">BZ66+CA66+CB66+CC66+CD66+CE66+CF66+CG66+CH66+CI66+CJ66+CK66+CL66+CM66</f>
        <v>1921.0883999999999</v>
      </c>
      <c r="CO66">
        <f t="shared" ref="CO66:CO97" si="33">BI66+BG66+CN66+BE66+BH66</f>
        <v>3173.4010000000003</v>
      </c>
      <c r="CP66">
        <f>IF(IFERROR(VLOOKUP(K66,源_13残疾人信息_残疾人信息!$A:$M,1,FALSE),"")&lt;&gt;"",0,IF(OR(P66="门店全职",P66="门店管理组",P66="全职(非门店)"),(BI66-AT66)*IFERROR(VLOOKUP(D66,源_12计提残保金规则_Sheet1!$A:$E,4,FALSE),0)*IFERROR(VLOOKUP(D66,源_12计提残保金规则_Sheet1!$A:$E,5,FALSE),0),0))</f>
        <v>14.971499999999999</v>
      </c>
      <c r="CQ66">
        <f t="shared" ref="CQ66:CQ97" si="34">IF(M66="行政",0,16.05)</f>
        <v>16.05</v>
      </c>
      <c r="CR66">
        <f t="shared" ref="CR66:CR97" si="35">IF(M66="门卫",0,20.67)</f>
        <v>20.67</v>
      </c>
      <c r="CS66">
        <f>IF(DATEVALUE(N66)&gt;DATE(参数!$B$2,9,30),0,IF(M66="行政",0,IF(O66="",R66/12,IF(MONTH(DATEVALUE(O66))=参数!$B$3,0,IF(DATEVALUE(O66)&lt;DATE(参数!$B$2,参数!$B$3,1),0,R66/12)))))</f>
        <v>303.33333333333331</v>
      </c>
      <c r="CT66">
        <f t="shared" ref="CT66:CT97" si="36">IF(P66="门店管理组",R66*0.12*0.85,0)</f>
        <v>0</v>
      </c>
      <c r="CU66">
        <f>IFERROR(VLOOKUP(DF66,源_6社保表_Sheet1!$C:$I,2,FALSE),0)</f>
        <v>7162</v>
      </c>
      <c r="CV66">
        <f>IFERROR(VLOOKUP(DF66,源_6社保表_Sheet1!$C:$I,7,FALSE),0)</f>
        <v>3585</v>
      </c>
      <c r="CW66">
        <f>IFERROR(VLOOKUP(DF66,源_6社保表_Sheet1!$C:$I,3,FALSE),0)</f>
        <v>7162</v>
      </c>
      <c r="CX66">
        <f>IFERROR(VLOOKUP(DF66,源_6社保表_Sheet1!$C:$I,4,FALSE),0)</f>
        <v>7162</v>
      </c>
      <c r="CY66">
        <f>IFERROR(VLOOKUP(DF66,源_6社保表_Sheet1!$C:$I,5,FALSE),0)</f>
        <v>7162</v>
      </c>
      <c r="CZ66">
        <f>IFERROR(VLOOKUP(DF66,源_6社保表_Sheet1!$C:$I,6,FALSE),0)</f>
        <v>0</v>
      </c>
      <c r="DA66">
        <f t="shared" ref="DA66:DA97" si="37">BI66+CN66-AG66-AH66-AI66-AJ66-AK66-AL66-AM66-AQ66-AR66-AS66-AT66</f>
        <v>2121.0883999999996</v>
      </c>
      <c r="DB66">
        <f t="shared" ref="DB66:DB97" si="38">DA66+CP66+CQ66+CR66+CS66+CT66+BH66</f>
        <v>2482.6132333333335</v>
      </c>
      <c r="DC66" t="str">
        <f>IFERROR(VLOOKUP(K66,源_7银行卡表_Sheet1!$A:$J,8,FALSE),"")</f>
        <v>上海银行</v>
      </c>
      <c r="DD66" t="str">
        <f>IFERROR(VLOOKUP(K66,源_7银行卡表_Sheet1!$A:$J,9,FALSE),"")</f>
        <v>6288526099394387300</v>
      </c>
      <c r="DE66" t="str">
        <f>IFERROR(VLOOKUP(K66,源_7银行卡表_Sheet1!$A:$J,10,FALSE),"")</f>
        <v>上海银行股份有限公司闸北支行</v>
      </c>
      <c r="DF66" t="s">
        <v>425</v>
      </c>
      <c r="DG66">
        <v>16618744190</v>
      </c>
      <c r="DH66" t="s">
        <v>148</v>
      </c>
      <c r="DI66">
        <v>0</v>
      </c>
      <c r="DJ66">
        <v>0</v>
      </c>
      <c r="DK66">
        <v>0</v>
      </c>
      <c r="DL66">
        <v>0</v>
      </c>
      <c r="DM66">
        <v>0</v>
      </c>
      <c r="DN66">
        <v>0</v>
      </c>
      <c r="DO66">
        <v>0</v>
      </c>
      <c r="DP66">
        <v>0</v>
      </c>
      <c r="DQ66">
        <v>0</v>
      </c>
      <c r="DR66">
        <f>IF(OR(IFERROR(VLOOKUP(K66,源_3考勤报表_考勤表!$F:$BG,39,FALSE),0)+IFERROR(VLOOKUP(K66,源_8补工时表_补当月工时!$A:$AC,24,FALSE),0)=0,IFERROR(VLOOKUP(K66,源_3考勤报表_考勤表!$F:$BG,43,FALSE),0)+IFERROR(VLOOKUP(K66,源_8补工时表_补当月工时!$A:$AC,26,FALSE),0)=0),IF(BI66+BG66-BT66&lt;0,BI66+BG66-BT66,0),0)</f>
        <v>0</v>
      </c>
    </row>
    <row r="67" spans="1:122" x14ac:dyDescent="0.15">
      <c r="A67">
        <f>参数!$B$2</f>
        <v>2025</v>
      </c>
      <c r="B67">
        <f>参数!$B$3</f>
        <v>12</v>
      </c>
      <c r="D67" t="s">
        <v>147</v>
      </c>
      <c r="E67" t="s">
        <v>123</v>
      </c>
      <c r="F67" t="str">
        <f>IFERROR(VLOOKUP(K67,源_7银行卡表_Sheet1!$A:$J,6,FALSE),"")</f>
        <v>华北营运</v>
      </c>
      <c r="G67" t="s">
        <v>148</v>
      </c>
      <c r="H67" t="s">
        <v>426</v>
      </c>
      <c r="I67" t="s">
        <v>150</v>
      </c>
      <c r="J67">
        <v>1</v>
      </c>
      <c r="K67">
        <v>26123066</v>
      </c>
      <c r="L67" t="s">
        <v>427</v>
      </c>
      <c r="M67" t="s">
        <v>170</v>
      </c>
      <c r="N67" t="s">
        <v>424</v>
      </c>
      <c r="P67" t="s">
        <v>154</v>
      </c>
      <c r="Q67">
        <f>IF(P67="门店全职",IFERROR(VLOOKUP(K67,源_3考勤报表_考勤表!$F:$BG,34,FALSE),0)+IFERROR(VLOOKUP(K67,源_8补工时表_补当月工时!$A:$AC,14,FALSE),0),IF(P67="门店管理组",IF(IFERROR(VLOOKUP(K67,源_3考勤报表_考勤表!$F:$BG,34,FALSE),0)+IFERROR(VLOOKUP(K67,源_8补工时表_补当月工时!$A:$AC,14,FALSE),0)+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44,FALSE),0)+IFERROR(VLOOKUP(K67,源_8补工时表_补当月工时!$A:$AC,16,FALSE),0)+IFERROR(VLOOKUP(K67,源_3考勤报表_考勤表!$F:$BG,45,FALSE),0)&gt;=参数!$B$4,参数!$B$4-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44,FALSE),0)-IFERROR(VLOOKUP(K67,源_8补工时表_补当月工时!$A:$AC,16,FALSE),0)-IFERROR(VLOOKUP(K67,源_3考勤报表_考勤表!$F:$BG,45,FALSE),0),IFERROR(VLOOKUP(K67,源_3考勤报表_考勤表!$F:$BG,34,FALSE),0)+IFERROR(VLOOKUP(K67,源_8补工时表_补当月工时!$A:$AC,14,FALSE),0)),0))</f>
        <v>24</v>
      </c>
      <c r="R67">
        <v>3640</v>
      </c>
      <c r="S67">
        <v>0</v>
      </c>
      <c r="T67">
        <f>IF(P67="门店全职",R67/参数!$B$4*(Q67-MAX(IFERROR(VLOOKUP(K67,源_3考勤报表_考勤表!$F:$BG,34,FALSE),0)+IFERROR(VLOOKUP(K67,源_8补工时表_补当月工时!$A:$AC,14,FALSE),0)+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参数!$B$4,0)),R67/参数!$B$4*Q67)</f>
        <v>474.78260869565224</v>
      </c>
      <c r="U67">
        <v>0</v>
      </c>
      <c r="V67">
        <v>0</v>
      </c>
      <c r="W67">
        <f t="shared" si="26"/>
        <v>6.6</v>
      </c>
      <c r="X67">
        <f>IFERROR(VLOOKUP(K67,源_4奖金汇总表_拆分手工算!$A:$N,8,FALSE),0)</f>
        <v>6.6</v>
      </c>
      <c r="Y67">
        <f>IFERROR(VLOOKUP(K67,源_5薪资备忘录_工资调整项!$A:$AC,14,FALSE),0)</f>
        <v>0</v>
      </c>
      <c r="Z67">
        <f>IFERROR(VLOOKUP(K67,源_5薪资备忘录_工资调整项!$A:$AC,16,FALSE),0)</f>
        <v>0</v>
      </c>
      <c r="AA67">
        <f>IFERROR(VLOOKUP(K67,源_5薪资备忘录_工资调整项!$A:$AC,15,FALSE),0)</f>
        <v>0</v>
      </c>
      <c r="AB67">
        <f t="shared" si="27"/>
        <v>0</v>
      </c>
      <c r="AC67">
        <f>IF(P67="门店全职",R67/174*MAX(IFERROR(VLOOKUP(K67,源_3考勤报表_考勤表!$F:$BG,34,FALSE),0)+IFERROR(VLOOKUP(K67,源_8补工时表_补当月工时!$A:$AC,14,FALSE),0)+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参数!$B$4,0)*1.5,0)</f>
        <v>0</v>
      </c>
      <c r="AD67">
        <v>0</v>
      </c>
      <c r="AE67">
        <f>IFERROR(VLOOKUP(K67,源_3考勤报表_考勤表!$F:$BG,46,FALSE),0)+IFERROR(VLOOKUP(K67,源_8补工时表_补当月工时!$A:$AC,25,FALSE),0)</f>
        <v>0</v>
      </c>
      <c r="AF67">
        <f t="shared" si="28"/>
        <v>0</v>
      </c>
      <c r="AG67">
        <f>IFERROR(VLOOKUP(K67,源_4奖金汇总表_拆分手工算!$A:$N,10,FALSE),0)</f>
        <v>96</v>
      </c>
      <c r="AH67">
        <f>IFERROR(VLOOKUP(K67,源_4奖金汇总表_拆分手工算!$A:$N,5,FALSE),0)</f>
        <v>0</v>
      </c>
      <c r="AI67">
        <f>IFERROR(VLOOKUP(K67,源_4奖金汇总表_拆分手工算!$A:$N,11,FALSE),0)</f>
        <v>0</v>
      </c>
      <c r="AJ67">
        <f>IFERROR(VLOOKUP(K67,源_4奖金汇总表_拆分手工算!$A:$N,4,FALSE),0)</f>
        <v>0</v>
      </c>
      <c r="AK67">
        <f>IFERROR(VLOOKUP(K67,源_4奖金汇总表_拆分手工算!$A:$N,3,FALSE),0)</f>
        <v>0</v>
      </c>
      <c r="AL67">
        <f>IFERROR(VLOOKUP(K67,源_4奖金汇总表_拆分手工算!$A:$N,6,FALSE),0)</f>
        <v>0</v>
      </c>
      <c r="AM67">
        <f>IFERROR(VLOOKUP(K67,源_5薪资备忘录_工资调整项!$A:$AC,18,FALSE),0)+IFERROR(VLOOKUP(K67,源_4奖金汇总表_拆分手工算!$A:$N,7,FALSE),0)</f>
        <v>0</v>
      </c>
      <c r="AN67">
        <f>IFERROR(VLOOKUP(K67,源_5薪资备忘录_工资调整项!$A:$AC,17,FALSE),0)</f>
        <v>0</v>
      </c>
      <c r="AO67">
        <f>IF(OR(IFERROR(VLOOKUP(K67,源_3考勤报表_考勤表!$F:$BG,39,FALSE),0)+IFERROR(VLOOKUP(K67,源_8补工时表_补当月工时!$A:$AC,24,FALSE),0)&gt;0,IFERROR(VLOOKUP(K67,源_3考勤报表_考勤表!$F:$BG,43,FALSE),0)+IFERROR(VLOOKUP(K67,源_8补工时表_补当月工时!$A:$AC,26,FALSE),0)&gt;0),IF(IFERROR(VLOOKUP(DH67,源_11产假政策_Sheet1!$C:$F,4,FALSE),"")="是",R67/参数!$B$4*(IFERROR(VLOOKUP(K67,源_3考勤报表_考勤表!$F:$BG,39,FALSE),0)+IFERROR(VLOOKUP(K67,源_8补工时表_补当月工时!$A:$AC,24,FALSE),0)+IFERROR(VLOOKUP(K67,源_3考勤报表_考勤表!$F:$BG,43,FALSE),0)+IFERROR(VLOOKUP(K67,源_8补工时表_补当月工时!$A:$AC,26,FALSE),0)),IFERROR(VLOOKUP(K67,源_5薪资备忘录_工资调整项!$A:$AC,19,FALSE),0)),0)</f>
        <v>0</v>
      </c>
      <c r="AP67">
        <v>0</v>
      </c>
      <c r="AQ67">
        <f>IFERROR(VLOOKUP(K67,源_4奖金汇总表_拆分手工算!$A:$N,12,FALSE),0)+IFERROR(VLOOKUP(K67,源_9年终奖表_Sheet1!$A:$E,3,FALSE),0)</f>
        <v>0</v>
      </c>
      <c r="AR67">
        <f>IFERROR(VLOOKUP(K67,源_4奖金汇总表_拆分手工算!$A:$N,13,FALSE),0)+IFERROR(VLOOKUP(K67,源_9年终奖表_Sheet1!$A:$E,4,FALSE),0)</f>
        <v>0</v>
      </c>
      <c r="AS67">
        <f>IFERROR(VLOOKUP(K67,源_4奖金汇总表_拆分手工算!$A:$N,14,FALSE),0)+IFERROR(VLOOKUP(K67,源_9年终奖表_Sheet1!$A:$E,5,FALSE),0)</f>
        <v>0</v>
      </c>
      <c r="AT67">
        <f>IFERROR(VLOOKUP(K67,源_5薪资备忘录_工资调整项!$A:$AC,20,FALSE),0)</f>
        <v>0</v>
      </c>
      <c r="AU67">
        <f>IFERROR(VLOOKUP(K67,源_5薪资备忘录_工资调整项!$A:$AC,21,FALSE),0)+IFERROR(VLOOKUP(K67,源_4奖金汇总表_拆分手工算!$A:$N,9,FALSE),0)</f>
        <v>0</v>
      </c>
      <c r="AV67">
        <f>R67/参数!$B$4*(IFERROR(VLOOKUP(K67,源_3考勤报表_考勤表!$F:$BG,37,FALSE),0)+IFERROR(VLOOKUP(K67,源_8补工时表_补当月工时!$A:$AC,15,FALSE),0))</f>
        <v>553.91304347826087</v>
      </c>
      <c r="AW67">
        <f>R67/174*MIN(IFERROR(VLOOKUP(K67,源_3考勤报表_考勤表!$F:$BG,35,FALSE),0),174)*IF(DATEDIF(N67,DATE(参数!$B$2,参数!$B$3+1,0),"Y")&lt;2,0.6,IF(DATEDIF(N67,DATE(参数!$B$2,参数!$B$3+1,0),"Y")&lt;4,0.7,IF(DATEDIF(N67,DATE(参数!$B$2,参数!$B$3+1,0),"Y")&lt;6,0.8,IF(DATEDIF(N67,DATE(参数!$B$2,参数!$B$3+1,0),"Y")&lt;8,0.9,1))))</f>
        <v>0</v>
      </c>
      <c r="AX67">
        <f>IF(Q67+IFERROR(VLOOKUP(K67,源_3考勤报表_考勤表!$F:$BG,37,FALSE),0)+IFERROR(VLOOKUP(K67,源_8补工时表_补当月工时!$A:$AC,15,FALSE),0)&gt;=参数!$B$4,0,IF(Q67+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lt;=参数!$B$4,R67/参数!$B$4*(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0))</f>
        <v>1582.608695652174</v>
      </c>
      <c r="AY67">
        <v>0</v>
      </c>
      <c r="AZ67">
        <v>0</v>
      </c>
      <c r="BA67">
        <v>0</v>
      </c>
      <c r="BB67">
        <v>0</v>
      </c>
      <c r="BC67">
        <f>IFERROR(VLOOKUP(K67,源_5薪资备忘录_工资调整项!$A:$AC,25,FALSE),0)</f>
        <v>0</v>
      </c>
      <c r="BD67">
        <v>0</v>
      </c>
      <c r="BE67">
        <f>(T67+W67+AB67+AG67+AH67+AI67+AJ67+AK67+AL67+AM67+AN67+AO67+AP67+AU67+AV67+AW67+AX67+BC67-IFERROR(VLOOKUP(DF67,源_6社保表_Sheet1!$C:$BZ,76,FALSE),0))*0.02</f>
        <v>37.306086956521753</v>
      </c>
      <c r="BF67">
        <v>0</v>
      </c>
      <c r="BG67">
        <f>IFERROR(VLOOKUP(K67,源_5薪资备忘录_工资调整项!$A:$AC,22,FALSE),0)+IFERROR(VLOOKUP(K67,源_5薪资备忘录_工资调整项!$A:$AC,23,FALSE),0)+IFERROR(VLOOKUP(K67,源_5薪资备忘录_工资调整项!$A:$AC,24,FALSE),0)</f>
        <v>100</v>
      </c>
      <c r="BH67">
        <f>IFERROR(VLOOKUP(DF67,源_6社保表_Sheet1!$C:$CD,80,FALSE),0)+4.5</f>
        <v>6.5</v>
      </c>
      <c r="BI67">
        <f t="shared" si="29"/>
        <v>2713.9043478260874</v>
      </c>
      <c r="BJ67">
        <f>IFERROR(VLOOKUP(DF67,源_6社保表_Sheet1!$C:$BZ,26,FALSE),0)</f>
        <v>501.2</v>
      </c>
      <c r="BK67">
        <f>IFERROR(VLOOKUP(DF67,源_6社保表_Sheet1!$C:$BZ,27,FALSE),0)</f>
        <v>71.599999999999994</v>
      </c>
      <c r="BL67">
        <f>IFERROR(VLOOKUP(DF67,源_6社保表_Sheet1!$C:$BZ,28,FALSE),0)</f>
        <v>35.799999999999997</v>
      </c>
      <c r="BM67">
        <f>IFERROR(VLOOKUP(DF67,源_6社保表_Sheet1!$C:$BZ,30,FALSE),0)</f>
        <v>240</v>
      </c>
      <c r="BN67">
        <f>IFERROR(VLOOKUP(DF67,源_6社保表_Sheet1!$C:$BZ,29,FALSE),0)</f>
        <v>0</v>
      </c>
      <c r="BO67">
        <f>IFERROR(VLOOKUP(DF67,源_6社保表_Sheet1!$C:$BZ,40,FALSE),0)</f>
        <v>0</v>
      </c>
      <c r="BP67">
        <f>IFERROR(VLOOKUP(DF67,源_6社保表_Sheet1!$C:$BZ,41,FALSE),0)</f>
        <v>0</v>
      </c>
      <c r="BQ67">
        <f>IFERROR(VLOOKUP(DF67,源_6社保表_Sheet1!$C:$BZ,42,FALSE),0)</f>
        <v>0</v>
      </c>
      <c r="BR67">
        <f>IFERROR(VLOOKUP(DF67,源_6社保表_Sheet1!$C:$BZ,44,FALSE),0)</f>
        <v>0</v>
      </c>
      <c r="BS67">
        <f>IFERROR(VLOOKUP(DF67,源_6社保表_Sheet1!$C:$BZ,43,FALSE),0)</f>
        <v>0</v>
      </c>
      <c r="BT67">
        <f t="shared" si="30"/>
        <v>848.59999999999991</v>
      </c>
      <c r="BU67">
        <v>0</v>
      </c>
      <c r="BV67">
        <v>0</v>
      </c>
      <c r="BW67">
        <v>0</v>
      </c>
      <c r="BX67">
        <f t="shared" si="31"/>
        <v>0</v>
      </c>
      <c r="BY67">
        <v>0</v>
      </c>
      <c r="BZ67">
        <f>IFERROR(VLOOKUP(DF67,源_6社保表_Sheet1!$C:$BZ,18,FALSE),0)</f>
        <v>1074</v>
      </c>
      <c r="CA67">
        <f>IFERROR(VLOOKUP(DF67,源_6社保表_Sheet1!$C:$BZ,19,FALSE),0)</f>
        <v>572.79999999999995</v>
      </c>
      <c r="CB67">
        <f>IFERROR(VLOOKUP(DF67,源_6社保表_Sheet1!$C:$BZ,24,FALSE),0)</f>
        <v>240</v>
      </c>
      <c r="CC67">
        <f>IFERROR(VLOOKUP(DF67,源_6社保表_Sheet1!$C:$BZ,20,FALSE),0)</f>
        <v>35.799999999999997</v>
      </c>
      <c r="CD67">
        <f>IFERROR(VLOOKUP(DF67,源_6社保表_Sheet1!$C:$BZ,21,FALSE),0)</f>
        <v>22.911999999999999</v>
      </c>
      <c r="CE67">
        <f>IFERROR(VLOOKUP(DF67,源_6社保表_Sheet1!$C:$BZ,22,FALSE),0)</f>
        <v>0</v>
      </c>
      <c r="CF67">
        <f>IFERROR(VLOOKUP(DF67,源_6社保表_Sheet1!$C:$BZ,23,FALSE),0)</f>
        <v>0</v>
      </c>
      <c r="CG67">
        <f>IFERROR(VLOOKUP(DF67,源_6社保表_Sheet1!$C:$BZ,32,FALSE),0)</f>
        <v>0</v>
      </c>
      <c r="CH67">
        <f>IFERROR(VLOOKUP(DF67,源_6社保表_Sheet1!$C:$BZ,33,FALSE),0)</f>
        <v>0</v>
      </c>
      <c r="CI67">
        <f>IFERROR(VLOOKUP(DF67,源_6社保表_Sheet1!$C:$BZ,34,FALSE),0)</f>
        <v>0</v>
      </c>
      <c r="CJ67">
        <f>IFERROR(VLOOKUP(DF67,源_6社保表_Sheet1!$C:$BZ,38,FALSE),0)</f>
        <v>0</v>
      </c>
      <c r="CK67">
        <f>IFERROR(VLOOKUP(DF67,源_6社保表_Sheet1!$C:$BZ,35,FALSE),0)</f>
        <v>0</v>
      </c>
      <c r="CL67">
        <f>IFERROR(VLOOKUP(DF67,源_6社保表_Sheet1!$C:$BZ,36,FALSE),0)</f>
        <v>0</v>
      </c>
      <c r="CM67">
        <f>IFERROR(VLOOKUP(DF67,源_6社保表_Sheet1!$C:$BZ,37,FALSE),0)</f>
        <v>0</v>
      </c>
      <c r="CN67">
        <f t="shared" si="32"/>
        <v>1945.5119999999999</v>
      </c>
      <c r="CO67">
        <f t="shared" si="33"/>
        <v>4803.2224347826086</v>
      </c>
      <c r="CP67">
        <f>IF(IFERROR(VLOOKUP(K67,源_13残疾人信息_残疾人信息!$A:$M,1,FALSE),"")&lt;&gt;"",0,IF(OR(P67="门店全职",P67="门店管理组",P67="全职(非门店)"),(BI67-AT67)*IFERROR(VLOOKUP(D67,源_12计提残保金规则_Sheet1!$A:$E,4,FALSE),0)*IFERROR(VLOOKUP(D67,源_12计提残保金规则_Sheet1!$A:$E,5,FALSE),0),0))</f>
        <v>36.637708695652179</v>
      </c>
      <c r="CQ67">
        <f t="shared" si="34"/>
        <v>16.05</v>
      </c>
      <c r="CR67">
        <f t="shared" si="35"/>
        <v>20.67</v>
      </c>
      <c r="CS67">
        <f>IF(DATEVALUE(N67)&gt;DATE(参数!$B$2,9,30),0,IF(M67="行政",0,IF(O67="",R67/12,IF(MONTH(DATEVALUE(O67))=参数!$B$3,0,IF(DATEVALUE(O67)&lt;DATE(参数!$B$2,参数!$B$3,1),0,R67/12)))))</f>
        <v>303.33333333333331</v>
      </c>
      <c r="CT67">
        <f t="shared" si="36"/>
        <v>0</v>
      </c>
      <c r="CU67">
        <f>IFERROR(VLOOKUP(DF67,源_6社保表_Sheet1!$C:$I,2,FALSE),0)</f>
        <v>7160</v>
      </c>
      <c r="CV67">
        <f>IFERROR(VLOOKUP(DF67,源_6社保表_Sheet1!$C:$I,7,FALSE),0)</f>
        <v>4000</v>
      </c>
      <c r="CW67">
        <f>IFERROR(VLOOKUP(DF67,源_6社保表_Sheet1!$C:$I,3,FALSE),0)</f>
        <v>7160</v>
      </c>
      <c r="CX67">
        <f>IFERROR(VLOOKUP(DF67,源_6社保表_Sheet1!$C:$I,4,FALSE),0)</f>
        <v>7160</v>
      </c>
      <c r="CY67">
        <f>IFERROR(VLOOKUP(DF67,源_6社保表_Sheet1!$C:$I,5,FALSE),0)</f>
        <v>7160</v>
      </c>
      <c r="CZ67">
        <f>IFERROR(VLOOKUP(DF67,源_6社保表_Sheet1!$C:$I,6,FALSE),0)</f>
        <v>0</v>
      </c>
      <c r="DA67">
        <f t="shared" si="37"/>
        <v>4563.4163478260871</v>
      </c>
      <c r="DB67">
        <f t="shared" si="38"/>
        <v>4946.6073898550721</v>
      </c>
      <c r="DC67" t="str">
        <f>IFERROR(VLOOKUP(K67,源_7银行卡表_Sheet1!$A:$J,8,FALSE),"")</f>
        <v>上海银行</v>
      </c>
      <c r="DD67" t="str">
        <f>IFERROR(VLOOKUP(K67,源_7银行卡表_Sheet1!$A:$J,9,FALSE),"")</f>
        <v>6284987108985454426</v>
      </c>
      <c r="DE67" t="str">
        <f>IFERROR(VLOOKUP(K67,源_7银行卡表_Sheet1!$A:$J,10,FALSE),"")</f>
        <v>上海银行股份有限公司福民支行</v>
      </c>
      <c r="DF67" t="s">
        <v>428</v>
      </c>
      <c r="DG67">
        <v>15378833147</v>
      </c>
      <c r="DH67" t="s">
        <v>148</v>
      </c>
      <c r="DI67">
        <v>0</v>
      </c>
      <c r="DJ67">
        <v>0</v>
      </c>
      <c r="DK67">
        <v>0</v>
      </c>
      <c r="DL67">
        <v>0</v>
      </c>
      <c r="DM67">
        <v>0</v>
      </c>
      <c r="DN67">
        <v>0</v>
      </c>
      <c r="DO67">
        <v>0</v>
      </c>
      <c r="DP67">
        <v>0</v>
      </c>
      <c r="DQ67">
        <v>0</v>
      </c>
      <c r="DR67">
        <f>IF(OR(IFERROR(VLOOKUP(K67,源_3考勤报表_考勤表!$F:$BG,39,FALSE),0)+IFERROR(VLOOKUP(K67,源_8补工时表_补当月工时!$A:$AC,24,FALSE),0)=0,IFERROR(VLOOKUP(K67,源_3考勤报表_考勤表!$F:$BG,43,FALSE),0)+IFERROR(VLOOKUP(K67,源_8补工时表_补当月工时!$A:$AC,26,FALSE),0)=0),IF(BI67+BG67-BT67&lt;0,BI67+BG67-BT67,0),0)</f>
        <v>0</v>
      </c>
    </row>
    <row r="68" spans="1:122" x14ac:dyDescent="0.15">
      <c r="A68">
        <f>参数!$B$2</f>
        <v>2025</v>
      </c>
      <c r="B68">
        <f>参数!$B$3</f>
        <v>12</v>
      </c>
      <c r="D68" t="s">
        <v>147</v>
      </c>
      <c r="E68" t="s">
        <v>123</v>
      </c>
      <c r="F68" t="str">
        <f>IFERROR(VLOOKUP(K68,源_7银行卡表_Sheet1!$A:$J,6,FALSE),"")</f>
        <v>华北营运</v>
      </c>
      <c r="G68" t="s">
        <v>148</v>
      </c>
      <c r="H68" t="s">
        <v>429</v>
      </c>
      <c r="I68" t="s">
        <v>150</v>
      </c>
      <c r="J68">
        <v>1</v>
      </c>
      <c r="K68">
        <v>26123067</v>
      </c>
      <c r="L68" t="s">
        <v>430</v>
      </c>
      <c r="M68" t="s">
        <v>140</v>
      </c>
      <c r="N68" t="s">
        <v>431</v>
      </c>
      <c r="P68" t="s">
        <v>131</v>
      </c>
      <c r="Q68">
        <f>IF(P68="门店全职",IFERROR(VLOOKUP(K68,源_3考勤报表_考勤表!$F:$BG,34,FALSE),0)+IFERROR(VLOOKUP(K68,源_8补工时表_补当月工时!$A:$AC,14,FALSE),0),IF(P68="门店管理组",IF(IFERROR(VLOOKUP(K68,源_3考勤报表_考勤表!$F:$BG,34,FALSE),0)+IFERROR(VLOOKUP(K68,源_8补工时表_补当月工时!$A:$AC,14,FALSE),0)+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44,FALSE),0)+IFERROR(VLOOKUP(K68,源_8补工时表_补当月工时!$A:$AC,16,FALSE),0)+IFERROR(VLOOKUP(K68,源_3考勤报表_考勤表!$F:$BG,45,FALSE),0)&gt;=参数!$B$4,参数!$B$4-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44,FALSE),0)-IFERROR(VLOOKUP(K68,源_8补工时表_补当月工时!$A:$AC,16,FALSE),0)-IFERROR(VLOOKUP(K68,源_3考勤报表_考勤表!$F:$BG,45,FALSE),0),IFERROR(VLOOKUP(K68,源_3考勤报表_考勤表!$F:$BG,34,FALSE),0)+IFERROR(VLOOKUP(K68,源_8补工时表_补当月工时!$A:$AC,14,FALSE),0)),0))</f>
        <v>128</v>
      </c>
      <c r="R68">
        <v>5600</v>
      </c>
      <c r="S68">
        <v>0</v>
      </c>
      <c r="T68">
        <f>IF(P68="门店全职",R68/参数!$B$4*(Q68-MAX(IFERROR(VLOOKUP(K68,源_3考勤报表_考勤表!$F:$BG,34,FALSE),0)+IFERROR(VLOOKUP(K68,源_8补工时表_补当月工时!$A:$AC,14,FALSE),0)+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参数!$B$4,0)),R68/参数!$B$4*Q68)</f>
        <v>3895.6521739130435</v>
      </c>
      <c r="U68">
        <v>0</v>
      </c>
      <c r="V68">
        <v>0</v>
      </c>
      <c r="W68">
        <f t="shared" si="26"/>
        <v>0</v>
      </c>
      <c r="X68">
        <f>IFERROR(VLOOKUP(K68,源_4奖金汇总表_拆分手工算!$A:$N,8,FALSE),0)</f>
        <v>0</v>
      </c>
      <c r="Y68">
        <f>IFERROR(VLOOKUP(K68,源_5薪资备忘录_工资调整项!$A:$AC,14,FALSE),0)</f>
        <v>0</v>
      </c>
      <c r="Z68">
        <f>IFERROR(VLOOKUP(K68,源_5薪资备忘录_工资调整项!$A:$AC,16,FALSE),0)</f>
        <v>0</v>
      </c>
      <c r="AA68">
        <f>IFERROR(VLOOKUP(K68,源_5薪资备忘录_工资调整项!$A:$AC,15,FALSE),0)</f>
        <v>0</v>
      </c>
      <c r="AB68">
        <f t="shared" si="27"/>
        <v>0</v>
      </c>
      <c r="AC68">
        <f>IF(P68="门店全职",R68/174*MAX(IFERROR(VLOOKUP(K68,源_3考勤报表_考勤表!$F:$BG,34,FALSE),0)+IFERROR(VLOOKUP(K68,源_8补工时表_补当月工时!$A:$AC,14,FALSE),0)+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参数!$B$4,0)*1.5,0)</f>
        <v>0</v>
      </c>
      <c r="AD68">
        <v>0</v>
      </c>
      <c r="AE68">
        <f>IFERROR(VLOOKUP(K68,源_3考勤报表_考勤表!$F:$BG,46,FALSE),0)+IFERROR(VLOOKUP(K68,源_8补工时表_补当月工时!$A:$AC,25,FALSE),0)</f>
        <v>0</v>
      </c>
      <c r="AF68">
        <f t="shared" si="28"/>
        <v>0</v>
      </c>
      <c r="AG68">
        <f>IFERROR(VLOOKUP(K68,源_4奖金汇总表_拆分手工算!$A:$N,10,FALSE),0)</f>
        <v>0</v>
      </c>
      <c r="AH68">
        <f>IFERROR(VLOOKUP(K68,源_4奖金汇总表_拆分手工算!$A:$N,5,FALSE),0)</f>
        <v>0</v>
      </c>
      <c r="AI68">
        <f>IFERROR(VLOOKUP(K68,源_4奖金汇总表_拆分手工算!$A:$N,11,FALSE),0)</f>
        <v>0</v>
      </c>
      <c r="AJ68">
        <f>IFERROR(VLOOKUP(K68,源_4奖金汇总表_拆分手工算!$A:$N,4,FALSE),0)</f>
        <v>0</v>
      </c>
      <c r="AK68">
        <f>IFERROR(VLOOKUP(K68,源_4奖金汇总表_拆分手工算!$A:$N,3,FALSE),0)</f>
        <v>0</v>
      </c>
      <c r="AL68">
        <f>IFERROR(VLOOKUP(K68,源_4奖金汇总表_拆分手工算!$A:$N,6,FALSE),0)</f>
        <v>0</v>
      </c>
      <c r="AM68">
        <f>IFERROR(VLOOKUP(K68,源_5薪资备忘录_工资调整项!$A:$AC,18,FALSE),0)+IFERROR(VLOOKUP(K68,源_4奖金汇总表_拆分手工算!$A:$N,7,FALSE),0)</f>
        <v>100</v>
      </c>
      <c r="AN68">
        <f>IFERROR(VLOOKUP(K68,源_5薪资备忘录_工资调整项!$A:$AC,17,FALSE),0)</f>
        <v>0</v>
      </c>
      <c r="AO68">
        <f>IF(OR(IFERROR(VLOOKUP(K68,源_3考勤报表_考勤表!$F:$BG,39,FALSE),0)+IFERROR(VLOOKUP(K68,源_8补工时表_补当月工时!$A:$AC,24,FALSE),0)&gt;0,IFERROR(VLOOKUP(K68,源_3考勤报表_考勤表!$F:$BG,43,FALSE),0)+IFERROR(VLOOKUP(K68,源_8补工时表_补当月工时!$A:$AC,26,FALSE),0)&gt;0),IF(IFERROR(VLOOKUP(DH68,源_11产假政策_Sheet1!$C:$F,4,FALSE),"")="是",R68/参数!$B$4*(IFERROR(VLOOKUP(K68,源_3考勤报表_考勤表!$F:$BG,39,FALSE),0)+IFERROR(VLOOKUP(K68,源_8补工时表_补当月工时!$A:$AC,24,FALSE),0)+IFERROR(VLOOKUP(K68,源_3考勤报表_考勤表!$F:$BG,43,FALSE),0)+IFERROR(VLOOKUP(K68,源_8补工时表_补当月工时!$A:$AC,26,FALSE),0)),IFERROR(VLOOKUP(K68,源_5薪资备忘录_工资调整项!$A:$AC,19,FALSE),0)),0)</f>
        <v>0</v>
      </c>
      <c r="AP68">
        <v>0</v>
      </c>
      <c r="AQ68">
        <f>IFERROR(VLOOKUP(K68,源_4奖金汇总表_拆分手工算!$A:$N,12,FALSE),0)+IFERROR(VLOOKUP(K68,源_9年终奖表_Sheet1!$A:$E,3,FALSE),0)</f>
        <v>1200</v>
      </c>
      <c r="AR68">
        <f>IFERROR(VLOOKUP(K68,源_4奖金汇总表_拆分手工算!$A:$N,13,FALSE),0)+IFERROR(VLOOKUP(K68,源_9年终奖表_Sheet1!$A:$E,4,FALSE),0)</f>
        <v>666.66</v>
      </c>
      <c r="AS68">
        <f>IFERROR(VLOOKUP(K68,源_4奖金汇总表_拆分手工算!$A:$N,14,FALSE),0)+IFERROR(VLOOKUP(K68,源_9年终奖表_Sheet1!$A:$E,5,FALSE),0)</f>
        <v>111</v>
      </c>
      <c r="AT68">
        <f>IFERROR(VLOOKUP(K68,源_5薪资备忘录_工资调整项!$A:$AC,20,FALSE),0)</f>
        <v>0</v>
      </c>
      <c r="AU68">
        <f>IFERROR(VLOOKUP(K68,源_5薪资备忘录_工资调整项!$A:$AC,21,FALSE),0)+IFERROR(VLOOKUP(K68,源_4奖金汇总表_拆分手工算!$A:$N,9,FALSE),0)</f>
        <v>0</v>
      </c>
      <c r="AV68">
        <f>R68/参数!$B$4*(IFERROR(VLOOKUP(K68,源_3考勤报表_考勤表!$F:$BG,37,FALSE),0)+IFERROR(VLOOKUP(K68,源_8补工时表_补当月工时!$A:$AC,15,FALSE),0))</f>
        <v>0</v>
      </c>
      <c r="AW68">
        <f>R68/174*MIN(IFERROR(VLOOKUP(K68,源_3考勤报表_考勤表!$F:$BG,35,FALSE),0),174)*IF(DATEDIF(N68,DATE(参数!$B$2,参数!$B$3+1,0),"Y")&lt;2,0.6,IF(DATEDIF(N68,DATE(参数!$B$2,参数!$B$3+1,0),"Y")&lt;4,0.7,IF(DATEDIF(N68,DATE(参数!$B$2,参数!$B$3+1,0),"Y")&lt;6,0.8,IF(DATEDIF(N68,DATE(参数!$B$2,参数!$B$3+1,0),"Y")&lt;8,0.9,1))))</f>
        <v>1081.3793103448277</v>
      </c>
      <c r="AX68">
        <f>IF(Q68+IFERROR(VLOOKUP(K68,源_3考勤报表_考勤表!$F:$BG,37,FALSE),0)+IFERROR(VLOOKUP(K68,源_8补工时表_补当月工时!$A:$AC,15,FALSE),0)&gt;=参数!$B$4,0,IF(Q68+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lt;=参数!$B$4,R68/参数!$B$4*(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0))</f>
        <v>60.869565217391305</v>
      </c>
      <c r="AY68">
        <v>0</v>
      </c>
      <c r="AZ68">
        <v>0</v>
      </c>
      <c r="BA68">
        <v>0</v>
      </c>
      <c r="BB68">
        <v>0</v>
      </c>
      <c r="BC68">
        <f>IFERROR(VLOOKUP(K68,源_5薪资备忘录_工资调整项!$A:$AC,25,FALSE),0)</f>
        <v>0</v>
      </c>
      <c r="BD68">
        <v>0</v>
      </c>
      <c r="BE68">
        <f>(T68+W68+AB68+AG68+AH68+AI68+AJ68+AK68+AL68+AM68+AN68+AO68+AP68+AU68+AV68+AW68+AX68+BC68-IFERROR(VLOOKUP(DF68,源_6社保表_Sheet1!$C:$BZ,76,FALSE),0))*0.02</f>
        <v>82.738220989505251</v>
      </c>
      <c r="BF68">
        <v>0</v>
      </c>
      <c r="BG68">
        <f>IFERROR(VLOOKUP(K68,源_5薪资备忘录_工资调整项!$A:$AC,22,FALSE),0)+IFERROR(VLOOKUP(K68,源_5薪资备忘录_工资调整项!$A:$AC,23,FALSE),0)+IFERROR(VLOOKUP(K68,源_5薪资备忘录_工资调整项!$A:$AC,24,FALSE),0)</f>
        <v>0</v>
      </c>
      <c r="BH68">
        <f>IFERROR(VLOOKUP(DF68,源_6社保表_Sheet1!$C:$CD,80,FALSE),0)+4.5</f>
        <v>6.5</v>
      </c>
      <c r="BI68">
        <f t="shared" si="29"/>
        <v>7115.5610494752627</v>
      </c>
      <c r="BJ68">
        <f>IFERROR(VLOOKUP(DF68,源_6社保表_Sheet1!$C:$BZ,26,FALSE),0)</f>
        <v>501.34</v>
      </c>
      <c r="BK68">
        <f>IFERROR(VLOOKUP(DF68,源_6社保表_Sheet1!$C:$BZ,27,FALSE),0)</f>
        <v>71.62</v>
      </c>
      <c r="BL68">
        <f>IFERROR(VLOOKUP(DF68,源_6社保表_Sheet1!$C:$BZ,28,FALSE),0)</f>
        <v>35.81</v>
      </c>
      <c r="BM68">
        <f>IFERROR(VLOOKUP(DF68,源_6社保表_Sheet1!$C:$BZ,30,FALSE),0)</f>
        <v>392.22</v>
      </c>
      <c r="BN68">
        <f>IFERROR(VLOOKUP(DF68,源_6社保表_Sheet1!$C:$BZ,29,FALSE),0)</f>
        <v>0</v>
      </c>
      <c r="BO68">
        <f>IFERROR(VLOOKUP(DF68,源_6社保表_Sheet1!$C:$BZ,40,FALSE),0)</f>
        <v>0</v>
      </c>
      <c r="BP68">
        <f>IFERROR(VLOOKUP(DF68,源_6社保表_Sheet1!$C:$BZ,41,FALSE),0)</f>
        <v>0</v>
      </c>
      <c r="BQ68">
        <f>IFERROR(VLOOKUP(DF68,源_6社保表_Sheet1!$C:$BZ,42,FALSE),0)</f>
        <v>0</v>
      </c>
      <c r="BR68">
        <f>IFERROR(VLOOKUP(DF68,源_6社保表_Sheet1!$C:$BZ,44,FALSE),0)</f>
        <v>0</v>
      </c>
      <c r="BS68">
        <f>IFERROR(VLOOKUP(DF68,源_6社保表_Sheet1!$C:$BZ,43,FALSE),0)</f>
        <v>0</v>
      </c>
      <c r="BT68">
        <f t="shared" si="30"/>
        <v>1000.99</v>
      </c>
      <c r="BU68">
        <v>0</v>
      </c>
      <c r="BV68">
        <v>0</v>
      </c>
      <c r="BW68">
        <v>0</v>
      </c>
      <c r="BX68">
        <f t="shared" si="31"/>
        <v>0</v>
      </c>
      <c r="BY68">
        <v>0</v>
      </c>
      <c r="BZ68">
        <f>IFERROR(VLOOKUP(DF68,源_6社保表_Sheet1!$C:$BZ,18,FALSE),0)</f>
        <v>1074.3</v>
      </c>
      <c r="CA68">
        <f>IFERROR(VLOOKUP(DF68,源_6社保表_Sheet1!$C:$BZ,19,FALSE),0)</f>
        <v>572.96</v>
      </c>
      <c r="CB68">
        <f>IFERROR(VLOOKUP(DF68,源_6社保表_Sheet1!$C:$BZ,24,FALSE),0)</f>
        <v>392.22</v>
      </c>
      <c r="CC68">
        <f>IFERROR(VLOOKUP(DF68,源_6社保表_Sheet1!$C:$BZ,20,FALSE),0)</f>
        <v>35.81</v>
      </c>
      <c r="CD68">
        <f>IFERROR(VLOOKUP(DF68,源_6社保表_Sheet1!$C:$BZ,21,FALSE),0)</f>
        <v>22.918399999999998</v>
      </c>
      <c r="CE68">
        <f>IFERROR(VLOOKUP(DF68,源_6社保表_Sheet1!$C:$BZ,22,FALSE),0)</f>
        <v>0</v>
      </c>
      <c r="CF68">
        <f>IFERROR(VLOOKUP(DF68,源_6社保表_Sheet1!$C:$BZ,23,FALSE),0)</f>
        <v>0</v>
      </c>
      <c r="CG68">
        <f>IFERROR(VLOOKUP(DF68,源_6社保表_Sheet1!$C:$BZ,32,FALSE),0)</f>
        <v>0</v>
      </c>
      <c r="CH68">
        <f>IFERROR(VLOOKUP(DF68,源_6社保表_Sheet1!$C:$BZ,33,FALSE),0)</f>
        <v>0</v>
      </c>
      <c r="CI68">
        <f>IFERROR(VLOOKUP(DF68,源_6社保表_Sheet1!$C:$BZ,34,FALSE),0)</f>
        <v>0</v>
      </c>
      <c r="CJ68">
        <f>IFERROR(VLOOKUP(DF68,源_6社保表_Sheet1!$C:$BZ,38,FALSE),0)</f>
        <v>0</v>
      </c>
      <c r="CK68">
        <f>IFERROR(VLOOKUP(DF68,源_6社保表_Sheet1!$C:$BZ,35,FALSE),0)</f>
        <v>0</v>
      </c>
      <c r="CL68">
        <f>IFERROR(VLOOKUP(DF68,源_6社保表_Sheet1!$C:$BZ,36,FALSE),0)</f>
        <v>0</v>
      </c>
      <c r="CM68">
        <f>IFERROR(VLOOKUP(DF68,源_6社保表_Sheet1!$C:$BZ,37,FALSE),0)</f>
        <v>0</v>
      </c>
      <c r="CN68">
        <f t="shared" si="32"/>
        <v>2098.2084</v>
      </c>
      <c r="CO68">
        <f t="shared" si="33"/>
        <v>9303.007670464769</v>
      </c>
      <c r="CP68">
        <f>IF(IFERROR(VLOOKUP(K68,源_13残疾人信息_残疾人信息!$A:$M,1,FALSE),"")&lt;&gt;"",0,IF(OR(P68="门店全职",P68="门店管理组",P68="全职(非门店)"),(BI68-AT68)*IFERROR(VLOOKUP(D68,源_12计提残保金规则_Sheet1!$A:$E,4,FALSE),0)*IFERROR(VLOOKUP(D68,源_12计提残保金规则_Sheet1!$A:$E,5,FALSE),0),0))</f>
        <v>96.060074167916042</v>
      </c>
      <c r="CQ68">
        <f t="shared" si="34"/>
        <v>16.05</v>
      </c>
      <c r="CR68">
        <f t="shared" si="35"/>
        <v>20.67</v>
      </c>
      <c r="CS68">
        <f>IF(DATEVALUE(N68)&gt;DATE(参数!$B$2,9,30),0,IF(M68="行政",0,IF(O68="",R68/12,IF(MONTH(DATEVALUE(O68))=参数!$B$3,0,IF(DATEVALUE(O68)&lt;DATE(参数!$B$2,参数!$B$3,1),0,R68/12)))))</f>
        <v>466.66666666666669</v>
      </c>
      <c r="CT68">
        <f t="shared" si="36"/>
        <v>571.19999999999993</v>
      </c>
      <c r="CU68">
        <f>IFERROR(VLOOKUP(DF68,源_6社保表_Sheet1!$C:$I,2,FALSE),0)</f>
        <v>7162</v>
      </c>
      <c r="CV68">
        <f>IFERROR(VLOOKUP(DF68,源_6社保表_Sheet1!$C:$I,7,FALSE),0)</f>
        <v>6537</v>
      </c>
      <c r="CW68">
        <f>IFERROR(VLOOKUP(DF68,源_6社保表_Sheet1!$C:$I,3,FALSE),0)</f>
        <v>7162</v>
      </c>
      <c r="CX68">
        <f>IFERROR(VLOOKUP(DF68,源_6社保表_Sheet1!$C:$I,4,FALSE),0)</f>
        <v>7162</v>
      </c>
      <c r="CY68">
        <f>IFERROR(VLOOKUP(DF68,源_6社保表_Sheet1!$C:$I,5,FALSE),0)</f>
        <v>7162</v>
      </c>
      <c r="CZ68">
        <f>IFERROR(VLOOKUP(DF68,源_6社保表_Sheet1!$C:$I,6,FALSE),0)</f>
        <v>0</v>
      </c>
      <c r="DA68">
        <f t="shared" si="37"/>
        <v>7136.1094494752633</v>
      </c>
      <c r="DB68">
        <f t="shared" si="38"/>
        <v>8313.2561903098467</v>
      </c>
      <c r="DC68" t="str">
        <f>IFERROR(VLOOKUP(K68,源_7银行卡表_Sheet1!$A:$J,8,FALSE),"")</f>
        <v>上海银行</v>
      </c>
      <c r="DD68" t="str">
        <f>IFERROR(VLOOKUP(K68,源_7银行卡表_Sheet1!$A:$J,9,FALSE),"")</f>
        <v>6285318190767359215</v>
      </c>
      <c r="DE68" t="str">
        <f>IFERROR(VLOOKUP(K68,源_7银行卡表_Sheet1!$A:$J,10,FALSE),"")</f>
        <v>上海银行股份有限公司南东支行</v>
      </c>
      <c r="DF68" t="s">
        <v>432</v>
      </c>
      <c r="DG68">
        <v>13350726238</v>
      </c>
      <c r="DH68" t="s">
        <v>148</v>
      </c>
      <c r="DI68">
        <v>0</v>
      </c>
      <c r="DJ68">
        <v>0</v>
      </c>
      <c r="DK68">
        <v>0</v>
      </c>
      <c r="DL68">
        <v>0</v>
      </c>
      <c r="DM68">
        <v>0</v>
      </c>
      <c r="DN68">
        <v>0</v>
      </c>
      <c r="DO68">
        <v>0</v>
      </c>
      <c r="DP68">
        <v>0</v>
      </c>
      <c r="DQ68">
        <v>0</v>
      </c>
      <c r="DR68">
        <f>IF(OR(IFERROR(VLOOKUP(K68,源_3考勤报表_考勤表!$F:$BG,39,FALSE),0)+IFERROR(VLOOKUP(K68,源_8补工时表_补当月工时!$A:$AC,24,FALSE),0)=0,IFERROR(VLOOKUP(K68,源_3考勤报表_考勤表!$F:$BG,43,FALSE),0)+IFERROR(VLOOKUP(K68,源_8补工时表_补当月工时!$A:$AC,26,FALSE),0)=0),IF(BI68+BG68-BT68&lt;0,BI68+BG68-BT68,0),0)</f>
        <v>0</v>
      </c>
    </row>
    <row r="69" spans="1:122" x14ac:dyDescent="0.15">
      <c r="A69">
        <f>参数!$B$2</f>
        <v>2025</v>
      </c>
      <c r="B69">
        <f>参数!$B$3</f>
        <v>12</v>
      </c>
      <c r="D69" t="s">
        <v>322</v>
      </c>
      <c r="E69" t="s">
        <v>123</v>
      </c>
      <c r="F69" t="str">
        <f>IFERROR(VLOOKUP(K69,源_7银行卡表_Sheet1!$A:$J,6,FALSE),"")</f>
        <v>华东营运</v>
      </c>
      <c r="G69" t="s">
        <v>323</v>
      </c>
      <c r="H69" t="s">
        <v>433</v>
      </c>
      <c r="I69" t="s">
        <v>325</v>
      </c>
      <c r="J69">
        <v>1</v>
      </c>
      <c r="K69">
        <v>26123068</v>
      </c>
      <c r="L69" t="s">
        <v>434</v>
      </c>
      <c r="M69" t="s">
        <v>218</v>
      </c>
      <c r="N69" t="s">
        <v>435</v>
      </c>
      <c r="P69" t="s">
        <v>131</v>
      </c>
      <c r="Q69">
        <f>IF(P69="门店全职",IFERROR(VLOOKUP(K69,源_3考勤报表_考勤表!$F:$BG,34,FALSE),0)+IFERROR(VLOOKUP(K69,源_8补工时表_补当月工时!$A:$AC,14,FALSE),0),IF(P69="门店管理组",IF(IFERROR(VLOOKUP(K69,源_3考勤报表_考勤表!$F:$BG,34,FALSE),0)+IFERROR(VLOOKUP(K69,源_8补工时表_补当月工时!$A:$AC,14,FALSE),0)+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44,FALSE),0)+IFERROR(VLOOKUP(K69,源_8补工时表_补当月工时!$A:$AC,16,FALSE),0)+IFERROR(VLOOKUP(K69,源_3考勤报表_考勤表!$F:$BG,45,FALSE),0)&gt;=参数!$B$4,参数!$B$4-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44,FALSE),0)-IFERROR(VLOOKUP(K69,源_8补工时表_补当月工时!$A:$AC,16,FALSE),0)-IFERROR(VLOOKUP(K69,源_3考勤报表_考勤表!$F:$BG,45,FALSE),0),IFERROR(VLOOKUP(K69,源_3考勤报表_考勤表!$F:$BG,34,FALSE),0)+IFERROR(VLOOKUP(K69,源_8补工时表_补当月工时!$A:$AC,14,FALSE),0)),0))</f>
        <v>0</v>
      </c>
      <c r="R69">
        <v>4300</v>
      </c>
      <c r="S69">
        <v>0</v>
      </c>
      <c r="T69">
        <f>IF(P69="门店全职",R69/参数!$B$4*(Q69-MAX(IFERROR(VLOOKUP(K69,源_3考勤报表_考勤表!$F:$BG,34,FALSE),0)+IFERROR(VLOOKUP(K69,源_8补工时表_补当月工时!$A:$AC,14,FALSE),0)+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参数!$B$4,0)),R69/参数!$B$4*Q69)</f>
        <v>0</v>
      </c>
      <c r="U69">
        <v>0</v>
      </c>
      <c r="V69">
        <v>0</v>
      </c>
      <c r="W69">
        <f t="shared" si="26"/>
        <v>0</v>
      </c>
      <c r="X69">
        <f>IFERROR(VLOOKUP(K69,源_4奖金汇总表_拆分手工算!$A:$N,8,FALSE),0)</f>
        <v>0</v>
      </c>
      <c r="Y69">
        <f>IFERROR(VLOOKUP(K69,源_5薪资备忘录_工资调整项!$A:$AC,14,FALSE),0)</f>
        <v>0</v>
      </c>
      <c r="Z69">
        <f>IFERROR(VLOOKUP(K69,源_5薪资备忘录_工资调整项!$A:$AC,16,FALSE),0)</f>
        <v>0</v>
      </c>
      <c r="AA69">
        <f>IFERROR(VLOOKUP(K69,源_5薪资备忘录_工资调整项!$A:$AC,15,FALSE),0)</f>
        <v>0</v>
      </c>
      <c r="AB69">
        <f t="shared" si="27"/>
        <v>0</v>
      </c>
      <c r="AC69">
        <f>IF(P69="门店全职",R69/174*MAX(IFERROR(VLOOKUP(K69,源_3考勤报表_考勤表!$F:$BG,34,FALSE),0)+IFERROR(VLOOKUP(K69,源_8补工时表_补当月工时!$A:$AC,14,FALSE),0)+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参数!$B$4,0)*1.5,0)</f>
        <v>0</v>
      </c>
      <c r="AD69">
        <v>0</v>
      </c>
      <c r="AE69">
        <f>IFERROR(VLOOKUP(K69,源_3考勤报表_考勤表!$F:$BG,46,FALSE),0)+IFERROR(VLOOKUP(K69,源_8补工时表_补当月工时!$A:$AC,25,FALSE),0)</f>
        <v>0</v>
      </c>
      <c r="AF69">
        <f t="shared" si="28"/>
        <v>0</v>
      </c>
      <c r="AG69">
        <f>IFERROR(VLOOKUP(K69,源_4奖金汇总表_拆分手工算!$A:$N,10,FALSE),0)</f>
        <v>0</v>
      </c>
      <c r="AH69">
        <f>IFERROR(VLOOKUP(K69,源_4奖金汇总表_拆分手工算!$A:$N,5,FALSE),0)</f>
        <v>0</v>
      </c>
      <c r="AI69">
        <f>IFERROR(VLOOKUP(K69,源_4奖金汇总表_拆分手工算!$A:$N,11,FALSE),0)</f>
        <v>0</v>
      </c>
      <c r="AJ69">
        <f>IFERROR(VLOOKUP(K69,源_4奖金汇总表_拆分手工算!$A:$N,4,FALSE),0)</f>
        <v>0</v>
      </c>
      <c r="AK69">
        <f>IFERROR(VLOOKUP(K69,源_4奖金汇总表_拆分手工算!$A:$N,3,FALSE),0)</f>
        <v>0</v>
      </c>
      <c r="AL69">
        <f>IFERROR(VLOOKUP(K69,源_4奖金汇总表_拆分手工算!$A:$N,6,FALSE),0)</f>
        <v>240</v>
      </c>
      <c r="AM69">
        <f>IFERROR(VLOOKUP(K69,源_5薪资备忘录_工资调整项!$A:$AC,18,FALSE),0)+IFERROR(VLOOKUP(K69,源_4奖金汇总表_拆分手工算!$A:$N,7,FALSE),0)</f>
        <v>0</v>
      </c>
      <c r="AN69">
        <f>IFERROR(VLOOKUP(K69,源_5薪资备忘录_工资调整项!$A:$AC,17,FALSE),0)</f>
        <v>0</v>
      </c>
      <c r="AO69">
        <f>IF(OR(IFERROR(VLOOKUP(K69,源_3考勤报表_考勤表!$F:$BG,39,FALSE),0)+IFERROR(VLOOKUP(K69,源_8补工时表_补当月工时!$A:$AC,24,FALSE),0)&gt;0,IFERROR(VLOOKUP(K69,源_3考勤报表_考勤表!$F:$BG,43,FALSE),0)+IFERROR(VLOOKUP(K69,源_8补工时表_补当月工时!$A:$AC,26,FALSE),0)&gt;0),IF(IFERROR(VLOOKUP(DH69,源_11产假政策_Sheet1!$C:$F,4,FALSE),"")="是",R69/参数!$B$4*(IFERROR(VLOOKUP(K69,源_3考勤报表_考勤表!$F:$BG,39,FALSE),0)+IFERROR(VLOOKUP(K69,源_8补工时表_补当月工时!$A:$AC,24,FALSE),0)+IFERROR(VLOOKUP(K69,源_3考勤报表_考勤表!$F:$BG,43,FALSE),0)+IFERROR(VLOOKUP(K69,源_8补工时表_补当月工时!$A:$AC,26,FALSE),0)),IFERROR(VLOOKUP(K69,源_5薪资备忘录_工资调整项!$A:$AC,19,FALSE),0)),0)</f>
        <v>0</v>
      </c>
      <c r="AP69">
        <v>0</v>
      </c>
      <c r="AQ69">
        <f>IFERROR(VLOOKUP(K69,源_4奖金汇总表_拆分手工算!$A:$N,12,FALSE),0)+IFERROR(VLOOKUP(K69,源_9年终奖表_Sheet1!$A:$E,3,FALSE),0)</f>
        <v>1200</v>
      </c>
      <c r="AR69">
        <f>IFERROR(VLOOKUP(K69,源_4奖金汇总表_拆分手工算!$A:$N,13,FALSE),0)+IFERROR(VLOOKUP(K69,源_9年终奖表_Sheet1!$A:$E,4,FALSE),0)</f>
        <v>600</v>
      </c>
      <c r="AS69">
        <f>IFERROR(VLOOKUP(K69,源_4奖金汇总表_拆分手工算!$A:$N,14,FALSE),0)+IFERROR(VLOOKUP(K69,源_9年终奖表_Sheet1!$A:$E,5,FALSE),0)</f>
        <v>222</v>
      </c>
      <c r="AT69">
        <f>IFERROR(VLOOKUP(K69,源_5薪资备忘录_工资调整项!$A:$AC,20,FALSE),0)</f>
        <v>0</v>
      </c>
      <c r="AU69">
        <f>IFERROR(VLOOKUP(K69,源_5薪资备忘录_工资调整项!$A:$AC,21,FALSE),0)+IFERROR(VLOOKUP(K69,源_4奖金汇总表_拆分手工算!$A:$N,9,FALSE),0)</f>
        <v>0</v>
      </c>
      <c r="AV69">
        <f>R69/参数!$B$4*(IFERROR(VLOOKUP(K69,源_3考勤报表_考勤表!$F:$BG,37,FALSE),0)+IFERROR(VLOOKUP(K69,源_8补工时表_补当月工时!$A:$AC,15,FALSE),0))</f>
        <v>0</v>
      </c>
      <c r="AW69">
        <f>R69/174*MIN(IFERROR(VLOOKUP(K69,源_3考勤报表_考勤表!$F:$BG,35,FALSE),0),174)*IF(DATEDIF(N69,DATE(参数!$B$2,参数!$B$3+1,0),"Y")&lt;2,0.6,IF(DATEDIF(N69,DATE(参数!$B$2,参数!$B$3+1,0),"Y")&lt;4,0.7,IF(DATEDIF(N69,DATE(参数!$B$2,参数!$B$3+1,0),"Y")&lt;6,0.8,IF(DATEDIF(N69,DATE(参数!$B$2,参数!$B$3+1,0),"Y")&lt;8,0.9,1))))</f>
        <v>0</v>
      </c>
      <c r="AX69">
        <f>IF(Q69+IFERROR(VLOOKUP(K69,源_3考勤报表_考勤表!$F:$BG,37,FALSE),0)+IFERROR(VLOOKUP(K69,源_8补工时表_补当月工时!$A:$AC,15,FALSE),0)&gt;=参数!$B$4,0,IF(Q69+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lt;=参数!$B$4,R69/参数!$B$4*(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0))</f>
        <v>0</v>
      </c>
      <c r="AY69">
        <v>0</v>
      </c>
      <c r="AZ69">
        <v>0</v>
      </c>
      <c r="BA69">
        <v>0</v>
      </c>
      <c r="BB69">
        <v>0</v>
      </c>
      <c r="BC69">
        <f>IFERROR(VLOOKUP(K69,源_5薪资备忘录_工资调整项!$A:$AC,25,FALSE),0)</f>
        <v>0</v>
      </c>
      <c r="BD69">
        <v>0</v>
      </c>
      <c r="BE69">
        <v>0</v>
      </c>
      <c r="BF69">
        <v>0</v>
      </c>
      <c r="BG69">
        <f>IFERROR(VLOOKUP(K69,源_5薪资备忘录_工资调整项!$A:$AC,22,FALSE),0)+IFERROR(VLOOKUP(K69,源_5薪资备忘录_工资调整项!$A:$AC,23,FALSE),0)+IFERROR(VLOOKUP(K69,源_5薪资备忘录_工资调整项!$A:$AC,24,FALSE),0)</f>
        <v>0</v>
      </c>
      <c r="BH69">
        <f>IFERROR(VLOOKUP(DF69,源_6社保表_Sheet1!$C:$CD,80,FALSE),0)+4.5</f>
        <v>6.5</v>
      </c>
      <c r="BI69">
        <f t="shared" si="29"/>
        <v>2262</v>
      </c>
      <c r="BJ69">
        <f>IFERROR(VLOOKUP(DF69,源_6社保表_Sheet1!$C:$BZ,26,FALSE),0)</f>
        <v>249.3</v>
      </c>
      <c r="BK69">
        <f>IFERROR(VLOOKUP(DF69,源_6社保表_Sheet1!$C:$BZ,27,FALSE),0)</f>
        <v>49.86</v>
      </c>
      <c r="BL69">
        <f>IFERROR(VLOOKUP(DF69,源_6社保表_Sheet1!$C:$BZ,28,FALSE),0)</f>
        <v>24.93</v>
      </c>
      <c r="BM69">
        <f>IFERROR(VLOOKUP(DF69,源_6社保表_Sheet1!$C:$BZ,30,FALSE),0)</f>
        <v>214.95</v>
      </c>
      <c r="BN69">
        <f>IFERROR(VLOOKUP(DF69,源_6社保表_Sheet1!$C:$BZ,29,FALSE),0)</f>
        <v>0</v>
      </c>
      <c r="BO69">
        <f>IFERROR(VLOOKUP(DF69,源_6社保表_Sheet1!$C:$BZ,40,FALSE),0)</f>
        <v>0</v>
      </c>
      <c r="BP69">
        <f>IFERROR(VLOOKUP(DF69,源_6社保表_Sheet1!$C:$BZ,41,FALSE),0)</f>
        <v>0</v>
      </c>
      <c r="BQ69">
        <f>IFERROR(VLOOKUP(DF69,源_6社保表_Sheet1!$C:$BZ,42,FALSE),0)</f>
        <v>0</v>
      </c>
      <c r="BR69">
        <f>IFERROR(VLOOKUP(DF69,源_6社保表_Sheet1!$C:$BZ,44,FALSE),0)</f>
        <v>0</v>
      </c>
      <c r="BS69">
        <f>IFERROR(VLOOKUP(DF69,源_6社保表_Sheet1!$C:$BZ,43,FALSE),0)</f>
        <v>0</v>
      </c>
      <c r="BT69">
        <f t="shared" si="30"/>
        <v>539.04</v>
      </c>
      <c r="BU69">
        <v>0</v>
      </c>
      <c r="BV69">
        <v>0</v>
      </c>
      <c r="BW69">
        <v>0</v>
      </c>
      <c r="BX69">
        <f t="shared" si="31"/>
        <v>0</v>
      </c>
      <c r="BY69">
        <v>0</v>
      </c>
      <c r="BZ69">
        <f>IFERROR(VLOOKUP(DF69,源_6社保表_Sheet1!$C:$BZ,18,FALSE),0)</f>
        <v>598.32000000000005</v>
      </c>
      <c r="CA69">
        <f>IFERROR(VLOOKUP(DF69,源_6社保表_Sheet1!$C:$BZ,19,FALSE),0)</f>
        <v>299.16000000000003</v>
      </c>
      <c r="CB69">
        <f>IFERROR(VLOOKUP(DF69,源_6社保表_Sheet1!$C:$BZ,24,FALSE),0)</f>
        <v>214.95</v>
      </c>
      <c r="CC69">
        <f>IFERROR(VLOOKUP(DF69,源_6社保表_Sheet1!$C:$BZ,20,FALSE),0)</f>
        <v>24.93</v>
      </c>
      <c r="CD69">
        <f>IFERROR(VLOOKUP(DF69,源_6社保表_Sheet1!$C:$BZ,21,FALSE),0)</f>
        <v>15.9552</v>
      </c>
      <c r="CE69">
        <f>IFERROR(VLOOKUP(DF69,源_6社保表_Sheet1!$C:$BZ,22,FALSE),0)</f>
        <v>0</v>
      </c>
      <c r="CF69">
        <f>IFERROR(VLOOKUP(DF69,源_6社保表_Sheet1!$C:$BZ,23,FALSE),0)</f>
        <v>0</v>
      </c>
      <c r="CG69">
        <f>IFERROR(VLOOKUP(DF69,源_6社保表_Sheet1!$C:$BZ,32,FALSE),0)</f>
        <v>0</v>
      </c>
      <c r="CH69">
        <f>IFERROR(VLOOKUP(DF69,源_6社保表_Sheet1!$C:$BZ,33,FALSE),0)</f>
        <v>0</v>
      </c>
      <c r="CI69">
        <f>IFERROR(VLOOKUP(DF69,源_6社保表_Sheet1!$C:$BZ,34,FALSE),0)</f>
        <v>0</v>
      </c>
      <c r="CJ69">
        <f>IFERROR(VLOOKUP(DF69,源_6社保表_Sheet1!$C:$BZ,38,FALSE),0)</f>
        <v>0</v>
      </c>
      <c r="CK69">
        <f>IFERROR(VLOOKUP(DF69,源_6社保表_Sheet1!$C:$BZ,35,FALSE),0)</f>
        <v>0</v>
      </c>
      <c r="CL69">
        <f>IFERROR(VLOOKUP(DF69,源_6社保表_Sheet1!$C:$BZ,36,FALSE),0)</f>
        <v>0</v>
      </c>
      <c r="CM69">
        <f>IFERROR(VLOOKUP(DF69,源_6社保表_Sheet1!$C:$BZ,37,FALSE),0)</f>
        <v>0</v>
      </c>
      <c r="CN69">
        <f t="shared" si="32"/>
        <v>1153.3152000000002</v>
      </c>
      <c r="CO69">
        <f t="shared" si="33"/>
        <v>3421.8152</v>
      </c>
      <c r="CP69">
        <f>IF(IFERROR(VLOOKUP(K69,源_13残疾人信息_残疾人信息!$A:$M,1,FALSE),"")&lt;&gt;"",0,IF(OR(P69="门店全职",P69="门店管理组",P69="全职(非门店)"),(BI69-AT69)*IFERROR(VLOOKUP(D69,源_12计提残保金规则_Sheet1!$A:$E,4,FALSE),0)*IFERROR(VLOOKUP(D69,源_12计提残保金规则_Sheet1!$A:$E,5,FALSE),0),0))</f>
        <v>30.536999999999999</v>
      </c>
      <c r="CQ69">
        <f t="shared" si="34"/>
        <v>16.05</v>
      </c>
      <c r="CR69">
        <f t="shared" si="35"/>
        <v>20.67</v>
      </c>
      <c r="CS69">
        <f>IF(DATEVALUE(N69)&gt;DATE(参数!$B$2,9,30),0,IF(M69="行政",0,IF(O69="",R69/12,IF(MONTH(DATEVALUE(O69))=参数!$B$3,0,IF(DATEVALUE(O69)&lt;DATE(参数!$B$2,参数!$B$3,1),0,R69/12)))))</f>
        <v>358.33333333333331</v>
      </c>
      <c r="CT69">
        <f t="shared" si="36"/>
        <v>438.59999999999997</v>
      </c>
      <c r="CU69">
        <f>IFERROR(VLOOKUP(DF69,源_6社保表_Sheet1!$C:$I,2,FALSE),0)</f>
        <v>4986</v>
      </c>
      <c r="CV69">
        <f>IFERROR(VLOOKUP(DF69,源_6社保表_Sheet1!$C:$I,7,FALSE),0)</f>
        <v>4299</v>
      </c>
      <c r="CW69">
        <f>IFERROR(VLOOKUP(DF69,源_6社保表_Sheet1!$C:$I,3,FALSE),0)</f>
        <v>4986</v>
      </c>
      <c r="CX69">
        <f>IFERROR(VLOOKUP(DF69,源_6社保表_Sheet1!$C:$I,4,FALSE),0)</f>
        <v>4986</v>
      </c>
      <c r="CY69">
        <f>IFERROR(VLOOKUP(DF69,源_6社保表_Sheet1!$C:$I,5,FALSE),0)</f>
        <v>4986</v>
      </c>
      <c r="CZ69">
        <f>IFERROR(VLOOKUP(DF69,源_6社保表_Sheet1!$C:$I,6,FALSE),0)</f>
        <v>0</v>
      </c>
      <c r="DA69">
        <f t="shared" si="37"/>
        <v>1153.3152</v>
      </c>
      <c r="DB69">
        <f t="shared" si="38"/>
        <v>2024.0055333333332</v>
      </c>
      <c r="DC69" t="str">
        <f>IFERROR(VLOOKUP(K69,源_7银行卡表_Sheet1!$A:$J,8,FALSE),"")</f>
        <v>汇丰银行</v>
      </c>
      <c r="DD69" t="str">
        <f>IFERROR(VLOOKUP(K69,源_7银行卡表_Sheet1!$A:$J,9,FALSE),"")</f>
        <v>6287663492435423561</v>
      </c>
      <c r="DE69" t="str">
        <f>IFERROR(VLOOKUP(K69,源_7银行卡表_Sheet1!$A:$J,10,FALSE),"")</f>
        <v>汇丰银行（中国）有限公司湛江支行</v>
      </c>
      <c r="DF69" t="s">
        <v>436</v>
      </c>
      <c r="DG69">
        <v>15490850385</v>
      </c>
      <c r="DH69" t="s">
        <v>323</v>
      </c>
      <c r="DI69">
        <v>0</v>
      </c>
      <c r="DJ69">
        <v>0</v>
      </c>
      <c r="DK69">
        <v>0</v>
      </c>
      <c r="DL69">
        <v>0</v>
      </c>
      <c r="DM69">
        <v>0</v>
      </c>
      <c r="DN69">
        <v>0</v>
      </c>
      <c r="DO69">
        <v>0</v>
      </c>
      <c r="DP69">
        <v>0</v>
      </c>
      <c r="DQ69">
        <v>0</v>
      </c>
      <c r="DR69">
        <f>IF(OR(IFERROR(VLOOKUP(K69,源_3考勤报表_考勤表!$F:$BG,39,FALSE),0)+IFERROR(VLOOKUP(K69,源_8补工时表_补当月工时!$A:$AC,24,FALSE),0)=0,IFERROR(VLOOKUP(K69,源_3考勤报表_考勤表!$F:$BG,43,FALSE),0)+IFERROR(VLOOKUP(K69,源_8补工时表_补当月工时!$A:$AC,26,FALSE),0)=0),IF(BI69+BG69-BT69&lt;0,BI69+BG69-BT69,0),0)</f>
        <v>0</v>
      </c>
    </row>
    <row r="70" spans="1:122" x14ac:dyDescent="0.15">
      <c r="A70">
        <f>参数!$B$2</f>
        <v>2025</v>
      </c>
      <c r="B70">
        <f>参数!$B$3</f>
        <v>12</v>
      </c>
      <c r="D70" t="s">
        <v>437</v>
      </c>
      <c r="E70" t="s">
        <v>123</v>
      </c>
      <c r="F70" t="str">
        <f>IFERROR(VLOOKUP(K70,源_7银行卡表_Sheet1!$A:$J,6,FALSE),"")</f>
        <v>华东营运</v>
      </c>
      <c r="G70" t="s">
        <v>438</v>
      </c>
      <c r="H70" t="s">
        <v>439</v>
      </c>
      <c r="I70" t="s">
        <v>440</v>
      </c>
      <c r="J70">
        <v>1</v>
      </c>
      <c r="K70">
        <v>26123069</v>
      </c>
      <c r="L70" t="s">
        <v>441</v>
      </c>
      <c r="M70" t="s">
        <v>187</v>
      </c>
      <c r="N70" t="s">
        <v>442</v>
      </c>
      <c r="P70" t="s">
        <v>154</v>
      </c>
      <c r="Q70">
        <f>IF(P70="门店全职",IFERROR(VLOOKUP(K70,源_3考勤报表_考勤表!$F:$BG,34,FALSE),0)+IFERROR(VLOOKUP(K70,源_8补工时表_补当月工时!$A:$AC,14,FALSE),0),IF(P70="门店管理组",IF(IFERROR(VLOOKUP(K70,源_3考勤报表_考勤表!$F:$BG,34,FALSE),0)+IFERROR(VLOOKUP(K70,源_8补工时表_补当月工时!$A:$AC,14,FALSE),0)+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44,FALSE),0)+IFERROR(VLOOKUP(K70,源_8补工时表_补当月工时!$A:$AC,16,FALSE),0)+IFERROR(VLOOKUP(K70,源_3考勤报表_考勤表!$F:$BG,45,FALSE),0)&gt;=参数!$B$4,参数!$B$4-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44,FALSE),0)-IFERROR(VLOOKUP(K70,源_8补工时表_补当月工时!$A:$AC,16,FALSE),0)-IFERROR(VLOOKUP(K70,源_3考勤报表_考勤表!$F:$BG,45,FALSE),0),IFERROR(VLOOKUP(K70,源_3考勤报表_考勤表!$F:$BG,34,FALSE),0)+IFERROR(VLOOKUP(K70,源_8补工时表_补当月工时!$A:$AC,14,FALSE),0)),0))</f>
        <v>0</v>
      </c>
      <c r="R70">
        <v>3545</v>
      </c>
      <c r="S70">
        <v>0</v>
      </c>
      <c r="T70">
        <f>IF(P70="门店全职",R70/参数!$B$4*(Q70-MAX(IFERROR(VLOOKUP(K70,源_3考勤报表_考勤表!$F:$BG,34,FALSE),0)+IFERROR(VLOOKUP(K70,源_8补工时表_补当月工时!$A:$AC,14,FALSE),0)+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参数!$B$4,0)),R70/参数!$B$4*Q70)</f>
        <v>0</v>
      </c>
      <c r="U70">
        <v>0</v>
      </c>
      <c r="V70">
        <v>0</v>
      </c>
      <c r="W70">
        <f t="shared" si="26"/>
        <v>126.5</v>
      </c>
      <c r="X70">
        <f>IFERROR(VLOOKUP(K70,源_4奖金汇总表_拆分手工算!$A:$N,8,FALSE),0)</f>
        <v>126.5</v>
      </c>
      <c r="Y70">
        <f>IFERROR(VLOOKUP(K70,源_5薪资备忘录_工资调整项!$A:$AC,14,FALSE),0)</f>
        <v>0</v>
      </c>
      <c r="Z70">
        <f>IFERROR(VLOOKUP(K70,源_5薪资备忘录_工资调整项!$A:$AC,16,FALSE),0)</f>
        <v>0</v>
      </c>
      <c r="AA70">
        <f>IFERROR(VLOOKUP(K70,源_5薪资备忘录_工资调整项!$A:$AC,15,FALSE),0)</f>
        <v>0</v>
      </c>
      <c r="AB70">
        <f t="shared" si="27"/>
        <v>0</v>
      </c>
      <c r="AC70">
        <f>IF(P70="门店全职",R70/174*MAX(IFERROR(VLOOKUP(K70,源_3考勤报表_考勤表!$F:$BG,34,FALSE),0)+IFERROR(VLOOKUP(K70,源_8补工时表_补当月工时!$A:$AC,14,FALSE),0)+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参数!$B$4,0)*1.5,0)</f>
        <v>0</v>
      </c>
      <c r="AD70">
        <v>0</v>
      </c>
      <c r="AE70">
        <f>IFERROR(VLOOKUP(K70,源_3考勤报表_考勤表!$F:$BG,46,FALSE),0)+IFERROR(VLOOKUP(K70,源_8补工时表_补当月工时!$A:$AC,25,FALSE),0)</f>
        <v>0</v>
      </c>
      <c r="AF70">
        <f t="shared" si="28"/>
        <v>0</v>
      </c>
      <c r="AG70">
        <f>IFERROR(VLOOKUP(K70,源_4奖金汇总表_拆分手工算!$A:$N,10,FALSE),0)</f>
        <v>0</v>
      </c>
      <c r="AH70">
        <f>IFERROR(VLOOKUP(K70,源_4奖金汇总表_拆分手工算!$A:$N,5,FALSE),0)</f>
        <v>0</v>
      </c>
      <c r="AI70">
        <f>IFERROR(VLOOKUP(K70,源_4奖金汇总表_拆分手工算!$A:$N,11,FALSE),0)</f>
        <v>0</v>
      </c>
      <c r="AJ70">
        <f>IFERROR(VLOOKUP(K70,源_4奖金汇总表_拆分手工算!$A:$N,4,FALSE),0)</f>
        <v>0</v>
      </c>
      <c r="AK70">
        <f>IFERROR(VLOOKUP(K70,源_4奖金汇总表_拆分手工算!$A:$N,3,FALSE),0)</f>
        <v>0</v>
      </c>
      <c r="AL70">
        <f>IFERROR(VLOOKUP(K70,源_4奖金汇总表_拆分手工算!$A:$N,6,FALSE),0)</f>
        <v>0</v>
      </c>
      <c r="AM70">
        <f>IFERROR(VLOOKUP(K70,源_5薪资备忘录_工资调整项!$A:$AC,18,FALSE),0)+IFERROR(VLOOKUP(K70,源_4奖金汇总表_拆分手工算!$A:$N,7,FALSE),0)</f>
        <v>0</v>
      </c>
      <c r="AN70">
        <f>IFERROR(VLOOKUP(K70,源_5薪资备忘录_工资调整项!$A:$AC,17,FALSE),0)</f>
        <v>0</v>
      </c>
      <c r="AO70">
        <f>IF(OR(IFERROR(VLOOKUP(K70,源_3考勤报表_考勤表!$F:$BG,39,FALSE),0)+IFERROR(VLOOKUP(K70,源_8补工时表_补当月工时!$A:$AC,24,FALSE),0)&gt;0,IFERROR(VLOOKUP(K70,源_3考勤报表_考勤表!$F:$BG,43,FALSE),0)+IFERROR(VLOOKUP(K70,源_8补工时表_补当月工时!$A:$AC,26,FALSE),0)&gt;0),IF(IFERROR(VLOOKUP(DH70,源_11产假政策_Sheet1!$C:$F,4,FALSE),"")="是",R70/参数!$B$4*(IFERROR(VLOOKUP(K70,源_3考勤报表_考勤表!$F:$BG,39,FALSE),0)+IFERROR(VLOOKUP(K70,源_8补工时表_补当月工时!$A:$AC,24,FALSE),0)+IFERROR(VLOOKUP(K70,源_3考勤报表_考勤表!$F:$BG,43,FALSE),0)+IFERROR(VLOOKUP(K70,源_8补工时表_补当月工时!$A:$AC,26,FALSE),0)),IFERROR(VLOOKUP(K70,源_5薪资备忘录_工资调整项!$A:$AC,19,FALSE),0)),0)</f>
        <v>0</v>
      </c>
      <c r="AP70">
        <v>0</v>
      </c>
      <c r="AQ70">
        <f>IFERROR(VLOOKUP(K70,源_4奖金汇总表_拆分手工算!$A:$N,12,FALSE),0)+IFERROR(VLOOKUP(K70,源_9年终奖表_Sheet1!$A:$E,3,FALSE),0)</f>
        <v>0</v>
      </c>
      <c r="AR70">
        <f>IFERROR(VLOOKUP(K70,源_4奖金汇总表_拆分手工算!$A:$N,13,FALSE),0)+IFERROR(VLOOKUP(K70,源_9年终奖表_Sheet1!$A:$E,4,FALSE),0)</f>
        <v>0</v>
      </c>
      <c r="AS70">
        <f>IFERROR(VLOOKUP(K70,源_4奖金汇总表_拆分手工算!$A:$N,14,FALSE),0)+IFERROR(VLOOKUP(K70,源_9年终奖表_Sheet1!$A:$E,5,FALSE),0)</f>
        <v>0</v>
      </c>
      <c r="AT70">
        <f>IFERROR(VLOOKUP(K70,源_5薪资备忘录_工资调整项!$A:$AC,20,FALSE),0)</f>
        <v>0</v>
      </c>
      <c r="AU70">
        <f>IFERROR(VLOOKUP(K70,源_5薪资备忘录_工资调整项!$A:$AC,21,FALSE),0)+IFERROR(VLOOKUP(K70,源_4奖金汇总表_拆分手工算!$A:$N,9,FALSE),0)</f>
        <v>0</v>
      </c>
      <c r="AV70">
        <f>R70/参数!$B$4*(IFERROR(VLOOKUP(K70,源_3考勤报表_考勤表!$F:$BG,37,FALSE),0)+IFERROR(VLOOKUP(K70,源_8补工时表_补当月工时!$A:$AC,15,FALSE),0))</f>
        <v>0</v>
      </c>
      <c r="AW70">
        <f>R70/174*MIN(IFERROR(VLOOKUP(K70,源_3考勤报表_考勤表!$F:$BG,35,FALSE),0),174)*IF(DATEDIF(N70,DATE(参数!$B$2,参数!$B$3+1,0),"Y")&lt;2,0.6,IF(DATEDIF(N70,DATE(参数!$B$2,参数!$B$3+1,0),"Y")&lt;4,0.7,IF(DATEDIF(N70,DATE(参数!$B$2,参数!$B$3+1,0),"Y")&lt;6,0.8,IF(DATEDIF(N70,DATE(参数!$B$2,参数!$B$3+1,0),"Y")&lt;8,0.9,1))))</f>
        <v>0</v>
      </c>
      <c r="AX70">
        <f>IF(Q70+IFERROR(VLOOKUP(K70,源_3考勤报表_考勤表!$F:$BG,37,FALSE),0)+IFERROR(VLOOKUP(K70,源_8补工时表_补当月工时!$A:$AC,15,FALSE),0)&gt;=参数!$B$4,0,IF(Q70+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lt;=参数!$B$4,R70/参数!$B$4*(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0))</f>
        <v>0</v>
      </c>
      <c r="AY70">
        <v>0</v>
      </c>
      <c r="AZ70">
        <v>0</v>
      </c>
      <c r="BA70">
        <v>0</v>
      </c>
      <c r="BB70">
        <v>0</v>
      </c>
      <c r="BC70">
        <f>IFERROR(VLOOKUP(K70,源_5薪资备忘录_工资调整项!$A:$AC,25,FALSE),0)</f>
        <v>0</v>
      </c>
      <c r="BD70">
        <v>0</v>
      </c>
      <c r="BE70">
        <v>0</v>
      </c>
      <c r="BF70">
        <v>0</v>
      </c>
      <c r="BG70">
        <f>IFERROR(VLOOKUP(K70,源_5薪资备忘录_工资调整项!$A:$AC,22,FALSE),0)+IFERROR(VLOOKUP(K70,源_5薪资备忘录_工资调整项!$A:$AC,23,FALSE),0)+IFERROR(VLOOKUP(K70,源_5薪资备忘录_工资调整项!$A:$AC,24,FALSE),0)</f>
        <v>0</v>
      </c>
      <c r="BH70">
        <f>IFERROR(VLOOKUP(DF70,源_6社保表_Sheet1!$C:$CD,80,FALSE),0)+4.5</f>
        <v>6.5</v>
      </c>
      <c r="BI70">
        <f t="shared" si="29"/>
        <v>126.5</v>
      </c>
      <c r="BJ70">
        <f>IFERROR(VLOOKUP(DF70,源_6社保表_Sheet1!$C:$BZ,26,FALSE),0)</f>
        <v>215.25</v>
      </c>
      <c r="BK70">
        <f>IFERROR(VLOOKUP(DF70,源_6社保表_Sheet1!$C:$BZ,27,FALSE),0)</f>
        <v>44.33</v>
      </c>
      <c r="BL70">
        <f>IFERROR(VLOOKUP(DF70,源_6社保表_Sheet1!$C:$BZ,28,FALSE),0)</f>
        <v>21.524999999999999</v>
      </c>
      <c r="BM70">
        <f>IFERROR(VLOOKUP(DF70,源_6社保表_Sheet1!$C:$BZ,30,FALSE),0)</f>
        <v>215.25</v>
      </c>
      <c r="BN70">
        <f>IFERROR(VLOOKUP(DF70,源_6社保表_Sheet1!$C:$BZ,29,FALSE),0)</f>
        <v>0</v>
      </c>
      <c r="BO70">
        <f>IFERROR(VLOOKUP(DF70,源_6社保表_Sheet1!$C:$BZ,40,FALSE),0)</f>
        <v>0</v>
      </c>
      <c r="BP70">
        <f>IFERROR(VLOOKUP(DF70,源_6社保表_Sheet1!$C:$BZ,41,FALSE),0)</f>
        <v>0</v>
      </c>
      <c r="BQ70">
        <f>IFERROR(VLOOKUP(DF70,源_6社保表_Sheet1!$C:$BZ,42,FALSE),0)</f>
        <v>0</v>
      </c>
      <c r="BR70">
        <f>IFERROR(VLOOKUP(DF70,源_6社保表_Sheet1!$C:$BZ,44,FALSE),0)</f>
        <v>0</v>
      </c>
      <c r="BS70">
        <f>IFERROR(VLOOKUP(DF70,源_6社保表_Sheet1!$C:$BZ,43,FALSE),0)</f>
        <v>0</v>
      </c>
      <c r="BT70">
        <f t="shared" si="30"/>
        <v>496.35499999999996</v>
      </c>
      <c r="BU70">
        <v>0</v>
      </c>
      <c r="BV70">
        <v>0</v>
      </c>
      <c r="BW70">
        <v>0</v>
      </c>
      <c r="BX70">
        <f t="shared" si="31"/>
        <v>0</v>
      </c>
      <c r="BY70">
        <v>0</v>
      </c>
      <c r="BZ70">
        <f>IFERROR(VLOOKUP(DF70,源_6社保表_Sheet1!$C:$BZ,18,FALSE),0)</f>
        <v>516.6</v>
      </c>
      <c r="CA70">
        <f>IFERROR(VLOOKUP(DF70,源_6社保表_Sheet1!$C:$BZ,19,FALSE),0)</f>
        <v>265.98</v>
      </c>
      <c r="CB70">
        <f>IFERROR(VLOOKUP(DF70,源_6社保表_Sheet1!$C:$BZ,24,FALSE),0)</f>
        <v>215.25</v>
      </c>
      <c r="CC70">
        <f>IFERROR(VLOOKUP(DF70,源_6社保表_Sheet1!$C:$BZ,20,FALSE),0)</f>
        <v>21.524999999999999</v>
      </c>
      <c r="CD70">
        <f>IFERROR(VLOOKUP(DF70,源_6社保表_Sheet1!$C:$BZ,21,FALSE),0)</f>
        <v>14.1248</v>
      </c>
      <c r="CE70">
        <f>IFERROR(VLOOKUP(DF70,源_6社保表_Sheet1!$C:$BZ,22,FALSE),0)</f>
        <v>0</v>
      </c>
      <c r="CF70">
        <f>IFERROR(VLOOKUP(DF70,源_6社保表_Sheet1!$C:$BZ,23,FALSE),0)</f>
        <v>0</v>
      </c>
      <c r="CG70">
        <f>IFERROR(VLOOKUP(DF70,源_6社保表_Sheet1!$C:$BZ,32,FALSE),0)</f>
        <v>0</v>
      </c>
      <c r="CH70">
        <f>IFERROR(VLOOKUP(DF70,源_6社保表_Sheet1!$C:$BZ,33,FALSE),0)</f>
        <v>0</v>
      </c>
      <c r="CI70">
        <f>IFERROR(VLOOKUP(DF70,源_6社保表_Sheet1!$C:$BZ,34,FALSE),0)</f>
        <v>0</v>
      </c>
      <c r="CJ70">
        <f>IFERROR(VLOOKUP(DF70,源_6社保表_Sheet1!$C:$BZ,38,FALSE),0)</f>
        <v>0</v>
      </c>
      <c r="CK70">
        <f>IFERROR(VLOOKUP(DF70,源_6社保表_Sheet1!$C:$BZ,35,FALSE),0)</f>
        <v>0</v>
      </c>
      <c r="CL70">
        <f>IFERROR(VLOOKUP(DF70,源_6社保表_Sheet1!$C:$BZ,36,FALSE),0)</f>
        <v>0</v>
      </c>
      <c r="CM70">
        <f>IFERROR(VLOOKUP(DF70,源_6社保表_Sheet1!$C:$BZ,37,FALSE),0)</f>
        <v>0</v>
      </c>
      <c r="CN70">
        <f t="shared" si="32"/>
        <v>1033.4798000000001</v>
      </c>
      <c r="CO70">
        <f t="shared" si="33"/>
        <v>1166.4798000000001</v>
      </c>
      <c r="CP70">
        <f>IF(IFERROR(VLOOKUP(K70,源_13残疾人信息_残疾人信息!$A:$M,1,FALSE),"")&lt;&gt;"",0,IF(OR(P70="门店全职",P70="门店管理组",P70="全职(非门店)"),(BI70-AT70)*IFERROR(VLOOKUP(D70,源_12计提残保金规则_Sheet1!$A:$E,4,FALSE),0)*IFERROR(VLOOKUP(D70,源_12计提残保金规则_Sheet1!$A:$E,5,FALSE),0),0))</f>
        <v>1.7077500000000001</v>
      </c>
      <c r="CQ70">
        <f t="shared" si="34"/>
        <v>16.05</v>
      </c>
      <c r="CR70">
        <f t="shared" si="35"/>
        <v>20.67</v>
      </c>
      <c r="CS70">
        <f>IF(DATEVALUE(N70)&gt;DATE(参数!$B$2,9,30),0,IF(M70="行政",0,IF(O70="",R70/12,IF(MONTH(DATEVALUE(O70))=参数!$B$3,0,IF(DATEVALUE(O70)&lt;DATE(参数!$B$2,参数!$B$3,1),0,R70/12)))))</f>
        <v>295.41666666666669</v>
      </c>
      <c r="CT70">
        <f t="shared" si="36"/>
        <v>0</v>
      </c>
      <c r="CU70">
        <f>IFERROR(VLOOKUP(DF70,源_6社保表_Sheet1!$C:$I,2,FALSE),0)</f>
        <v>4305</v>
      </c>
      <c r="CV70">
        <f>IFERROR(VLOOKUP(DF70,源_6社保表_Sheet1!$C:$I,7,FALSE),0)</f>
        <v>4305</v>
      </c>
      <c r="CW70">
        <f>IFERROR(VLOOKUP(DF70,源_6社保表_Sheet1!$C:$I,3,FALSE),0)</f>
        <v>4433</v>
      </c>
      <c r="CX70">
        <f>IFERROR(VLOOKUP(DF70,源_6社保表_Sheet1!$C:$I,4,FALSE),0)</f>
        <v>4305</v>
      </c>
      <c r="CY70">
        <f>IFERROR(VLOOKUP(DF70,源_6社保表_Sheet1!$C:$I,5,FALSE),0)</f>
        <v>4414</v>
      </c>
      <c r="CZ70">
        <f>IFERROR(VLOOKUP(DF70,源_6社保表_Sheet1!$C:$I,6,FALSE),0)</f>
        <v>0</v>
      </c>
      <c r="DA70">
        <f t="shared" si="37"/>
        <v>1159.9798000000001</v>
      </c>
      <c r="DB70">
        <f t="shared" si="38"/>
        <v>1500.3242166666669</v>
      </c>
      <c r="DC70" t="str">
        <f>IFERROR(VLOOKUP(K70,源_7银行卡表_Sheet1!$A:$J,8,FALSE),"")</f>
        <v>汇丰银行</v>
      </c>
      <c r="DD70" t="str">
        <f>IFERROR(VLOOKUP(K70,源_7银行卡表_Sheet1!$A:$J,9,FALSE),"")</f>
        <v>6285119209672490110</v>
      </c>
      <c r="DE70" t="str">
        <f>IFERROR(VLOOKUP(K70,源_7银行卡表_Sheet1!$A:$J,10,FALSE),"")</f>
        <v>汇丰银行（中国）有限公司茂名支行</v>
      </c>
      <c r="DF70" t="s">
        <v>443</v>
      </c>
      <c r="DG70">
        <v>13553401451</v>
      </c>
      <c r="DH70" t="s">
        <v>438</v>
      </c>
      <c r="DI70">
        <v>0</v>
      </c>
      <c r="DJ70">
        <v>0</v>
      </c>
      <c r="DK70">
        <v>0</v>
      </c>
      <c r="DL70">
        <v>0</v>
      </c>
      <c r="DM70">
        <v>0</v>
      </c>
      <c r="DN70">
        <v>0</v>
      </c>
      <c r="DO70">
        <v>0</v>
      </c>
      <c r="DP70">
        <v>0</v>
      </c>
      <c r="DQ70">
        <v>0</v>
      </c>
      <c r="DR70">
        <f>IF(OR(IFERROR(VLOOKUP(K70,源_3考勤报表_考勤表!$F:$BG,39,FALSE),0)+IFERROR(VLOOKUP(K70,源_8补工时表_补当月工时!$A:$AC,24,FALSE),0)=0,IFERROR(VLOOKUP(K70,源_3考勤报表_考勤表!$F:$BG,43,FALSE),0)+IFERROR(VLOOKUP(K70,源_8补工时表_补当月工时!$A:$AC,26,FALSE),0)=0),IF(BI70+BG70-BT70&lt;0,BI70+BG70-BT70,0),0)</f>
        <v>-369.85499999999996</v>
      </c>
    </row>
    <row r="71" spans="1:122" x14ac:dyDescent="0.15">
      <c r="A71">
        <f>参数!$B$2</f>
        <v>2025</v>
      </c>
      <c r="B71">
        <f>参数!$B$3</f>
        <v>12</v>
      </c>
      <c r="D71" t="s">
        <v>322</v>
      </c>
      <c r="E71" t="s">
        <v>123</v>
      </c>
      <c r="F71" t="str">
        <f>IFERROR(VLOOKUP(K71,源_7银行卡表_Sheet1!$A:$J,6,FALSE),"")</f>
        <v>华东营运</v>
      </c>
      <c r="G71" t="s">
        <v>323</v>
      </c>
      <c r="H71" t="s">
        <v>444</v>
      </c>
      <c r="I71" t="s">
        <v>325</v>
      </c>
      <c r="J71">
        <v>1</v>
      </c>
      <c r="K71">
        <v>26123070</v>
      </c>
      <c r="L71" t="s">
        <v>445</v>
      </c>
      <c r="M71" t="s">
        <v>140</v>
      </c>
      <c r="N71" t="s">
        <v>442</v>
      </c>
      <c r="P71" t="s">
        <v>131</v>
      </c>
      <c r="Q71">
        <f>IF(P71="门店全职",IFERROR(VLOOKUP(K71,源_3考勤报表_考勤表!$F:$BG,34,FALSE),0)+IFERROR(VLOOKUP(K71,源_8补工时表_补当月工时!$A:$AC,14,FALSE),0),IF(P71="门店管理组",IF(IFERROR(VLOOKUP(K71,源_3考勤报表_考勤表!$F:$BG,34,FALSE),0)+IFERROR(VLOOKUP(K71,源_8补工时表_补当月工时!$A:$AC,14,FALSE),0)+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44,FALSE),0)+IFERROR(VLOOKUP(K71,源_8补工时表_补当月工时!$A:$AC,16,FALSE),0)+IFERROR(VLOOKUP(K71,源_3考勤报表_考勤表!$F:$BG,45,FALSE),0)&gt;=参数!$B$4,参数!$B$4-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44,FALSE),0)-IFERROR(VLOOKUP(K71,源_8补工时表_补当月工时!$A:$AC,16,FALSE),0)-IFERROR(VLOOKUP(K71,源_3考勤报表_考勤表!$F:$BG,45,FALSE),0),IFERROR(VLOOKUP(K71,源_3考勤报表_考勤表!$F:$BG,34,FALSE),0)+IFERROR(VLOOKUP(K71,源_8补工时表_补当月工时!$A:$AC,14,FALSE),0)),0))</f>
        <v>0</v>
      </c>
      <c r="R71">
        <v>5200</v>
      </c>
      <c r="S71">
        <v>0</v>
      </c>
      <c r="T71">
        <f>IF(P71="门店全职",R71/参数!$B$4*(Q71-MAX(IFERROR(VLOOKUP(K71,源_3考勤报表_考勤表!$F:$BG,34,FALSE),0)+IFERROR(VLOOKUP(K71,源_8补工时表_补当月工时!$A:$AC,14,FALSE),0)+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参数!$B$4,0)),R71/参数!$B$4*Q71)</f>
        <v>0</v>
      </c>
      <c r="U71">
        <v>0</v>
      </c>
      <c r="V71">
        <v>0</v>
      </c>
      <c r="W71">
        <f t="shared" si="26"/>
        <v>9.5</v>
      </c>
      <c r="X71">
        <f>IFERROR(VLOOKUP(K71,源_4奖金汇总表_拆分手工算!$A:$N,8,FALSE),0)</f>
        <v>9.5</v>
      </c>
      <c r="Y71">
        <f>IFERROR(VLOOKUP(K71,源_5薪资备忘录_工资调整项!$A:$AC,14,FALSE),0)</f>
        <v>0</v>
      </c>
      <c r="Z71">
        <f>IFERROR(VLOOKUP(K71,源_5薪资备忘录_工资调整项!$A:$AC,16,FALSE),0)</f>
        <v>0</v>
      </c>
      <c r="AA71">
        <f>IFERROR(VLOOKUP(K71,源_5薪资备忘录_工资调整项!$A:$AC,15,FALSE),0)</f>
        <v>0</v>
      </c>
      <c r="AB71">
        <f t="shared" si="27"/>
        <v>0</v>
      </c>
      <c r="AC71">
        <f>IF(P71="门店全职",R71/174*MAX(IFERROR(VLOOKUP(K71,源_3考勤报表_考勤表!$F:$BG,34,FALSE),0)+IFERROR(VLOOKUP(K71,源_8补工时表_补当月工时!$A:$AC,14,FALSE),0)+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参数!$B$4,0)*1.5,0)</f>
        <v>0</v>
      </c>
      <c r="AD71">
        <v>0</v>
      </c>
      <c r="AE71">
        <f>IFERROR(VLOOKUP(K71,源_3考勤报表_考勤表!$F:$BG,46,FALSE),0)+IFERROR(VLOOKUP(K71,源_8补工时表_补当月工时!$A:$AC,25,FALSE),0)</f>
        <v>0</v>
      </c>
      <c r="AF71">
        <f t="shared" si="28"/>
        <v>0</v>
      </c>
      <c r="AG71">
        <f>IFERROR(VLOOKUP(K71,源_4奖金汇总表_拆分手工算!$A:$N,10,FALSE),0)</f>
        <v>0</v>
      </c>
      <c r="AH71">
        <f>IFERROR(VLOOKUP(K71,源_4奖金汇总表_拆分手工算!$A:$N,5,FALSE),0)</f>
        <v>0</v>
      </c>
      <c r="AI71">
        <f>IFERROR(VLOOKUP(K71,源_4奖金汇总表_拆分手工算!$A:$N,11,FALSE),0)</f>
        <v>0</v>
      </c>
      <c r="AJ71">
        <f>IFERROR(VLOOKUP(K71,源_4奖金汇总表_拆分手工算!$A:$N,4,FALSE),0)</f>
        <v>0</v>
      </c>
      <c r="AK71">
        <f>IFERROR(VLOOKUP(K71,源_4奖金汇总表_拆分手工算!$A:$N,3,FALSE),0)</f>
        <v>0</v>
      </c>
      <c r="AL71">
        <f>IFERROR(VLOOKUP(K71,源_4奖金汇总表_拆分手工算!$A:$N,6,FALSE),0)</f>
        <v>0</v>
      </c>
      <c r="AM71">
        <f>IFERROR(VLOOKUP(K71,源_5薪资备忘录_工资调整项!$A:$AC,18,FALSE),0)+IFERROR(VLOOKUP(K71,源_4奖金汇总表_拆分手工算!$A:$N,7,FALSE),0)</f>
        <v>0</v>
      </c>
      <c r="AN71">
        <f>IFERROR(VLOOKUP(K71,源_5薪资备忘录_工资调整项!$A:$AC,17,FALSE),0)</f>
        <v>0</v>
      </c>
      <c r="AO71">
        <f>IF(OR(IFERROR(VLOOKUP(K71,源_3考勤报表_考勤表!$F:$BG,39,FALSE),0)+IFERROR(VLOOKUP(K71,源_8补工时表_补当月工时!$A:$AC,24,FALSE),0)&gt;0,IFERROR(VLOOKUP(K71,源_3考勤报表_考勤表!$F:$BG,43,FALSE),0)+IFERROR(VLOOKUP(K71,源_8补工时表_补当月工时!$A:$AC,26,FALSE),0)&gt;0),IF(IFERROR(VLOOKUP(DH71,源_11产假政策_Sheet1!$C:$F,4,FALSE),"")="是",R71/参数!$B$4*(IFERROR(VLOOKUP(K71,源_3考勤报表_考勤表!$F:$BG,39,FALSE),0)+IFERROR(VLOOKUP(K71,源_8补工时表_补当月工时!$A:$AC,24,FALSE),0)+IFERROR(VLOOKUP(K71,源_3考勤报表_考勤表!$F:$BG,43,FALSE),0)+IFERROR(VLOOKUP(K71,源_8补工时表_补当月工时!$A:$AC,26,FALSE),0)),IFERROR(VLOOKUP(K71,源_5薪资备忘录_工资调整项!$A:$AC,19,FALSE),0)),0)</f>
        <v>0</v>
      </c>
      <c r="AP71">
        <v>0</v>
      </c>
      <c r="AQ71">
        <f>IFERROR(VLOOKUP(K71,源_4奖金汇总表_拆分手工算!$A:$N,12,FALSE),0)+IFERROR(VLOOKUP(K71,源_9年终奖表_Sheet1!$A:$E,3,FALSE),0)</f>
        <v>1200</v>
      </c>
      <c r="AR71">
        <f>IFERROR(VLOOKUP(K71,源_4奖金汇总表_拆分手工算!$A:$N,13,FALSE),0)+IFERROR(VLOOKUP(K71,源_9年终奖表_Sheet1!$A:$E,4,FALSE),0)</f>
        <v>600</v>
      </c>
      <c r="AS71">
        <f>IFERROR(VLOOKUP(K71,源_4奖金汇总表_拆分手工算!$A:$N,14,FALSE),0)+IFERROR(VLOOKUP(K71,源_9年终奖表_Sheet1!$A:$E,5,FALSE),0)</f>
        <v>111</v>
      </c>
      <c r="AT71">
        <f>IFERROR(VLOOKUP(K71,源_5薪资备忘录_工资调整项!$A:$AC,20,FALSE),0)</f>
        <v>0</v>
      </c>
      <c r="AU71">
        <f>IFERROR(VLOOKUP(K71,源_5薪资备忘录_工资调整项!$A:$AC,21,FALSE),0)+IFERROR(VLOOKUP(K71,源_4奖金汇总表_拆分手工算!$A:$N,9,FALSE),0)</f>
        <v>0</v>
      </c>
      <c r="AV71">
        <f>R71/参数!$B$4*(IFERROR(VLOOKUP(K71,源_3考勤报表_考勤表!$F:$BG,37,FALSE),0)+IFERROR(VLOOKUP(K71,源_8补工时表_补当月工时!$A:$AC,15,FALSE),0))</f>
        <v>791.304347826087</v>
      </c>
      <c r="AW71">
        <f>R71/174*MIN(IFERROR(VLOOKUP(K71,源_3考勤报表_考勤表!$F:$BG,35,FALSE),0),174)*IF(DATEDIF(N71,DATE(参数!$B$2,参数!$B$3+1,0),"Y")&lt;2,0.6,IF(DATEDIF(N71,DATE(参数!$B$2,参数!$B$3+1,0),"Y")&lt;4,0.7,IF(DATEDIF(N71,DATE(参数!$B$2,参数!$B$3+1,0),"Y")&lt;6,0.8,IF(DATEDIF(N71,DATE(参数!$B$2,参数!$B$3+1,0),"Y")&lt;8,0.9,1))))</f>
        <v>0</v>
      </c>
      <c r="AX71">
        <f>IF(Q71+IFERROR(VLOOKUP(K71,源_3考勤报表_考勤表!$F:$BG,37,FALSE),0)+IFERROR(VLOOKUP(K71,源_8补工时表_补当月工时!$A:$AC,15,FALSE),0)&gt;=参数!$B$4,0,IF(Q71+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lt;=参数!$B$4,R71/参数!$B$4*(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0))</f>
        <v>0</v>
      </c>
      <c r="AY71">
        <v>0</v>
      </c>
      <c r="AZ71">
        <v>0</v>
      </c>
      <c r="BA71">
        <v>0</v>
      </c>
      <c r="BB71">
        <v>0</v>
      </c>
      <c r="BC71">
        <f>IFERROR(VLOOKUP(K71,源_5薪资备忘录_工资调整项!$A:$AC,25,FALSE),0)</f>
        <v>0</v>
      </c>
      <c r="BD71">
        <v>0</v>
      </c>
      <c r="BE71">
        <v>0</v>
      </c>
      <c r="BF71">
        <v>0</v>
      </c>
      <c r="BG71">
        <f>IFERROR(VLOOKUP(K71,源_5薪资备忘录_工资调整项!$A:$AC,22,FALSE),0)+IFERROR(VLOOKUP(K71,源_5薪资备忘录_工资调整项!$A:$AC,23,FALSE),0)+IFERROR(VLOOKUP(K71,源_5薪资备忘录_工资调整项!$A:$AC,24,FALSE),0)</f>
        <v>0</v>
      </c>
      <c r="BH71">
        <f>IFERROR(VLOOKUP(DF71,源_6社保表_Sheet1!$C:$CD,80,FALSE),0)+4.5</f>
        <v>6.5</v>
      </c>
      <c r="BI71">
        <f t="shared" si="29"/>
        <v>2711.804347826087</v>
      </c>
      <c r="BJ71">
        <f>IFERROR(VLOOKUP(DF71,源_6社保表_Sheet1!$C:$BZ,26,FALSE),0)</f>
        <v>249.3</v>
      </c>
      <c r="BK71">
        <f>IFERROR(VLOOKUP(DF71,源_6社保表_Sheet1!$C:$BZ,27,FALSE),0)</f>
        <v>49.86</v>
      </c>
      <c r="BL71">
        <f>IFERROR(VLOOKUP(DF71,源_6社保表_Sheet1!$C:$BZ,28,FALSE),0)</f>
        <v>24.93</v>
      </c>
      <c r="BM71">
        <f>IFERROR(VLOOKUP(DF71,源_6社保表_Sheet1!$C:$BZ,30,FALSE),0)</f>
        <v>246.6</v>
      </c>
      <c r="BN71">
        <f>IFERROR(VLOOKUP(DF71,源_6社保表_Sheet1!$C:$BZ,29,FALSE),0)</f>
        <v>0</v>
      </c>
      <c r="BO71">
        <f>IFERROR(VLOOKUP(DF71,源_6社保表_Sheet1!$C:$BZ,40,FALSE),0)</f>
        <v>0</v>
      </c>
      <c r="BP71">
        <f>IFERROR(VLOOKUP(DF71,源_6社保表_Sheet1!$C:$BZ,41,FALSE),0)</f>
        <v>0</v>
      </c>
      <c r="BQ71">
        <f>IFERROR(VLOOKUP(DF71,源_6社保表_Sheet1!$C:$BZ,42,FALSE),0)</f>
        <v>0</v>
      </c>
      <c r="BR71">
        <f>IFERROR(VLOOKUP(DF71,源_6社保表_Sheet1!$C:$BZ,44,FALSE),0)</f>
        <v>0</v>
      </c>
      <c r="BS71">
        <f>IFERROR(VLOOKUP(DF71,源_6社保表_Sheet1!$C:$BZ,43,FALSE),0)</f>
        <v>0</v>
      </c>
      <c r="BT71">
        <f t="shared" si="30"/>
        <v>570.69000000000005</v>
      </c>
      <c r="BU71">
        <v>0</v>
      </c>
      <c r="BV71">
        <v>0</v>
      </c>
      <c r="BW71">
        <v>0</v>
      </c>
      <c r="BX71">
        <f t="shared" si="31"/>
        <v>0</v>
      </c>
      <c r="BY71">
        <v>0</v>
      </c>
      <c r="BZ71">
        <f>IFERROR(VLOOKUP(DF71,源_6社保表_Sheet1!$C:$BZ,18,FALSE),0)</f>
        <v>598.32000000000005</v>
      </c>
      <c r="CA71">
        <f>IFERROR(VLOOKUP(DF71,源_6社保表_Sheet1!$C:$BZ,19,FALSE),0)</f>
        <v>299.16000000000003</v>
      </c>
      <c r="CB71">
        <f>IFERROR(VLOOKUP(DF71,源_6社保表_Sheet1!$C:$BZ,24,FALSE),0)</f>
        <v>246.6</v>
      </c>
      <c r="CC71">
        <f>IFERROR(VLOOKUP(DF71,源_6社保表_Sheet1!$C:$BZ,20,FALSE),0)</f>
        <v>24.93</v>
      </c>
      <c r="CD71">
        <f>IFERROR(VLOOKUP(DF71,源_6社保表_Sheet1!$C:$BZ,21,FALSE),0)</f>
        <v>15.9552</v>
      </c>
      <c r="CE71">
        <f>IFERROR(VLOOKUP(DF71,源_6社保表_Sheet1!$C:$BZ,22,FALSE),0)</f>
        <v>0</v>
      </c>
      <c r="CF71">
        <f>IFERROR(VLOOKUP(DF71,源_6社保表_Sheet1!$C:$BZ,23,FALSE),0)</f>
        <v>0</v>
      </c>
      <c r="CG71">
        <f>IFERROR(VLOOKUP(DF71,源_6社保表_Sheet1!$C:$BZ,32,FALSE),0)</f>
        <v>0</v>
      </c>
      <c r="CH71">
        <f>IFERROR(VLOOKUP(DF71,源_6社保表_Sheet1!$C:$BZ,33,FALSE),0)</f>
        <v>0</v>
      </c>
      <c r="CI71">
        <f>IFERROR(VLOOKUP(DF71,源_6社保表_Sheet1!$C:$BZ,34,FALSE),0)</f>
        <v>0</v>
      </c>
      <c r="CJ71">
        <f>IFERROR(VLOOKUP(DF71,源_6社保表_Sheet1!$C:$BZ,38,FALSE),0)</f>
        <v>0</v>
      </c>
      <c r="CK71">
        <f>IFERROR(VLOOKUP(DF71,源_6社保表_Sheet1!$C:$BZ,35,FALSE),0)</f>
        <v>0</v>
      </c>
      <c r="CL71">
        <f>IFERROR(VLOOKUP(DF71,源_6社保表_Sheet1!$C:$BZ,36,FALSE),0)</f>
        <v>0</v>
      </c>
      <c r="CM71">
        <f>IFERROR(VLOOKUP(DF71,源_6社保表_Sheet1!$C:$BZ,37,FALSE),0)</f>
        <v>0</v>
      </c>
      <c r="CN71">
        <f t="shared" si="32"/>
        <v>1184.9652000000001</v>
      </c>
      <c r="CO71">
        <f t="shared" si="33"/>
        <v>3903.2695478260871</v>
      </c>
      <c r="CP71">
        <f>IF(IFERROR(VLOOKUP(K71,源_13残疾人信息_残疾人信息!$A:$M,1,FALSE),"")&lt;&gt;"",0,IF(OR(P71="门店全职",P71="门店管理组",P71="全职(非门店)"),(BI71-AT71)*IFERROR(VLOOKUP(D71,源_12计提残保金规则_Sheet1!$A:$E,4,FALSE),0)*IFERROR(VLOOKUP(D71,源_12计提残保金规则_Sheet1!$A:$E,5,FALSE),0),0))</f>
        <v>0</v>
      </c>
      <c r="CQ71">
        <f t="shared" si="34"/>
        <v>16.05</v>
      </c>
      <c r="CR71">
        <f t="shared" si="35"/>
        <v>20.67</v>
      </c>
      <c r="CS71">
        <f>IF(DATEVALUE(N71)&gt;DATE(参数!$B$2,9,30),0,IF(M71="行政",0,IF(O71="",R71/12,IF(MONTH(DATEVALUE(O71))=参数!$B$3,0,IF(DATEVALUE(O71)&lt;DATE(参数!$B$2,参数!$B$3,1),0,R71/12)))))</f>
        <v>433.33333333333331</v>
      </c>
      <c r="CT71">
        <f t="shared" si="36"/>
        <v>530.4</v>
      </c>
      <c r="CU71">
        <f>IFERROR(VLOOKUP(DF71,源_6社保表_Sheet1!$C:$I,2,FALSE),0)</f>
        <v>4986</v>
      </c>
      <c r="CV71">
        <f>IFERROR(VLOOKUP(DF71,源_6社保表_Sheet1!$C:$I,7,FALSE),0)</f>
        <v>4932</v>
      </c>
      <c r="CW71">
        <f>IFERROR(VLOOKUP(DF71,源_6社保表_Sheet1!$C:$I,3,FALSE),0)</f>
        <v>4986</v>
      </c>
      <c r="CX71">
        <f>IFERROR(VLOOKUP(DF71,源_6社保表_Sheet1!$C:$I,4,FALSE),0)</f>
        <v>4986</v>
      </c>
      <c r="CY71">
        <f>IFERROR(VLOOKUP(DF71,源_6社保表_Sheet1!$C:$I,5,FALSE),0)</f>
        <v>4986</v>
      </c>
      <c r="CZ71">
        <f>IFERROR(VLOOKUP(DF71,源_6社保表_Sheet1!$C:$I,6,FALSE),0)</f>
        <v>0</v>
      </c>
      <c r="DA71">
        <f t="shared" si="37"/>
        <v>1985.7695478260871</v>
      </c>
      <c r="DB71">
        <f t="shared" si="38"/>
        <v>2992.7228811594205</v>
      </c>
      <c r="DC71" t="str">
        <f>IFERROR(VLOOKUP(K71,源_7银行卡表_Sheet1!$A:$J,8,FALSE),"")</f>
        <v>汇丰银行</v>
      </c>
      <c r="DD71" t="str">
        <f>IFERROR(VLOOKUP(K71,源_7银行卡表_Sheet1!$A:$J,9,FALSE),"")</f>
        <v>6280480861622165182</v>
      </c>
      <c r="DE71" t="str">
        <f>IFERROR(VLOOKUP(K71,源_7银行卡表_Sheet1!$A:$J,10,FALSE),"")</f>
        <v>汇丰银行（中国）有限公司肇庆支行</v>
      </c>
      <c r="DF71" t="s">
        <v>446</v>
      </c>
      <c r="DG71">
        <v>16849351014</v>
      </c>
      <c r="DH71" t="s">
        <v>323</v>
      </c>
      <c r="DI71">
        <v>0</v>
      </c>
      <c r="DJ71">
        <v>0</v>
      </c>
      <c r="DK71">
        <v>0</v>
      </c>
      <c r="DL71">
        <v>0</v>
      </c>
      <c r="DM71">
        <v>0</v>
      </c>
      <c r="DN71">
        <v>0</v>
      </c>
      <c r="DO71">
        <v>0</v>
      </c>
      <c r="DP71">
        <v>0</v>
      </c>
      <c r="DQ71">
        <v>0</v>
      </c>
      <c r="DR71">
        <f>IF(OR(IFERROR(VLOOKUP(K71,源_3考勤报表_考勤表!$F:$BG,39,FALSE),0)+IFERROR(VLOOKUP(K71,源_8补工时表_补当月工时!$A:$AC,24,FALSE),0)=0,IFERROR(VLOOKUP(K71,源_3考勤报表_考勤表!$F:$BG,43,FALSE),0)+IFERROR(VLOOKUP(K71,源_8补工时表_补当月工时!$A:$AC,26,FALSE),0)=0),IF(BI71+BG71-BT71&lt;0,BI71+BG71-BT71,0),0)</f>
        <v>0</v>
      </c>
    </row>
    <row r="72" spans="1:122" x14ac:dyDescent="0.15">
      <c r="A72">
        <f>参数!$B$2</f>
        <v>2025</v>
      </c>
      <c r="B72">
        <f>参数!$B$3</f>
        <v>12</v>
      </c>
      <c r="D72" t="s">
        <v>447</v>
      </c>
      <c r="E72" t="s">
        <v>123</v>
      </c>
      <c r="F72" t="str">
        <f>IFERROR(VLOOKUP(K72,源_7银行卡表_Sheet1!$A:$J,6,FALSE),"")</f>
        <v>华北营运</v>
      </c>
      <c r="G72" t="s">
        <v>448</v>
      </c>
      <c r="H72" t="s">
        <v>449</v>
      </c>
      <c r="I72" t="s">
        <v>450</v>
      </c>
      <c r="J72">
        <v>1</v>
      </c>
      <c r="K72">
        <v>26123071</v>
      </c>
      <c r="L72" t="s">
        <v>451</v>
      </c>
      <c r="M72" t="s">
        <v>170</v>
      </c>
      <c r="N72" t="s">
        <v>452</v>
      </c>
      <c r="P72" t="s">
        <v>154</v>
      </c>
      <c r="Q72">
        <f>IF(P72="门店全职",IFERROR(VLOOKUP(K72,源_3考勤报表_考勤表!$F:$BG,34,FALSE),0)+IFERROR(VLOOKUP(K72,源_8补工时表_补当月工时!$A:$AC,14,FALSE),0),IF(P72="门店管理组",IF(IFERROR(VLOOKUP(K72,源_3考勤报表_考勤表!$F:$BG,34,FALSE),0)+IFERROR(VLOOKUP(K72,源_8补工时表_补当月工时!$A:$AC,14,FALSE),0)+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44,FALSE),0)+IFERROR(VLOOKUP(K72,源_8补工时表_补当月工时!$A:$AC,16,FALSE),0)+IFERROR(VLOOKUP(K72,源_3考勤报表_考勤表!$F:$BG,45,FALSE),0)&gt;=参数!$B$4,参数!$B$4-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44,FALSE),0)-IFERROR(VLOOKUP(K72,源_8补工时表_补当月工时!$A:$AC,16,FALSE),0)-IFERROR(VLOOKUP(K72,源_3考勤报表_考勤表!$F:$BG,45,FALSE),0),IFERROR(VLOOKUP(K72,源_3考勤报表_考勤表!$F:$BG,34,FALSE),0)+IFERROR(VLOOKUP(K72,源_8补工时表_补当月工时!$A:$AC,14,FALSE),0)),0))</f>
        <v>171.5</v>
      </c>
      <c r="R72">
        <v>2970</v>
      </c>
      <c r="S72">
        <v>0</v>
      </c>
      <c r="T72">
        <f>IF(P72="门店全职",R72/参数!$B$4*(Q72-MAX(IFERROR(VLOOKUP(K72,源_3考勤报表_考勤表!$F:$BG,34,FALSE),0)+IFERROR(VLOOKUP(K72,源_8补工时表_补当月工时!$A:$AC,14,FALSE),0)+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参数!$B$4,0)),R72/参数!$B$4*Q72)</f>
        <v>2518.0434782608695</v>
      </c>
      <c r="U72">
        <v>0</v>
      </c>
      <c r="V72">
        <v>0</v>
      </c>
      <c r="W72">
        <f t="shared" si="26"/>
        <v>0</v>
      </c>
      <c r="X72">
        <f>IFERROR(VLOOKUP(K72,源_4奖金汇总表_拆分手工算!$A:$N,8,FALSE),0)</f>
        <v>0</v>
      </c>
      <c r="Y72">
        <f>IFERROR(VLOOKUP(K72,源_5薪资备忘录_工资调整项!$A:$AC,14,FALSE),0)</f>
        <v>0</v>
      </c>
      <c r="Z72">
        <f>IFERROR(VLOOKUP(K72,源_5薪资备忘录_工资调整项!$A:$AC,16,FALSE),0)</f>
        <v>0</v>
      </c>
      <c r="AA72">
        <f>IFERROR(VLOOKUP(K72,源_5薪资备忘录_工资调整项!$A:$AC,15,FALSE),0)</f>
        <v>0</v>
      </c>
      <c r="AB72">
        <f t="shared" si="27"/>
        <v>550.47413793103453</v>
      </c>
      <c r="AC72">
        <f>IF(P72="门店全职",R72/174*MAX(IFERROR(VLOOKUP(K72,源_3考勤报表_考勤表!$F:$BG,34,FALSE),0)+IFERROR(VLOOKUP(K72,源_8补工时表_补当月工时!$A:$AC,14,FALSE),0)+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参数!$B$4,0)*1.5,0)</f>
        <v>396.85344827586209</v>
      </c>
      <c r="AD72">
        <v>0</v>
      </c>
      <c r="AE72">
        <f>IFERROR(VLOOKUP(K72,源_3考勤报表_考勤表!$F:$BG,46,FALSE),0)+IFERROR(VLOOKUP(K72,源_8补工时表_补当月工时!$A:$AC,25,FALSE),0)</f>
        <v>3</v>
      </c>
      <c r="AF72">
        <f t="shared" si="28"/>
        <v>153.62068965517244</v>
      </c>
      <c r="AG72">
        <f>IFERROR(VLOOKUP(K72,源_4奖金汇总表_拆分手工算!$A:$N,10,FALSE),0)</f>
        <v>0</v>
      </c>
      <c r="AH72">
        <f>IFERROR(VLOOKUP(K72,源_4奖金汇总表_拆分手工算!$A:$N,5,FALSE),0)</f>
        <v>0</v>
      </c>
      <c r="AI72">
        <f>IFERROR(VLOOKUP(K72,源_4奖金汇总表_拆分手工算!$A:$N,11,FALSE),0)</f>
        <v>0</v>
      </c>
      <c r="AJ72">
        <f>IFERROR(VLOOKUP(K72,源_4奖金汇总表_拆分手工算!$A:$N,4,FALSE),0)</f>
        <v>0</v>
      </c>
      <c r="AK72">
        <f>IFERROR(VLOOKUP(K72,源_4奖金汇总表_拆分手工算!$A:$N,3,FALSE),0)</f>
        <v>0</v>
      </c>
      <c r="AL72">
        <f>IFERROR(VLOOKUP(K72,源_4奖金汇总表_拆分手工算!$A:$N,6,FALSE),0)</f>
        <v>0</v>
      </c>
      <c r="AM72">
        <f>IFERROR(VLOOKUP(K72,源_5薪资备忘录_工资调整项!$A:$AC,18,FALSE),0)+IFERROR(VLOOKUP(K72,源_4奖金汇总表_拆分手工算!$A:$N,7,FALSE),0)</f>
        <v>0</v>
      </c>
      <c r="AN72">
        <f>IFERROR(VLOOKUP(K72,源_5薪资备忘录_工资调整项!$A:$AC,17,FALSE),0)</f>
        <v>0</v>
      </c>
      <c r="AO72">
        <f>IF(OR(IFERROR(VLOOKUP(K72,源_3考勤报表_考勤表!$F:$BG,39,FALSE),0)+IFERROR(VLOOKUP(K72,源_8补工时表_补当月工时!$A:$AC,24,FALSE),0)&gt;0,IFERROR(VLOOKUP(K72,源_3考勤报表_考勤表!$F:$BG,43,FALSE),0)+IFERROR(VLOOKUP(K72,源_8补工时表_补当月工时!$A:$AC,26,FALSE),0)&gt;0),IF(IFERROR(VLOOKUP(DH72,源_11产假政策_Sheet1!$C:$F,4,FALSE),"")="是",R72/参数!$B$4*(IFERROR(VLOOKUP(K72,源_3考勤报表_考勤表!$F:$BG,39,FALSE),0)+IFERROR(VLOOKUP(K72,源_8补工时表_补当月工时!$A:$AC,24,FALSE),0)+IFERROR(VLOOKUP(K72,源_3考勤报表_考勤表!$F:$BG,43,FALSE),0)+IFERROR(VLOOKUP(K72,源_8补工时表_补当月工时!$A:$AC,26,FALSE),0)),IFERROR(VLOOKUP(K72,源_5薪资备忘录_工资调整项!$A:$AC,19,FALSE),0)),0)</f>
        <v>0</v>
      </c>
      <c r="AP72">
        <v>0</v>
      </c>
      <c r="AQ72">
        <f>IFERROR(VLOOKUP(K72,源_4奖金汇总表_拆分手工算!$A:$N,12,FALSE),0)+IFERROR(VLOOKUP(K72,源_9年终奖表_Sheet1!$A:$E,3,FALSE),0)</f>
        <v>0</v>
      </c>
      <c r="AR72">
        <f>IFERROR(VLOOKUP(K72,源_4奖金汇总表_拆分手工算!$A:$N,13,FALSE),0)+IFERROR(VLOOKUP(K72,源_9年终奖表_Sheet1!$A:$E,4,FALSE),0)</f>
        <v>0</v>
      </c>
      <c r="AS72">
        <f>IFERROR(VLOOKUP(K72,源_4奖金汇总表_拆分手工算!$A:$N,14,FALSE),0)+IFERROR(VLOOKUP(K72,源_9年终奖表_Sheet1!$A:$E,5,FALSE),0)</f>
        <v>0</v>
      </c>
      <c r="AT72">
        <f>IFERROR(VLOOKUP(K72,源_5薪资备忘录_工资调整项!$A:$AC,20,FALSE),0)</f>
        <v>0</v>
      </c>
      <c r="AU72">
        <f>IFERROR(VLOOKUP(K72,源_5薪资备忘录_工资调整项!$A:$AC,21,FALSE),0)+IFERROR(VLOOKUP(K72,源_4奖金汇总表_拆分手工算!$A:$N,9,FALSE),0)</f>
        <v>0</v>
      </c>
      <c r="AV72">
        <f>R72/参数!$B$4*(IFERROR(VLOOKUP(K72,源_3考勤报表_考勤表!$F:$BG,37,FALSE),0)+IFERROR(VLOOKUP(K72,源_8补工时表_补当月工时!$A:$AC,15,FALSE),0))</f>
        <v>451.95652173913038</v>
      </c>
      <c r="AW72">
        <f>R72/174*MIN(IFERROR(VLOOKUP(K72,源_3考勤报表_考勤表!$F:$BG,35,FALSE),0),174)*IF(DATEDIF(N72,DATE(参数!$B$2,参数!$B$3+1,0),"Y")&lt;2,0.6,IF(DATEDIF(N72,DATE(参数!$B$2,参数!$B$3+1,0),"Y")&lt;4,0.7,IF(DATEDIF(N72,DATE(参数!$B$2,参数!$B$3+1,0),"Y")&lt;6,0.8,IF(DATEDIF(N72,DATE(参数!$B$2,参数!$B$3+1,0),"Y")&lt;8,0.9,1))))</f>
        <v>0</v>
      </c>
      <c r="AX72">
        <f>IF(Q72+IFERROR(VLOOKUP(K72,源_3考勤报表_考勤表!$F:$BG,37,FALSE),0)+IFERROR(VLOOKUP(K72,源_8补工时表_补当月工时!$A:$AC,15,FALSE),0)&gt;=参数!$B$4,0,IF(Q72+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lt;=参数!$B$4,R72/参数!$B$4*(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0))</f>
        <v>0</v>
      </c>
      <c r="AY72">
        <v>0</v>
      </c>
      <c r="AZ72">
        <v>0</v>
      </c>
      <c r="BA72">
        <v>0</v>
      </c>
      <c r="BB72">
        <v>0</v>
      </c>
      <c r="BC72">
        <f>IFERROR(VLOOKUP(K72,源_5薪资备忘录_工资调整项!$A:$AC,25,FALSE),0)</f>
        <v>0</v>
      </c>
      <c r="BD72">
        <v>0</v>
      </c>
      <c r="BE72">
        <v>0</v>
      </c>
      <c r="BF72">
        <v>0</v>
      </c>
      <c r="BG72">
        <f>IFERROR(VLOOKUP(K72,源_5薪资备忘录_工资调整项!$A:$AC,22,FALSE),0)+IFERROR(VLOOKUP(K72,源_5薪资备忘录_工资调整项!$A:$AC,23,FALSE),0)+IFERROR(VLOOKUP(K72,源_5薪资备忘录_工资调整项!$A:$AC,24,FALSE),0)</f>
        <v>0</v>
      </c>
      <c r="BH72">
        <f>IFERROR(VLOOKUP(DF72,源_6社保表_Sheet1!$C:$CD,80,FALSE),0)+4.5</f>
        <v>6.5</v>
      </c>
      <c r="BI72">
        <f t="shared" si="29"/>
        <v>3520.4741379310344</v>
      </c>
      <c r="BJ72">
        <f>IFERROR(VLOOKUP(DF72,源_6社保表_Sheet1!$C:$BZ,26,FALSE),0)</f>
        <v>200.35</v>
      </c>
      <c r="BK72">
        <f>IFERROR(VLOOKUP(DF72,源_6社保表_Sheet1!$C:$BZ,27,FALSE),0)</f>
        <v>67.38</v>
      </c>
      <c r="BL72">
        <f>IFERROR(VLOOKUP(DF72,源_6社保表_Sheet1!$C:$BZ,28,FALSE),0)</f>
        <v>20.035</v>
      </c>
      <c r="BM72">
        <f>IFERROR(VLOOKUP(DF72,源_6社保表_Sheet1!$C:$BZ,30,FALSE),0)</f>
        <v>173.9</v>
      </c>
      <c r="BN72">
        <f>IFERROR(VLOOKUP(DF72,源_6社保表_Sheet1!$C:$BZ,29,FALSE),0)</f>
        <v>0</v>
      </c>
      <c r="BO72">
        <f>IFERROR(VLOOKUP(DF72,源_6社保表_Sheet1!$C:$BZ,40,FALSE),0)</f>
        <v>0</v>
      </c>
      <c r="BP72">
        <f>IFERROR(VLOOKUP(DF72,源_6社保表_Sheet1!$C:$BZ,41,FALSE),0)</f>
        <v>0</v>
      </c>
      <c r="BQ72">
        <f>IFERROR(VLOOKUP(DF72,源_6社保表_Sheet1!$C:$BZ,42,FALSE),0)</f>
        <v>0</v>
      </c>
      <c r="BR72">
        <f>IFERROR(VLOOKUP(DF72,源_6社保表_Sheet1!$C:$BZ,44,FALSE),0)</f>
        <v>0</v>
      </c>
      <c r="BS72">
        <f>IFERROR(VLOOKUP(DF72,源_6社保表_Sheet1!$C:$BZ,43,FALSE),0)</f>
        <v>0</v>
      </c>
      <c r="BT72">
        <f t="shared" si="30"/>
        <v>461.66500000000008</v>
      </c>
      <c r="BU72">
        <v>0</v>
      </c>
      <c r="BV72">
        <v>0</v>
      </c>
      <c r="BW72">
        <v>0</v>
      </c>
      <c r="BX72">
        <f t="shared" si="31"/>
        <v>0</v>
      </c>
      <c r="BY72">
        <v>0</v>
      </c>
      <c r="BZ72">
        <f>IFERROR(VLOOKUP(DF72,源_6社保表_Sheet1!$C:$BZ,18,FALSE),0)</f>
        <v>480.84</v>
      </c>
      <c r="CA72">
        <f>IFERROR(VLOOKUP(DF72,源_6社保表_Sheet1!$C:$BZ,19,FALSE),0)</f>
        <v>404.28</v>
      </c>
      <c r="CB72">
        <f>IFERROR(VLOOKUP(DF72,源_6社保表_Sheet1!$C:$BZ,24,FALSE),0)</f>
        <v>173.9</v>
      </c>
      <c r="CC72">
        <f>IFERROR(VLOOKUP(DF72,源_6社保表_Sheet1!$C:$BZ,20,FALSE),0)</f>
        <v>20.035</v>
      </c>
      <c r="CD72">
        <f>IFERROR(VLOOKUP(DF72,源_6社保表_Sheet1!$C:$BZ,21,FALSE),0)</f>
        <v>12.8224</v>
      </c>
      <c r="CE72">
        <f>IFERROR(VLOOKUP(DF72,源_6社保表_Sheet1!$C:$BZ,22,FALSE),0)</f>
        <v>0</v>
      </c>
      <c r="CF72">
        <f>IFERROR(VLOOKUP(DF72,源_6社保表_Sheet1!$C:$BZ,23,FALSE),0)</f>
        <v>0</v>
      </c>
      <c r="CG72">
        <f>IFERROR(VLOOKUP(DF72,源_6社保表_Sheet1!$C:$BZ,32,FALSE),0)</f>
        <v>0</v>
      </c>
      <c r="CH72">
        <f>IFERROR(VLOOKUP(DF72,源_6社保表_Sheet1!$C:$BZ,33,FALSE),0)</f>
        <v>0</v>
      </c>
      <c r="CI72">
        <f>IFERROR(VLOOKUP(DF72,源_6社保表_Sheet1!$C:$BZ,34,FALSE),0)</f>
        <v>0</v>
      </c>
      <c r="CJ72">
        <f>IFERROR(VLOOKUP(DF72,源_6社保表_Sheet1!$C:$BZ,38,FALSE),0)</f>
        <v>0</v>
      </c>
      <c r="CK72">
        <f>IFERROR(VLOOKUP(DF72,源_6社保表_Sheet1!$C:$BZ,35,FALSE),0)</f>
        <v>0</v>
      </c>
      <c r="CL72">
        <f>IFERROR(VLOOKUP(DF72,源_6社保表_Sheet1!$C:$BZ,36,FALSE),0)</f>
        <v>0</v>
      </c>
      <c r="CM72">
        <f>IFERROR(VLOOKUP(DF72,源_6社保表_Sheet1!$C:$BZ,37,FALSE),0)</f>
        <v>0</v>
      </c>
      <c r="CN72">
        <f t="shared" si="32"/>
        <v>1091.8774000000001</v>
      </c>
      <c r="CO72">
        <f t="shared" si="33"/>
        <v>4618.8515379310347</v>
      </c>
      <c r="CP72">
        <f>IF(IFERROR(VLOOKUP(K72,源_13残疾人信息_残疾人信息!$A:$M,1,FALSE),"")&lt;&gt;"",0,IF(OR(P72="门店全职",P72="门店管理组",P72="全职(非门店)"),(BI72-AT72)*IFERROR(VLOOKUP(D72,源_12计提残保金规则_Sheet1!$A:$E,4,FALSE),0)*IFERROR(VLOOKUP(D72,源_12计提残保金规则_Sheet1!$A:$E,5,FALSE),0),0))</f>
        <v>47.526400862068968</v>
      </c>
      <c r="CQ72">
        <f t="shared" si="34"/>
        <v>16.05</v>
      </c>
      <c r="CR72">
        <f t="shared" si="35"/>
        <v>20.67</v>
      </c>
      <c r="CS72">
        <f>IF(DATEVALUE(N72)&gt;DATE(参数!$B$2,9,30),0,IF(M72="行政",0,IF(O72="",R72/12,IF(MONTH(DATEVALUE(O72))=参数!$B$3,0,IF(DATEVALUE(O72)&lt;DATE(参数!$B$2,参数!$B$3,1),0,R72/12)))))</f>
        <v>247.5</v>
      </c>
      <c r="CT72">
        <f t="shared" si="36"/>
        <v>0</v>
      </c>
      <c r="CU72">
        <f>IFERROR(VLOOKUP(DF72,源_6社保表_Sheet1!$C:$I,2,FALSE),0)</f>
        <v>4007</v>
      </c>
      <c r="CV72">
        <f>IFERROR(VLOOKUP(DF72,源_6社保表_Sheet1!$C:$I,7,FALSE),0)</f>
        <v>3478</v>
      </c>
      <c r="CW72">
        <f>IFERROR(VLOOKUP(DF72,源_6社保表_Sheet1!$C:$I,3,FALSE),0)</f>
        <v>6738</v>
      </c>
      <c r="CX72">
        <f>IFERROR(VLOOKUP(DF72,源_6社保表_Sheet1!$C:$I,4,FALSE),0)</f>
        <v>4007</v>
      </c>
      <c r="CY72">
        <f>IFERROR(VLOOKUP(DF72,源_6社保表_Sheet1!$C:$I,5,FALSE),0)</f>
        <v>4007</v>
      </c>
      <c r="CZ72">
        <f>IFERROR(VLOOKUP(DF72,源_6社保表_Sheet1!$C:$I,6,FALSE),0)</f>
        <v>0</v>
      </c>
      <c r="DA72">
        <f t="shared" si="37"/>
        <v>4612.3515379310347</v>
      </c>
      <c r="DB72">
        <f t="shared" si="38"/>
        <v>4950.5979387931038</v>
      </c>
      <c r="DC72" t="str">
        <f>IFERROR(VLOOKUP(K72,源_7银行卡表_Sheet1!$A:$J,8,FALSE),"")</f>
        <v>汇丰银行</v>
      </c>
      <c r="DD72" t="str">
        <f>IFERROR(VLOOKUP(K72,源_7银行卡表_Sheet1!$A:$J,9,FALSE),"")</f>
        <v>6285028551724209877</v>
      </c>
      <c r="DE72" t="str">
        <f>IFERROR(VLOOKUP(K72,源_7银行卡表_Sheet1!$A:$J,10,FALSE),"")</f>
        <v>汇丰银行（中国）有限公司云浮支行</v>
      </c>
      <c r="DF72" t="s">
        <v>453</v>
      </c>
      <c r="DG72">
        <v>17480722702</v>
      </c>
      <c r="DH72" t="s">
        <v>448</v>
      </c>
      <c r="DI72">
        <v>0</v>
      </c>
      <c r="DJ72">
        <v>0</v>
      </c>
      <c r="DK72">
        <v>0</v>
      </c>
      <c r="DL72">
        <v>0</v>
      </c>
      <c r="DM72">
        <v>0</v>
      </c>
      <c r="DN72">
        <v>0</v>
      </c>
      <c r="DO72">
        <v>0</v>
      </c>
      <c r="DP72">
        <v>0</v>
      </c>
      <c r="DQ72">
        <v>0</v>
      </c>
      <c r="DR72">
        <f>IF(OR(IFERROR(VLOOKUP(K72,源_3考勤报表_考勤表!$F:$BG,39,FALSE),0)+IFERROR(VLOOKUP(K72,源_8补工时表_补当月工时!$A:$AC,24,FALSE),0)=0,IFERROR(VLOOKUP(K72,源_3考勤报表_考勤表!$F:$BG,43,FALSE),0)+IFERROR(VLOOKUP(K72,源_8补工时表_补当月工时!$A:$AC,26,FALSE),0)=0),IF(BI72+BG72-BT72&lt;0,BI72+BG72-BT72,0),0)</f>
        <v>0</v>
      </c>
    </row>
    <row r="73" spans="1:122" x14ac:dyDescent="0.15">
      <c r="A73">
        <f>参数!$B$2</f>
        <v>2025</v>
      </c>
      <c r="B73">
        <f>参数!$B$3</f>
        <v>12</v>
      </c>
      <c r="D73" t="s">
        <v>147</v>
      </c>
      <c r="E73" t="s">
        <v>123</v>
      </c>
      <c r="F73" t="str">
        <f>IFERROR(VLOOKUP(K73,源_7银行卡表_Sheet1!$A:$J,6,FALSE),"")</f>
        <v>华北营运</v>
      </c>
      <c r="G73" t="s">
        <v>148</v>
      </c>
      <c r="H73" t="s">
        <v>454</v>
      </c>
      <c r="I73" t="s">
        <v>150</v>
      </c>
      <c r="J73">
        <v>1</v>
      </c>
      <c r="K73">
        <v>26123072</v>
      </c>
      <c r="L73" t="s">
        <v>455</v>
      </c>
      <c r="M73" t="s">
        <v>170</v>
      </c>
      <c r="N73" t="s">
        <v>456</v>
      </c>
      <c r="P73" t="s">
        <v>154</v>
      </c>
      <c r="Q73">
        <f>IF(P73="门店全职",IFERROR(VLOOKUP(K73,源_3考勤报表_考勤表!$F:$BG,34,FALSE),0)+IFERROR(VLOOKUP(K73,源_8补工时表_补当月工时!$A:$AC,14,FALSE),0),IF(P73="门店管理组",IF(IFERROR(VLOOKUP(K73,源_3考勤报表_考勤表!$F:$BG,34,FALSE),0)+IFERROR(VLOOKUP(K73,源_8补工时表_补当月工时!$A:$AC,14,FALSE),0)+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44,FALSE),0)+IFERROR(VLOOKUP(K73,源_8补工时表_补当月工时!$A:$AC,16,FALSE),0)+IFERROR(VLOOKUP(K73,源_3考勤报表_考勤表!$F:$BG,45,FALSE),0)&gt;=参数!$B$4,参数!$B$4-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44,FALSE),0)-IFERROR(VLOOKUP(K73,源_8补工时表_补当月工时!$A:$AC,16,FALSE),0)-IFERROR(VLOOKUP(K73,源_3考勤报表_考勤表!$F:$BG,45,FALSE),0),IFERROR(VLOOKUP(K73,源_3考勤报表_考勤表!$F:$BG,34,FALSE),0)+IFERROR(VLOOKUP(K73,源_8补工时表_补当月工时!$A:$AC,14,FALSE),0)),0))</f>
        <v>0</v>
      </c>
      <c r="R73">
        <v>3640</v>
      </c>
      <c r="S73">
        <v>0</v>
      </c>
      <c r="T73">
        <f>IF(P73="门店全职",R73/参数!$B$4*(Q73-MAX(IFERROR(VLOOKUP(K73,源_3考勤报表_考勤表!$F:$BG,34,FALSE),0)+IFERROR(VLOOKUP(K73,源_8补工时表_补当月工时!$A:$AC,14,FALSE),0)+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参数!$B$4,0)),R73/参数!$B$4*Q73)</f>
        <v>0</v>
      </c>
      <c r="U73">
        <v>0</v>
      </c>
      <c r="V73">
        <v>0</v>
      </c>
      <c r="W73">
        <f t="shared" si="26"/>
        <v>0</v>
      </c>
      <c r="X73">
        <f>IFERROR(VLOOKUP(K73,源_4奖金汇总表_拆分手工算!$A:$N,8,FALSE),0)</f>
        <v>0</v>
      </c>
      <c r="Y73">
        <f>IFERROR(VLOOKUP(K73,源_5薪资备忘录_工资调整项!$A:$AC,14,FALSE),0)</f>
        <v>0</v>
      </c>
      <c r="Z73">
        <f>IFERROR(VLOOKUP(K73,源_5薪资备忘录_工资调整项!$A:$AC,16,FALSE),0)</f>
        <v>0</v>
      </c>
      <c r="AA73">
        <f>IFERROR(VLOOKUP(K73,源_5薪资备忘录_工资调整项!$A:$AC,15,FALSE),0)</f>
        <v>0</v>
      </c>
      <c r="AB73">
        <f t="shared" si="27"/>
        <v>0</v>
      </c>
      <c r="AC73">
        <f>IF(P73="门店全职",R73/174*MAX(IFERROR(VLOOKUP(K73,源_3考勤报表_考勤表!$F:$BG,34,FALSE),0)+IFERROR(VLOOKUP(K73,源_8补工时表_补当月工时!$A:$AC,14,FALSE),0)+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参数!$B$4,0)*1.5,0)</f>
        <v>0</v>
      </c>
      <c r="AD73">
        <v>0</v>
      </c>
      <c r="AE73">
        <f>IFERROR(VLOOKUP(K73,源_3考勤报表_考勤表!$F:$BG,46,FALSE),0)+IFERROR(VLOOKUP(K73,源_8补工时表_补当月工时!$A:$AC,25,FALSE),0)</f>
        <v>0</v>
      </c>
      <c r="AF73">
        <f t="shared" si="28"/>
        <v>0</v>
      </c>
      <c r="AG73">
        <f>IFERROR(VLOOKUP(K73,源_4奖金汇总表_拆分手工算!$A:$N,10,FALSE),0)</f>
        <v>0</v>
      </c>
      <c r="AH73">
        <f>IFERROR(VLOOKUP(K73,源_4奖金汇总表_拆分手工算!$A:$N,5,FALSE),0)</f>
        <v>0</v>
      </c>
      <c r="AI73">
        <f>IFERROR(VLOOKUP(K73,源_4奖金汇总表_拆分手工算!$A:$N,11,FALSE),0)</f>
        <v>0</v>
      </c>
      <c r="AJ73">
        <f>IFERROR(VLOOKUP(K73,源_4奖金汇总表_拆分手工算!$A:$N,4,FALSE),0)</f>
        <v>0</v>
      </c>
      <c r="AK73">
        <f>IFERROR(VLOOKUP(K73,源_4奖金汇总表_拆分手工算!$A:$N,3,FALSE),0)</f>
        <v>0</v>
      </c>
      <c r="AL73">
        <f>IFERROR(VLOOKUP(K73,源_4奖金汇总表_拆分手工算!$A:$N,6,FALSE),0)</f>
        <v>0</v>
      </c>
      <c r="AM73">
        <f>IFERROR(VLOOKUP(K73,源_5薪资备忘录_工资调整项!$A:$AC,18,FALSE),0)+IFERROR(VLOOKUP(K73,源_4奖金汇总表_拆分手工算!$A:$N,7,FALSE),0)</f>
        <v>0</v>
      </c>
      <c r="AN73">
        <f>IFERROR(VLOOKUP(K73,源_5薪资备忘录_工资调整项!$A:$AC,17,FALSE),0)</f>
        <v>0</v>
      </c>
      <c r="AO73">
        <f>IF(OR(IFERROR(VLOOKUP(K73,源_3考勤报表_考勤表!$F:$BG,39,FALSE),0)+IFERROR(VLOOKUP(K73,源_8补工时表_补当月工时!$A:$AC,24,FALSE),0)&gt;0,IFERROR(VLOOKUP(K73,源_3考勤报表_考勤表!$F:$BG,43,FALSE),0)+IFERROR(VLOOKUP(K73,源_8补工时表_补当月工时!$A:$AC,26,FALSE),0)&gt;0),IF(IFERROR(VLOOKUP(DH73,源_11产假政策_Sheet1!$C:$F,4,FALSE),"")="是",R73/参数!$B$4*(IFERROR(VLOOKUP(K73,源_3考勤报表_考勤表!$F:$BG,39,FALSE),0)+IFERROR(VLOOKUP(K73,源_8补工时表_补当月工时!$A:$AC,24,FALSE),0)+IFERROR(VLOOKUP(K73,源_3考勤报表_考勤表!$F:$BG,43,FALSE),0)+IFERROR(VLOOKUP(K73,源_8补工时表_补当月工时!$A:$AC,26,FALSE),0)),IFERROR(VLOOKUP(K73,源_5薪资备忘录_工资调整项!$A:$AC,19,FALSE),0)),0)</f>
        <v>0</v>
      </c>
      <c r="AP73">
        <v>0</v>
      </c>
      <c r="AQ73">
        <f>IFERROR(VLOOKUP(K73,源_4奖金汇总表_拆分手工算!$A:$N,12,FALSE),0)+IFERROR(VLOOKUP(K73,源_9年终奖表_Sheet1!$A:$E,3,FALSE),0)</f>
        <v>0</v>
      </c>
      <c r="AR73">
        <f>IFERROR(VLOOKUP(K73,源_4奖金汇总表_拆分手工算!$A:$N,13,FALSE),0)+IFERROR(VLOOKUP(K73,源_9年终奖表_Sheet1!$A:$E,4,FALSE),0)</f>
        <v>0</v>
      </c>
      <c r="AS73">
        <f>IFERROR(VLOOKUP(K73,源_4奖金汇总表_拆分手工算!$A:$N,14,FALSE),0)+IFERROR(VLOOKUP(K73,源_9年终奖表_Sheet1!$A:$E,5,FALSE),0)</f>
        <v>0</v>
      </c>
      <c r="AT73">
        <f>IFERROR(VLOOKUP(K73,源_5薪资备忘录_工资调整项!$A:$AC,20,FALSE),0)</f>
        <v>0</v>
      </c>
      <c r="AU73">
        <f>IFERROR(VLOOKUP(K73,源_5薪资备忘录_工资调整项!$A:$AC,21,FALSE),0)+IFERROR(VLOOKUP(K73,源_4奖金汇总表_拆分手工算!$A:$N,9,FALSE),0)</f>
        <v>0</v>
      </c>
      <c r="AV73">
        <f>R73/参数!$B$4*(IFERROR(VLOOKUP(K73,源_3考勤报表_考勤表!$F:$BG,37,FALSE),0)+IFERROR(VLOOKUP(K73,源_8补工时表_补当月工时!$A:$AC,15,FALSE),0))</f>
        <v>0</v>
      </c>
      <c r="AW73">
        <f>R73/174*MIN(IFERROR(VLOOKUP(K73,源_3考勤报表_考勤表!$F:$BG,35,FALSE),0),174)*IF(DATEDIF(N73,DATE(参数!$B$2,参数!$B$3+1,0),"Y")&lt;2,0.6,IF(DATEDIF(N73,DATE(参数!$B$2,参数!$B$3+1,0),"Y")&lt;4,0.7,IF(DATEDIF(N73,DATE(参数!$B$2,参数!$B$3+1,0),"Y")&lt;6,0.8,IF(DATEDIF(N73,DATE(参数!$B$2,参数!$B$3+1,0),"Y")&lt;8,0.9,1))))</f>
        <v>0</v>
      </c>
      <c r="AX73">
        <f>IF(Q73+IFERROR(VLOOKUP(K73,源_3考勤报表_考勤表!$F:$BG,37,FALSE),0)+IFERROR(VLOOKUP(K73,源_8补工时表_补当月工时!$A:$AC,15,FALSE),0)&gt;=参数!$B$4,0,IF(Q73+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lt;=参数!$B$4,R73/参数!$B$4*(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0))</f>
        <v>0</v>
      </c>
      <c r="AY73">
        <v>0</v>
      </c>
      <c r="AZ73">
        <v>0</v>
      </c>
      <c r="BA73">
        <v>0</v>
      </c>
      <c r="BB73">
        <v>0</v>
      </c>
      <c r="BC73">
        <f>IFERROR(VLOOKUP(K73,源_5薪资备忘录_工资调整项!$A:$AC,25,FALSE),0)</f>
        <v>0</v>
      </c>
      <c r="BD73">
        <v>0</v>
      </c>
      <c r="BE73">
        <f>(T73+W73+AB73+AG73+AH73+AI73+AJ73+AK73+AL73+AM73+AN73+AO73+AP73+AU73+AV73+AW73+AX73+BC73-IFERROR(VLOOKUP(DF73,源_6社保表_Sheet1!$C:$BZ,76,FALSE),0))*0.02</f>
        <v>-16.989799999999999</v>
      </c>
      <c r="BF73">
        <v>0</v>
      </c>
      <c r="BG73">
        <f>IFERROR(VLOOKUP(K73,源_5薪资备忘录_工资调整项!$A:$AC,22,FALSE),0)+IFERROR(VLOOKUP(K73,源_5薪资备忘录_工资调整项!$A:$AC,23,FALSE),0)+IFERROR(VLOOKUP(K73,源_5薪资备忘录_工资调整项!$A:$AC,24,FALSE),0)</f>
        <v>0</v>
      </c>
      <c r="BH73">
        <f>IFERROR(VLOOKUP(DF73,源_6社保表_Sheet1!$C:$CD,80,FALSE),0)+4.5</f>
        <v>6.5</v>
      </c>
      <c r="BI73">
        <f t="shared" si="29"/>
        <v>0</v>
      </c>
      <c r="BJ73">
        <f>IFERROR(VLOOKUP(DF73,源_6社保表_Sheet1!$C:$BZ,26,FALSE),0)</f>
        <v>501.34</v>
      </c>
      <c r="BK73">
        <f>IFERROR(VLOOKUP(DF73,源_6社保表_Sheet1!$C:$BZ,27,FALSE),0)</f>
        <v>71.62</v>
      </c>
      <c r="BL73">
        <f>IFERROR(VLOOKUP(DF73,源_6社保表_Sheet1!$C:$BZ,28,FALSE),0)</f>
        <v>35.81</v>
      </c>
      <c r="BM73">
        <f>IFERROR(VLOOKUP(DF73,源_6社保表_Sheet1!$C:$BZ,30,FALSE),0)</f>
        <v>240.72</v>
      </c>
      <c r="BN73">
        <f>IFERROR(VLOOKUP(DF73,源_6社保表_Sheet1!$C:$BZ,29,FALSE),0)</f>
        <v>0</v>
      </c>
      <c r="BO73">
        <f>IFERROR(VLOOKUP(DF73,源_6社保表_Sheet1!$C:$BZ,40,FALSE),0)</f>
        <v>0</v>
      </c>
      <c r="BP73">
        <f>IFERROR(VLOOKUP(DF73,源_6社保表_Sheet1!$C:$BZ,41,FALSE),0)</f>
        <v>0</v>
      </c>
      <c r="BQ73">
        <f>IFERROR(VLOOKUP(DF73,源_6社保表_Sheet1!$C:$BZ,42,FALSE),0)</f>
        <v>0</v>
      </c>
      <c r="BR73">
        <f>IFERROR(VLOOKUP(DF73,源_6社保表_Sheet1!$C:$BZ,44,FALSE),0)</f>
        <v>0</v>
      </c>
      <c r="BS73">
        <f>IFERROR(VLOOKUP(DF73,源_6社保表_Sheet1!$C:$BZ,43,FALSE),0)</f>
        <v>0</v>
      </c>
      <c r="BT73">
        <f t="shared" si="30"/>
        <v>849.49</v>
      </c>
      <c r="BU73">
        <v>0</v>
      </c>
      <c r="BV73">
        <v>0</v>
      </c>
      <c r="BW73">
        <v>0</v>
      </c>
      <c r="BX73">
        <f t="shared" si="31"/>
        <v>0</v>
      </c>
      <c r="BY73">
        <v>0</v>
      </c>
      <c r="BZ73">
        <f>IFERROR(VLOOKUP(DF73,源_6社保表_Sheet1!$C:$BZ,18,FALSE),0)</f>
        <v>1074.3</v>
      </c>
      <c r="CA73">
        <f>IFERROR(VLOOKUP(DF73,源_6社保表_Sheet1!$C:$BZ,19,FALSE),0)</f>
        <v>572.96</v>
      </c>
      <c r="CB73">
        <f>IFERROR(VLOOKUP(DF73,源_6社保表_Sheet1!$C:$BZ,24,FALSE),0)</f>
        <v>240.72</v>
      </c>
      <c r="CC73">
        <f>IFERROR(VLOOKUP(DF73,源_6社保表_Sheet1!$C:$BZ,20,FALSE),0)</f>
        <v>35.81</v>
      </c>
      <c r="CD73">
        <f>IFERROR(VLOOKUP(DF73,源_6社保表_Sheet1!$C:$BZ,21,FALSE),0)</f>
        <v>22.918399999999998</v>
      </c>
      <c r="CE73">
        <f>IFERROR(VLOOKUP(DF73,源_6社保表_Sheet1!$C:$BZ,22,FALSE),0)</f>
        <v>0</v>
      </c>
      <c r="CF73">
        <f>IFERROR(VLOOKUP(DF73,源_6社保表_Sheet1!$C:$BZ,23,FALSE),0)</f>
        <v>0</v>
      </c>
      <c r="CG73">
        <f>IFERROR(VLOOKUP(DF73,源_6社保表_Sheet1!$C:$BZ,32,FALSE),0)</f>
        <v>0</v>
      </c>
      <c r="CH73">
        <f>IFERROR(VLOOKUP(DF73,源_6社保表_Sheet1!$C:$BZ,33,FALSE),0)</f>
        <v>0</v>
      </c>
      <c r="CI73">
        <f>IFERROR(VLOOKUP(DF73,源_6社保表_Sheet1!$C:$BZ,34,FALSE),0)</f>
        <v>0</v>
      </c>
      <c r="CJ73">
        <f>IFERROR(VLOOKUP(DF73,源_6社保表_Sheet1!$C:$BZ,38,FALSE),0)</f>
        <v>0</v>
      </c>
      <c r="CK73">
        <f>IFERROR(VLOOKUP(DF73,源_6社保表_Sheet1!$C:$BZ,35,FALSE),0)</f>
        <v>0</v>
      </c>
      <c r="CL73">
        <f>IFERROR(VLOOKUP(DF73,源_6社保表_Sheet1!$C:$BZ,36,FALSE),0)</f>
        <v>0</v>
      </c>
      <c r="CM73">
        <f>IFERROR(VLOOKUP(DF73,源_6社保表_Sheet1!$C:$BZ,37,FALSE),0)</f>
        <v>0</v>
      </c>
      <c r="CN73">
        <f t="shared" si="32"/>
        <v>1946.7084</v>
      </c>
      <c r="CO73">
        <f t="shared" si="33"/>
        <v>1936.2185999999999</v>
      </c>
      <c r="CP73">
        <f>IF(IFERROR(VLOOKUP(K73,源_13残疾人信息_残疾人信息!$A:$M,1,FALSE),"")&lt;&gt;"",0,IF(OR(P73="门店全职",P73="门店管理组",P73="全职(非门店)"),(BI73-AT73)*IFERROR(VLOOKUP(D73,源_12计提残保金规则_Sheet1!$A:$E,4,FALSE),0)*IFERROR(VLOOKUP(D73,源_12计提残保金规则_Sheet1!$A:$E,5,FALSE),0),0))</f>
        <v>0</v>
      </c>
      <c r="CQ73">
        <f t="shared" si="34"/>
        <v>16.05</v>
      </c>
      <c r="CR73">
        <f t="shared" si="35"/>
        <v>20.67</v>
      </c>
      <c r="CS73">
        <f>IF(DATEVALUE(N73)&gt;DATE(参数!$B$2,9,30),0,IF(M73="行政",0,IF(O73="",R73/12,IF(MONTH(DATEVALUE(O73))=参数!$B$3,0,IF(DATEVALUE(O73)&lt;DATE(参数!$B$2,参数!$B$3,1),0,R73/12)))))</f>
        <v>303.33333333333331</v>
      </c>
      <c r="CT73">
        <f t="shared" si="36"/>
        <v>0</v>
      </c>
      <c r="CU73">
        <f>IFERROR(VLOOKUP(DF73,源_6社保表_Sheet1!$C:$I,2,FALSE),0)</f>
        <v>7162</v>
      </c>
      <c r="CV73">
        <f>IFERROR(VLOOKUP(DF73,源_6社保表_Sheet1!$C:$I,7,FALSE),0)</f>
        <v>4012</v>
      </c>
      <c r="CW73">
        <f>IFERROR(VLOOKUP(DF73,源_6社保表_Sheet1!$C:$I,3,FALSE),0)</f>
        <v>7162</v>
      </c>
      <c r="CX73">
        <f>IFERROR(VLOOKUP(DF73,源_6社保表_Sheet1!$C:$I,4,FALSE),0)</f>
        <v>7162</v>
      </c>
      <c r="CY73">
        <f>IFERROR(VLOOKUP(DF73,源_6社保表_Sheet1!$C:$I,5,FALSE),0)</f>
        <v>7162</v>
      </c>
      <c r="CZ73">
        <f>IFERROR(VLOOKUP(DF73,源_6社保表_Sheet1!$C:$I,6,FALSE),0)</f>
        <v>0</v>
      </c>
      <c r="DA73">
        <f t="shared" si="37"/>
        <v>1946.7084</v>
      </c>
      <c r="DB73">
        <f t="shared" si="38"/>
        <v>2293.2617333333333</v>
      </c>
      <c r="DC73" t="str">
        <f>IFERROR(VLOOKUP(K73,源_7银行卡表_Sheet1!$A:$J,8,FALSE),"")</f>
        <v>汇丰银行</v>
      </c>
      <c r="DD73" t="str">
        <f>IFERROR(VLOOKUP(K73,源_7银行卡表_Sheet1!$A:$J,9,FALSE),"")</f>
        <v>6287362928078076170</v>
      </c>
      <c r="DE73" t="str">
        <f>IFERROR(VLOOKUP(K73,源_7银行卡表_Sheet1!$A:$J,10,FALSE),"")</f>
        <v>汇丰银行（中国）有限公司惠州支行</v>
      </c>
      <c r="DF73" t="s">
        <v>457</v>
      </c>
      <c r="DG73">
        <v>14339664257</v>
      </c>
      <c r="DH73" t="s">
        <v>148</v>
      </c>
      <c r="DI73">
        <v>0</v>
      </c>
      <c r="DJ73">
        <v>0</v>
      </c>
      <c r="DK73">
        <v>0</v>
      </c>
      <c r="DL73">
        <v>0</v>
      </c>
      <c r="DM73">
        <v>0</v>
      </c>
      <c r="DN73">
        <v>0</v>
      </c>
      <c r="DO73">
        <v>0</v>
      </c>
      <c r="DP73">
        <v>0</v>
      </c>
      <c r="DQ73">
        <v>0</v>
      </c>
      <c r="DR73">
        <f>IF(OR(IFERROR(VLOOKUP(K73,源_3考勤报表_考勤表!$F:$BG,39,FALSE),0)+IFERROR(VLOOKUP(K73,源_8补工时表_补当月工时!$A:$AC,24,FALSE),0)=0,IFERROR(VLOOKUP(K73,源_3考勤报表_考勤表!$F:$BG,43,FALSE),0)+IFERROR(VLOOKUP(K73,源_8补工时表_补当月工时!$A:$AC,26,FALSE),0)=0),IF(BI73+BG73-BT73&lt;0,BI73+BG73-BT73,0),0)</f>
        <v>-849.49</v>
      </c>
    </row>
    <row r="74" spans="1:122" x14ac:dyDescent="0.15">
      <c r="A74">
        <f>参数!$B$2</f>
        <v>2025</v>
      </c>
      <c r="B74">
        <f>参数!$B$3</f>
        <v>12</v>
      </c>
      <c r="D74" t="s">
        <v>351</v>
      </c>
      <c r="E74" t="s">
        <v>123</v>
      </c>
      <c r="F74" t="str">
        <f>IFERROR(VLOOKUP(K74,源_7银行卡表_Sheet1!$A:$J,6,FALSE),"")</f>
        <v>华东营运</v>
      </c>
      <c r="G74" t="s">
        <v>180</v>
      </c>
      <c r="H74" t="s">
        <v>458</v>
      </c>
      <c r="I74" t="s">
        <v>353</v>
      </c>
      <c r="J74">
        <v>1</v>
      </c>
      <c r="K74">
        <v>26123073</v>
      </c>
      <c r="L74" t="s">
        <v>459</v>
      </c>
      <c r="M74" t="s">
        <v>152</v>
      </c>
      <c r="N74" t="s">
        <v>460</v>
      </c>
      <c r="O74" t="s">
        <v>461</v>
      </c>
      <c r="P74" t="s">
        <v>154</v>
      </c>
      <c r="Q74">
        <f>IF(P74="门店全职",IFERROR(VLOOKUP(K74,源_3考勤报表_考勤表!$F:$BG,34,FALSE),0)+IFERROR(VLOOKUP(K74,源_8补工时表_补当月工时!$A:$AC,14,FALSE),0),IF(P74="门店管理组",IF(IFERROR(VLOOKUP(K74,源_3考勤报表_考勤表!$F:$BG,34,FALSE),0)+IFERROR(VLOOKUP(K74,源_8补工时表_补当月工时!$A:$AC,14,FALSE),0)+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44,FALSE),0)+IFERROR(VLOOKUP(K74,源_8补工时表_补当月工时!$A:$AC,16,FALSE),0)+IFERROR(VLOOKUP(K74,源_3考勤报表_考勤表!$F:$BG,45,FALSE),0)&gt;=参数!$B$4,参数!$B$4-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44,FALSE),0)-IFERROR(VLOOKUP(K74,源_8补工时表_补当月工时!$A:$AC,16,FALSE),0)-IFERROR(VLOOKUP(K74,源_3考勤报表_考勤表!$F:$BG,45,FALSE),0),IFERROR(VLOOKUP(K74,源_3考勤报表_考勤表!$F:$BG,34,FALSE),0)+IFERROR(VLOOKUP(K74,源_8补工时表_补当月工时!$A:$AC,14,FALSE),0)),0))</f>
        <v>0</v>
      </c>
      <c r="R74">
        <v>3480</v>
      </c>
      <c r="S74">
        <v>0</v>
      </c>
      <c r="T74">
        <f>IF(P74="门店全职",R74/参数!$B$4*(Q74-MAX(IFERROR(VLOOKUP(K74,源_3考勤报表_考勤表!$F:$BG,34,FALSE),0)+IFERROR(VLOOKUP(K74,源_8补工时表_补当月工时!$A:$AC,14,FALSE),0)+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参数!$B$4,0)),R74/参数!$B$4*Q74)</f>
        <v>0</v>
      </c>
      <c r="U74">
        <v>0</v>
      </c>
      <c r="V74">
        <v>0</v>
      </c>
      <c r="W74">
        <f t="shared" si="26"/>
        <v>0</v>
      </c>
      <c r="X74">
        <f>IFERROR(VLOOKUP(K74,源_4奖金汇总表_拆分手工算!$A:$N,8,FALSE),0)</f>
        <v>0</v>
      </c>
      <c r="Y74">
        <f>IFERROR(VLOOKUP(K74,源_5薪资备忘录_工资调整项!$A:$AC,14,FALSE),0)</f>
        <v>0</v>
      </c>
      <c r="Z74">
        <f>IFERROR(VLOOKUP(K74,源_5薪资备忘录_工资调整项!$A:$AC,16,FALSE),0)</f>
        <v>0</v>
      </c>
      <c r="AA74">
        <f>IFERROR(VLOOKUP(K74,源_5薪资备忘录_工资调整项!$A:$AC,15,FALSE),0)</f>
        <v>0</v>
      </c>
      <c r="AB74">
        <f t="shared" si="27"/>
        <v>0</v>
      </c>
      <c r="AC74">
        <f>IF(P74="门店全职",R74/174*MAX(IFERROR(VLOOKUP(K74,源_3考勤报表_考勤表!$F:$BG,34,FALSE),0)+IFERROR(VLOOKUP(K74,源_8补工时表_补当月工时!$A:$AC,14,FALSE),0)+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参数!$B$4,0)*1.5,0)</f>
        <v>0</v>
      </c>
      <c r="AD74">
        <v>0</v>
      </c>
      <c r="AE74">
        <f>IFERROR(VLOOKUP(K74,源_3考勤报表_考勤表!$F:$BG,46,FALSE),0)+IFERROR(VLOOKUP(K74,源_8补工时表_补当月工时!$A:$AC,25,FALSE),0)</f>
        <v>0</v>
      </c>
      <c r="AF74">
        <f t="shared" si="28"/>
        <v>0</v>
      </c>
      <c r="AG74">
        <f>IFERROR(VLOOKUP(K74,源_4奖金汇总表_拆分手工算!$A:$N,10,FALSE),0)</f>
        <v>0</v>
      </c>
      <c r="AH74">
        <f>IFERROR(VLOOKUP(K74,源_4奖金汇总表_拆分手工算!$A:$N,5,FALSE),0)</f>
        <v>0</v>
      </c>
      <c r="AI74">
        <f>IFERROR(VLOOKUP(K74,源_4奖金汇总表_拆分手工算!$A:$N,11,FALSE),0)</f>
        <v>0</v>
      </c>
      <c r="AJ74">
        <f>IFERROR(VLOOKUP(K74,源_4奖金汇总表_拆分手工算!$A:$N,4,FALSE),0)</f>
        <v>0</v>
      </c>
      <c r="AK74">
        <f>IFERROR(VLOOKUP(K74,源_4奖金汇总表_拆分手工算!$A:$N,3,FALSE),0)</f>
        <v>0</v>
      </c>
      <c r="AL74">
        <f>IFERROR(VLOOKUP(K74,源_4奖金汇总表_拆分手工算!$A:$N,6,FALSE),0)</f>
        <v>0</v>
      </c>
      <c r="AM74">
        <f>IFERROR(VLOOKUP(K74,源_5薪资备忘录_工资调整项!$A:$AC,18,FALSE),0)+IFERROR(VLOOKUP(K74,源_4奖金汇总表_拆分手工算!$A:$N,7,FALSE),0)</f>
        <v>0</v>
      </c>
      <c r="AN74">
        <f>IFERROR(VLOOKUP(K74,源_5薪资备忘录_工资调整项!$A:$AC,17,FALSE),0)</f>
        <v>0</v>
      </c>
      <c r="AO74">
        <f>IF(OR(IFERROR(VLOOKUP(K74,源_3考勤报表_考勤表!$F:$BG,39,FALSE),0)+IFERROR(VLOOKUP(K74,源_8补工时表_补当月工时!$A:$AC,24,FALSE),0)&gt;0,IFERROR(VLOOKUP(K74,源_3考勤报表_考勤表!$F:$BG,43,FALSE),0)+IFERROR(VLOOKUP(K74,源_8补工时表_补当月工时!$A:$AC,26,FALSE),0)&gt;0),IF(IFERROR(VLOOKUP(DH74,源_11产假政策_Sheet1!$C:$F,4,FALSE),"")="是",R74/参数!$B$4*(IFERROR(VLOOKUP(K74,源_3考勤报表_考勤表!$F:$BG,39,FALSE),0)+IFERROR(VLOOKUP(K74,源_8补工时表_补当月工时!$A:$AC,24,FALSE),0)+IFERROR(VLOOKUP(K74,源_3考勤报表_考勤表!$F:$BG,43,FALSE),0)+IFERROR(VLOOKUP(K74,源_8补工时表_补当月工时!$A:$AC,26,FALSE),0)),IFERROR(VLOOKUP(K74,源_5薪资备忘录_工资调整项!$A:$AC,19,FALSE),0)),0)</f>
        <v>0</v>
      </c>
      <c r="AP74">
        <v>0</v>
      </c>
      <c r="AQ74">
        <f>IFERROR(VLOOKUP(K74,源_4奖金汇总表_拆分手工算!$A:$N,12,FALSE),0)+IFERROR(VLOOKUP(K74,源_9年终奖表_Sheet1!$A:$E,3,FALSE),0)</f>
        <v>0</v>
      </c>
      <c r="AR74">
        <f>IFERROR(VLOOKUP(K74,源_4奖金汇总表_拆分手工算!$A:$N,13,FALSE),0)+IFERROR(VLOOKUP(K74,源_9年终奖表_Sheet1!$A:$E,4,FALSE),0)</f>
        <v>0</v>
      </c>
      <c r="AS74">
        <f>IFERROR(VLOOKUP(K74,源_4奖金汇总表_拆分手工算!$A:$N,14,FALSE),0)+IFERROR(VLOOKUP(K74,源_9年终奖表_Sheet1!$A:$E,5,FALSE),0)</f>
        <v>0</v>
      </c>
      <c r="AT74">
        <f>IFERROR(VLOOKUP(K74,源_5薪资备忘录_工资调整项!$A:$AC,20,FALSE),0)</f>
        <v>0</v>
      </c>
      <c r="AU74">
        <f>IFERROR(VLOOKUP(K74,源_5薪资备忘录_工资调整项!$A:$AC,21,FALSE),0)+IFERROR(VLOOKUP(K74,源_4奖金汇总表_拆分手工算!$A:$N,9,FALSE),0)</f>
        <v>0</v>
      </c>
      <c r="AV74">
        <f>R74/参数!$B$4*(IFERROR(VLOOKUP(K74,源_3考勤报表_考勤表!$F:$BG,37,FALSE),0)+IFERROR(VLOOKUP(K74,源_8补工时表_补当月工时!$A:$AC,15,FALSE),0))</f>
        <v>0</v>
      </c>
      <c r="AW74">
        <f>R74/174*MIN(IFERROR(VLOOKUP(K74,源_3考勤报表_考勤表!$F:$BG,35,FALSE),0),174)*IF(DATEDIF(N74,DATE(参数!$B$2,参数!$B$3+1,0),"Y")&lt;2,0.6,IF(DATEDIF(N74,DATE(参数!$B$2,参数!$B$3+1,0),"Y")&lt;4,0.7,IF(DATEDIF(N74,DATE(参数!$B$2,参数!$B$3+1,0),"Y")&lt;6,0.8,IF(DATEDIF(N74,DATE(参数!$B$2,参数!$B$3+1,0),"Y")&lt;8,0.9,1))))</f>
        <v>0</v>
      </c>
      <c r="AX74">
        <f>IF(Q74+IFERROR(VLOOKUP(K74,源_3考勤报表_考勤表!$F:$BG,37,FALSE),0)+IFERROR(VLOOKUP(K74,源_8补工时表_补当月工时!$A:$AC,15,FALSE),0)&gt;=参数!$B$4,0,IF(Q74+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lt;=参数!$B$4,R74/参数!$B$4*(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0))</f>
        <v>0</v>
      </c>
      <c r="AY74">
        <v>0</v>
      </c>
      <c r="AZ74">
        <v>0</v>
      </c>
      <c r="BA74">
        <v>0</v>
      </c>
      <c r="BB74">
        <v>0</v>
      </c>
      <c r="BC74">
        <f>IFERROR(VLOOKUP(K74,源_5薪资备忘录_工资调整项!$A:$AC,25,FALSE),0)</f>
        <v>0</v>
      </c>
      <c r="BD74">
        <v>0</v>
      </c>
      <c r="BE74">
        <v>0</v>
      </c>
      <c r="BF74">
        <v>0</v>
      </c>
      <c r="BG74">
        <f>IFERROR(VLOOKUP(K74,源_5薪资备忘录_工资调整项!$A:$AC,22,FALSE),0)+IFERROR(VLOOKUP(K74,源_5薪资备忘录_工资调整项!$A:$AC,23,FALSE),0)+IFERROR(VLOOKUP(K74,源_5薪资备忘录_工资调整项!$A:$AC,24,FALSE),0)</f>
        <v>0</v>
      </c>
      <c r="BH74">
        <f>IFERROR(VLOOKUP(DF74,源_6社保表_Sheet1!$C:$CD,80,FALSE),0)+4.5</f>
        <v>6.5</v>
      </c>
      <c r="BI74">
        <f t="shared" si="29"/>
        <v>0</v>
      </c>
      <c r="BJ74">
        <f>IFERROR(VLOOKUP(DF74,源_6社保表_Sheet1!$C:$BZ,26,FALSE),0)</f>
        <v>249.3</v>
      </c>
      <c r="BK74">
        <f>IFERROR(VLOOKUP(DF74,源_6社保表_Sheet1!$C:$BZ,27,FALSE),0)</f>
        <v>49.86</v>
      </c>
      <c r="BL74">
        <f>IFERROR(VLOOKUP(DF74,源_6社保表_Sheet1!$C:$BZ,28,FALSE),0)</f>
        <v>24.93</v>
      </c>
      <c r="BM74">
        <f>IFERROR(VLOOKUP(DF74,源_6社保表_Sheet1!$C:$BZ,30,FALSE),0)</f>
        <v>213.9</v>
      </c>
      <c r="BN74">
        <f>IFERROR(VLOOKUP(DF74,源_6社保表_Sheet1!$C:$BZ,29,FALSE),0)</f>
        <v>0</v>
      </c>
      <c r="BO74">
        <f>IFERROR(VLOOKUP(DF74,源_6社保表_Sheet1!$C:$BZ,40,FALSE),0)</f>
        <v>0</v>
      </c>
      <c r="BP74">
        <f>IFERROR(VLOOKUP(DF74,源_6社保表_Sheet1!$C:$BZ,41,FALSE),0)</f>
        <v>0</v>
      </c>
      <c r="BQ74">
        <f>IFERROR(VLOOKUP(DF74,源_6社保表_Sheet1!$C:$BZ,42,FALSE),0)</f>
        <v>0</v>
      </c>
      <c r="BR74">
        <f>IFERROR(VLOOKUP(DF74,源_6社保表_Sheet1!$C:$BZ,44,FALSE),0)</f>
        <v>0</v>
      </c>
      <c r="BS74">
        <f>IFERROR(VLOOKUP(DF74,源_6社保表_Sheet1!$C:$BZ,43,FALSE),0)</f>
        <v>0</v>
      </c>
      <c r="BT74">
        <f t="shared" si="30"/>
        <v>537.99</v>
      </c>
      <c r="BU74">
        <v>0</v>
      </c>
      <c r="BV74">
        <v>0</v>
      </c>
      <c r="BW74">
        <v>0</v>
      </c>
      <c r="BX74">
        <f t="shared" si="31"/>
        <v>0</v>
      </c>
      <c r="BY74">
        <v>0</v>
      </c>
      <c r="BZ74">
        <f>IFERROR(VLOOKUP(DF74,源_6社保表_Sheet1!$C:$BZ,18,FALSE),0)</f>
        <v>598.32000000000005</v>
      </c>
      <c r="CA74">
        <f>IFERROR(VLOOKUP(DF74,源_6社保表_Sheet1!$C:$BZ,19,FALSE),0)</f>
        <v>299.16000000000003</v>
      </c>
      <c r="CB74">
        <f>IFERROR(VLOOKUP(DF74,源_6社保表_Sheet1!$C:$BZ,24,FALSE),0)</f>
        <v>213.9</v>
      </c>
      <c r="CC74">
        <f>IFERROR(VLOOKUP(DF74,源_6社保表_Sheet1!$C:$BZ,20,FALSE),0)</f>
        <v>24.93</v>
      </c>
      <c r="CD74">
        <f>IFERROR(VLOOKUP(DF74,源_6社保表_Sheet1!$C:$BZ,21,FALSE),0)</f>
        <v>15.9552</v>
      </c>
      <c r="CE74">
        <f>IFERROR(VLOOKUP(DF74,源_6社保表_Sheet1!$C:$BZ,22,FALSE),0)</f>
        <v>0</v>
      </c>
      <c r="CF74">
        <f>IFERROR(VLOOKUP(DF74,源_6社保表_Sheet1!$C:$BZ,23,FALSE),0)</f>
        <v>0</v>
      </c>
      <c r="CG74">
        <f>IFERROR(VLOOKUP(DF74,源_6社保表_Sheet1!$C:$BZ,32,FALSE),0)</f>
        <v>0</v>
      </c>
      <c r="CH74">
        <f>IFERROR(VLOOKUP(DF74,源_6社保表_Sheet1!$C:$BZ,33,FALSE),0)</f>
        <v>0</v>
      </c>
      <c r="CI74">
        <f>IFERROR(VLOOKUP(DF74,源_6社保表_Sheet1!$C:$BZ,34,FALSE),0)</f>
        <v>0</v>
      </c>
      <c r="CJ74">
        <f>IFERROR(VLOOKUP(DF74,源_6社保表_Sheet1!$C:$BZ,38,FALSE),0)</f>
        <v>0</v>
      </c>
      <c r="CK74">
        <f>IFERROR(VLOOKUP(DF74,源_6社保表_Sheet1!$C:$BZ,35,FALSE),0)</f>
        <v>0</v>
      </c>
      <c r="CL74">
        <f>IFERROR(VLOOKUP(DF74,源_6社保表_Sheet1!$C:$BZ,36,FALSE),0)</f>
        <v>0</v>
      </c>
      <c r="CM74">
        <f>IFERROR(VLOOKUP(DF74,源_6社保表_Sheet1!$C:$BZ,37,FALSE),0)</f>
        <v>0</v>
      </c>
      <c r="CN74">
        <f t="shared" si="32"/>
        <v>1152.2652000000003</v>
      </c>
      <c r="CO74">
        <f t="shared" si="33"/>
        <v>1158.7652000000003</v>
      </c>
      <c r="CP74">
        <f>IF(IFERROR(VLOOKUP(K74,源_13残疾人信息_残疾人信息!$A:$M,1,FALSE),"")&lt;&gt;"",0,IF(OR(P74="门店全职",P74="门店管理组",P74="全职(非门店)"),(BI74-AT74)*IFERROR(VLOOKUP(D74,源_12计提残保金规则_Sheet1!$A:$E,4,FALSE),0)*IFERROR(VLOOKUP(D74,源_12计提残保金规则_Sheet1!$A:$E,5,FALSE),0),0))</f>
        <v>0</v>
      </c>
      <c r="CQ74">
        <f t="shared" si="34"/>
        <v>16.05</v>
      </c>
      <c r="CR74">
        <f t="shared" si="35"/>
        <v>20.67</v>
      </c>
      <c r="CS74">
        <f>IF(DATEVALUE(N74)&gt;DATE(参数!$B$2,9,30),0,IF(M74="行政",0,IF(O74="",R74/12,IF(MONTH(DATEVALUE(O74))=参数!$B$3,0,IF(DATEVALUE(O74)&lt;DATE(参数!$B$2,参数!$B$3,1),0,R74/12)))))</f>
        <v>0</v>
      </c>
      <c r="CT74">
        <f t="shared" si="36"/>
        <v>0</v>
      </c>
      <c r="CU74">
        <f>IFERROR(VLOOKUP(DF74,源_6社保表_Sheet1!$C:$I,2,FALSE),0)</f>
        <v>4986</v>
      </c>
      <c r="CV74">
        <f>IFERROR(VLOOKUP(DF74,源_6社保表_Sheet1!$C:$I,7,FALSE),0)</f>
        <v>4278</v>
      </c>
      <c r="CW74">
        <f>IFERROR(VLOOKUP(DF74,源_6社保表_Sheet1!$C:$I,3,FALSE),0)</f>
        <v>4986</v>
      </c>
      <c r="CX74">
        <f>IFERROR(VLOOKUP(DF74,源_6社保表_Sheet1!$C:$I,4,FALSE),0)</f>
        <v>4986</v>
      </c>
      <c r="CY74">
        <f>IFERROR(VLOOKUP(DF74,源_6社保表_Sheet1!$C:$I,5,FALSE),0)</f>
        <v>4986</v>
      </c>
      <c r="CZ74">
        <f>IFERROR(VLOOKUP(DF74,源_6社保表_Sheet1!$C:$I,6,FALSE),0)</f>
        <v>0</v>
      </c>
      <c r="DA74">
        <f t="shared" si="37"/>
        <v>1152.2652000000003</v>
      </c>
      <c r="DB74">
        <f t="shared" si="38"/>
        <v>1195.4852000000003</v>
      </c>
      <c r="DC74" t="str">
        <f>IFERROR(VLOOKUP(K74,源_7银行卡表_Sheet1!$A:$J,8,FALSE),"")</f>
        <v>汇丰银行</v>
      </c>
      <c r="DD74" t="str">
        <f>IFERROR(VLOOKUP(K74,源_7银行卡表_Sheet1!$A:$J,9,FALSE),"")</f>
        <v>6281303994474882931</v>
      </c>
      <c r="DE74" t="str">
        <f>IFERROR(VLOOKUP(K74,源_7银行卡表_Sheet1!$A:$J,10,FALSE),"")</f>
        <v>汇丰银行（中国）有限公司梅州支行</v>
      </c>
      <c r="DF74" t="s">
        <v>462</v>
      </c>
      <c r="DG74">
        <v>13472248972</v>
      </c>
      <c r="DH74" t="s">
        <v>180</v>
      </c>
      <c r="DI74">
        <v>0</v>
      </c>
      <c r="DJ74">
        <v>0</v>
      </c>
      <c r="DK74">
        <v>0</v>
      </c>
      <c r="DL74">
        <v>0</v>
      </c>
      <c r="DM74">
        <v>0</v>
      </c>
      <c r="DN74">
        <v>0</v>
      </c>
      <c r="DO74">
        <v>0</v>
      </c>
      <c r="DP74">
        <v>0</v>
      </c>
      <c r="DQ74">
        <v>0</v>
      </c>
      <c r="DR74">
        <f>IF(OR(IFERROR(VLOOKUP(K74,源_3考勤报表_考勤表!$F:$BG,39,FALSE),0)+IFERROR(VLOOKUP(K74,源_8补工时表_补当月工时!$A:$AC,24,FALSE),0)=0,IFERROR(VLOOKUP(K74,源_3考勤报表_考勤表!$F:$BG,43,FALSE),0)+IFERROR(VLOOKUP(K74,源_8补工时表_补当月工时!$A:$AC,26,FALSE),0)=0),IF(BI74+BG74-BT74&lt;0,BI74+BG74-BT74,0),0)</f>
        <v>-537.99</v>
      </c>
    </row>
    <row r="75" spans="1:122" x14ac:dyDescent="0.15">
      <c r="A75">
        <f>参数!$B$2</f>
        <v>2025</v>
      </c>
      <c r="B75">
        <f>参数!$B$3</f>
        <v>12</v>
      </c>
      <c r="D75" t="s">
        <v>345</v>
      </c>
      <c r="E75" t="s">
        <v>123</v>
      </c>
      <c r="F75" t="str">
        <f>IFERROR(VLOOKUP(K75,源_7银行卡表_Sheet1!$A:$J,6,FALSE),"")</f>
        <v>华东营运</v>
      </c>
      <c r="G75" t="s">
        <v>463</v>
      </c>
      <c r="H75" t="s">
        <v>464</v>
      </c>
      <c r="I75" t="s">
        <v>348</v>
      </c>
      <c r="J75">
        <v>1</v>
      </c>
      <c r="K75">
        <v>26123074</v>
      </c>
      <c r="L75" t="s">
        <v>465</v>
      </c>
      <c r="M75" t="s">
        <v>187</v>
      </c>
      <c r="N75" t="s">
        <v>466</v>
      </c>
      <c r="P75" t="s">
        <v>154</v>
      </c>
      <c r="Q75">
        <f>IF(P75="门店全职",IFERROR(VLOOKUP(K75,源_3考勤报表_考勤表!$F:$BG,34,FALSE),0)+IFERROR(VLOOKUP(K75,源_8补工时表_补当月工时!$A:$AC,14,FALSE),0),IF(P75="门店管理组",IF(IFERROR(VLOOKUP(K75,源_3考勤报表_考勤表!$F:$BG,34,FALSE),0)+IFERROR(VLOOKUP(K75,源_8补工时表_补当月工时!$A:$AC,14,FALSE),0)+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44,FALSE),0)+IFERROR(VLOOKUP(K75,源_8补工时表_补当月工时!$A:$AC,16,FALSE),0)+IFERROR(VLOOKUP(K75,源_3考勤报表_考勤表!$F:$BG,45,FALSE),0)&gt;=参数!$B$4,参数!$B$4-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44,FALSE),0)-IFERROR(VLOOKUP(K75,源_8补工时表_补当月工时!$A:$AC,16,FALSE),0)-IFERROR(VLOOKUP(K75,源_3考勤报表_考勤表!$F:$BG,45,FALSE),0),IFERROR(VLOOKUP(K75,源_3考勤报表_考勤表!$F:$BG,34,FALSE),0)+IFERROR(VLOOKUP(K75,源_8补工时表_补当月工时!$A:$AC,14,FALSE),0)),0))</f>
        <v>184</v>
      </c>
      <c r="R75">
        <v>3610</v>
      </c>
      <c r="S75">
        <v>0</v>
      </c>
      <c r="T75">
        <f>IF(P75="门店全职",R75/参数!$B$4*(Q75-MAX(IFERROR(VLOOKUP(K75,源_3考勤报表_考勤表!$F:$BG,34,FALSE),0)+IFERROR(VLOOKUP(K75,源_8补工时表_补当月工时!$A:$AC,14,FALSE),0)+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参数!$B$4,0)),R75/参数!$B$4*Q75)</f>
        <v>3610</v>
      </c>
      <c r="U75">
        <v>0</v>
      </c>
      <c r="V75">
        <v>0</v>
      </c>
      <c r="W75">
        <f t="shared" si="26"/>
        <v>0</v>
      </c>
      <c r="X75">
        <f>IFERROR(VLOOKUP(K75,源_4奖金汇总表_拆分手工算!$A:$N,8,FALSE),0)</f>
        <v>0</v>
      </c>
      <c r="Y75">
        <f>IFERROR(VLOOKUP(K75,源_5薪资备忘录_工资调整项!$A:$AC,14,FALSE),0)</f>
        <v>0</v>
      </c>
      <c r="Z75">
        <f>IFERROR(VLOOKUP(K75,源_5薪资备忘录_工资调整项!$A:$AC,16,FALSE),0)</f>
        <v>0</v>
      </c>
      <c r="AA75">
        <f>IFERROR(VLOOKUP(K75,源_5薪资备忘录_工资调整项!$A:$AC,15,FALSE),0)</f>
        <v>0</v>
      </c>
      <c r="AB75">
        <f t="shared" si="27"/>
        <v>0</v>
      </c>
      <c r="AC75">
        <f>IF(P75="门店全职",R75/174*MAX(IFERROR(VLOOKUP(K75,源_3考勤报表_考勤表!$F:$BG,34,FALSE),0)+IFERROR(VLOOKUP(K75,源_8补工时表_补当月工时!$A:$AC,14,FALSE),0)+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参数!$B$4,0)*1.5,0)</f>
        <v>0</v>
      </c>
      <c r="AD75">
        <v>0</v>
      </c>
      <c r="AE75">
        <f>IFERROR(VLOOKUP(K75,源_3考勤报表_考勤表!$F:$BG,46,FALSE),0)+IFERROR(VLOOKUP(K75,源_8补工时表_补当月工时!$A:$AC,25,FALSE),0)</f>
        <v>0</v>
      </c>
      <c r="AF75">
        <f t="shared" si="28"/>
        <v>0</v>
      </c>
      <c r="AG75">
        <f>IFERROR(VLOOKUP(K75,源_4奖金汇总表_拆分手工算!$A:$N,10,FALSE),0)</f>
        <v>0</v>
      </c>
      <c r="AH75">
        <f>IFERROR(VLOOKUP(K75,源_4奖金汇总表_拆分手工算!$A:$N,5,FALSE),0)</f>
        <v>0</v>
      </c>
      <c r="AI75">
        <f>IFERROR(VLOOKUP(K75,源_4奖金汇总表_拆分手工算!$A:$N,11,FALSE),0)</f>
        <v>0</v>
      </c>
      <c r="AJ75">
        <f>IFERROR(VLOOKUP(K75,源_4奖金汇总表_拆分手工算!$A:$N,4,FALSE),0)</f>
        <v>0</v>
      </c>
      <c r="AK75">
        <f>IFERROR(VLOOKUP(K75,源_4奖金汇总表_拆分手工算!$A:$N,3,FALSE),0)</f>
        <v>0</v>
      </c>
      <c r="AL75">
        <f>IFERROR(VLOOKUP(K75,源_4奖金汇总表_拆分手工算!$A:$N,6,FALSE),0)</f>
        <v>0</v>
      </c>
      <c r="AM75">
        <f>IFERROR(VLOOKUP(K75,源_5薪资备忘录_工资调整项!$A:$AC,18,FALSE),0)+IFERROR(VLOOKUP(K75,源_4奖金汇总表_拆分手工算!$A:$N,7,FALSE),0)</f>
        <v>0</v>
      </c>
      <c r="AN75">
        <f>IFERROR(VLOOKUP(K75,源_5薪资备忘录_工资调整项!$A:$AC,17,FALSE),0)</f>
        <v>0</v>
      </c>
      <c r="AO75">
        <f>IF(OR(IFERROR(VLOOKUP(K75,源_3考勤报表_考勤表!$F:$BG,39,FALSE),0)+IFERROR(VLOOKUP(K75,源_8补工时表_补当月工时!$A:$AC,24,FALSE),0)&gt;0,IFERROR(VLOOKUP(K75,源_3考勤报表_考勤表!$F:$BG,43,FALSE),0)+IFERROR(VLOOKUP(K75,源_8补工时表_补当月工时!$A:$AC,26,FALSE),0)&gt;0),IF(IFERROR(VLOOKUP(DH75,源_11产假政策_Sheet1!$C:$F,4,FALSE),"")="是",R75/参数!$B$4*(IFERROR(VLOOKUP(K75,源_3考勤报表_考勤表!$F:$BG,39,FALSE),0)+IFERROR(VLOOKUP(K75,源_8补工时表_补当月工时!$A:$AC,24,FALSE),0)+IFERROR(VLOOKUP(K75,源_3考勤报表_考勤表!$F:$BG,43,FALSE),0)+IFERROR(VLOOKUP(K75,源_8补工时表_补当月工时!$A:$AC,26,FALSE),0)),IFERROR(VLOOKUP(K75,源_5薪资备忘录_工资调整项!$A:$AC,19,FALSE),0)),0)</f>
        <v>0</v>
      </c>
      <c r="AP75">
        <v>0</v>
      </c>
      <c r="AQ75">
        <f>IFERROR(VLOOKUP(K75,源_4奖金汇总表_拆分手工算!$A:$N,12,FALSE),0)+IFERROR(VLOOKUP(K75,源_9年终奖表_Sheet1!$A:$E,3,FALSE),0)</f>
        <v>0</v>
      </c>
      <c r="AR75">
        <f>IFERROR(VLOOKUP(K75,源_4奖金汇总表_拆分手工算!$A:$N,13,FALSE),0)+IFERROR(VLOOKUP(K75,源_9年终奖表_Sheet1!$A:$E,4,FALSE),0)</f>
        <v>0</v>
      </c>
      <c r="AS75">
        <f>IFERROR(VLOOKUP(K75,源_4奖金汇总表_拆分手工算!$A:$N,14,FALSE),0)+IFERROR(VLOOKUP(K75,源_9年终奖表_Sheet1!$A:$E,5,FALSE),0)</f>
        <v>0</v>
      </c>
      <c r="AT75">
        <f>IFERROR(VLOOKUP(K75,源_5薪资备忘录_工资调整项!$A:$AC,20,FALSE),0)</f>
        <v>0</v>
      </c>
      <c r="AU75">
        <f>IFERROR(VLOOKUP(K75,源_5薪资备忘录_工资调整项!$A:$AC,21,FALSE),0)+IFERROR(VLOOKUP(K75,源_4奖金汇总表_拆分手工算!$A:$N,9,FALSE),0)</f>
        <v>0</v>
      </c>
      <c r="AV75">
        <f>R75/参数!$B$4*(IFERROR(VLOOKUP(K75,源_3考勤报表_考勤表!$F:$BG,37,FALSE),0)+IFERROR(VLOOKUP(K75,源_8补工时表_补当月工时!$A:$AC,15,FALSE),0))</f>
        <v>0</v>
      </c>
      <c r="AW75">
        <f>R75/174*MIN(IFERROR(VLOOKUP(K75,源_3考勤报表_考勤表!$F:$BG,35,FALSE),0),174)*IF(DATEDIF(N75,DATE(参数!$B$2,参数!$B$3+1,0),"Y")&lt;2,0.6,IF(DATEDIF(N75,DATE(参数!$B$2,参数!$B$3+1,0),"Y")&lt;4,0.7,IF(DATEDIF(N75,DATE(参数!$B$2,参数!$B$3+1,0),"Y")&lt;6,0.8,IF(DATEDIF(N75,DATE(参数!$B$2,参数!$B$3+1,0),"Y")&lt;8,0.9,1))))</f>
        <v>0</v>
      </c>
      <c r="AX75">
        <f>IF(Q75+IFERROR(VLOOKUP(K75,源_3考勤报表_考勤表!$F:$BG,37,FALSE),0)+IFERROR(VLOOKUP(K75,源_8补工时表_补当月工时!$A:$AC,15,FALSE),0)&gt;=参数!$B$4,0,IF(Q75+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lt;=参数!$B$4,R75/参数!$B$4*(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0))</f>
        <v>0</v>
      </c>
      <c r="AY75">
        <v>0</v>
      </c>
      <c r="AZ75">
        <v>0</v>
      </c>
      <c r="BA75">
        <v>0</v>
      </c>
      <c r="BB75">
        <v>0</v>
      </c>
      <c r="BC75">
        <f>IFERROR(VLOOKUP(K75,源_5薪资备忘录_工资调整项!$A:$AC,25,FALSE),0)</f>
        <v>0</v>
      </c>
      <c r="BD75">
        <v>0</v>
      </c>
      <c r="BE75">
        <v>0</v>
      </c>
      <c r="BF75">
        <v>0</v>
      </c>
      <c r="BG75">
        <f>IFERROR(VLOOKUP(K75,源_5薪资备忘录_工资调整项!$A:$AC,22,FALSE),0)+IFERROR(VLOOKUP(K75,源_5薪资备忘录_工资调整项!$A:$AC,23,FALSE),0)+IFERROR(VLOOKUP(K75,源_5薪资备忘录_工资调整项!$A:$AC,24,FALSE),0)</f>
        <v>0</v>
      </c>
      <c r="BH75">
        <f>IFERROR(VLOOKUP(DF75,源_6社保表_Sheet1!$C:$CD,80,FALSE),0)+4.5</f>
        <v>6.5</v>
      </c>
      <c r="BI75">
        <f t="shared" si="29"/>
        <v>3610</v>
      </c>
      <c r="BJ75">
        <f>IFERROR(VLOOKUP(DF75,源_6社保表_Sheet1!$C:$BZ,26,FALSE),0)</f>
        <v>249.3</v>
      </c>
      <c r="BK75">
        <f>IFERROR(VLOOKUP(DF75,源_6社保表_Sheet1!$C:$BZ,27,FALSE),0)</f>
        <v>49.86</v>
      </c>
      <c r="BL75">
        <f>IFERROR(VLOOKUP(DF75,源_6社保表_Sheet1!$C:$BZ,28,FALSE),0)</f>
        <v>24.93</v>
      </c>
      <c r="BM75">
        <f>IFERROR(VLOOKUP(DF75,源_6社保表_Sheet1!$C:$BZ,30,FALSE),0)</f>
        <v>223.85</v>
      </c>
      <c r="BN75">
        <f>IFERROR(VLOOKUP(DF75,源_6社保表_Sheet1!$C:$BZ,29,FALSE),0)</f>
        <v>0</v>
      </c>
      <c r="BO75">
        <f>IFERROR(VLOOKUP(DF75,源_6社保表_Sheet1!$C:$BZ,40,FALSE),0)</f>
        <v>0</v>
      </c>
      <c r="BP75">
        <f>IFERROR(VLOOKUP(DF75,源_6社保表_Sheet1!$C:$BZ,41,FALSE),0)</f>
        <v>0</v>
      </c>
      <c r="BQ75">
        <f>IFERROR(VLOOKUP(DF75,源_6社保表_Sheet1!$C:$BZ,42,FALSE),0)</f>
        <v>0</v>
      </c>
      <c r="BR75">
        <f>IFERROR(VLOOKUP(DF75,源_6社保表_Sheet1!$C:$BZ,44,FALSE),0)</f>
        <v>0</v>
      </c>
      <c r="BS75">
        <f>IFERROR(VLOOKUP(DF75,源_6社保表_Sheet1!$C:$BZ,43,FALSE),0)</f>
        <v>0</v>
      </c>
      <c r="BT75">
        <f t="shared" si="30"/>
        <v>547.94000000000005</v>
      </c>
      <c r="BU75">
        <v>0</v>
      </c>
      <c r="BV75">
        <v>0</v>
      </c>
      <c r="BW75">
        <v>0</v>
      </c>
      <c r="BX75">
        <f t="shared" si="31"/>
        <v>0</v>
      </c>
      <c r="BY75">
        <v>0</v>
      </c>
      <c r="BZ75">
        <f>IFERROR(VLOOKUP(DF75,源_6社保表_Sheet1!$C:$BZ,18,FALSE),0)</f>
        <v>598.32000000000005</v>
      </c>
      <c r="CA75">
        <f>IFERROR(VLOOKUP(DF75,源_6社保表_Sheet1!$C:$BZ,19,FALSE),0)</f>
        <v>299.16000000000003</v>
      </c>
      <c r="CB75">
        <f>IFERROR(VLOOKUP(DF75,源_6社保表_Sheet1!$C:$BZ,24,FALSE),0)</f>
        <v>223.85</v>
      </c>
      <c r="CC75">
        <f>IFERROR(VLOOKUP(DF75,源_6社保表_Sheet1!$C:$BZ,20,FALSE),0)</f>
        <v>24.93</v>
      </c>
      <c r="CD75">
        <f>IFERROR(VLOOKUP(DF75,源_6社保表_Sheet1!$C:$BZ,21,FALSE),0)</f>
        <v>15.9552</v>
      </c>
      <c r="CE75">
        <f>IFERROR(VLOOKUP(DF75,源_6社保表_Sheet1!$C:$BZ,22,FALSE),0)</f>
        <v>0</v>
      </c>
      <c r="CF75">
        <f>IFERROR(VLOOKUP(DF75,源_6社保表_Sheet1!$C:$BZ,23,FALSE),0)</f>
        <v>0</v>
      </c>
      <c r="CG75">
        <f>IFERROR(VLOOKUP(DF75,源_6社保表_Sheet1!$C:$BZ,32,FALSE),0)</f>
        <v>0</v>
      </c>
      <c r="CH75">
        <f>IFERROR(VLOOKUP(DF75,源_6社保表_Sheet1!$C:$BZ,33,FALSE),0)</f>
        <v>0</v>
      </c>
      <c r="CI75">
        <f>IFERROR(VLOOKUP(DF75,源_6社保表_Sheet1!$C:$BZ,34,FALSE),0)</f>
        <v>0</v>
      </c>
      <c r="CJ75">
        <f>IFERROR(VLOOKUP(DF75,源_6社保表_Sheet1!$C:$BZ,38,FALSE),0)</f>
        <v>0</v>
      </c>
      <c r="CK75">
        <f>IFERROR(VLOOKUP(DF75,源_6社保表_Sheet1!$C:$BZ,35,FALSE),0)</f>
        <v>0</v>
      </c>
      <c r="CL75">
        <f>IFERROR(VLOOKUP(DF75,源_6社保表_Sheet1!$C:$BZ,36,FALSE),0)</f>
        <v>0</v>
      </c>
      <c r="CM75">
        <f>IFERROR(VLOOKUP(DF75,源_6社保表_Sheet1!$C:$BZ,37,FALSE),0)</f>
        <v>0</v>
      </c>
      <c r="CN75">
        <f t="shared" si="32"/>
        <v>1162.2152000000001</v>
      </c>
      <c r="CO75">
        <f t="shared" si="33"/>
        <v>4778.7152000000006</v>
      </c>
      <c r="CP75">
        <f>IF(IFERROR(VLOOKUP(K75,源_13残疾人信息_残疾人信息!$A:$M,1,FALSE),"")&lt;&gt;"",0,IF(OR(P75="门店全职",P75="门店管理组",P75="全职(非门店)"),(BI75-AT75)*IFERROR(VLOOKUP(D75,源_12计提残保金规则_Sheet1!$A:$E,4,FALSE),0)*IFERROR(VLOOKUP(D75,源_12计提残保金规则_Sheet1!$A:$E,5,FALSE),0),0))</f>
        <v>48.734999999999999</v>
      </c>
      <c r="CQ75">
        <f t="shared" si="34"/>
        <v>16.05</v>
      </c>
      <c r="CR75">
        <f t="shared" si="35"/>
        <v>20.67</v>
      </c>
      <c r="CS75">
        <f>IF(DATEVALUE(N75)&gt;DATE(参数!$B$2,9,30),0,IF(M75="行政",0,IF(O75="",R75/12,IF(MONTH(DATEVALUE(O75))=参数!$B$3,0,IF(DATEVALUE(O75)&lt;DATE(参数!$B$2,参数!$B$3,1),0,R75/12)))))</f>
        <v>300.83333333333331</v>
      </c>
      <c r="CT75">
        <f t="shared" si="36"/>
        <v>0</v>
      </c>
      <c r="CU75">
        <f>IFERROR(VLOOKUP(DF75,源_6社保表_Sheet1!$C:$I,2,FALSE),0)</f>
        <v>4986</v>
      </c>
      <c r="CV75">
        <f>IFERROR(VLOOKUP(DF75,源_6社保表_Sheet1!$C:$I,7,FALSE),0)</f>
        <v>4477</v>
      </c>
      <c r="CW75">
        <f>IFERROR(VLOOKUP(DF75,源_6社保表_Sheet1!$C:$I,3,FALSE),0)</f>
        <v>4986</v>
      </c>
      <c r="CX75">
        <f>IFERROR(VLOOKUP(DF75,源_6社保表_Sheet1!$C:$I,4,FALSE),0)</f>
        <v>4986</v>
      </c>
      <c r="CY75">
        <f>IFERROR(VLOOKUP(DF75,源_6社保表_Sheet1!$C:$I,5,FALSE),0)</f>
        <v>4986</v>
      </c>
      <c r="CZ75">
        <f>IFERROR(VLOOKUP(DF75,源_6社保表_Sheet1!$C:$I,6,FALSE),0)</f>
        <v>0</v>
      </c>
      <c r="DA75">
        <f t="shared" si="37"/>
        <v>4772.2152000000006</v>
      </c>
      <c r="DB75">
        <f t="shared" si="38"/>
        <v>5165.0035333333335</v>
      </c>
      <c r="DC75" t="str">
        <f>IFERROR(VLOOKUP(K75,源_7银行卡表_Sheet1!$A:$J,8,FALSE),"")</f>
        <v>工商银行</v>
      </c>
      <c r="DD75" t="str">
        <f>IFERROR(VLOOKUP(K75,源_7银行卡表_Sheet1!$A:$J,9,FALSE),"")</f>
        <v>6289520973771189865</v>
      </c>
      <c r="DE75" t="str">
        <f>IFERROR(VLOOKUP(K75,源_7银行卡表_Sheet1!$A:$J,10,FALSE),"")</f>
        <v>黄浦区太阳都市工商银行</v>
      </c>
      <c r="DF75" t="s">
        <v>467</v>
      </c>
      <c r="DG75">
        <v>15823796452</v>
      </c>
      <c r="DH75" t="s">
        <v>463</v>
      </c>
      <c r="DI75">
        <v>0</v>
      </c>
      <c r="DJ75">
        <v>0</v>
      </c>
      <c r="DK75">
        <v>0</v>
      </c>
      <c r="DL75">
        <v>0</v>
      </c>
      <c r="DM75">
        <v>0</v>
      </c>
      <c r="DN75">
        <v>0</v>
      </c>
      <c r="DO75">
        <v>0</v>
      </c>
      <c r="DP75">
        <v>0</v>
      </c>
      <c r="DQ75">
        <v>0</v>
      </c>
      <c r="DR75">
        <f>IF(OR(IFERROR(VLOOKUP(K75,源_3考勤报表_考勤表!$F:$BG,39,FALSE),0)+IFERROR(VLOOKUP(K75,源_8补工时表_补当月工时!$A:$AC,24,FALSE),0)=0,IFERROR(VLOOKUP(K75,源_3考勤报表_考勤表!$F:$BG,43,FALSE),0)+IFERROR(VLOOKUP(K75,源_8补工时表_补当月工时!$A:$AC,26,FALSE),0)=0),IF(BI75+BG75-BT75&lt;0,BI75+BG75-BT75,0),0)</f>
        <v>0</v>
      </c>
    </row>
    <row r="76" spans="1:122" x14ac:dyDescent="0.15">
      <c r="A76">
        <f>参数!$B$2</f>
        <v>2025</v>
      </c>
      <c r="B76">
        <f>参数!$B$3</f>
        <v>12</v>
      </c>
      <c r="D76" t="s">
        <v>147</v>
      </c>
      <c r="E76" t="s">
        <v>123</v>
      </c>
      <c r="F76" t="str">
        <f>IFERROR(VLOOKUP(K76,源_7银行卡表_Sheet1!$A:$J,6,FALSE),"")</f>
        <v>华北营运</v>
      </c>
      <c r="G76" t="s">
        <v>148</v>
      </c>
      <c r="H76" t="s">
        <v>318</v>
      </c>
      <c r="I76" t="s">
        <v>150</v>
      </c>
      <c r="J76">
        <v>1</v>
      </c>
      <c r="K76">
        <v>26123075</v>
      </c>
      <c r="L76" t="s">
        <v>468</v>
      </c>
      <c r="M76" t="s">
        <v>152</v>
      </c>
      <c r="N76" t="s">
        <v>469</v>
      </c>
      <c r="P76" t="s">
        <v>154</v>
      </c>
      <c r="Q76">
        <f>IF(P76="门店全职",IFERROR(VLOOKUP(K76,源_3考勤报表_考勤表!$F:$BG,34,FALSE),0)+IFERROR(VLOOKUP(K76,源_8补工时表_补当月工时!$A:$AC,14,FALSE),0),IF(P76="门店管理组",IF(IFERROR(VLOOKUP(K76,源_3考勤报表_考勤表!$F:$BG,34,FALSE),0)+IFERROR(VLOOKUP(K76,源_8补工时表_补当月工时!$A:$AC,14,FALSE),0)+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44,FALSE),0)+IFERROR(VLOOKUP(K76,源_8补工时表_补当月工时!$A:$AC,16,FALSE),0)+IFERROR(VLOOKUP(K76,源_3考勤报表_考勤表!$F:$BG,45,FALSE),0)&gt;=参数!$B$4,参数!$B$4-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44,FALSE),0)-IFERROR(VLOOKUP(K76,源_8补工时表_补当月工时!$A:$AC,16,FALSE),0)-IFERROR(VLOOKUP(K76,源_3考勤报表_考勤表!$F:$BG,45,FALSE),0),IFERROR(VLOOKUP(K76,源_3考勤报表_考勤表!$F:$BG,34,FALSE),0)+IFERROR(VLOOKUP(K76,源_8补工时表_补当月工时!$A:$AC,14,FALSE),0)),0))</f>
        <v>0</v>
      </c>
      <c r="R76">
        <v>3730</v>
      </c>
      <c r="S76">
        <v>0</v>
      </c>
      <c r="T76">
        <f>IF(P76="门店全职",R76/参数!$B$4*(Q76-MAX(IFERROR(VLOOKUP(K76,源_3考勤报表_考勤表!$F:$BG,34,FALSE),0)+IFERROR(VLOOKUP(K76,源_8补工时表_补当月工时!$A:$AC,14,FALSE),0)+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参数!$B$4,0)),R76/参数!$B$4*Q76)</f>
        <v>0</v>
      </c>
      <c r="U76">
        <v>0</v>
      </c>
      <c r="V76">
        <v>0</v>
      </c>
      <c r="W76">
        <f t="shared" si="26"/>
        <v>0</v>
      </c>
      <c r="X76">
        <f>IFERROR(VLOOKUP(K76,源_4奖金汇总表_拆分手工算!$A:$N,8,FALSE),0)</f>
        <v>0</v>
      </c>
      <c r="Y76">
        <f>IFERROR(VLOOKUP(K76,源_5薪资备忘录_工资调整项!$A:$AC,14,FALSE),0)</f>
        <v>0</v>
      </c>
      <c r="Z76">
        <f>IFERROR(VLOOKUP(K76,源_5薪资备忘录_工资调整项!$A:$AC,16,FALSE),0)</f>
        <v>0</v>
      </c>
      <c r="AA76">
        <f>IFERROR(VLOOKUP(K76,源_5薪资备忘录_工资调整项!$A:$AC,15,FALSE),0)</f>
        <v>0</v>
      </c>
      <c r="AB76">
        <f t="shared" si="27"/>
        <v>0</v>
      </c>
      <c r="AC76">
        <f>IF(P76="门店全职",R76/174*MAX(IFERROR(VLOOKUP(K76,源_3考勤报表_考勤表!$F:$BG,34,FALSE),0)+IFERROR(VLOOKUP(K76,源_8补工时表_补当月工时!$A:$AC,14,FALSE),0)+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参数!$B$4,0)*1.5,0)</f>
        <v>0</v>
      </c>
      <c r="AD76">
        <v>0</v>
      </c>
      <c r="AE76">
        <f>IFERROR(VLOOKUP(K76,源_3考勤报表_考勤表!$F:$BG,46,FALSE),0)+IFERROR(VLOOKUP(K76,源_8补工时表_补当月工时!$A:$AC,25,FALSE),0)</f>
        <v>0</v>
      </c>
      <c r="AF76">
        <f t="shared" si="28"/>
        <v>0</v>
      </c>
      <c r="AG76">
        <f>IFERROR(VLOOKUP(K76,源_4奖金汇总表_拆分手工算!$A:$N,10,FALSE),0)</f>
        <v>0</v>
      </c>
      <c r="AH76">
        <f>IFERROR(VLOOKUP(K76,源_4奖金汇总表_拆分手工算!$A:$N,5,FALSE),0)</f>
        <v>0</v>
      </c>
      <c r="AI76">
        <f>IFERROR(VLOOKUP(K76,源_4奖金汇总表_拆分手工算!$A:$N,11,FALSE),0)</f>
        <v>0</v>
      </c>
      <c r="AJ76">
        <f>IFERROR(VLOOKUP(K76,源_4奖金汇总表_拆分手工算!$A:$N,4,FALSE),0)</f>
        <v>0</v>
      </c>
      <c r="AK76">
        <f>IFERROR(VLOOKUP(K76,源_4奖金汇总表_拆分手工算!$A:$N,3,FALSE),0)</f>
        <v>0</v>
      </c>
      <c r="AL76">
        <f>IFERROR(VLOOKUP(K76,源_4奖金汇总表_拆分手工算!$A:$N,6,FALSE),0)</f>
        <v>0</v>
      </c>
      <c r="AM76">
        <f>IFERROR(VLOOKUP(K76,源_5薪资备忘录_工资调整项!$A:$AC,18,FALSE),0)+IFERROR(VLOOKUP(K76,源_4奖金汇总表_拆分手工算!$A:$N,7,FALSE),0)</f>
        <v>0</v>
      </c>
      <c r="AN76">
        <f>IFERROR(VLOOKUP(K76,源_5薪资备忘录_工资调整项!$A:$AC,17,FALSE),0)</f>
        <v>0</v>
      </c>
      <c r="AO76">
        <f>IF(OR(IFERROR(VLOOKUP(K76,源_3考勤报表_考勤表!$F:$BG,39,FALSE),0)+IFERROR(VLOOKUP(K76,源_8补工时表_补当月工时!$A:$AC,24,FALSE),0)&gt;0,IFERROR(VLOOKUP(K76,源_3考勤报表_考勤表!$F:$BG,43,FALSE),0)+IFERROR(VLOOKUP(K76,源_8补工时表_补当月工时!$A:$AC,26,FALSE),0)&gt;0),IF(IFERROR(VLOOKUP(DH76,源_11产假政策_Sheet1!$C:$F,4,FALSE),"")="是",R76/参数!$B$4*(IFERROR(VLOOKUP(K76,源_3考勤报表_考勤表!$F:$BG,39,FALSE),0)+IFERROR(VLOOKUP(K76,源_8补工时表_补当月工时!$A:$AC,24,FALSE),0)+IFERROR(VLOOKUP(K76,源_3考勤报表_考勤表!$F:$BG,43,FALSE),0)+IFERROR(VLOOKUP(K76,源_8补工时表_补当月工时!$A:$AC,26,FALSE),0)),IFERROR(VLOOKUP(K76,源_5薪资备忘录_工资调整项!$A:$AC,19,FALSE),0)),0)</f>
        <v>0</v>
      </c>
      <c r="AP76">
        <v>0</v>
      </c>
      <c r="AQ76">
        <f>IFERROR(VLOOKUP(K76,源_4奖金汇总表_拆分手工算!$A:$N,12,FALSE),0)+IFERROR(VLOOKUP(K76,源_9年终奖表_Sheet1!$A:$E,3,FALSE),0)</f>
        <v>0</v>
      </c>
      <c r="AR76">
        <f>IFERROR(VLOOKUP(K76,源_4奖金汇总表_拆分手工算!$A:$N,13,FALSE),0)+IFERROR(VLOOKUP(K76,源_9年终奖表_Sheet1!$A:$E,4,FALSE),0)</f>
        <v>0</v>
      </c>
      <c r="AS76">
        <f>IFERROR(VLOOKUP(K76,源_4奖金汇总表_拆分手工算!$A:$N,14,FALSE),0)+IFERROR(VLOOKUP(K76,源_9年终奖表_Sheet1!$A:$E,5,FALSE),0)</f>
        <v>0</v>
      </c>
      <c r="AT76">
        <f>IFERROR(VLOOKUP(K76,源_5薪资备忘录_工资调整项!$A:$AC,20,FALSE),0)</f>
        <v>0</v>
      </c>
      <c r="AU76">
        <f>IFERROR(VLOOKUP(K76,源_5薪资备忘录_工资调整项!$A:$AC,21,FALSE),0)+IFERROR(VLOOKUP(K76,源_4奖金汇总表_拆分手工算!$A:$N,9,FALSE),0)</f>
        <v>0</v>
      </c>
      <c r="AV76">
        <f>R76/参数!$B$4*(IFERROR(VLOOKUP(K76,源_3考勤报表_考勤表!$F:$BG,37,FALSE),0)+IFERROR(VLOOKUP(K76,源_8补工时表_补当月工时!$A:$AC,15,FALSE),0))</f>
        <v>324.3478260869565</v>
      </c>
      <c r="AW76">
        <f>R76/174*MIN(IFERROR(VLOOKUP(K76,源_3考勤报表_考勤表!$F:$BG,35,FALSE),0),174)*IF(DATEDIF(N76,DATE(参数!$B$2,参数!$B$3+1,0),"Y")&lt;2,0.6,IF(DATEDIF(N76,DATE(参数!$B$2,参数!$B$3+1,0),"Y")&lt;4,0.7,IF(DATEDIF(N76,DATE(参数!$B$2,参数!$B$3+1,0),"Y")&lt;6,0.8,IF(DATEDIF(N76,DATE(参数!$B$2,参数!$B$3+1,0),"Y")&lt;8,0.9,1))))</f>
        <v>2057.9310344827586</v>
      </c>
      <c r="AX76">
        <f>IF(Q76+IFERROR(VLOOKUP(K76,源_3考勤报表_考勤表!$F:$BG,37,FALSE),0)+IFERROR(VLOOKUP(K76,源_8补工时表_补当月工时!$A:$AC,15,FALSE),0)&gt;=参数!$B$4,0,IF(Q76+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lt;=参数!$B$4,R76/参数!$B$4*(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0))</f>
        <v>0</v>
      </c>
      <c r="AY76">
        <v>0</v>
      </c>
      <c r="AZ76">
        <v>0</v>
      </c>
      <c r="BA76">
        <v>0</v>
      </c>
      <c r="BB76">
        <v>0</v>
      </c>
      <c r="BC76">
        <f>IFERROR(VLOOKUP(K76,源_5薪资备忘录_工资调整项!$A:$AC,25,FALSE),0)</f>
        <v>0</v>
      </c>
      <c r="BD76">
        <v>0</v>
      </c>
      <c r="BE76">
        <f>(T76+W76+AB76+AG76+AH76+AI76+AJ76+AK76+AL76+AM76+AN76+AO76+AP76+AU76+AV76+AW76+AX76+BC76-IFERROR(VLOOKUP(DF76,源_6社保表_Sheet1!$C:$BZ,76,FALSE),0))*0.02</f>
        <v>30.592177211394301</v>
      </c>
      <c r="BF76">
        <v>0</v>
      </c>
      <c r="BG76">
        <f>IFERROR(VLOOKUP(K76,源_5薪资备忘录_工资调整项!$A:$AC,22,FALSE),0)+IFERROR(VLOOKUP(K76,源_5薪资备忘录_工资调整项!$A:$AC,23,FALSE),0)+IFERROR(VLOOKUP(K76,源_5薪资备忘录_工资调整项!$A:$AC,24,FALSE),0)</f>
        <v>0</v>
      </c>
      <c r="BH76">
        <f>IFERROR(VLOOKUP(DF76,源_6社保表_Sheet1!$C:$CD,80,FALSE),0)+4.5</f>
        <v>6.5</v>
      </c>
      <c r="BI76">
        <f t="shared" si="29"/>
        <v>2382.2788605697151</v>
      </c>
      <c r="BJ76">
        <f>IFERROR(VLOOKUP(DF76,源_6社保表_Sheet1!$C:$BZ,26,FALSE),0)</f>
        <v>501.34</v>
      </c>
      <c r="BK76">
        <f>IFERROR(VLOOKUP(DF76,源_6社保表_Sheet1!$C:$BZ,27,FALSE),0)</f>
        <v>71.62</v>
      </c>
      <c r="BL76">
        <f>IFERROR(VLOOKUP(DF76,源_6社保表_Sheet1!$C:$BZ,28,FALSE),0)</f>
        <v>35.81</v>
      </c>
      <c r="BM76">
        <f>IFERROR(VLOOKUP(DF76,源_6社保表_Sheet1!$C:$BZ,30,FALSE),0)</f>
        <v>243.9</v>
      </c>
      <c r="BN76">
        <f>IFERROR(VLOOKUP(DF76,源_6社保表_Sheet1!$C:$BZ,29,FALSE),0)</f>
        <v>0</v>
      </c>
      <c r="BO76">
        <f>IFERROR(VLOOKUP(DF76,源_6社保表_Sheet1!$C:$BZ,40,FALSE),0)</f>
        <v>0</v>
      </c>
      <c r="BP76">
        <f>IFERROR(VLOOKUP(DF76,源_6社保表_Sheet1!$C:$BZ,41,FALSE),0)</f>
        <v>0</v>
      </c>
      <c r="BQ76">
        <f>IFERROR(VLOOKUP(DF76,源_6社保表_Sheet1!$C:$BZ,42,FALSE),0)</f>
        <v>0</v>
      </c>
      <c r="BR76">
        <f>IFERROR(VLOOKUP(DF76,源_6社保表_Sheet1!$C:$BZ,44,FALSE),0)</f>
        <v>0</v>
      </c>
      <c r="BS76">
        <f>IFERROR(VLOOKUP(DF76,源_6社保表_Sheet1!$C:$BZ,43,FALSE),0)</f>
        <v>0</v>
      </c>
      <c r="BT76">
        <f t="shared" si="30"/>
        <v>852.67</v>
      </c>
      <c r="BU76">
        <v>0</v>
      </c>
      <c r="BV76">
        <v>0</v>
      </c>
      <c r="BW76">
        <v>0</v>
      </c>
      <c r="BX76">
        <f t="shared" si="31"/>
        <v>0</v>
      </c>
      <c r="BY76">
        <v>0</v>
      </c>
      <c r="BZ76">
        <f>IFERROR(VLOOKUP(DF76,源_6社保表_Sheet1!$C:$BZ,18,FALSE),0)</f>
        <v>1074.3</v>
      </c>
      <c r="CA76">
        <f>IFERROR(VLOOKUP(DF76,源_6社保表_Sheet1!$C:$BZ,19,FALSE),0)</f>
        <v>572.96</v>
      </c>
      <c r="CB76">
        <f>IFERROR(VLOOKUP(DF76,源_6社保表_Sheet1!$C:$BZ,24,FALSE),0)</f>
        <v>243.9</v>
      </c>
      <c r="CC76">
        <f>IFERROR(VLOOKUP(DF76,源_6社保表_Sheet1!$C:$BZ,20,FALSE),0)</f>
        <v>35.81</v>
      </c>
      <c r="CD76">
        <f>IFERROR(VLOOKUP(DF76,源_6社保表_Sheet1!$C:$BZ,21,FALSE),0)</f>
        <v>22.918399999999998</v>
      </c>
      <c r="CE76">
        <f>IFERROR(VLOOKUP(DF76,源_6社保表_Sheet1!$C:$BZ,22,FALSE),0)</f>
        <v>0</v>
      </c>
      <c r="CF76">
        <f>IFERROR(VLOOKUP(DF76,源_6社保表_Sheet1!$C:$BZ,23,FALSE),0)</f>
        <v>0</v>
      </c>
      <c r="CG76">
        <f>IFERROR(VLOOKUP(DF76,源_6社保表_Sheet1!$C:$BZ,32,FALSE),0)</f>
        <v>0</v>
      </c>
      <c r="CH76">
        <f>IFERROR(VLOOKUP(DF76,源_6社保表_Sheet1!$C:$BZ,33,FALSE),0)</f>
        <v>0</v>
      </c>
      <c r="CI76">
        <f>IFERROR(VLOOKUP(DF76,源_6社保表_Sheet1!$C:$BZ,34,FALSE),0)</f>
        <v>0</v>
      </c>
      <c r="CJ76">
        <f>IFERROR(VLOOKUP(DF76,源_6社保表_Sheet1!$C:$BZ,38,FALSE),0)</f>
        <v>0</v>
      </c>
      <c r="CK76">
        <f>IFERROR(VLOOKUP(DF76,源_6社保表_Sheet1!$C:$BZ,35,FALSE),0)</f>
        <v>0</v>
      </c>
      <c r="CL76">
        <f>IFERROR(VLOOKUP(DF76,源_6社保表_Sheet1!$C:$BZ,36,FALSE),0)</f>
        <v>0</v>
      </c>
      <c r="CM76">
        <f>IFERROR(VLOOKUP(DF76,源_6社保表_Sheet1!$C:$BZ,37,FALSE),0)</f>
        <v>0</v>
      </c>
      <c r="CN76">
        <f t="shared" si="32"/>
        <v>1949.8884</v>
      </c>
      <c r="CO76">
        <f t="shared" si="33"/>
        <v>4369.2594377811092</v>
      </c>
      <c r="CP76">
        <f>IF(IFERROR(VLOOKUP(K76,源_13残疾人信息_残疾人信息!$A:$M,1,FALSE),"")&lt;&gt;"",0,IF(OR(P76="门店全职",P76="门店管理组",P76="全职(非门店)"),(BI76-AT76)*IFERROR(VLOOKUP(D76,源_12计提残保金规则_Sheet1!$A:$E,4,FALSE),0)*IFERROR(VLOOKUP(D76,源_12计提残保金规则_Sheet1!$A:$E,5,FALSE),0),0))</f>
        <v>32.160764617691157</v>
      </c>
      <c r="CQ76">
        <f t="shared" si="34"/>
        <v>16.05</v>
      </c>
      <c r="CR76">
        <f t="shared" si="35"/>
        <v>20.67</v>
      </c>
      <c r="CS76">
        <f>IF(DATEVALUE(N76)&gt;DATE(参数!$B$2,9,30),0,IF(M76="行政",0,IF(O76="",R76/12,IF(MONTH(DATEVALUE(O76))=参数!$B$3,0,IF(DATEVALUE(O76)&lt;DATE(参数!$B$2,参数!$B$3,1),0,R76/12)))))</f>
        <v>310.83333333333331</v>
      </c>
      <c r="CT76">
        <f t="shared" si="36"/>
        <v>0</v>
      </c>
      <c r="CU76">
        <f>IFERROR(VLOOKUP(DF76,源_6社保表_Sheet1!$C:$I,2,FALSE),0)</f>
        <v>7162</v>
      </c>
      <c r="CV76">
        <f>IFERROR(VLOOKUP(DF76,源_6社保表_Sheet1!$C:$I,7,FALSE),0)</f>
        <v>4065</v>
      </c>
      <c r="CW76">
        <f>IFERROR(VLOOKUP(DF76,源_6社保表_Sheet1!$C:$I,3,FALSE),0)</f>
        <v>7162</v>
      </c>
      <c r="CX76">
        <f>IFERROR(VLOOKUP(DF76,源_6社保表_Sheet1!$C:$I,4,FALSE),0)</f>
        <v>7162</v>
      </c>
      <c r="CY76">
        <f>IFERROR(VLOOKUP(DF76,源_6社保表_Sheet1!$C:$I,5,FALSE),0)</f>
        <v>7162</v>
      </c>
      <c r="CZ76">
        <f>IFERROR(VLOOKUP(DF76,源_6社保表_Sheet1!$C:$I,6,FALSE),0)</f>
        <v>0</v>
      </c>
      <c r="DA76">
        <f t="shared" si="37"/>
        <v>4332.1672605697149</v>
      </c>
      <c r="DB76">
        <f t="shared" si="38"/>
        <v>4718.381358520739</v>
      </c>
      <c r="DC76" t="str">
        <f>IFERROR(VLOOKUP(K76,源_7银行卡表_Sheet1!$A:$J,8,FALSE),"")</f>
        <v>工商银行</v>
      </c>
      <c r="DD76" t="str">
        <f>IFERROR(VLOOKUP(K76,源_7银行卡表_Sheet1!$A:$J,9,FALSE),"")</f>
        <v>6285100202159843164</v>
      </c>
      <c r="DE76" t="str">
        <f>IFERROR(VLOOKUP(K76,源_7银行卡表_Sheet1!$A:$J,10,FALSE),"")</f>
        <v>陆家嘴支行</v>
      </c>
      <c r="DF76" t="s">
        <v>470</v>
      </c>
      <c r="DG76">
        <v>17532855526</v>
      </c>
      <c r="DH76" t="s">
        <v>148</v>
      </c>
      <c r="DI76">
        <v>0</v>
      </c>
      <c r="DJ76">
        <v>0</v>
      </c>
      <c r="DK76">
        <v>0</v>
      </c>
      <c r="DL76">
        <v>0</v>
      </c>
      <c r="DM76">
        <v>0</v>
      </c>
      <c r="DN76">
        <v>0</v>
      </c>
      <c r="DO76">
        <v>0</v>
      </c>
      <c r="DP76">
        <v>0</v>
      </c>
      <c r="DQ76">
        <v>0</v>
      </c>
      <c r="DR76">
        <f>IF(OR(IFERROR(VLOOKUP(K76,源_3考勤报表_考勤表!$F:$BG,39,FALSE),0)+IFERROR(VLOOKUP(K76,源_8补工时表_补当月工时!$A:$AC,24,FALSE),0)=0,IFERROR(VLOOKUP(K76,源_3考勤报表_考勤表!$F:$BG,43,FALSE),0)+IFERROR(VLOOKUP(K76,源_8补工时表_补当月工时!$A:$AC,26,FALSE),0)=0),IF(BI76+BG76-BT76&lt;0,BI76+BG76-BT76,0),0)</f>
        <v>0</v>
      </c>
    </row>
    <row r="77" spans="1:122" x14ac:dyDescent="0.15">
      <c r="A77">
        <f>参数!$B$2</f>
        <v>2025</v>
      </c>
      <c r="B77">
        <f>参数!$B$3</f>
        <v>12</v>
      </c>
      <c r="D77" t="s">
        <v>345</v>
      </c>
      <c r="E77" t="s">
        <v>123</v>
      </c>
      <c r="F77" t="str">
        <f>IFERROR(VLOOKUP(K77,源_7银行卡表_Sheet1!$A:$J,6,FALSE),"")</f>
        <v>华东营运</v>
      </c>
      <c r="G77" t="s">
        <v>471</v>
      </c>
      <c r="H77" t="s">
        <v>472</v>
      </c>
      <c r="I77" t="s">
        <v>348</v>
      </c>
      <c r="J77">
        <v>1</v>
      </c>
      <c r="K77">
        <v>26123076</v>
      </c>
      <c r="L77" t="s">
        <v>473</v>
      </c>
      <c r="M77" t="s">
        <v>187</v>
      </c>
      <c r="N77" t="s">
        <v>474</v>
      </c>
      <c r="P77" t="s">
        <v>154</v>
      </c>
      <c r="Q77">
        <f>IF(P77="门店全职",IFERROR(VLOOKUP(K77,源_3考勤报表_考勤表!$F:$BG,34,FALSE),0)+IFERROR(VLOOKUP(K77,源_8补工时表_补当月工时!$A:$AC,14,FALSE),0),IF(P77="门店管理组",IF(IFERROR(VLOOKUP(K77,源_3考勤报表_考勤表!$F:$BG,34,FALSE),0)+IFERROR(VLOOKUP(K77,源_8补工时表_补当月工时!$A:$AC,14,FALSE),0)+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44,FALSE),0)+IFERROR(VLOOKUP(K77,源_8补工时表_补当月工时!$A:$AC,16,FALSE),0)+IFERROR(VLOOKUP(K77,源_3考勤报表_考勤表!$F:$BG,45,FALSE),0)&gt;=参数!$B$4,参数!$B$4-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44,FALSE),0)-IFERROR(VLOOKUP(K77,源_8补工时表_补当月工时!$A:$AC,16,FALSE),0)-IFERROR(VLOOKUP(K77,源_3考勤报表_考勤表!$F:$BG,45,FALSE),0),IFERROR(VLOOKUP(K77,源_3考勤报表_考勤表!$F:$BG,34,FALSE),0)+IFERROR(VLOOKUP(K77,源_8补工时表_补当月工时!$A:$AC,14,FALSE),0)),0))</f>
        <v>183</v>
      </c>
      <c r="R77">
        <v>3610</v>
      </c>
      <c r="S77">
        <v>17</v>
      </c>
      <c r="T77">
        <f>IF(P77="门店全职",R77/参数!$B$4*(Q77-MAX(IFERROR(VLOOKUP(K77,源_3考勤报表_考勤表!$F:$BG,34,FALSE),0)+IFERROR(VLOOKUP(K77,源_8补工时表_补当月工时!$A:$AC,14,FALSE),0)+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参数!$B$4,0)),R77/参数!$B$4*Q77)</f>
        <v>3453.0434782608695</v>
      </c>
      <c r="U77">
        <v>0</v>
      </c>
      <c r="V77">
        <v>0</v>
      </c>
      <c r="W77">
        <f t="shared" si="26"/>
        <v>0</v>
      </c>
      <c r="X77">
        <f>IFERROR(VLOOKUP(K77,源_4奖金汇总表_拆分手工算!$A:$N,8,FALSE),0)</f>
        <v>0</v>
      </c>
      <c r="Y77">
        <f>IFERROR(VLOOKUP(K77,源_5薪资备忘录_工资调整项!$A:$AC,14,FALSE),0)</f>
        <v>0</v>
      </c>
      <c r="Z77">
        <f>IFERROR(VLOOKUP(K77,源_5薪资备忘录_工资调整项!$A:$AC,16,FALSE),0)</f>
        <v>0</v>
      </c>
      <c r="AA77">
        <f>IFERROR(VLOOKUP(K77,源_5薪资备忘录_工资调整项!$A:$AC,15,FALSE),0)</f>
        <v>0</v>
      </c>
      <c r="AB77">
        <f t="shared" si="27"/>
        <v>217.84482758620692</v>
      </c>
      <c r="AC77">
        <f>IF(P77="门店全职",R77/174*MAX(IFERROR(VLOOKUP(K77,源_3考勤报表_考勤表!$F:$BG,34,FALSE),0)+IFERROR(VLOOKUP(K77,源_8补工时表_补当月工时!$A:$AC,14,FALSE),0)+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参数!$B$4,0)*1.5,0)</f>
        <v>217.84482758620692</v>
      </c>
      <c r="AD77">
        <v>0</v>
      </c>
      <c r="AE77">
        <f>IFERROR(VLOOKUP(K77,源_3考勤报表_考勤表!$F:$BG,46,FALSE),0)+IFERROR(VLOOKUP(K77,源_8补工时表_补当月工时!$A:$AC,25,FALSE),0)</f>
        <v>0</v>
      </c>
      <c r="AF77">
        <f t="shared" si="28"/>
        <v>0</v>
      </c>
      <c r="AG77">
        <f>IFERROR(VLOOKUP(K77,源_4奖金汇总表_拆分手工算!$A:$N,10,FALSE),0)</f>
        <v>0</v>
      </c>
      <c r="AH77">
        <f>IFERROR(VLOOKUP(K77,源_4奖金汇总表_拆分手工算!$A:$N,5,FALSE),0)</f>
        <v>0</v>
      </c>
      <c r="AI77">
        <f>IFERROR(VLOOKUP(K77,源_4奖金汇总表_拆分手工算!$A:$N,11,FALSE),0)</f>
        <v>0</v>
      </c>
      <c r="AJ77">
        <f>IFERROR(VLOOKUP(K77,源_4奖金汇总表_拆分手工算!$A:$N,4,FALSE),0)</f>
        <v>0</v>
      </c>
      <c r="AK77">
        <f>IFERROR(VLOOKUP(K77,源_4奖金汇总表_拆分手工算!$A:$N,3,FALSE),0)</f>
        <v>0</v>
      </c>
      <c r="AL77">
        <f>IFERROR(VLOOKUP(K77,源_4奖金汇总表_拆分手工算!$A:$N,6,FALSE),0)</f>
        <v>0</v>
      </c>
      <c r="AM77">
        <f>IFERROR(VLOOKUP(K77,源_5薪资备忘录_工资调整项!$A:$AC,18,FALSE),0)+IFERROR(VLOOKUP(K77,源_4奖金汇总表_拆分手工算!$A:$N,7,FALSE),0)</f>
        <v>0</v>
      </c>
      <c r="AN77">
        <f>IFERROR(VLOOKUP(K77,源_5薪资备忘录_工资调整项!$A:$AC,17,FALSE),0)</f>
        <v>0</v>
      </c>
      <c r="AO77">
        <f>IF(OR(IFERROR(VLOOKUP(K77,源_3考勤报表_考勤表!$F:$BG,39,FALSE),0)+IFERROR(VLOOKUP(K77,源_8补工时表_补当月工时!$A:$AC,24,FALSE),0)&gt;0,IFERROR(VLOOKUP(K77,源_3考勤报表_考勤表!$F:$BG,43,FALSE),0)+IFERROR(VLOOKUP(K77,源_8补工时表_补当月工时!$A:$AC,26,FALSE),0)&gt;0),IF(IFERROR(VLOOKUP(DH77,源_11产假政策_Sheet1!$C:$F,4,FALSE),"")="是",R77/参数!$B$4*(IFERROR(VLOOKUP(K77,源_3考勤报表_考勤表!$F:$BG,39,FALSE),0)+IFERROR(VLOOKUP(K77,源_8补工时表_补当月工时!$A:$AC,24,FALSE),0)+IFERROR(VLOOKUP(K77,源_3考勤报表_考勤表!$F:$BG,43,FALSE),0)+IFERROR(VLOOKUP(K77,源_8补工时表_补当月工时!$A:$AC,26,FALSE),0)),IFERROR(VLOOKUP(K77,源_5薪资备忘录_工资调整项!$A:$AC,19,FALSE),0)),0)</f>
        <v>0</v>
      </c>
      <c r="AP77">
        <v>0</v>
      </c>
      <c r="AQ77">
        <f>IFERROR(VLOOKUP(K77,源_4奖金汇总表_拆分手工算!$A:$N,12,FALSE),0)+IFERROR(VLOOKUP(K77,源_9年终奖表_Sheet1!$A:$E,3,FALSE),0)</f>
        <v>0</v>
      </c>
      <c r="AR77">
        <f>IFERROR(VLOOKUP(K77,源_4奖金汇总表_拆分手工算!$A:$N,13,FALSE),0)+IFERROR(VLOOKUP(K77,源_9年终奖表_Sheet1!$A:$E,4,FALSE),0)</f>
        <v>0</v>
      </c>
      <c r="AS77">
        <f>IFERROR(VLOOKUP(K77,源_4奖金汇总表_拆分手工算!$A:$N,14,FALSE),0)+IFERROR(VLOOKUP(K77,源_9年终奖表_Sheet1!$A:$E,5,FALSE),0)</f>
        <v>0</v>
      </c>
      <c r="AT77">
        <f>IFERROR(VLOOKUP(K77,源_5薪资备忘录_工资调整项!$A:$AC,20,FALSE),0)</f>
        <v>0</v>
      </c>
      <c r="AU77">
        <f>IFERROR(VLOOKUP(K77,源_5薪资备忘录_工资调整项!$A:$AC,21,FALSE),0)+IFERROR(VLOOKUP(K77,源_4奖金汇总表_拆分手工算!$A:$N,9,FALSE),0)</f>
        <v>0</v>
      </c>
      <c r="AV77">
        <f>R77/参数!$B$4*(IFERROR(VLOOKUP(K77,源_3考勤报表_考勤表!$F:$BG,37,FALSE),0)+IFERROR(VLOOKUP(K77,源_8补工时表_补当月工时!$A:$AC,15,FALSE),0))</f>
        <v>156.95652173913044</v>
      </c>
      <c r="AW77">
        <f>R77/174*MIN(IFERROR(VLOOKUP(K77,源_3考勤报表_考勤表!$F:$BG,35,FALSE),0),174)*IF(DATEDIF(N77,DATE(参数!$B$2,参数!$B$3+1,0),"Y")&lt;2,0.6,IF(DATEDIF(N77,DATE(参数!$B$2,参数!$B$3+1,0),"Y")&lt;4,0.7,IF(DATEDIF(N77,DATE(参数!$B$2,参数!$B$3+1,0),"Y")&lt;6,0.8,IF(DATEDIF(N77,DATE(参数!$B$2,参数!$B$3+1,0),"Y")&lt;8,0.9,1))))</f>
        <v>0</v>
      </c>
      <c r="AX77">
        <f>IF(Q77+IFERROR(VLOOKUP(K77,源_3考勤报表_考勤表!$F:$BG,37,FALSE),0)+IFERROR(VLOOKUP(K77,源_8补工时表_补当月工时!$A:$AC,15,FALSE),0)&gt;=参数!$B$4,0,IF(Q77+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lt;=参数!$B$4,R77/参数!$B$4*(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0))</f>
        <v>0</v>
      </c>
      <c r="AY77">
        <v>0</v>
      </c>
      <c r="AZ77">
        <v>0</v>
      </c>
      <c r="BA77">
        <v>0</v>
      </c>
      <c r="BB77">
        <v>0</v>
      </c>
      <c r="BC77">
        <f>IFERROR(VLOOKUP(K77,源_5薪资备忘录_工资调整项!$A:$AC,25,FALSE),0)</f>
        <v>0</v>
      </c>
      <c r="BD77">
        <v>0</v>
      </c>
      <c r="BE77">
        <v>0</v>
      </c>
      <c r="BF77">
        <v>0</v>
      </c>
      <c r="BG77">
        <f>IFERROR(VLOOKUP(K77,源_5薪资备忘录_工资调整项!$A:$AC,22,FALSE),0)+IFERROR(VLOOKUP(K77,源_5薪资备忘录_工资调整项!$A:$AC,23,FALSE),0)+IFERROR(VLOOKUP(K77,源_5薪资备忘录_工资调整项!$A:$AC,24,FALSE),0)</f>
        <v>0</v>
      </c>
      <c r="BH77">
        <f>IFERROR(VLOOKUP(DF77,源_6社保表_Sheet1!$C:$CD,80,FALSE),0)+4.5</f>
        <v>6.5</v>
      </c>
      <c r="BI77">
        <f t="shared" si="29"/>
        <v>3827.844827586207</v>
      </c>
      <c r="BJ77">
        <f>IFERROR(VLOOKUP(DF77,源_6社保表_Sheet1!$C:$BZ,26,FALSE),0)</f>
        <v>249.3</v>
      </c>
      <c r="BK77">
        <f>IFERROR(VLOOKUP(DF77,源_6社保表_Sheet1!$C:$BZ,27,FALSE),0)</f>
        <v>49.86</v>
      </c>
      <c r="BL77">
        <f>IFERROR(VLOOKUP(DF77,源_6社保表_Sheet1!$C:$BZ,28,FALSE),0)</f>
        <v>24.93</v>
      </c>
      <c r="BM77">
        <f>IFERROR(VLOOKUP(DF77,源_6社保表_Sheet1!$C:$BZ,30,FALSE),0)</f>
        <v>215</v>
      </c>
      <c r="BN77">
        <f>IFERROR(VLOOKUP(DF77,源_6社保表_Sheet1!$C:$BZ,29,FALSE),0)</f>
        <v>0</v>
      </c>
      <c r="BO77">
        <f>IFERROR(VLOOKUP(DF77,源_6社保表_Sheet1!$C:$BZ,40,FALSE),0)</f>
        <v>0</v>
      </c>
      <c r="BP77">
        <f>IFERROR(VLOOKUP(DF77,源_6社保表_Sheet1!$C:$BZ,41,FALSE),0)</f>
        <v>0</v>
      </c>
      <c r="BQ77">
        <f>IFERROR(VLOOKUP(DF77,源_6社保表_Sheet1!$C:$BZ,42,FALSE),0)</f>
        <v>0</v>
      </c>
      <c r="BR77">
        <f>IFERROR(VLOOKUP(DF77,源_6社保表_Sheet1!$C:$BZ,44,FALSE),0)</f>
        <v>0</v>
      </c>
      <c r="BS77">
        <f>IFERROR(VLOOKUP(DF77,源_6社保表_Sheet1!$C:$BZ,43,FALSE),0)</f>
        <v>0</v>
      </c>
      <c r="BT77">
        <f t="shared" si="30"/>
        <v>539.09</v>
      </c>
      <c r="BU77">
        <v>0</v>
      </c>
      <c r="BV77">
        <v>0</v>
      </c>
      <c r="BW77">
        <v>0</v>
      </c>
      <c r="BX77">
        <f t="shared" si="31"/>
        <v>0</v>
      </c>
      <c r="BY77">
        <v>0</v>
      </c>
      <c r="BZ77">
        <f>IFERROR(VLOOKUP(DF77,源_6社保表_Sheet1!$C:$BZ,18,FALSE),0)</f>
        <v>598.32000000000005</v>
      </c>
      <c r="CA77">
        <f>IFERROR(VLOOKUP(DF77,源_6社保表_Sheet1!$C:$BZ,19,FALSE),0)</f>
        <v>299.16000000000003</v>
      </c>
      <c r="CB77">
        <f>IFERROR(VLOOKUP(DF77,源_6社保表_Sheet1!$C:$BZ,24,FALSE),0)</f>
        <v>215</v>
      </c>
      <c r="CC77">
        <f>IFERROR(VLOOKUP(DF77,源_6社保表_Sheet1!$C:$BZ,20,FALSE),0)</f>
        <v>24.93</v>
      </c>
      <c r="CD77">
        <f>IFERROR(VLOOKUP(DF77,源_6社保表_Sheet1!$C:$BZ,21,FALSE),0)</f>
        <v>15.9552</v>
      </c>
      <c r="CE77">
        <f>IFERROR(VLOOKUP(DF77,源_6社保表_Sheet1!$C:$BZ,22,FALSE),0)</f>
        <v>0</v>
      </c>
      <c r="CF77">
        <f>IFERROR(VLOOKUP(DF77,源_6社保表_Sheet1!$C:$BZ,23,FALSE),0)</f>
        <v>0</v>
      </c>
      <c r="CG77">
        <f>IFERROR(VLOOKUP(DF77,源_6社保表_Sheet1!$C:$BZ,32,FALSE),0)</f>
        <v>0</v>
      </c>
      <c r="CH77">
        <f>IFERROR(VLOOKUP(DF77,源_6社保表_Sheet1!$C:$BZ,33,FALSE),0)</f>
        <v>0</v>
      </c>
      <c r="CI77">
        <f>IFERROR(VLOOKUP(DF77,源_6社保表_Sheet1!$C:$BZ,34,FALSE),0)</f>
        <v>0</v>
      </c>
      <c r="CJ77">
        <f>IFERROR(VLOOKUP(DF77,源_6社保表_Sheet1!$C:$BZ,38,FALSE),0)</f>
        <v>0</v>
      </c>
      <c r="CK77">
        <f>IFERROR(VLOOKUP(DF77,源_6社保表_Sheet1!$C:$BZ,35,FALSE),0)</f>
        <v>0</v>
      </c>
      <c r="CL77">
        <f>IFERROR(VLOOKUP(DF77,源_6社保表_Sheet1!$C:$BZ,36,FALSE),0)</f>
        <v>0</v>
      </c>
      <c r="CM77">
        <f>IFERROR(VLOOKUP(DF77,源_6社保表_Sheet1!$C:$BZ,37,FALSE),0)</f>
        <v>0</v>
      </c>
      <c r="CN77">
        <f t="shared" si="32"/>
        <v>1153.3652000000002</v>
      </c>
      <c r="CO77">
        <f t="shared" si="33"/>
        <v>4987.7100275862067</v>
      </c>
      <c r="CP77">
        <f>IF(IFERROR(VLOOKUP(K77,源_13残疾人信息_残疾人信息!$A:$M,1,FALSE),"")&lt;&gt;"",0,IF(OR(P77="门店全职",P77="门店管理组",P77="全职(非门店)"),(BI77-AT77)*IFERROR(VLOOKUP(D77,源_12计提残保金规则_Sheet1!$A:$E,4,FALSE),0)*IFERROR(VLOOKUP(D77,源_12计提残保金规则_Sheet1!$A:$E,5,FALSE),0),0))</f>
        <v>51.675905172413799</v>
      </c>
      <c r="CQ77">
        <f t="shared" si="34"/>
        <v>16.05</v>
      </c>
      <c r="CR77">
        <f t="shared" si="35"/>
        <v>20.67</v>
      </c>
      <c r="CS77">
        <f>IF(DATEVALUE(N77)&gt;DATE(参数!$B$2,9,30),0,IF(M77="行政",0,IF(O77="",R77/12,IF(MONTH(DATEVALUE(O77))=参数!$B$3,0,IF(DATEVALUE(O77)&lt;DATE(参数!$B$2,参数!$B$3,1),0,R77/12)))))</f>
        <v>300.83333333333331</v>
      </c>
      <c r="CT77">
        <f t="shared" si="36"/>
        <v>0</v>
      </c>
      <c r="CU77">
        <f>IFERROR(VLOOKUP(DF77,源_6社保表_Sheet1!$C:$I,2,FALSE),0)</f>
        <v>4986</v>
      </c>
      <c r="CV77">
        <f>IFERROR(VLOOKUP(DF77,源_6社保表_Sheet1!$C:$I,7,FALSE),0)</f>
        <v>4300</v>
      </c>
      <c r="CW77">
        <f>IFERROR(VLOOKUP(DF77,源_6社保表_Sheet1!$C:$I,3,FALSE),0)</f>
        <v>4986</v>
      </c>
      <c r="CX77">
        <f>IFERROR(VLOOKUP(DF77,源_6社保表_Sheet1!$C:$I,4,FALSE),0)</f>
        <v>4986</v>
      </c>
      <c r="CY77">
        <f>IFERROR(VLOOKUP(DF77,源_6社保表_Sheet1!$C:$I,5,FALSE),0)</f>
        <v>4986</v>
      </c>
      <c r="CZ77">
        <f>IFERROR(VLOOKUP(DF77,源_6社保表_Sheet1!$C:$I,6,FALSE),0)</f>
        <v>0</v>
      </c>
      <c r="DA77">
        <f t="shared" si="37"/>
        <v>4981.2100275862067</v>
      </c>
      <c r="DB77">
        <f t="shared" si="38"/>
        <v>5376.9392660919539</v>
      </c>
      <c r="DC77" t="str">
        <f>IFERROR(VLOOKUP(K77,源_7银行卡表_Sheet1!$A:$J,8,FALSE),"")</f>
        <v>工商银行</v>
      </c>
      <c r="DD77" t="str">
        <f>IFERROR(VLOOKUP(K77,源_7银行卡表_Sheet1!$A:$J,9,FALSE),"")</f>
        <v>6283428039191961276</v>
      </c>
      <c r="DE77" t="str">
        <f>IFERROR(VLOOKUP(K77,源_7银行卡表_Sheet1!$A:$J,10,FALSE),"")</f>
        <v>上海市闵行区江川支行</v>
      </c>
      <c r="DF77" t="s">
        <v>475</v>
      </c>
      <c r="DG77">
        <v>13853354582</v>
      </c>
      <c r="DH77" t="s">
        <v>471</v>
      </c>
      <c r="DI77">
        <v>0</v>
      </c>
      <c r="DJ77">
        <v>0</v>
      </c>
      <c r="DK77">
        <v>0</v>
      </c>
      <c r="DL77">
        <v>0</v>
      </c>
      <c r="DM77">
        <v>0</v>
      </c>
      <c r="DN77">
        <v>0</v>
      </c>
      <c r="DO77">
        <v>0</v>
      </c>
      <c r="DP77">
        <v>0</v>
      </c>
      <c r="DQ77">
        <v>0</v>
      </c>
      <c r="DR77">
        <f>IF(OR(IFERROR(VLOOKUP(K77,源_3考勤报表_考勤表!$F:$BG,39,FALSE),0)+IFERROR(VLOOKUP(K77,源_8补工时表_补当月工时!$A:$AC,24,FALSE),0)=0,IFERROR(VLOOKUP(K77,源_3考勤报表_考勤表!$F:$BG,43,FALSE),0)+IFERROR(VLOOKUP(K77,源_8补工时表_补当月工时!$A:$AC,26,FALSE),0)=0),IF(BI77+BG77-BT77&lt;0,BI77+BG77-BT77,0),0)</f>
        <v>0</v>
      </c>
    </row>
    <row r="78" spans="1:122" x14ac:dyDescent="0.15">
      <c r="A78">
        <f>参数!$B$2</f>
        <v>2025</v>
      </c>
      <c r="B78">
        <f>参数!$B$3</f>
        <v>12</v>
      </c>
      <c r="D78" t="s">
        <v>147</v>
      </c>
      <c r="E78" t="s">
        <v>123</v>
      </c>
      <c r="F78" t="str">
        <f>IFERROR(VLOOKUP(K78,源_7银行卡表_Sheet1!$A:$J,6,FALSE),"")</f>
        <v>华北营运</v>
      </c>
      <c r="G78" t="s">
        <v>148</v>
      </c>
      <c r="H78" t="s">
        <v>476</v>
      </c>
      <c r="I78" t="s">
        <v>150</v>
      </c>
      <c r="J78">
        <v>1</v>
      </c>
      <c r="K78">
        <v>26123077</v>
      </c>
      <c r="L78" t="s">
        <v>477</v>
      </c>
      <c r="M78" t="s">
        <v>170</v>
      </c>
      <c r="N78" t="s">
        <v>478</v>
      </c>
      <c r="P78" t="s">
        <v>154</v>
      </c>
      <c r="Q78">
        <f>IF(P78="门店全职",IFERROR(VLOOKUP(K78,源_3考勤报表_考勤表!$F:$BG,34,FALSE),0)+IFERROR(VLOOKUP(K78,源_8补工时表_补当月工时!$A:$AC,14,FALSE),0),IF(P78="门店管理组",IF(IFERROR(VLOOKUP(K78,源_3考勤报表_考勤表!$F:$BG,34,FALSE),0)+IFERROR(VLOOKUP(K78,源_8补工时表_补当月工时!$A:$AC,14,FALSE),0)+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44,FALSE),0)+IFERROR(VLOOKUP(K78,源_8补工时表_补当月工时!$A:$AC,16,FALSE),0)+IFERROR(VLOOKUP(K78,源_3考勤报表_考勤表!$F:$BG,45,FALSE),0)&gt;=参数!$B$4,参数!$B$4-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44,FALSE),0)-IFERROR(VLOOKUP(K78,源_8补工时表_补当月工时!$A:$AC,16,FALSE),0)-IFERROR(VLOOKUP(K78,源_3考勤报表_考勤表!$F:$BG,45,FALSE),0),IFERROR(VLOOKUP(K78,源_3考勤报表_考勤表!$F:$BG,34,FALSE),0)+IFERROR(VLOOKUP(K78,源_8补工时表_补当月工时!$A:$AC,14,FALSE),0)),0))</f>
        <v>0</v>
      </c>
      <c r="R78">
        <v>3640</v>
      </c>
      <c r="S78">
        <v>0</v>
      </c>
      <c r="T78">
        <f>IF(P78="门店全职",R78/参数!$B$4*(Q78-MAX(IFERROR(VLOOKUP(K78,源_3考勤报表_考勤表!$F:$BG,34,FALSE),0)+IFERROR(VLOOKUP(K78,源_8补工时表_补当月工时!$A:$AC,14,FALSE),0)+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参数!$B$4,0)),R78/参数!$B$4*Q78)</f>
        <v>0</v>
      </c>
      <c r="U78">
        <v>0</v>
      </c>
      <c r="V78">
        <v>0</v>
      </c>
      <c r="W78">
        <f t="shared" si="26"/>
        <v>0</v>
      </c>
      <c r="X78">
        <f>IFERROR(VLOOKUP(K78,源_4奖金汇总表_拆分手工算!$A:$N,8,FALSE),0)</f>
        <v>0</v>
      </c>
      <c r="Y78">
        <f>IFERROR(VLOOKUP(K78,源_5薪资备忘录_工资调整项!$A:$AC,14,FALSE),0)</f>
        <v>0</v>
      </c>
      <c r="Z78">
        <f>IFERROR(VLOOKUP(K78,源_5薪资备忘录_工资调整项!$A:$AC,16,FALSE),0)</f>
        <v>0</v>
      </c>
      <c r="AA78">
        <f>IFERROR(VLOOKUP(K78,源_5薪资备忘录_工资调整项!$A:$AC,15,FALSE),0)</f>
        <v>0</v>
      </c>
      <c r="AB78">
        <f t="shared" si="27"/>
        <v>0</v>
      </c>
      <c r="AC78">
        <f>IF(P78="门店全职",R78/174*MAX(IFERROR(VLOOKUP(K78,源_3考勤报表_考勤表!$F:$BG,34,FALSE),0)+IFERROR(VLOOKUP(K78,源_8补工时表_补当月工时!$A:$AC,14,FALSE),0)+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参数!$B$4,0)*1.5,0)</f>
        <v>0</v>
      </c>
      <c r="AD78">
        <v>0</v>
      </c>
      <c r="AE78">
        <f>IFERROR(VLOOKUP(K78,源_3考勤报表_考勤表!$F:$BG,46,FALSE),0)+IFERROR(VLOOKUP(K78,源_8补工时表_补当月工时!$A:$AC,25,FALSE),0)</f>
        <v>0</v>
      </c>
      <c r="AF78">
        <f t="shared" si="28"/>
        <v>0</v>
      </c>
      <c r="AG78">
        <f>IFERROR(VLOOKUP(K78,源_4奖金汇总表_拆分手工算!$A:$N,10,FALSE),0)</f>
        <v>0</v>
      </c>
      <c r="AH78">
        <f>IFERROR(VLOOKUP(K78,源_4奖金汇总表_拆分手工算!$A:$N,5,FALSE),0)</f>
        <v>0</v>
      </c>
      <c r="AI78">
        <f>IFERROR(VLOOKUP(K78,源_4奖金汇总表_拆分手工算!$A:$N,11,FALSE),0)</f>
        <v>0</v>
      </c>
      <c r="AJ78">
        <f>IFERROR(VLOOKUP(K78,源_4奖金汇总表_拆分手工算!$A:$N,4,FALSE),0)</f>
        <v>0</v>
      </c>
      <c r="AK78">
        <f>IFERROR(VLOOKUP(K78,源_4奖金汇总表_拆分手工算!$A:$N,3,FALSE),0)</f>
        <v>0</v>
      </c>
      <c r="AL78">
        <f>IFERROR(VLOOKUP(K78,源_4奖金汇总表_拆分手工算!$A:$N,6,FALSE),0)</f>
        <v>0</v>
      </c>
      <c r="AM78">
        <f>IFERROR(VLOOKUP(K78,源_5薪资备忘录_工资调整项!$A:$AC,18,FALSE),0)+IFERROR(VLOOKUP(K78,源_4奖金汇总表_拆分手工算!$A:$N,7,FALSE),0)</f>
        <v>0</v>
      </c>
      <c r="AN78">
        <f>IFERROR(VLOOKUP(K78,源_5薪资备忘录_工资调整项!$A:$AC,17,FALSE),0)</f>
        <v>0</v>
      </c>
      <c r="AO78">
        <f>IF(OR(IFERROR(VLOOKUP(K78,源_3考勤报表_考勤表!$F:$BG,39,FALSE),0)+IFERROR(VLOOKUP(K78,源_8补工时表_补当月工时!$A:$AC,24,FALSE),0)&gt;0,IFERROR(VLOOKUP(K78,源_3考勤报表_考勤表!$F:$BG,43,FALSE),0)+IFERROR(VLOOKUP(K78,源_8补工时表_补当月工时!$A:$AC,26,FALSE),0)&gt;0),IF(IFERROR(VLOOKUP(DH78,源_11产假政策_Sheet1!$C:$F,4,FALSE),"")="是",R78/参数!$B$4*(IFERROR(VLOOKUP(K78,源_3考勤报表_考勤表!$F:$BG,39,FALSE),0)+IFERROR(VLOOKUP(K78,源_8补工时表_补当月工时!$A:$AC,24,FALSE),0)+IFERROR(VLOOKUP(K78,源_3考勤报表_考勤表!$F:$BG,43,FALSE),0)+IFERROR(VLOOKUP(K78,源_8补工时表_补当月工时!$A:$AC,26,FALSE),0)),IFERROR(VLOOKUP(K78,源_5薪资备忘录_工资调整项!$A:$AC,19,FALSE),0)),0)</f>
        <v>0</v>
      </c>
      <c r="AP78">
        <v>0</v>
      </c>
      <c r="AQ78">
        <f>IFERROR(VLOOKUP(K78,源_4奖金汇总表_拆分手工算!$A:$N,12,FALSE),0)+IFERROR(VLOOKUP(K78,源_9年终奖表_Sheet1!$A:$E,3,FALSE),0)</f>
        <v>0</v>
      </c>
      <c r="AR78">
        <f>IFERROR(VLOOKUP(K78,源_4奖金汇总表_拆分手工算!$A:$N,13,FALSE),0)+IFERROR(VLOOKUP(K78,源_9年终奖表_Sheet1!$A:$E,4,FALSE),0)</f>
        <v>0</v>
      </c>
      <c r="AS78">
        <f>IFERROR(VLOOKUP(K78,源_4奖金汇总表_拆分手工算!$A:$N,14,FALSE),0)+IFERROR(VLOOKUP(K78,源_9年终奖表_Sheet1!$A:$E,5,FALSE),0)</f>
        <v>0</v>
      </c>
      <c r="AT78">
        <f>IFERROR(VLOOKUP(K78,源_5薪资备忘录_工资调整项!$A:$AC,20,FALSE),0)</f>
        <v>0</v>
      </c>
      <c r="AU78">
        <f>IFERROR(VLOOKUP(K78,源_5薪资备忘录_工资调整项!$A:$AC,21,FALSE),0)+IFERROR(VLOOKUP(K78,源_4奖金汇总表_拆分手工算!$A:$N,9,FALSE),0)</f>
        <v>0</v>
      </c>
      <c r="AV78">
        <f>R78/参数!$B$4*(IFERROR(VLOOKUP(K78,源_3考勤报表_考勤表!$F:$BG,37,FALSE),0)+IFERROR(VLOOKUP(K78,源_8补工时表_补当月工时!$A:$AC,15,FALSE),0))</f>
        <v>158.2608695652174</v>
      </c>
      <c r="AW78">
        <f>R78/174*MIN(IFERROR(VLOOKUP(K78,源_3考勤报表_考勤表!$F:$BG,35,FALSE),0),174)*IF(DATEDIF(N78,DATE(参数!$B$2,参数!$B$3+1,0),"Y")&lt;2,0.6,IF(DATEDIF(N78,DATE(参数!$B$2,参数!$B$3+1,0),"Y")&lt;4,0.7,IF(DATEDIF(N78,DATE(参数!$B$2,参数!$B$3+1,0),"Y")&lt;6,0.8,IF(DATEDIF(N78,DATE(参数!$B$2,参数!$B$3+1,0),"Y")&lt;8,0.9,1))))</f>
        <v>1204.9655172413793</v>
      </c>
      <c r="AX78">
        <f>IF(Q78+IFERROR(VLOOKUP(K78,源_3考勤报表_考勤表!$F:$BG,37,FALSE),0)+IFERROR(VLOOKUP(K78,源_8补工时表_补当月工时!$A:$AC,15,FALSE),0)&gt;=参数!$B$4,0,IF(Q78+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lt;=参数!$B$4,R78/参数!$B$4*(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0))</f>
        <v>1582.608695652174</v>
      </c>
      <c r="AY78">
        <v>0</v>
      </c>
      <c r="AZ78">
        <v>0</v>
      </c>
      <c r="BA78">
        <v>0</v>
      </c>
      <c r="BB78">
        <v>0</v>
      </c>
      <c r="BC78">
        <f>IFERROR(VLOOKUP(K78,源_5薪资备忘录_工资调整项!$A:$AC,25,FALSE),0)</f>
        <v>0</v>
      </c>
      <c r="BD78">
        <v>0</v>
      </c>
      <c r="BE78">
        <f>(T78+W78+AB78+AG78+AH78+AI78+AJ78+AK78+AL78+AM78+AN78+AO78+AP78+AU78+AV78+AW78+AX78+BC78-IFERROR(VLOOKUP(DF78,源_6社保表_Sheet1!$C:$BZ,76,FALSE),0))*0.02</f>
        <v>42.030101649175414</v>
      </c>
      <c r="BF78">
        <v>0</v>
      </c>
      <c r="BG78">
        <f>IFERROR(VLOOKUP(K78,源_5薪资备忘录_工资调整项!$A:$AC,22,FALSE),0)+IFERROR(VLOOKUP(K78,源_5薪资备忘录_工资调整项!$A:$AC,23,FALSE),0)+IFERROR(VLOOKUP(K78,源_5薪资备忘录_工资调整项!$A:$AC,24,FALSE),0)</f>
        <v>0</v>
      </c>
      <c r="BH78">
        <f>IFERROR(VLOOKUP(DF78,源_6社保表_Sheet1!$C:$CD,80,FALSE),0)+4.5</f>
        <v>6.5</v>
      </c>
      <c r="BI78">
        <f t="shared" si="29"/>
        <v>2945.8350824587706</v>
      </c>
      <c r="BJ78">
        <f>IFERROR(VLOOKUP(DF78,源_6社保表_Sheet1!$C:$BZ,26,FALSE),0)</f>
        <v>501.34</v>
      </c>
      <c r="BK78">
        <f>IFERROR(VLOOKUP(DF78,源_6社保表_Sheet1!$C:$BZ,27,FALSE),0)</f>
        <v>71.62</v>
      </c>
      <c r="BL78">
        <f>IFERROR(VLOOKUP(DF78,源_6社保表_Sheet1!$C:$BZ,28,FALSE),0)</f>
        <v>35.81</v>
      </c>
      <c r="BM78">
        <f>IFERROR(VLOOKUP(DF78,源_6社保表_Sheet1!$C:$BZ,30,FALSE),0)</f>
        <v>235.56</v>
      </c>
      <c r="BN78">
        <f>IFERROR(VLOOKUP(DF78,源_6社保表_Sheet1!$C:$BZ,29,FALSE),0)</f>
        <v>0</v>
      </c>
      <c r="BO78">
        <f>IFERROR(VLOOKUP(DF78,源_6社保表_Sheet1!$C:$BZ,40,FALSE),0)</f>
        <v>0</v>
      </c>
      <c r="BP78">
        <f>IFERROR(VLOOKUP(DF78,源_6社保表_Sheet1!$C:$BZ,41,FALSE),0)</f>
        <v>0</v>
      </c>
      <c r="BQ78">
        <f>IFERROR(VLOOKUP(DF78,源_6社保表_Sheet1!$C:$BZ,42,FALSE),0)</f>
        <v>0</v>
      </c>
      <c r="BR78">
        <f>IFERROR(VLOOKUP(DF78,源_6社保表_Sheet1!$C:$BZ,44,FALSE),0)</f>
        <v>0</v>
      </c>
      <c r="BS78">
        <f>IFERROR(VLOOKUP(DF78,源_6社保表_Sheet1!$C:$BZ,43,FALSE),0)</f>
        <v>0</v>
      </c>
      <c r="BT78">
        <f t="shared" si="30"/>
        <v>844.32999999999993</v>
      </c>
      <c r="BU78">
        <v>0</v>
      </c>
      <c r="BV78">
        <v>0</v>
      </c>
      <c r="BW78">
        <v>0</v>
      </c>
      <c r="BX78">
        <f t="shared" si="31"/>
        <v>0</v>
      </c>
      <c r="BY78">
        <v>0</v>
      </c>
      <c r="BZ78">
        <f>IFERROR(VLOOKUP(DF78,源_6社保表_Sheet1!$C:$BZ,18,FALSE),0)</f>
        <v>1074.3</v>
      </c>
      <c r="CA78">
        <f>IFERROR(VLOOKUP(DF78,源_6社保表_Sheet1!$C:$BZ,19,FALSE),0)</f>
        <v>572.96</v>
      </c>
      <c r="CB78">
        <f>IFERROR(VLOOKUP(DF78,源_6社保表_Sheet1!$C:$BZ,24,FALSE),0)</f>
        <v>235.56</v>
      </c>
      <c r="CC78">
        <f>IFERROR(VLOOKUP(DF78,源_6社保表_Sheet1!$C:$BZ,20,FALSE),0)</f>
        <v>35.81</v>
      </c>
      <c r="CD78">
        <f>IFERROR(VLOOKUP(DF78,源_6社保表_Sheet1!$C:$BZ,21,FALSE),0)</f>
        <v>22.918399999999998</v>
      </c>
      <c r="CE78">
        <f>IFERROR(VLOOKUP(DF78,源_6社保表_Sheet1!$C:$BZ,22,FALSE),0)</f>
        <v>0</v>
      </c>
      <c r="CF78">
        <f>IFERROR(VLOOKUP(DF78,源_6社保表_Sheet1!$C:$BZ,23,FALSE),0)</f>
        <v>0</v>
      </c>
      <c r="CG78">
        <f>IFERROR(VLOOKUP(DF78,源_6社保表_Sheet1!$C:$BZ,32,FALSE),0)</f>
        <v>0</v>
      </c>
      <c r="CH78">
        <f>IFERROR(VLOOKUP(DF78,源_6社保表_Sheet1!$C:$BZ,33,FALSE),0)</f>
        <v>0</v>
      </c>
      <c r="CI78">
        <f>IFERROR(VLOOKUP(DF78,源_6社保表_Sheet1!$C:$BZ,34,FALSE),0)</f>
        <v>0</v>
      </c>
      <c r="CJ78">
        <f>IFERROR(VLOOKUP(DF78,源_6社保表_Sheet1!$C:$BZ,38,FALSE),0)</f>
        <v>0</v>
      </c>
      <c r="CK78">
        <f>IFERROR(VLOOKUP(DF78,源_6社保表_Sheet1!$C:$BZ,35,FALSE),0)</f>
        <v>0</v>
      </c>
      <c r="CL78">
        <f>IFERROR(VLOOKUP(DF78,源_6社保表_Sheet1!$C:$BZ,36,FALSE),0)</f>
        <v>0</v>
      </c>
      <c r="CM78">
        <f>IFERROR(VLOOKUP(DF78,源_6社保表_Sheet1!$C:$BZ,37,FALSE),0)</f>
        <v>0</v>
      </c>
      <c r="CN78">
        <f t="shared" si="32"/>
        <v>1941.5483999999999</v>
      </c>
      <c r="CO78">
        <f t="shared" si="33"/>
        <v>4935.913584107946</v>
      </c>
      <c r="CP78">
        <f>IF(IFERROR(VLOOKUP(K78,源_13残疾人信息_残疾人信息!$A:$M,1,FALSE),"")&lt;&gt;"",0,IF(OR(P78="门店全职",P78="门店管理组",P78="全职(非门店)"),(BI78-AT78)*IFERROR(VLOOKUP(D78,源_12计提残保金规则_Sheet1!$A:$E,4,FALSE),0)*IFERROR(VLOOKUP(D78,源_12计提残保金规则_Sheet1!$A:$E,5,FALSE),0),0))</f>
        <v>39.768773613193403</v>
      </c>
      <c r="CQ78">
        <f t="shared" si="34"/>
        <v>16.05</v>
      </c>
      <c r="CR78">
        <f t="shared" si="35"/>
        <v>20.67</v>
      </c>
      <c r="CS78">
        <f>IF(DATEVALUE(N78)&gt;DATE(参数!$B$2,9,30),0,IF(M78="行政",0,IF(O78="",R78/12,IF(MONTH(DATEVALUE(O78))=参数!$B$3,0,IF(DATEVALUE(O78)&lt;DATE(参数!$B$2,参数!$B$3,1),0,R78/12)))))</f>
        <v>303.33333333333331</v>
      </c>
      <c r="CT78">
        <f t="shared" si="36"/>
        <v>0</v>
      </c>
      <c r="CU78">
        <f>IFERROR(VLOOKUP(DF78,源_6社保表_Sheet1!$C:$I,2,FALSE),0)</f>
        <v>7162</v>
      </c>
      <c r="CV78">
        <f>IFERROR(VLOOKUP(DF78,源_6社保表_Sheet1!$C:$I,7,FALSE),0)</f>
        <v>3926</v>
      </c>
      <c r="CW78">
        <f>IFERROR(VLOOKUP(DF78,源_6社保表_Sheet1!$C:$I,3,FALSE),0)</f>
        <v>7162</v>
      </c>
      <c r="CX78">
        <f>IFERROR(VLOOKUP(DF78,源_6社保表_Sheet1!$C:$I,4,FALSE),0)</f>
        <v>7162</v>
      </c>
      <c r="CY78">
        <f>IFERROR(VLOOKUP(DF78,源_6社保表_Sheet1!$C:$I,5,FALSE),0)</f>
        <v>7162</v>
      </c>
      <c r="CZ78">
        <f>IFERROR(VLOOKUP(DF78,源_6社保表_Sheet1!$C:$I,6,FALSE),0)</f>
        <v>0</v>
      </c>
      <c r="DA78">
        <f t="shared" si="37"/>
        <v>4887.3834824587702</v>
      </c>
      <c r="DB78">
        <f t="shared" si="38"/>
        <v>5273.7055894052974</v>
      </c>
      <c r="DC78" t="str">
        <f>IFERROR(VLOOKUP(K78,源_7银行卡表_Sheet1!$A:$J,8,FALSE),"")</f>
        <v>工商银行</v>
      </c>
      <c r="DD78" t="str">
        <f>IFERROR(VLOOKUP(K78,源_7银行卡表_Sheet1!$A:$J,9,FALSE),"")</f>
        <v>6283476566015697857</v>
      </c>
      <c r="DE78" t="str">
        <f>IFERROR(VLOOKUP(K78,源_7银行卡表_Sheet1!$A:$J,10,FALSE),"")</f>
        <v>博山路支行</v>
      </c>
      <c r="DF78" t="s">
        <v>479</v>
      </c>
      <c r="DG78">
        <v>15407837016</v>
      </c>
      <c r="DH78" t="s">
        <v>148</v>
      </c>
      <c r="DI78">
        <v>0</v>
      </c>
      <c r="DJ78">
        <v>0</v>
      </c>
      <c r="DK78">
        <v>0</v>
      </c>
      <c r="DL78">
        <v>0</v>
      </c>
      <c r="DM78">
        <v>0</v>
      </c>
      <c r="DN78">
        <v>0</v>
      </c>
      <c r="DO78">
        <v>0</v>
      </c>
      <c r="DP78">
        <v>0</v>
      </c>
      <c r="DQ78">
        <v>0</v>
      </c>
      <c r="DR78">
        <f>IF(OR(IFERROR(VLOOKUP(K78,源_3考勤报表_考勤表!$F:$BG,39,FALSE),0)+IFERROR(VLOOKUP(K78,源_8补工时表_补当月工时!$A:$AC,24,FALSE),0)=0,IFERROR(VLOOKUP(K78,源_3考勤报表_考勤表!$F:$BG,43,FALSE),0)+IFERROR(VLOOKUP(K78,源_8补工时表_补当月工时!$A:$AC,26,FALSE),0)=0),IF(BI78+BG78-BT78&lt;0,BI78+BG78-BT78,0),0)</f>
        <v>0</v>
      </c>
    </row>
    <row r="79" spans="1:122" x14ac:dyDescent="0.15">
      <c r="A79">
        <f>参数!$B$2</f>
        <v>2025</v>
      </c>
      <c r="B79">
        <f>参数!$B$3</f>
        <v>12</v>
      </c>
      <c r="D79" t="s">
        <v>173</v>
      </c>
      <c r="E79" t="s">
        <v>123</v>
      </c>
      <c r="F79" t="str">
        <f>IFERROR(VLOOKUP(K79,源_7银行卡表_Sheet1!$A:$J,6,FALSE),"")</f>
        <v>华东营运</v>
      </c>
      <c r="G79" t="s">
        <v>180</v>
      </c>
      <c r="H79" t="s">
        <v>480</v>
      </c>
      <c r="I79" t="s">
        <v>176</v>
      </c>
      <c r="J79">
        <v>1</v>
      </c>
      <c r="K79">
        <v>26123078</v>
      </c>
      <c r="L79" t="s">
        <v>481</v>
      </c>
      <c r="M79" t="s">
        <v>218</v>
      </c>
      <c r="N79" t="s">
        <v>482</v>
      </c>
      <c r="P79" t="s">
        <v>131</v>
      </c>
      <c r="Q79">
        <f>IF(P79="门店全职",IFERROR(VLOOKUP(K79,源_3考勤报表_考勤表!$F:$BG,34,FALSE),0)+IFERROR(VLOOKUP(K79,源_8补工时表_补当月工时!$A:$AC,14,FALSE),0),IF(P79="门店管理组",IF(IFERROR(VLOOKUP(K79,源_3考勤报表_考勤表!$F:$BG,34,FALSE),0)+IFERROR(VLOOKUP(K79,源_8补工时表_补当月工时!$A:$AC,14,FALSE),0)+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44,FALSE),0)+IFERROR(VLOOKUP(K79,源_8补工时表_补当月工时!$A:$AC,16,FALSE),0)+IFERROR(VLOOKUP(K79,源_3考勤报表_考勤表!$F:$BG,45,FALSE),0)&gt;=参数!$B$4,参数!$B$4-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44,FALSE),0)-IFERROR(VLOOKUP(K79,源_8补工时表_补当月工时!$A:$AC,16,FALSE),0)-IFERROR(VLOOKUP(K79,源_3考勤报表_考勤表!$F:$BG,45,FALSE),0),IFERROR(VLOOKUP(K79,源_3考勤报表_考勤表!$F:$BG,34,FALSE),0)+IFERROR(VLOOKUP(K79,源_8补工时表_补当月工时!$A:$AC,14,FALSE),0)),0))</f>
        <v>136</v>
      </c>
      <c r="R79">
        <v>4300</v>
      </c>
      <c r="S79">
        <v>0</v>
      </c>
      <c r="T79">
        <f>IF(P79="门店全职",R79/参数!$B$4*(Q79-MAX(IFERROR(VLOOKUP(K79,源_3考勤报表_考勤表!$F:$BG,34,FALSE),0)+IFERROR(VLOOKUP(K79,源_8补工时表_补当月工时!$A:$AC,14,FALSE),0)+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参数!$B$4,0)),R79/参数!$B$4*Q79)</f>
        <v>3178.2608695652175</v>
      </c>
      <c r="U79">
        <v>0</v>
      </c>
      <c r="V79">
        <v>0</v>
      </c>
      <c r="W79">
        <f t="shared" si="26"/>
        <v>10.5</v>
      </c>
      <c r="X79">
        <f>IFERROR(VLOOKUP(K79,源_4奖金汇总表_拆分手工算!$A:$N,8,FALSE),0)</f>
        <v>10.5</v>
      </c>
      <c r="Y79">
        <f>IFERROR(VLOOKUP(K79,源_5薪资备忘录_工资调整项!$A:$AC,14,FALSE),0)</f>
        <v>0</v>
      </c>
      <c r="Z79">
        <f>IFERROR(VLOOKUP(K79,源_5薪资备忘录_工资调整项!$A:$AC,16,FALSE),0)</f>
        <v>0</v>
      </c>
      <c r="AA79">
        <f>IFERROR(VLOOKUP(K79,源_5薪资备忘录_工资调整项!$A:$AC,15,FALSE),0)</f>
        <v>0</v>
      </c>
      <c r="AB79">
        <f t="shared" si="27"/>
        <v>0</v>
      </c>
      <c r="AC79">
        <f>IF(P79="门店全职",R79/174*MAX(IFERROR(VLOOKUP(K79,源_3考勤报表_考勤表!$F:$BG,34,FALSE),0)+IFERROR(VLOOKUP(K79,源_8补工时表_补当月工时!$A:$AC,14,FALSE),0)+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参数!$B$4,0)*1.5,0)</f>
        <v>0</v>
      </c>
      <c r="AD79">
        <v>0</v>
      </c>
      <c r="AE79">
        <f>IFERROR(VLOOKUP(K79,源_3考勤报表_考勤表!$F:$BG,46,FALSE),0)+IFERROR(VLOOKUP(K79,源_8补工时表_补当月工时!$A:$AC,25,FALSE),0)</f>
        <v>0</v>
      </c>
      <c r="AF79">
        <f t="shared" si="28"/>
        <v>0</v>
      </c>
      <c r="AG79">
        <f>IFERROR(VLOOKUP(K79,源_4奖金汇总表_拆分手工算!$A:$N,10,FALSE),0)</f>
        <v>0</v>
      </c>
      <c r="AH79">
        <f>IFERROR(VLOOKUP(K79,源_4奖金汇总表_拆分手工算!$A:$N,5,FALSE),0)</f>
        <v>0</v>
      </c>
      <c r="AI79">
        <f>IFERROR(VLOOKUP(K79,源_4奖金汇总表_拆分手工算!$A:$N,11,FALSE),0)</f>
        <v>0</v>
      </c>
      <c r="AJ79">
        <f>IFERROR(VLOOKUP(K79,源_4奖金汇总表_拆分手工算!$A:$N,4,FALSE),0)</f>
        <v>0</v>
      </c>
      <c r="AK79">
        <f>IFERROR(VLOOKUP(K79,源_4奖金汇总表_拆分手工算!$A:$N,3,FALSE),0)</f>
        <v>0</v>
      </c>
      <c r="AL79">
        <f>IFERROR(VLOOKUP(K79,源_4奖金汇总表_拆分手工算!$A:$N,6,FALSE),0)</f>
        <v>0</v>
      </c>
      <c r="AM79">
        <f>IFERROR(VLOOKUP(K79,源_5薪资备忘录_工资调整项!$A:$AC,18,FALSE),0)+IFERROR(VLOOKUP(K79,源_4奖金汇总表_拆分手工算!$A:$N,7,FALSE),0)</f>
        <v>0</v>
      </c>
      <c r="AN79">
        <f>IFERROR(VLOOKUP(K79,源_5薪资备忘录_工资调整项!$A:$AC,17,FALSE),0)</f>
        <v>0</v>
      </c>
      <c r="AO79">
        <f>IF(OR(IFERROR(VLOOKUP(K79,源_3考勤报表_考勤表!$F:$BG,39,FALSE),0)+IFERROR(VLOOKUP(K79,源_8补工时表_补当月工时!$A:$AC,24,FALSE),0)&gt;0,IFERROR(VLOOKUP(K79,源_3考勤报表_考勤表!$F:$BG,43,FALSE),0)+IFERROR(VLOOKUP(K79,源_8补工时表_补当月工时!$A:$AC,26,FALSE),0)&gt;0),IF(IFERROR(VLOOKUP(DH79,源_11产假政策_Sheet1!$C:$F,4,FALSE),"")="是",R79/参数!$B$4*(IFERROR(VLOOKUP(K79,源_3考勤报表_考勤表!$F:$BG,39,FALSE),0)+IFERROR(VLOOKUP(K79,源_8补工时表_补当月工时!$A:$AC,24,FALSE),0)+IFERROR(VLOOKUP(K79,源_3考勤报表_考勤表!$F:$BG,43,FALSE),0)+IFERROR(VLOOKUP(K79,源_8补工时表_补当月工时!$A:$AC,26,FALSE),0)),IFERROR(VLOOKUP(K79,源_5薪资备忘录_工资调整项!$A:$AC,19,FALSE),0)),0)</f>
        <v>0</v>
      </c>
      <c r="AP79">
        <v>0</v>
      </c>
      <c r="AQ79">
        <f>IFERROR(VLOOKUP(K79,源_4奖金汇总表_拆分手工算!$A:$N,12,FALSE),0)+IFERROR(VLOOKUP(K79,源_9年终奖表_Sheet1!$A:$E,3,FALSE),0)</f>
        <v>1200</v>
      </c>
      <c r="AR79">
        <f>IFERROR(VLOOKUP(K79,源_4奖金汇总表_拆分手工算!$A:$N,13,FALSE),0)+IFERROR(VLOOKUP(K79,源_9年终奖表_Sheet1!$A:$E,4,FALSE),0)</f>
        <v>600</v>
      </c>
      <c r="AS79">
        <f>IFERROR(VLOOKUP(K79,源_4奖金汇总表_拆分手工算!$A:$N,14,FALSE),0)+IFERROR(VLOOKUP(K79,源_9年终奖表_Sheet1!$A:$E,5,FALSE),0)</f>
        <v>222</v>
      </c>
      <c r="AT79">
        <f>IFERROR(VLOOKUP(K79,源_5薪资备忘录_工资调整项!$A:$AC,20,FALSE),0)</f>
        <v>0</v>
      </c>
      <c r="AU79">
        <f>IFERROR(VLOOKUP(K79,源_5薪资备忘录_工资调整项!$A:$AC,21,FALSE),0)+IFERROR(VLOOKUP(K79,源_4奖金汇总表_拆分手工算!$A:$N,9,FALSE),0)</f>
        <v>0</v>
      </c>
      <c r="AV79">
        <f>R79/参数!$B$4*(IFERROR(VLOOKUP(K79,源_3考勤报表_考勤表!$F:$BG,37,FALSE),0)+IFERROR(VLOOKUP(K79,源_8补工时表_补当月工时!$A:$AC,15,FALSE),0))</f>
        <v>0</v>
      </c>
      <c r="AW79">
        <f>R79/174*MIN(IFERROR(VLOOKUP(K79,源_3考勤报表_考勤表!$F:$BG,35,FALSE),0),174)*IF(DATEDIF(N79,DATE(参数!$B$2,参数!$B$3+1,0),"Y")&lt;2,0.6,IF(DATEDIF(N79,DATE(参数!$B$2,参数!$B$3+1,0),"Y")&lt;4,0.7,IF(DATEDIF(N79,DATE(参数!$B$2,参数!$B$3+1,0),"Y")&lt;6,0.8,IF(DATEDIF(N79,DATE(参数!$B$2,参数!$B$3+1,0),"Y")&lt;8,0.9,1))))</f>
        <v>711.72413793103453</v>
      </c>
      <c r="AX79">
        <f>IF(Q79+IFERROR(VLOOKUP(K79,源_3考勤报表_考勤表!$F:$BG,37,FALSE),0)+IFERROR(VLOOKUP(K79,源_8补工时表_补当月工时!$A:$AC,15,FALSE),0)&gt;=参数!$B$4,0,IF(Q79+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lt;=参数!$B$4,R79/参数!$B$4*(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0))</f>
        <v>0</v>
      </c>
      <c r="AY79">
        <v>0</v>
      </c>
      <c r="AZ79">
        <v>0</v>
      </c>
      <c r="BA79">
        <v>0</v>
      </c>
      <c r="BB79">
        <v>0</v>
      </c>
      <c r="BC79">
        <f>IFERROR(VLOOKUP(K79,源_5薪资备忘录_工资调整项!$A:$AC,25,FALSE),0)</f>
        <v>0</v>
      </c>
      <c r="BD79">
        <v>0</v>
      </c>
      <c r="BE79">
        <v>0</v>
      </c>
      <c r="BF79">
        <v>0</v>
      </c>
      <c r="BG79">
        <f>IFERROR(VLOOKUP(K79,源_5薪资备忘录_工资调整项!$A:$AC,22,FALSE),0)+IFERROR(VLOOKUP(K79,源_5薪资备忘录_工资调整项!$A:$AC,23,FALSE),0)+IFERROR(VLOOKUP(K79,源_5薪资备忘录_工资调整项!$A:$AC,24,FALSE),0)</f>
        <v>0</v>
      </c>
      <c r="BH79">
        <f>IFERROR(VLOOKUP(DF79,源_6社保表_Sheet1!$C:$CD,80,FALSE),0)+4.5</f>
        <v>6.5</v>
      </c>
      <c r="BI79">
        <f t="shared" si="29"/>
        <v>5922.4850074962524</v>
      </c>
      <c r="BJ79">
        <f>IFERROR(VLOOKUP(DF79,源_6社保表_Sheet1!$C:$BZ,26,FALSE),0)</f>
        <v>249.3</v>
      </c>
      <c r="BK79">
        <f>IFERROR(VLOOKUP(DF79,源_6社保表_Sheet1!$C:$BZ,27,FALSE),0)</f>
        <v>49.86</v>
      </c>
      <c r="BL79">
        <f>IFERROR(VLOOKUP(DF79,源_6社保表_Sheet1!$C:$BZ,28,FALSE),0)</f>
        <v>24.93</v>
      </c>
      <c r="BM79">
        <f>IFERROR(VLOOKUP(DF79,源_6社保表_Sheet1!$C:$BZ,30,FALSE),0)</f>
        <v>222.6</v>
      </c>
      <c r="BN79">
        <f>IFERROR(VLOOKUP(DF79,源_6社保表_Sheet1!$C:$BZ,29,FALSE),0)</f>
        <v>0</v>
      </c>
      <c r="BO79">
        <f>IFERROR(VLOOKUP(DF79,源_6社保表_Sheet1!$C:$BZ,40,FALSE),0)</f>
        <v>0</v>
      </c>
      <c r="BP79">
        <f>IFERROR(VLOOKUP(DF79,源_6社保表_Sheet1!$C:$BZ,41,FALSE),0)</f>
        <v>0</v>
      </c>
      <c r="BQ79">
        <f>IFERROR(VLOOKUP(DF79,源_6社保表_Sheet1!$C:$BZ,42,FALSE),0)</f>
        <v>0</v>
      </c>
      <c r="BR79">
        <f>IFERROR(VLOOKUP(DF79,源_6社保表_Sheet1!$C:$BZ,44,FALSE),0)</f>
        <v>0</v>
      </c>
      <c r="BS79">
        <f>IFERROR(VLOOKUP(DF79,源_6社保表_Sheet1!$C:$BZ,43,FALSE),0)</f>
        <v>0</v>
      </c>
      <c r="BT79">
        <f t="shared" si="30"/>
        <v>546.69000000000005</v>
      </c>
      <c r="BU79">
        <v>0</v>
      </c>
      <c r="BV79">
        <v>0</v>
      </c>
      <c r="BW79">
        <v>0</v>
      </c>
      <c r="BX79">
        <f t="shared" si="31"/>
        <v>0</v>
      </c>
      <c r="BY79">
        <v>0</v>
      </c>
      <c r="BZ79">
        <f>IFERROR(VLOOKUP(DF79,源_6社保表_Sheet1!$C:$BZ,18,FALSE),0)</f>
        <v>598.32000000000005</v>
      </c>
      <c r="CA79">
        <f>IFERROR(VLOOKUP(DF79,源_6社保表_Sheet1!$C:$BZ,19,FALSE),0)</f>
        <v>299.16000000000003</v>
      </c>
      <c r="CB79">
        <f>IFERROR(VLOOKUP(DF79,源_6社保表_Sheet1!$C:$BZ,24,FALSE),0)</f>
        <v>222.6</v>
      </c>
      <c r="CC79">
        <f>IFERROR(VLOOKUP(DF79,源_6社保表_Sheet1!$C:$BZ,20,FALSE),0)</f>
        <v>24.93</v>
      </c>
      <c r="CD79">
        <f>IFERROR(VLOOKUP(DF79,源_6社保表_Sheet1!$C:$BZ,21,FALSE),0)</f>
        <v>15.9552</v>
      </c>
      <c r="CE79">
        <f>IFERROR(VLOOKUP(DF79,源_6社保表_Sheet1!$C:$BZ,22,FALSE),0)</f>
        <v>0</v>
      </c>
      <c r="CF79">
        <f>IFERROR(VLOOKUP(DF79,源_6社保表_Sheet1!$C:$BZ,23,FALSE),0)</f>
        <v>0</v>
      </c>
      <c r="CG79">
        <f>IFERROR(VLOOKUP(DF79,源_6社保表_Sheet1!$C:$BZ,32,FALSE),0)</f>
        <v>0</v>
      </c>
      <c r="CH79">
        <f>IFERROR(VLOOKUP(DF79,源_6社保表_Sheet1!$C:$BZ,33,FALSE),0)</f>
        <v>0</v>
      </c>
      <c r="CI79">
        <f>IFERROR(VLOOKUP(DF79,源_6社保表_Sheet1!$C:$BZ,34,FALSE),0)</f>
        <v>0</v>
      </c>
      <c r="CJ79">
        <f>IFERROR(VLOOKUP(DF79,源_6社保表_Sheet1!$C:$BZ,38,FALSE),0)</f>
        <v>0</v>
      </c>
      <c r="CK79">
        <f>IFERROR(VLOOKUP(DF79,源_6社保表_Sheet1!$C:$BZ,35,FALSE),0)</f>
        <v>0</v>
      </c>
      <c r="CL79">
        <f>IFERROR(VLOOKUP(DF79,源_6社保表_Sheet1!$C:$BZ,36,FALSE),0)</f>
        <v>0</v>
      </c>
      <c r="CM79">
        <f>IFERROR(VLOOKUP(DF79,源_6社保表_Sheet1!$C:$BZ,37,FALSE),0)</f>
        <v>0</v>
      </c>
      <c r="CN79">
        <f t="shared" si="32"/>
        <v>1160.9652000000001</v>
      </c>
      <c r="CO79">
        <f t="shared" si="33"/>
        <v>7089.9502074962529</v>
      </c>
      <c r="CP79">
        <f>IF(IFERROR(VLOOKUP(K79,源_13残疾人信息_残疾人信息!$A:$M,1,FALSE),"")&lt;&gt;"",0,IF(OR(P79="门店全职",P79="门店管理组",P79="全职(非门店)"),(BI79-AT79)*IFERROR(VLOOKUP(D79,源_12计提残保金规则_Sheet1!$A:$E,4,FALSE),0)*IFERROR(VLOOKUP(D79,源_12计提残保金规则_Sheet1!$A:$E,5,FALSE),0),0))</f>
        <v>79.953547601199404</v>
      </c>
      <c r="CQ79">
        <f t="shared" si="34"/>
        <v>16.05</v>
      </c>
      <c r="CR79">
        <f t="shared" si="35"/>
        <v>20.67</v>
      </c>
      <c r="CS79">
        <f>IF(DATEVALUE(N79)&gt;DATE(参数!$B$2,9,30),0,IF(M79="行政",0,IF(O79="",R79/12,IF(MONTH(DATEVALUE(O79))=参数!$B$3,0,IF(DATEVALUE(O79)&lt;DATE(参数!$B$2,参数!$B$3,1),0,R79/12)))))</f>
        <v>358.33333333333331</v>
      </c>
      <c r="CT79">
        <f t="shared" si="36"/>
        <v>438.59999999999997</v>
      </c>
      <c r="CU79">
        <f>IFERROR(VLOOKUP(DF79,源_6社保表_Sheet1!$C:$I,2,FALSE),0)</f>
        <v>4986</v>
      </c>
      <c r="CV79">
        <f>IFERROR(VLOOKUP(DF79,源_6社保表_Sheet1!$C:$I,7,FALSE),0)</f>
        <v>4452</v>
      </c>
      <c r="CW79">
        <f>IFERROR(VLOOKUP(DF79,源_6社保表_Sheet1!$C:$I,3,FALSE),0)</f>
        <v>4986</v>
      </c>
      <c r="CX79">
        <f>IFERROR(VLOOKUP(DF79,源_6社保表_Sheet1!$C:$I,4,FALSE),0)</f>
        <v>4986</v>
      </c>
      <c r="CY79">
        <f>IFERROR(VLOOKUP(DF79,源_6社保表_Sheet1!$C:$I,5,FALSE),0)</f>
        <v>4986</v>
      </c>
      <c r="CZ79">
        <f>IFERROR(VLOOKUP(DF79,源_6社保表_Sheet1!$C:$I,6,FALSE),0)</f>
        <v>0</v>
      </c>
      <c r="DA79">
        <f t="shared" si="37"/>
        <v>5061.4502074962529</v>
      </c>
      <c r="DB79">
        <f t="shared" si="38"/>
        <v>5981.5570884307863</v>
      </c>
      <c r="DC79" t="str">
        <f>IFERROR(VLOOKUP(K79,源_7银行卡表_Sheet1!$A:$J,8,FALSE),"")</f>
        <v>建设银行</v>
      </c>
      <c r="DD79" t="str">
        <f>IFERROR(VLOOKUP(K79,源_7银行卡表_Sheet1!$A:$J,9,FALSE),"")</f>
        <v>6285206813445632131</v>
      </c>
      <c r="DE79" t="str">
        <f>IFERROR(VLOOKUP(K79,源_7银行卡表_Sheet1!$A:$J,10,FALSE),"")</f>
        <v>徐汇支行</v>
      </c>
      <c r="DF79" t="s">
        <v>483</v>
      </c>
      <c r="DG79">
        <v>18363978436</v>
      </c>
      <c r="DH79" t="s">
        <v>180</v>
      </c>
      <c r="DI79">
        <v>0</v>
      </c>
      <c r="DJ79">
        <v>0</v>
      </c>
      <c r="DK79">
        <v>0</v>
      </c>
      <c r="DL79">
        <v>0</v>
      </c>
      <c r="DM79">
        <v>0</v>
      </c>
      <c r="DN79">
        <v>0</v>
      </c>
      <c r="DO79">
        <v>0</v>
      </c>
      <c r="DP79">
        <v>0</v>
      </c>
      <c r="DQ79">
        <v>0</v>
      </c>
      <c r="DR79">
        <f>IF(OR(IFERROR(VLOOKUP(K79,源_3考勤报表_考勤表!$F:$BG,39,FALSE),0)+IFERROR(VLOOKUP(K79,源_8补工时表_补当月工时!$A:$AC,24,FALSE),0)=0,IFERROR(VLOOKUP(K79,源_3考勤报表_考勤表!$F:$BG,43,FALSE),0)+IFERROR(VLOOKUP(K79,源_8补工时表_补当月工时!$A:$AC,26,FALSE),0)=0),IF(BI79+BG79-BT79&lt;0,BI79+BG79-BT79,0),0)</f>
        <v>0</v>
      </c>
    </row>
    <row r="80" spans="1:122" x14ac:dyDescent="0.15">
      <c r="A80">
        <f>参数!$B$2</f>
        <v>2025</v>
      </c>
      <c r="B80">
        <f>参数!$B$3</f>
        <v>12</v>
      </c>
      <c r="D80" t="s">
        <v>147</v>
      </c>
      <c r="E80" t="s">
        <v>123</v>
      </c>
      <c r="F80" t="str">
        <f>IFERROR(VLOOKUP(K80,源_7银行卡表_Sheet1!$A:$J,6,FALSE),"")</f>
        <v>华北营运</v>
      </c>
      <c r="G80" t="s">
        <v>148</v>
      </c>
      <c r="H80" t="s">
        <v>484</v>
      </c>
      <c r="I80" t="s">
        <v>150</v>
      </c>
      <c r="J80">
        <v>1</v>
      </c>
      <c r="K80">
        <v>26123079</v>
      </c>
      <c r="L80" t="s">
        <v>485</v>
      </c>
      <c r="M80" t="s">
        <v>218</v>
      </c>
      <c r="N80" t="s">
        <v>207</v>
      </c>
      <c r="P80" t="s">
        <v>131</v>
      </c>
      <c r="Q80">
        <f>IF(P80="门店全职",IFERROR(VLOOKUP(K80,源_3考勤报表_考勤表!$F:$BG,34,FALSE),0)+IFERROR(VLOOKUP(K80,源_8补工时表_补当月工时!$A:$AC,14,FALSE),0),IF(P80="门店管理组",IF(IFERROR(VLOOKUP(K80,源_3考勤报表_考勤表!$F:$BG,34,FALSE),0)+IFERROR(VLOOKUP(K80,源_8补工时表_补当月工时!$A:$AC,14,FALSE),0)+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44,FALSE),0)+IFERROR(VLOOKUP(K80,源_8补工时表_补当月工时!$A:$AC,16,FALSE),0)+IFERROR(VLOOKUP(K80,源_3考勤报表_考勤表!$F:$BG,45,FALSE),0)&gt;=参数!$B$4,参数!$B$4-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44,FALSE),0)-IFERROR(VLOOKUP(K80,源_8补工时表_补当月工时!$A:$AC,16,FALSE),0)-IFERROR(VLOOKUP(K80,源_3考勤报表_考勤表!$F:$BG,45,FALSE),0),IFERROR(VLOOKUP(K80,源_3考勤报表_考勤表!$F:$BG,34,FALSE),0)+IFERROR(VLOOKUP(K80,源_8补工时表_补当月工时!$A:$AC,14,FALSE),0)),0))</f>
        <v>8</v>
      </c>
      <c r="R80">
        <v>4750</v>
      </c>
      <c r="S80">
        <v>0</v>
      </c>
      <c r="T80">
        <f>IF(P80="门店全职",R80/参数!$B$4*(Q80-MAX(IFERROR(VLOOKUP(K80,源_3考勤报表_考勤表!$F:$BG,34,FALSE),0)+IFERROR(VLOOKUP(K80,源_8补工时表_补当月工时!$A:$AC,14,FALSE),0)+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参数!$B$4,0)),R80/参数!$B$4*Q80)</f>
        <v>206.52173913043478</v>
      </c>
      <c r="U80">
        <v>0</v>
      </c>
      <c r="V80">
        <v>0</v>
      </c>
      <c r="W80">
        <f t="shared" si="26"/>
        <v>0</v>
      </c>
      <c r="X80">
        <f>IFERROR(VLOOKUP(K80,源_4奖金汇总表_拆分手工算!$A:$N,8,FALSE),0)</f>
        <v>0</v>
      </c>
      <c r="Y80">
        <f>IFERROR(VLOOKUP(K80,源_5薪资备忘录_工资调整项!$A:$AC,14,FALSE),0)</f>
        <v>0</v>
      </c>
      <c r="Z80">
        <f>IFERROR(VLOOKUP(K80,源_5薪资备忘录_工资调整项!$A:$AC,16,FALSE),0)</f>
        <v>0</v>
      </c>
      <c r="AA80">
        <f>IFERROR(VLOOKUP(K80,源_5薪资备忘录_工资调整项!$A:$AC,15,FALSE),0)</f>
        <v>0</v>
      </c>
      <c r="AB80">
        <f t="shared" si="27"/>
        <v>0</v>
      </c>
      <c r="AC80">
        <f>IF(P80="门店全职",R80/174*MAX(IFERROR(VLOOKUP(K80,源_3考勤报表_考勤表!$F:$BG,34,FALSE),0)+IFERROR(VLOOKUP(K80,源_8补工时表_补当月工时!$A:$AC,14,FALSE),0)+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参数!$B$4,0)*1.5,0)</f>
        <v>0</v>
      </c>
      <c r="AD80">
        <v>0</v>
      </c>
      <c r="AE80">
        <f>IFERROR(VLOOKUP(K80,源_3考勤报表_考勤表!$F:$BG,46,FALSE),0)+IFERROR(VLOOKUP(K80,源_8补工时表_补当月工时!$A:$AC,25,FALSE),0)</f>
        <v>0</v>
      </c>
      <c r="AF80">
        <f t="shared" si="28"/>
        <v>0</v>
      </c>
      <c r="AG80">
        <f>IFERROR(VLOOKUP(K80,源_4奖金汇总表_拆分手工算!$A:$N,10,FALSE),0)</f>
        <v>0</v>
      </c>
      <c r="AH80">
        <f>IFERROR(VLOOKUP(K80,源_4奖金汇总表_拆分手工算!$A:$N,5,FALSE),0)</f>
        <v>0</v>
      </c>
      <c r="AI80">
        <f>IFERROR(VLOOKUP(K80,源_4奖金汇总表_拆分手工算!$A:$N,11,FALSE),0)</f>
        <v>0</v>
      </c>
      <c r="AJ80">
        <f>IFERROR(VLOOKUP(K80,源_4奖金汇总表_拆分手工算!$A:$N,4,FALSE),0)</f>
        <v>0</v>
      </c>
      <c r="AK80">
        <f>IFERROR(VLOOKUP(K80,源_4奖金汇总表_拆分手工算!$A:$N,3,FALSE),0)</f>
        <v>6666.66</v>
      </c>
      <c r="AL80">
        <f>IFERROR(VLOOKUP(K80,源_4奖金汇总表_拆分手工算!$A:$N,6,FALSE),0)</f>
        <v>0</v>
      </c>
      <c r="AM80">
        <f>IFERROR(VLOOKUP(K80,源_5薪资备忘录_工资调整项!$A:$AC,18,FALSE),0)+IFERROR(VLOOKUP(K80,源_4奖金汇总表_拆分手工算!$A:$N,7,FALSE),0)</f>
        <v>0</v>
      </c>
      <c r="AN80">
        <f>IFERROR(VLOOKUP(K80,源_5薪资备忘录_工资调整项!$A:$AC,17,FALSE),0)</f>
        <v>0</v>
      </c>
      <c r="AO80">
        <f>IF(OR(IFERROR(VLOOKUP(K80,源_3考勤报表_考勤表!$F:$BG,39,FALSE),0)+IFERROR(VLOOKUP(K80,源_8补工时表_补当月工时!$A:$AC,24,FALSE),0)&gt;0,IFERROR(VLOOKUP(K80,源_3考勤报表_考勤表!$F:$BG,43,FALSE),0)+IFERROR(VLOOKUP(K80,源_8补工时表_补当月工时!$A:$AC,26,FALSE),0)&gt;0),IF(IFERROR(VLOOKUP(DH80,源_11产假政策_Sheet1!$C:$F,4,FALSE),"")="是",R80/参数!$B$4*(IFERROR(VLOOKUP(K80,源_3考勤报表_考勤表!$F:$BG,39,FALSE),0)+IFERROR(VLOOKUP(K80,源_8补工时表_补当月工时!$A:$AC,24,FALSE),0)+IFERROR(VLOOKUP(K80,源_3考勤报表_考勤表!$F:$BG,43,FALSE),0)+IFERROR(VLOOKUP(K80,源_8补工时表_补当月工时!$A:$AC,26,FALSE),0)),IFERROR(VLOOKUP(K80,源_5薪资备忘录_工资调整项!$A:$AC,19,FALSE),0)),0)</f>
        <v>1500</v>
      </c>
      <c r="AP80">
        <v>0</v>
      </c>
      <c r="AQ80">
        <f>IFERROR(VLOOKUP(K80,源_4奖金汇总表_拆分手工算!$A:$N,12,FALSE),0)+IFERROR(VLOOKUP(K80,源_9年终奖表_Sheet1!$A:$E,3,FALSE),0)</f>
        <v>0</v>
      </c>
      <c r="AR80">
        <f>IFERROR(VLOOKUP(K80,源_4奖金汇总表_拆分手工算!$A:$N,13,FALSE),0)+IFERROR(VLOOKUP(K80,源_9年终奖表_Sheet1!$A:$E,4,FALSE),0)</f>
        <v>0</v>
      </c>
      <c r="AS80">
        <f>IFERROR(VLOOKUP(K80,源_4奖金汇总表_拆分手工算!$A:$N,14,FALSE),0)+IFERROR(VLOOKUP(K80,源_9年终奖表_Sheet1!$A:$E,5,FALSE),0)</f>
        <v>0</v>
      </c>
      <c r="AT80">
        <f>IFERROR(VLOOKUP(K80,源_5薪资备忘录_工资调整项!$A:$AC,20,FALSE),0)</f>
        <v>0</v>
      </c>
      <c r="AU80">
        <f>IFERROR(VLOOKUP(K80,源_5薪资备忘录_工资调整项!$A:$AC,21,FALSE),0)+IFERROR(VLOOKUP(K80,源_4奖金汇总表_拆分手工算!$A:$N,9,FALSE),0)</f>
        <v>0</v>
      </c>
      <c r="AV80">
        <f>R80/参数!$B$4*(IFERROR(VLOOKUP(K80,源_3考勤报表_考勤表!$F:$BG,37,FALSE),0)+IFERROR(VLOOKUP(K80,源_8补工时表_补当月工时!$A:$AC,15,FALSE),0))</f>
        <v>206.52173913043478</v>
      </c>
      <c r="AW80">
        <f>R80/174*MIN(IFERROR(VLOOKUP(K80,源_3考勤报表_考勤表!$F:$BG,35,FALSE),0),174)*IF(DATEDIF(N80,DATE(参数!$B$2,参数!$B$3+1,0),"Y")&lt;2,0.6,IF(DATEDIF(N80,DATE(参数!$B$2,参数!$B$3+1,0),"Y")&lt;4,0.7,IF(DATEDIF(N80,DATE(参数!$B$2,参数!$B$3+1,0),"Y")&lt;6,0.8,IF(DATEDIF(N80,DATE(参数!$B$2,参数!$B$3+1,0),"Y")&lt;8,0.9,1))))</f>
        <v>0</v>
      </c>
      <c r="AX80">
        <f>IF(Q80+IFERROR(VLOOKUP(K80,源_3考勤报表_考勤表!$F:$BG,37,FALSE),0)+IFERROR(VLOOKUP(K80,源_8补工时表_补当月工时!$A:$AC,15,FALSE),0)&gt;=参数!$B$4,0,IF(Q80+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lt;=参数!$B$4,R80/参数!$B$4*(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0))</f>
        <v>0</v>
      </c>
      <c r="AY80">
        <v>0</v>
      </c>
      <c r="AZ80">
        <v>0</v>
      </c>
      <c r="BA80">
        <v>0</v>
      </c>
      <c r="BB80">
        <v>0</v>
      </c>
      <c r="BC80">
        <f>IFERROR(VLOOKUP(K80,源_5薪资备忘录_工资调整项!$A:$AC,25,FALSE),0)</f>
        <v>0</v>
      </c>
      <c r="BD80">
        <v>0</v>
      </c>
      <c r="BE80">
        <f>(T80+W80+AB80+AG80+AH80+AI80+AJ80+AK80+AL80+AM80+AN80+AO80+AP80+AU80+AV80+AW80+AX80+BC80-IFERROR(VLOOKUP(DF80,源_6社保表_Sheet1!$C:$BZ,76,FALSE),0))*0.02</f>
        <v>153.6502695652174</v>
      </c>
      <c r="BF80">
        <v>0</v>
      </c>
      <c r="BG80">
        <f>IFERROR(VLOOKUP(K80,源_5薪资备忘录_工资调整项!$A:$AC,22,FALSE),0)+IFERROR(VLOOKUP(K80,源_5薪资备忘录_工资调整项!$A:$AC,23,FALSE),0)+IFERROR(VLOOKUP(K80,源_5薪资备忘录_工资调整项!$A:$AC,24,FALSE),0)</f>
        <v>0</v>
      </c>
      <c r="BH80">
        <f>IFERROR(VLOOKUP(DF80,源_6社保表_Sheet1!$C:$CD,80,FALSE),0)+4.5</f>
        <v>6.5</v>
      </c>
      <c r="BI80">
        <f t="shared" si="29"/>
        <v>8579.7034782608698</v>
      </c>
      <c r="BJ80">
        <f>IFERROR(VLOOKUP(DF80,源_6社保表_Sheet1!$C:$BZ,26,FALSE),0)</f>
        <v>501.34</v>
      </c>
      <c r="BK80">
        <f>IFERROR(VLOOKUP(DF80,源_6社保表_Sheet1!$C:$BZ,27,FALSE),0)</f>
        <v>71.62</v>
      </c>
      <c r="BL80">
        <f>IFERROR(VLOOKUP(DF80,源_6社保表_Sheet1!$C:$BZ,28,FALSE),0)</f>
        <v>35.81</v>
      </c>
      <c r="BM80">
        <f>IFERROR(VLOOKUP(DF80,源_6社保表_Sheet1!$C:$BZ,30,FALSE),0)</f>
        <v>288.42</v>
      </c>
      <c r="BN80">
        <f>IFERROR(VLOOKUP(DF80,源_6社保表_Sheet1!$C:$BZ,29,FALSE),0)</f>
        <v>0</v>
      </c>
      <c r="BO80">
        <f>IFERROR(VLOOKUP(DF80,源_6社保表_Sheet1!$C:$BZ,40,FALSE),0)</f>
        <v>0</v>
      </c>
      <c r="BP80">
        <f>IFERROR(VLOOKUP(DF80,源_6社保表_Sheet1!$C:$BZ,41,FALSE),0)</f>
        <v>0</v>
      </c>
      <c r="BQ80">
        <f>IFERROR(VLOOKUP(DF80,源_6社保表_Sheet1!$C:$BZ,42,FALSE),0)</f>
        <v>0</v>
      </c>
      <c r="BR80">
        <f>IFERROR(VLOOKUP(DF80,源_6社保表_Sheet1!$C:$BZ,44,FALSE),0)</f>
        <v>0</v>
      </c>
      <c r="BS80">
        <f>IFERROR(VLOOKUP(DF80,源_6社保表_Sheet1!$C:$BZ,43,FALSE),0)</f>
        <v>0</v>
      </c>
      <c r="BT80">
        <f t="shared" si="30"/>
        <v>897.19</v>
      </c>
      <c r="BU80">
        <v>0</v>
      </c>
      <c r="BV80">
        <v>0</v>
      </c>
      <c r="BW80">
        <v>0</v>
      </c>
      <c r="BX80">
        <f t="shared" si="31"/>
        <v>0</v>
      </c>
      <c r="BY80">
        <v>0</v>
      </c>
      <c r="BZ80">
        <f>IFERROR(VLOOKUP(DF80,源_6社保表_Sheet1!$C:$BZ,18,FALSE),0)</f>
        <v>1074.3</v>
      </c>
      <c r="CA80">
        <f>IFERROR(VLOOKUP(DF80,源_6社保表_Sheet1!$C:$BZ,19,FALSE),0)</f>
        <v>572.96</v>
      </c>
      <c r="CB80">
        <f>IFERROR(VLOOKUP(DF80,源_6社保表_Sheet1!$C:$BZ,24,FALSE),0)</f>
        <v>288.42</v>
      </c>
      <c r="CC80">
        <f>IFERROR(VLOOKUP(DF80,源_6社保表_Sheet1!$C:$BZ,20,FALSE),0)</f>
        <v>35.81</v>
      </c>
      <c r="CD80">
        <f>IFERROR(VLOOKUP(DF80,源_6社保表_Sheet1!$C:$BZ,21,FALSE),0)</f>
        <v>22.918399999999998</v>
      </c>
      <c r="CE80">
        <f>IFERROR(VLOOKUP(DF80,源_6社保表_Sheet1!$C:$BZ,22,FALSE),0)</f>
        <v>0</v>
      </c>
      <c r="CF80">
        <f>IFERROR(VLOOKUP(DF80,源_6社保表_Sheet1!$C:$BZ,23,FALSE),0)</f>
        <v>0</v>
      </c>
      <c r="CG80">
        <f>IFERROR(VLOOKUP(DF80,源_6社保表_Sheet1!$C:$BZ,32,FALSE),0)</f>
        <v>0</v>
      </c>
      <c r="CH80">
        <f>IFERROR(VLOOKUP(DF80,源_6社保表_Sheet1!$C:$BZ,33,FALSE),0)</f>
        <v>0</v>
      </c>
      <c r="CI80">
        <f>IFERROR(VLOOKUP(DF80,源_6社保表_Sheet1!$C:$BZ,34,FALSE),0)</f>
        <v>0</v>
      </c>
      <c r="CJ80">
        <f>IFERROR(VLOOKUP(DF80,源_6社保表_Sheet1!$C:$BZ,38,FALSE),0)</f>
        <v>0</v>
      </c>
      <c r="CK80">
        <f>IFERROR(VLOOKUP(DF80,源_6社保表_Sheet1!$C:$BZ,35,FALSE),0)</f>
        <v>0</v>
      </c>
      <c r="CL80">
        <f>IFERROR(VLOOKUP(DF80,源_6社保表_Sheet1!$C:$BZ,36,FALSE),0)</f>
        <v>0</v>
      </c>
      <c r="CM80">
        <f>IFERROR(VLOOKUP(DF80,源_6社保表_Sheet1!$C:$BZ,37,FALSE),0)</f>
        <v>0</v>
      </c>
      <c r="CN80">
        <f t="shared" si="32"/>
        <v>1994.4084</v>
      </c>
      <c r="CO80">
        <f t="shared" si="33"/>
        <v>10734.262147826088</v>
      </c>
      <c r="CP80">
        <f>IF(IFERROR(VLOOKUP(K80,源_13残疾人信息_残疾人信息!$A:$M,1,FALSE),"")&lt;&gt;"",0,IF(OR(P80="门店全职",P80="门店管理组",P80="全职(非门店)"),(BI80-AT80)*IFERROR(VLOOKUP(D80,源_12计提残保金规则_Sheet1!$A:$E,4,FALSE),0)*IFERROR(VLOOKUP(D80,源_12计提残保金规则_Sheet1!$A:$E,5,FALSE),0),0))</f>
        <v>115.82599695652173</v>
      </c>
      <c r="CQ80">
        <f t="shared" si="34"/>
        <v>16.05</v>
      </c>
      <c r="CR80">
        <f t="shared" si="35"/>
        <v>20.67</v>
      </c>
      <c r="CS80">
        <f>IF(DATEVALUE(N80)&gt;DATE(参数!$B$2,9,30),0,IF(M80="行政",0,IF(O80="",R80/12,IF(MONTH(DATEVALUE(O80))=参数!$B$3,0,IF(DATEVALUE(O80)&lt;DATE(参数!$B$2,参数!$B$3,1),0,R80/12)))))</f>
        <v>395.83333333333331</v>
      </c>
      <c r="CT80">
        <f t="shared" si="36"/>
        <v>484.5</v>
      </c>
      <c r="CU80">
        <f>IFERROR(VLOOKUP(DF80,源_6社保表_Sheet1!$C:$I,2,FALSE),0)</f>
        <v>7162</v>
      </c>
      <c r="CV80">
        <f>IFERROR(VLOOKUP(DF80,源_6社保表_Sheet1!$C:$I,7,FALSE),0)</f>
        <v>4807</v>
      </c>
      <c r="CW80">
        <f>IFERROR(VLOOKUP(DF80,源_6社保表_Sheet1!$C:$I,3,FALSE),0)</f>
        <v>7162</v>
      </c>
      <c r="CX80">
        <f>IFERROR(VLOOKUP(DF80,源_6社保表_Sheet1!$C:$I,4,FALSE),0)</f>
        <v>7162</v>
      </c>
      <c r="CY80">
        <f>IFERROR(VLOOKUP(DF80,源_6社保表_Sheet1!$C:$I,5,FALSE),0)</f>
        <v>7162</v>
      </c>
      <c r="CZ80">
        <f>IFERROR(VLOOKUP(DF80,源_6社保表_Sheet1!$C:$I,6,FALSE),0)</f>
        <v>0</v>
      </c>
      <c r="DA80">
        <f t="shared" si="37"/>
        <v>3907.4518782608702</v>
      </c>
      <c r="DB80">
        <f t="shared" si="38"/>
        <v>4946.831208550725</v>
      </c>
      <c r="DC80" t="str">
        <f>IFERROR(VLOOKUP(K80,源_7银行卡表_Sheet1!$A:$J,8,FALSE),"")</f>
        <v>建设银行</v>
      </c>
      <c r="DD80" t="str">
        <f>IFERROR(VLOOKUP(K80,源_7银行卡表_Sheet1!$A:$J,9,FALSE),"")</f>
        <v>6281953955426423231</v>
      </c>
      <c r="DE80" t="str">
        <f>IFERROR(VLOOKUP(K80,源_7银行卡表_Sheet1!$A:$J,10,FALSE),"")</f>
        <v>虹桥机场</v>
      </c>
      <c r="DF80" t="s">
        <v>486</v>
      </c>
      <c r="DG80">
        <v>18460254992</v>
      </c>
      <c r="DH80" t="s">
        <v>148</v>
      </c>
      <c r="DI80">
        <v>0</v>
      </c>
      <c r="DJ80">
        <v>0</v>
      </c>
      <c r="DK80">
        <v>0</v>
      </c>
      <c r="DL80">
        <v>0</v>
      </c>
      <c r="DM80">
        <v>0</v>
      </c>
      <c r="DN80">
        <v>0</v>
      </c>
      <c r="DO80">
        <v>0</v>
      </c>
      <c r="DP80">
        <v>0</v>
      </c>
      <c r="DQ80">
        <v>0</v>
      </c>
      <c r="DR80">
        <f>IF(OR(IFERROR(VLOOKUP(K80,源_3考勤报表_考勤表!$F:$BG,39,FALSE),0)+IFERROR(VLOOKUP(K80,源_8补工时表_补当月工时!$A:$AC,24,FALSE),0)=0,IFERROR(VLOOKUP(K80,源_3考勤报表_考勤表!$F:$BG,43,FALSE),0)+IFERROR(VLOOKUP(K80,源_8补工时表_补当月工时!$A:$AC,26,FALSE),0)=0),IF(BI80+BG80-BT80&lt;0,BI80+BG80-BT80,0),0)</f>
        <v>0</v>
      </c>
    </row>
    <row r="81" spans="1:122" x14ac:dyDescent="0.15">
      <c r="A81">
        <f>参数!$B$2</f>
        <v>2025</v>
      </c>
      <c r="B81">
        <f>参数!$B$3</f>
        <v>12</v>
      </c>
      <c r="D81" t="s">
        <v>289</v>
      </c>
      <c r="E81" t="s">
        <v>123</v>
      </c>
      <c r="F81" t="str">
        <f>IFERROR(VLOOKUP(K81,源_7银行卡表_Sheet1!$A:$J,6,FALSE),"")</f>
        <v>华北营运</v>
      </c>
      <c r="G81" t="s">
        <v>290</v>
      </c>
      <c r="H81" t="s">
        <v>396</v>
      </c>
      <c r="I81" t="s">
        <v>292</v>
      </c>
      <c r="J81">
        <v>1</v>
      </c>
      <c r="K81">
        <v>26123080</v>
      </c>
      <c r="L81" t="s">
        <v>487</v>
      </c>
      <c r="M81" t="s">
        <v>152</v>
      </c>
      <c r="N81" t="s">
        <v>488</v>
      </c>
      <c r="O81" t="s">
        <v>489</v>
      </c>
      <c r="P81" t="s">
        <v>154</v>
      </c>
      <c r="Q81">
        <f>IF(P81="门店全职",IFERROR(VLOOKUP(K81,源_3考勤报表_考勤表!$F:$BG,34,FALSE),0)+IFERROR(VLOOKUP(K81,源_8补工时表_补当月工时!$A:$AC,14,FALSE),0),IF(P81="门店管理组",IF(IFERROR(VLOOKUP(K81,源_3考勤报表_考勤表!$F:$BG,34,FALSE),0)+IFERROR(VLOOKUP(K81,源_8补工时表_补当月工时!$A:$AC,14,FALSE),0)+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44,FALSE),0)+IFERROR(VLOOKUP(K81,源_8补工时表_补当月工时!$A:$AC,16,FALSE),0)+IFERROR(VLOOKUP(K81,源_3考勤报表_考勤表!$F:$BG,45,FALSE),0)&gt;=参数!$B$4,参数!$B$4-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44,FALSE),0)-IFERROR(VLOOKUP(K81,源_8补工时表_补当月工时!$A:$AC,16,FALSE),0)-IFERROR(VLOOKUP(K81,源_3考勤报表_考勤表!$F:$BG,45,FALSE),0),IFERROR(VLOOKUP(K81,源_3考勤报表_考勤表!$F:$BG,34,FALSE),0)+IFERROR(VLOOKUP(K81,源_8补工时表_补当月工时!$A:$AC,14,FALSE),0)),0))</f>
        <v>16</v>
      </c>
      <c r="R81">
        <v>3190</v>
      </c>
      <c r="S81">
        <v>0</v>
      </c>
      <c r="T81">
        <f>IF(P81="门店全职",R81/参数!$B$4*(Q81-MAX(IFERROR(VLOOKUP(K81,源_3考勤报表_考勤表!$F:$BG,34,FALSE),0)+IFERROR(VLOOKUP(K81,源_8补工时表_补当月工时!$A:$AC,14,FALSE),0)+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参数!$B$4,0)),R81/参数!$B$4*Q81)</f>
        <v>277.39130434782606</v>
      </c>
      <c r="U81">
        <v>0</v>
      </c>
      <c r="V81">
        <v>0</v>
      </c>
      <c r="W81">
        <f t="shared" si="26"/>
        <v>0</v>
      </c>
      <c r="X81">
        <f>IFERROR(VLOOKUP(K81,源_4奖金汇总表_拆分手工算!$A:$N,8,FALSE),0)</f>
        <v>0</v>
      </c>
      <c r="Y81">
        <f>IFERROR(VLOOKUP(K81,源_5薪资备忘录_工资调整项!$A:$AC,14,FALSE),0)</f>
        <v>0</v>
      </c>
      <c r="Z81">
        <f>IFERROR(VLOOKUP(K81,源_5薪资备忘录_工资调整项!$A:$AC,16,FALSE),0)</f>
        <v>0</v>
      </c>
      <c r="AA81">
        <f>IFERROR(VLOOKUP(K81,源_5薪资备忘录_工资调整项!$A:$AC,15,FALSE),0)</f>
        <v>0</v>
      </c>
      <c r="AB81">
        <f t="shared" si="27"/>
        <v>0</v>
      </c>
      <c r="AC81">
        <f>IF(P81="门店全职",R81/174*MAX(IFERROR(VLOOKUP(K81,源_3考勤报表_考勤表!$F:$BG,34,FALSE),0)+IFERROR(VLOOKUP(K81,源_8补工时表_补当月工时!$A:$AC,14,FALSE),0)+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参数!$B$4,0)*1.5,0)</f>
        <v>0</v>
      </c>
      <c r="AD81">
        <v>0</v>
      </c>
      <c r="AE81">
        <f>IFERROR(VLOOKUP(K81,源_3考勤报表_考勤表!$F:$BG,46,FALSE),0)+IFERROR(VLOOKUP(K81,源_8补工时表_补当月工时!$A:$AC,25,FALSE),0)</f>
        <v>0</v>
      </c>
      <c r="AF81">
        <f t="shared" si="28"/>
        <v>0</v>
      </c>
      <c r="AG81">
        <f>IFERROR(VLOOKUP(K81,源_4奖金汇总表_拆分手工算!$A:$N,10,FALSE),0)</f>
        <v>0</v>
      </c>
      <c r="AH81">
        <f>IFERROR(VLOOKUP(K81,源_4奖金汇总表_拆分手工算!$A:$N,5,FALSE),0)</f>
        <v>0</v>
      </c>
      <c r="AI81">
        <f>IFERROR(VLOOKUP(K81,源_4奖金汇总表_拆分手工算!$A:$N,11,FALSE),0)</f>
        <v>0</v>
      </c>
      <c r="AJ81">
        <f>IFERROR(VLOOKUP(K81,源_4奖金汇总表_拆分手工算!$A:$N,4,FALSE),0)</f>
        <v>0</v>
      </c>
      <c r="AK81">
        <f>IFERROR(VLOOKUP(K81,源_4奖金汇总表_拆分手工算!$A:$N,3,FALSE),0)</f>
        <v>0</v>
      </c>
      <c r="AL81">
        <f>IFERROR(VLOOKUP(K81,源_4奖金汇总表_拆分手工算!$A:$N,6,FALSE),0)</f>
        <v>0</v>
      </c>
      <c r="AM81">
        <f>IFERROR(VLOOKUP(K81,源_5薪资备忘录_工资调整项!$A:$AC,18,FALSE),0)+IFERROR(VLOOKUP(K81,源_4奖金汇总表_拆分手工算!$A:$N,7,FALSE),0)</f>
        <v>0</v>
      </c>
      <c r="AN81">
        <f>IFERROR(VLOOKUP(K81,源_5薪资备忘录_工资调整项!$A:$AC,17,FALSE),0)</f>
        <v>0</v>
      </c>
      <c r="AO81">
        <f>IF(OR(IFERROR(VLOOKUP(K81,源_3考勤报表_考勤表!$F:$BG,39,FALSE),0)+IFERROR(VLOOKUP(K81,源_8补工时表_补当月工时!$A:$AC,24,FALSE),0)&gt;0,IFERROR(VLOOKUP(K81,源_3考勤报表_考勤表!$F:$BG,43,FALSE),0)+IFERROR(VLOOKUP(K81,源_8补工时表_补当月工时!$A:$AC,26,FALSE),0)&gt;0),IF(IFERROR(VLOOKUP(DH81,源_11产假政策_Sheet1!$C:$F,4,FALSE),"")="是",R81/参数!$B$4*(IFERROR(VLOOKUP(K81,源_3考勤报表_考勤表!$F:$BG,39,FALSE),0)+IFERROR(VLOOKUP(K81,源_8补工时表_补当月工时!$A:$AC,24,FALSE),0)+IFERROR(VLOOKUP(K81,源_3考勤报表_考勤表!$F:$BG,43,FALSE),0)+IFERROR(VLOOKUP(K81,源_8补工时表_补当月工时!$A:$AC,26,FALSE),0)),IFERROR(VLOOKUP(K81,源_5薪资备忘录_工资调整项!$A:$AC,19,FALSE),0)),0)</f>
        <v>0</v>
      </c>
      <c r="AP81">
        <v>0</v>
      </c>
      <c r="AQ81">
        <f>IFERROR(VLOOKUP(K81,源_4奖金汇总表_拆分手工算!$A:$N,12,FALSE),0)+IFERROR(VLOOKUP(K81,源_9年终奖表_Sheet1!$A:$E,3,FALSE),0)</f>
        <v>0</v>
      </c>
      <c r="AR81">
        <f>IFERROR(VLOOKUP(K81,源_4奖金汇总表_拆分手工算!$A:$N,13,FALSE),0)+IFERROR(VLOOKUP(K81,源_9年终奖表_Sheet1!$A:$E,4,FALSE),0)</f>
        <v>0</v>
      </c>
      <c r="AS81">
        <f>IFERROR(VLOOKUP(K81,源_4奖金汇总表_拆分手工算!$A:$N,14,FALSE),0)+IFERROR(VLOOKUP(K81,源_9年终奖表_Sheet1!$A:$E,5,FALSE),0)</f>
        <v>0</v>
      </c>
      <c r="AT81">
        <f>IFERROR(VLOOKUP(K81,源_5薪资备忘录_工资调整项!$A:$AC,20,FALSE),0)</f>
        <v>0</v>
      </c>
      <c r="AU81">
        <f>IFERROR(VLOOKUP(K81,源_5薪资备忘录_工资调整项!$A:$AC,21,FALSE),0)+IFERROR(VLOOKUP(K81,源_4奖金汇总表_拆分手工算!$A:$N,9,FALSE),0)</f>
        <v>0</v>
      </c>
      <c r="AV81">
        <f>R81/参数!$B$4*(IFERROR(VLOOKUP(K81,源_3考勤报表_考勤表!$F:$BG,37,FALSE),0)+IFERROR(VLOOKUP(K81,源_8补工时表_补当月工时!$A:$AC,15,FALSE),0))</f>
        <v>0</v>
      </c>
      <c r="AW81">
        <f>R81/174*MIN(IFERROR(VLOOKUP(K81,源_3考勤报表_考勤表!$F:$BG,35,FALSE),0),174)*IF(DATEDIF(N81,DATE(参数!$B$2,参数!$B$3+1,0),"Y")&lt;2,0.6,IF(DATEDIF(N81,DATE(参数!$B$2,参数!$B$3+1,0),"Y")&lt;4,0.7,IF(DATEDIF(N81,DATE(参数!$B$2,参数!$B$3+1,0),"Y")&lt;6,0.8,IF(DATEDIF(N81,DATE(参数!$B$2,参数!$B$3+1,0),"Y")&lt;8,0.9,1))))</f>
        <v>0</v>
      </c>
      <c r="AX81">
        <f>IF(Q81+IFERROR(VLOOKUP(K81,源_3考勤报表_考勤表!$F:$BG,37,FALSE),0)+IFERROR(VLOOKUP(K81,源_8补工时表_补当月工时!$A:$AC,15,FALSE),0)&gt;=参数!$B$4,0,IF(Q81+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lt;=参数!$B$4,R81/参数!$B$4*(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0))</f>
        <v>34.673913043478258</v>
      </c>
      <c r="AY81">
        <v>0</v>
      </c>
      <c r="AZ81">
        <v>0</v>
      </c>
      <c r="BA81">
        <v>0</v>
      </c>
      <c r="BB81">
        <v>0</v>
      </c>
      <c r="BC81">
        <f>IFERROR(VLOOKUP(K81,源_5薪资备忘录_工资调整项!$A:$AC,25,FALSE),0)</f>
        <v>0</v>
      </c>
      <c r="BD81">
        <v>0</v>
      </c>
      <c r="BE81">
        <v>0</v>
      </c>
      <c r="BF81">
        <v>0</v>
      </c>
      <c r="BG81">
        <f>IFERROR(VLOOKUP(K81,源_5薪资备忘录_工资调整项!$A:$AC,22,FALSE),0)+IFERROR(VLOOKUP(K81,源_5薪资备忘录_工资调整项!$A:$AC,23,FALSE),0)+IFERROR(VLOOKUP(K81,源_5薪资备忘录_工资调整项!$A:$AC,24,FALSE),0)</f>
        <v>0</v>
      </c>
      <c r="BH81">
        <f>IFERROR(VLOOKUP(DF81,源_6社保表_Sheet1!$C:$CD,80,FALSE),0)+4.5</f>
        <v>6.5</v>
      </c>
      <c r="BI81">
        <f t="shared" si="29"/>
        <v>312.06521739130432</v>
      </c>
      <c r="BJ81">
        <f>IFERROR(VLOOKUP(DF81,源_6社保表_Sheet1!$C:$BZ,26,FALSE),0)</f>
        <v>225.2</v>
      </c>
      <c r="BK81">
        <f>IFERROR(VLOOKUP(DF81,源_6社保表_Sheet1!$C:$BZ,27,FALSE),0)</f>
        <v>45.04</v>
      </c>
      <c r="BL81">
        <f>IFERROR(VLOOKUP(DF81,源_6社保表_Sheet1!$C:$BZ,28,FALSE),0)</f>
        <v>22.52</v>
      </c>
      <c r="BM81">
        <f>IFERROR(VLOOKUP(DF81,源_6社保表_Sheet1!$C:$BZ,30,FALSE),0)</f>
        <v>173.5</v>
      </c>
      <c r="BN81">
        <f>IFERROR(VLOOKUP(DF81,源_6社保表_Sheet1!$C:$BZ,29,FALSE),0)</f>
        <v>0</v>
      </c>
      <c r="BO81">
        <f>IFERROR(VLOOKUP(DF81,源_6社保表_Sheet1!$C:$BZ,40,FALSE),0)</f>
        <v>0</v>
      </c>
      <c r="BP81">
        <f>IFERROR(VLOOKUP(DF81,源_6社保表_Sheet1!$C:$BZ,41,FALSE),0)</f>
        <v>0</v>
      </c>
      <c r="BQ81">
        <f>IFERROR(VLOOKUP(DF81,源_6社保表_Sheet1!$C:$BZ,42,FALSE),0)</f>
        <v>0</v>
      </c>
      <c r="BR81">
        <f>IFERROR(VLOOKUP(DF81,源_6社保表_Sheet1!$C:$BZ,44,FALSE),0)</f>
        <v>0</v>
      </c>
      <c r="BS81">
        <f>IFERROR(VLOOKUP(DF81,源_6社保表_Sheet1!$C:$BZ,43,FALSE),0)</f>
        <v>0</v>
      </c>
      <c r="BT81">
        <f t="shared" si="30"/>
        <v>466.26</v>
      </c>
      <c r="BU81">
        <v>0</v>
      </c>
      <c r="BV81">
        <v>0</v>
      </c>
      <c r="BW81">
        <v>0</v>
      </c>
      <c r="BX81">
        <f t="shared" si="31"/>
        <v>0</v>
      </c>
      <c r="BY81">
        <v>0</v>
      </c>
      <c r="BZ81">
        <f>IFERROR(VLOOKUP(DF81,源_6社保表_Sheet1!$C:$BZ,18,FALSE),0)</f>
        <v>540.48</v>
      </c>
      <c r="CA81">
        <f>IFERROR(VLOOKUP(DF81,源_6社保表_Sheet1!$C:$BZ,19,FALSE),0)</f>
        <v>270.24</v>
      </c>
      <c r="CB81">
        <f>IFERROR(VLOOKUP(DF81,源_6社保表_Sheet1!$C:$BZ,24,FALSE),0)</f>
        <v>173.5</v>
      </c>
      <c r="CC81">
        <f>IFERROR(VLOOKUP(DF81,源_6社保表_Sheet1!$C:$BZ,20,FALSE),0)</f>
        <v>22.52</v>
      </c>
      <c r="CD81">
        <f>IFERROR(VLOOKUP(DF81,源_6社保表_Sheet1!$C:$BZ,21,FALSE),0)</f>
        <v>14.412800000000001</v>
      </c>
      <c r="CE81">
        <f>IFERROR(VLOOKUP(DF81,源_6社保表_Sheet1!$C:$BZ,22,FALSE),0)</f>
        <v>0</v>
      </c>
      <c r="CF81">
        <f>IFERROR(VLOOKUP(DF81,源_6社保表_Sheet1!$C:$BZ,23,FALSE),0)</f>
        <v>0</v>
      </c>
      <c r="CG81">
        <f>IFERROR(VLOOKUP(DF81,源_6社保表_Sheet1!$C:$BZ,32,FALSE),0)</f>
        <v>0</v>
      </c>
      <c r="CH81">
        <f>IFERROR(VLOOKUP(DF81,源_6社保表_Sheet1!$C:$BZ,33,FALSE),0)</f>
        <v>0</v>
      </c>
      <c r="CI81">
        <f>IFERROR(VLOOKUP(DF81,源_6社保表_Sheet1!$C:$BZ,34,FALSE),0)</f>
        <v>0</v>
      </c>
      <c r="CJ81">
        <f>IFERROR(VLOOKUP(DF81,源_6社保表_Sheet1!$C:$BZ,38,FALSE),0)</f>
        <v>0</v>
      </c>
      <c r="CK81">
        <f>IFERROR(VLOOKUP(DF81,源_6社保表_Sheet1!$C:$BZ,35,FALSE),0)</f>
        <v>0</v>
      </c>
      <c r="CL81">
        <f>IFERROR(VLOOKUP(DF81,源_6社保表_Sheet1!$C:$BZ,36,FALSE),0)</f>
        <v>0</v>
      </c>
      <c r="CM81">
        <f>IFERROR(VLOOKUP(DF81,源_6社保表_Sheet1!$C:$BZ,37,FALSE),0)</f>
        <v>0</v>
      </c>
      <c r="CN81">
        <f t="shared" si="32"/>
        <v>1021.1528</v>
      </c>
      <c r="CO81">
        <f t="shared" si="33"/>
        <v>1339.7180173913043</v>
      </c>
      <c r="CP81">
        <f>IF(IFERROR(VLOOKUP(K81,源_13残疾人信息_残疾人信息!$A:$M,1,FALSE),"")&lt;&gt;"",0,IF(OR(P81="门店全职",P81="门店管理组",P81="全职(非门店)"),(BI81-AT81)*IFERROR(VLOOKUP(D81,源_12计提残保金规则_Sheet1!$A:$E,4,FALSE),0)*IFERROR(VLOOKUP(D81,源_12计提残保金规则_Sheet1!$A:$E,5,FALSE),0),0))</f>
        <v>4.2128804347826083</v>
      </c>
      <c r="CQ81">
        <f t="shared" si="34"/>
        <v>16.05</v>
      </c>
      <c r="CR81">
        <f t="shared" si="35"/>
        <v>20.67</v>
      </c>
      <c r="CS81">
        <f>IF(DATEVALUE(N81)&gt;DATE(参数!$B$2,9,30),0,IF(M81="行政",0,IF(O81="",R81/12,IF(MONTH(DATEVALUE(O81))=参数!$B$3,0,IF(DATEVALUE(O81)&lt;DATE(参数!$B$2,参数!$B$3,1),0,R81/12)))))</f>
        <v>0</v>
      </c>
      <c r="CT81">
        <f t="shared" si="36"/>
        <v>0</v>
      </c>
      <c r="CU81">
        <f>IFERROR(VLOOKUP(DF81,源_6社保表_Sheet1!$C:$I,2,FALSE),0)</f>
        <v>4504</v>
      </c>
      <c r="CV81">
        <f>IFERROR(VLOOKUP(DF81,源_6社保表_Sheet1!$C:$I,7,FALSE),0)</f>
        <v>3470</v>
      </c>
      <c r="CW81">
        <f>IFERROR(VLOOKUP(DF81,源_6社保表_Sheet1!$C:$I,3,FALSE),0)</f>
        <v>4504</v>
      </c>
      <c r="CX81">
        <f>IFERROR(VLOOKUP(DF81,源_6社保表_Sheet1!$C:$I,4,FALSE),0)</f>
        <v>4504</v>
      </c>
      <c r="CY81">
        <f>IFERROR(VLOOKUP(DF81,源_6社保表_Sheet1!$C:$I,5,FALSE),0)</f>
        <v>4504</v>
      </c>
      <c r="CZ81">
        <f>IFERROR(VLOOKUP(DF81,源_6社保表_Sheet1!$C:$I,6,FALSE),0)</f>
        <v>0</v>
      </c>
      <c r="DA81">
        <f t="shared" si="37"/>
        <v>1333.2180173913043</v>
      </c>
      <c r="DB81">
        <f t="shared" si="38"/>
        <v>1380.650897826087</v>
      </c>
      <c r="DC81" t="str">
        <f>IFERROR(VLOOKUP(K81,源_7银行卡表_Sheet1!$A:$J,8,FALSE),"")</f>
        <v>建设银行</v>
      </c>
      <c r="DD81" t="str">
        <f>IFERROR(VLOOKUP(K81,源_7银行卡表_Sheet1!$A:$J,9,FALSE),"")</f>
        <v>6281050019411362690</v>
      </c>
      <c r="DE81" t="str">
        <f>IFERROR(VLOOKUP(K81,源_7银行卡表_Sheet1!$A:$J,10,FALSE),"")</f>
        <v>中国建设银行（上海临空支行）</v>
      </c>
      <c r="DF81" t="s">
        <v>490</v>
      </c>
      <c r="DG81">
        <v>15353843644</v>
      </c>
      <c r="DH81" t="s">
        <v>290</v>
      </c>
      <c r="DI81">
        <v>0</v>
      </c>
      <c r="DJ81">
        <v>0</v>
      </c>
      <c r="DK81">
        <v>0</v>
      </c>
      <c r="DL81">
        <v>0</v>
      </c>
      <c r="DM81">
        <v>0</v>
      </c>
      <c r="DN81">
        <v>0</v>
      </c>
      <c r="DO81">
        <v>0</v>
      </c>
      <c r="DP81">
        <v>0</v>
      </c>
      <c r="DQ81">
        <v>0</v>
      </c>
      <c r="DR81">
        <f>IF(OR(IFERROR(VLOOKUP(K81,源_3考勤报表_考勤表!$F:$BG,39,FALSE),0)+IFERROR(VLOOKUP(K81,源_8补工时表_补当月工时!$A:$AC,24,FALSE),0)=0,IFERROR(VLOOKUP(K81,源_3考勤报表_考勤表!$F:$BG,43,FALSE),0)+IFERROR(VLOOKUP(K81,源_8补工时表_补当月工时!$A:$AC,26,FALSE),0)=0),IF(BI81+BG81-BT81&lt;0,BI81+BG81-BT81,0),0)</f>
        <v>-154.19478260869568</v>
      </c>
    </row>
    <row r="82" spans="1:122" x14ac:dyDescent="0.15">
      <c r="A82">
        <f>参数!$B$2</f>
        <v>2025</v>
      </c>
      <c r="B82">
        <f>参数!$B$3</f>
        <v>12</v>
      </c>
      <c r="D82" t="s">
        <v>491</v>
      </c>
      <c r="E82" t="s">
        <v>123</v>
      </c>
      <c r="F82" t="str">
        <f>IFERROR(VLOOKUP(K82,源_7银行卡表_Sheet1!$A:$J,6,FALSE),"")</f>
        <v>华东营运</v>
      </c>
      <c r="G82" t="s">
        <v>492</v>
      </c>
      <c r="H82" t="s">
        <v>493</v>
      </c>
      <c r="I82" t="s">
        <v>494</v>
      </c>
      <c r="J82">
        <v>1</v>
      </c>
      <c r="K82">
        <v>26123081</v>
      </c>
      <c r="L82" t="s">
        <v>495</v>
      </c>
      <c r="M82" t="s">
        <v>496</v>
      </c>
      <c r="N82" t="s">
        <v>374</v>
      </c>
      <c r="P82" t="s">
        <v>131</v>
      </c>
      <c r="Q82">
        <f>IF(P82="门店全职",IFERROR(VLOOKUP(K82,源_3考勤报表_考勤表!$F:$BG,34,FALSE),0)+IFERROR(VLOOKUP(K82,源_8补工时表_补当月工时!$A:$AC,14,FALSE),0),IF(P82="门店管理组",IF(IFERROR(VLOOKUP(K82,源_3考勤报表_考勤表!$F:$BG,34,FALSE),0)+IFERROR(VLOOKUP(K82,源_8补工时表_补当月工时!$A:$AC,14,FALSE),0)+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44,FALSE),0)+IFERROR(VLOOKUP(K82,源_8补工时表_补当月工时!$A:$AC,16,FALSE),0)+IFERROR(VLOOKUP(K82,源_3考勤报表_考勤表!$F:$BG,45,FALSE),0)&gt;=参数!$B$4,参数!$B$4-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44,FALSE),0)-IFERROR(VLOOKUP(K82,源_8补工时表_补当月工时!$A:$AC,16,FALSE),0)-IFERROR(VLOOKUP(K82,源_3考勤报表_考勤表!$F:$BG,45,FALSE),0),IFERROR(VLOOKUP(K82,源_3考勤报表_考勤表!$F:$BG,34,FALSE),0)+IFERROR(VLOOKUP(K82,源_8补工时表_补当月工时!$A:$AC,14,FALSE),0)),0))</f>
        <v>56</v>
      </c>
      <c r="R82">
        <v>4300</v>
      </c>
      <c r="S82">
        <v>15</v>
      </c>
      <c r="T82">
        <f>IF(P82="门店全职",R82/参数!$B$4*(Q82-MAX(IFERROR(VLOOKUP(K82,源_3考勤报表_考勤表!$F:$BG,34,FALSE),0)+IFERROR(VLOOKUP(K82,源_8补工时表_补当月工时!$A:$AC,14,FALSE),0)+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参数!$B$4,0)),R82/参数!$B$4*Q82)</f>
        <v>1308.695652173913</v>
      </c>
      <c r="U82">
        <v>0</v>
      </c>
      <c r="V82">
        <v>0</v>
      </c>
      <c r="W82">
        <f t="shared" si="26"/>
        <v>103.5</v>
      </c>
      <c r="X82">
        <f>IFERROR(VLOOKUP(K82,源_4奖金汇总表_拆分手工算!$A:$N,8,FALSE),0)</f>
        <v>3.5</v>
      </c>
      <c r="Y82">
        <f>IFERROR(VLOOKUP(K82,源_5薪资备忘录_工资调整项!$A:$AC,14,FALSE),0)</f>
        <v>100</v>
      </c>
      <c r="Z82">
        <f>IFERROR(VLOOKUP(K82,源_5薪资备忘录_工资调整项!$A:$AC,16,FALSE),0)</f>
        <v>0</v>
      </c>
      <c r="AA82">
        <f>IFERROR(VLOOKUP(K82,源_5薪资备忘录_工资调整项!$A:$AC,15,FALSE),0)</f>
        <v>0</v>
      </c>
      <c r="AB82">
        <f t="shared" si="27"/>
        <v>0</v>
      </c>
      <c r="AC82">
        <f>IF(P82="门店全职",R82/174*MAX(IFERROR(VLOOKUP(K82,源_3考勤报表_考勤表!$F:$BG,34,FALSE),0)+IFERROR(VLOOKUP(K82,源_8补工时表_补当月工时!$A:$AC,14,FALSE),0)+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参数!$B$4,0)*1.5,0)</f>
        <v>0</v>
      </c>
      <c r="AD82">
        <v>0</v>
      </c>
      <c r="AE82">
        <f>IFERROR(VLOOKUP(K82,源_3考勤报表_考勤表!$F:$BG,46,FALSE),0)+IFERROR(VLOOKUP(K82,源_8补工时表_补当月工时!$A:$AC,25,FALSE),0)</f>
        <v>0</v>
      </c>
      <c r="AF82">
        <f t="shared" si="28"/>
        <v>0</v>
      </c>
      <c r="AG82">
        <f>IFERROR(VLOOKUP(K82,源_4奖金汇总表_拆分手工算!$A:$N,10,FALSE),0)</f>
        <v>0</v>
      </c>
      <c r="AH82">
        <f>IFERROR(VLOOKUP(K82,源_4奖金汇总表_拆分手工算!$A:$N,5,FALSE),0)</f>
        <v>0</v>
      </c>
      <c r="AI82">
        <f>IFERROR(VLOOKUP(K82,源_4奖金汇总表_拆分手工算!$A:$N,11,FALSE),0)</f>
        <v>0</v>
      </c>
      <c r="AJ82">
        <f>IFERROR(VLOOKUP(K82,源_4奖金汇总表_拆分手工算!$A:$N,4,FALSE),0)</f>
        <v>0</v>
      </c>
      <c r="AK82">
        <f>IFERROR(VLOOKUP(K82,源_4奖金汇总表_拆分手工算!$A:$N,3,FALSE),0)</f>
        <v>0</v>
      </c>
      <c r="AL82">
        <f>IFERROR(VLOOKUP(K82,源_4奖金汇总表_拆分手工算!$A:$N,6,FALSE),0)</f>
        <v>0</v>
      </c>
      <c r="AM82">
        <f>IFERROR(VLOOKUP(K82,源_5薪资备忘录_工资调整项!$A:$AC,18,FALSE),0)+IFERROR(VLOOKUP(K82,源_4奖金汇总表_拆分手工算!$A:$N,7,FALSE),0)</f>
        <v>0</v>
      </c>
      <c r="AN82">
        <f>IFERROR(VLOOKUP(K82,源_5薪资备忘录_工资调整项!$A:$AC,17,FALSE),0)</f>
        <v>0</v>
      </c>
      <c r="AO82">
        <f>IF(OR(IFERROR(VLOOKUP(K82,源_3考勤报表_考勤表!$F:$BG,39,FALSE),0)+IFERROR(VLOOKUP(K82,源_8补工时表_补当月工时!$A:$AC,24,FALSE),0)&gt;0,IFERROR(VLOOKUP(K82,源_3考勤报表_考勤表!$F:$BG,43,FALSE),0)+IFERROR(VLOOKUP(K82,源_8补工时表_补当月工时!$A:$AC,26,FALSE),0)&gt;0),IF(IFERROR(VLOOKUP(DH82,源_11产假政策_Sheet1!$C:$F,4,FALSE),"")="是",R82/参数!$B$4*(IFERROR(VLOOKUP(K82,源_3考勤报表_考勤表!$F:$BG,39,FALSE),0)+IFERROR(VLOOKUP(K82,源_8补工时表_补当月工时!$A:$AC,24,FALSE),0)+IFERROR(VLOOKUP(K82,源_3考勤报表_考勤表!$F:$BG,43,FALSE),0)+IFERROR(VLOOKUP(K82,源_8补工时表_补当月工时!$A:$AC,26,FALSE),0)),IFERROR(VLOOKUP(K82,源_5薪资备忘录_工资调整项!$A:$AC,19,FALSE),0)),0)</f>
        <v>0</v>
      </c>
      <c r="AP82">
        <v>0</v>
      </c>
      <c r="AQ82">
        <f>IFERROR(VLOOKUP(K82,源_4奖金汇总表_拆分手工算!$A:$N,12,FALSE),0)+IFERROR(VLOOKUP(K82,源_9年终奖表_Sheet1!$A:$E,3,FALSE),0)</f>
        <v>1200</v>
      </c>
      <c r="AR82">
        <f>IFERROR(VLOOKUP(K82,源_4奖金汇总表_拆分手工算!$A:$N,13,FALSE),0)+IFERROR(VLOOKUP(K82,源_9年终奖表_Sheet1!$A:$E,4,FALSE),0)</f>
        <v>600</v>
      </c>
      <c r="AS82">
        <f>IFERROR(VLOOKUP(K82,源_4奖金汇总表_拆分手工算!$A:$N,14,FALSE),0)+IFERROR(VLOOKUP(K82,源_9年终奖表_Sheet1!$A:$E,5,FALSE),0)</f>
        <v>111</v>
      </c>
      <c r="AT82">
        <f>IFERROR(VLOOKUP(K82,源_5薪资备忘录_工资调整项!$A:$AC,20,FALSE),0)</f>
        <v>0</v>
      </c>
      <c r="AU82">
        <f>IFERROR(VLOOKUP(K82,源_5薪资备忘录_工资调整项!$A:$AC,21,FALSE),0)+IFERROR(VLOOKUP(K82,源_4奖金汇总表_拆分手工算!$A:$N,9,FALSE),0)</f>
        <v>0</v>
      </c>
      <c r="AV82">
        <f>R82/参数!$B$4*(IFERROR(VLOOKUP(K82,源_3考勤报表_考勤表!$F:$BG,37,FALSE),0)+IFERROR(VLOOKUP(K82,源_8补工时表_补当月工时!$A:$AC,15,FALSE),0))</f>
        <v>0</v>
      </c>
      <c r="AW82">
        <f>R82/174*MIN(IFERROR(VLOOKUP(K82,源_3考勤报表_考勤表!$F:$BG,35,FALSE),0),174)*IF(DATEDIF(N82,DATE(参数!$B$2,参数!$B$3+1,0),"Y")&lt;2,0.6,IF(DATEDIF(N82,DATE(参数!$B$2,参数!$B$3+1,0),"Y")&lt;4,0.7,IF(DATEDIF(N82,DATE(参数!$B$2,参数!$B$3+1,0),"Y")&lt;6,0.8,IF(DATEDIF(N82,DATE(参数!$B$2,参数!$B$3+1,0),"Y")&lt;8,0.9,1))))</f>
        <v>1304.8275862068965</v>
      </c>
      <c r="AX82">
        <f>IF(Q82+IFERROR(VLOOKUP(K82,源_3考勤报表_考勤表!$F:$BG,37,FALSE),0)+IFERROR(VLOOKUP(K82,源_8补工时表_补当月工时!$A:$AC,15,FALSE),0)&gt;=参数!$B$4,0,IF(Q82+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lt;=参数!$B$4,R82/参数!$B$4*(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0))</f>
        <v>0</v>
      </c>
      <c r="AY82">
        <v>0</v>
      </c>
      <c r="AZ82">
        <v>0</v>
      </c>
      <c r="BA82">
        <v>0</v>
      </c>
      <c r="BB82">
        <v>0</v>
      </c>
      <c r="BC82">
        <f>IFERROR(VLOOKUP(K82,源_5薪资备忘录_工资调整项!$A:$AC,25,FALSE),0)</f>
        <v>0</v>
      </c>
      <c r="BD82">
        <v>0</v>
      </c>
      <c r="BE82">
        <v>0</v>
      </c>
      <c r="BF82">
        <v>0</v>
      </c>
      <c r="BG82">
        <f>IFERROR(VLOOKUP(K82,源_5薪资备忘录_工资调整项!$A:$AC,22,FALSE),0)+IFERROR(VLOOKUP(K82,源_5薪资备忘录_工资调整项!$A:$AC,23,FALSE),0)+IFERROR(VLOOKUP(K82,源_5薪资备忘录_工资调整项!$A:$AC,24,FALSE),0)</f>
        <v>0</v>
      </c>
      <c r="BH82">
        <f>IFERROR(VLOOKUP(DF82,源_6社保表_Sheet1!$C:$CD,80,FALSE),0)+4.5</f>
        <v>6.5</v>
      </c>
      <c r="BI82">
        <f t="shared" si="29"/>
        <v>4628.0232383808097</v>
      </c>
      <c r="BJ82">
        <f>IFERROR(VLOOKUP(DF82,源_6社保表_Sheet1!$C:$BZ,26,FALSE),0)</f>
        <v>0</v>
      </c>
      <c r="BK82">
        <f>IFERROR(VLOOKUP(DF82,源_6社保表_Sheet1!$C:$BZ,27,FALSE),0)</f>
        <v>0</v>
      </c>
      <c r="BL82">
        <f>IFERROR(VLOOKUP(DF82,源_6社保表_Sheet1!$C:$BZ,28,FALSE),0)</f>
        <v>0</v>
      </c>
      <c r="BM82">
        <f>IFERROR(VLOOKUP(DF82,源_6社保表_Sheet1!$C:$BZ,30,FALSE),0)</f>
        <v>0</v>
      </c>
      <c r="BN82">
        <f>IFERROR(VLOOKUP(DF82,源_6社保表_Sheet1!$C:$BZ,29,FALSE),0)</f>
        <v>0</v>
      </c>
      <c r="BO82">
        <f>IFERROR(VLOOKUP(DF82,源_6社保表_Sheet1!$C:$BZ,40,FALSE),0)</f>
        <v>0</v>
      </c>
      <c r="BP82">
        <f>IFERROR(VLOOKUP(DF82,源_6社保表_Sheet1!$C:$BZ,41,FALSE),0)</f>
        <v>0</v>
      </c>
      <c r="BQ82">
        <f>IFERROR(VLOOKUP(DF82,源_6社保表_Sheet1!$C:$BZ,42,FALSE),0)</f>
        <v>0</v>
      </c>
      <c r="BR82">
        <f>IFERROR(VLOOKUP(DF82,源_6社保表_Sheet1!$C:$BZ,44,FALSE),0)</f>
        <v>0</v>
      </c>
      <c r="BS82">
        <f>IFERROR(VLOOKUP(DF82,源_6社保表_Sheet1!$C:$BZ,43,FALSE),0)</f>
        <v>0</v>
      </c>
      <c r="BT82">
        <f t="shared" si="30"/>
        <v>0</v>
      </c>
      <c r="BU82">
        <v>0</v>
      </c>
      <c r="BV82">
        <v>0</v>
      </c>
      <c r="BW82">
        <v>0</v>
      </c>
      <c r="BX82">
        <f t="shared" si="31"/>
        <v>0</v>
      </c>
      <c r="BY82">
        <v>0</v>
      </c>
      <c r="BZ82">
        <f>IFERROR(VLOOKUP(DF82,源_6社保表_Sheet1!$C:$BZ,18,FALSE),0)</f>
        <v>0</v>
      </c>
      <c r="CA82">
        <f>IFERROR(VLOOKUP(DF82,源_6社保表_Sheet1!$C:$BZ,19,FALSE),0)</f>
        <v>0</v>
      </c>
      <c r="CB82">
        <f>IFERROR(VLOOKUP(DF82,源_6社保表_Sheet1!$C:$BZ,24,FALSE),0)</f>
        <v>0</v>
      </c>
      <c r="CC82">
        <f>IFERROR(VLOOKUP(DF82,源_6社保表_Sheet1!$C:$BZ,20,FALSE),0)</f>
        <v>0</v>
      </c>
      <c r="CD82">
        <f>IFERROR(VLOOKUP(DF82,源_6社保表_Sheet1!$C:$BZ,21,FALSE),0)</f>
        <v>0</v>
      </c>
      <c r="CE82">
        <f>IFERROR(VLOOKUP(DF82,源_6社保表_Sheet1!$C:$BZ,22,FALSE),0)</f>
        <v>0</v>
      </c>
      <c r="CF82">
        <f>IFERROR(VLOOKUP(DF82,源_6社保表_Sheet1!$C:$BZ,23,FALSE),0)</f>
        <v>0</v>
      </c>
      <c r="CG82">
        <f>IFERROR(VLOOKUP(DF82,源_6社保表_Sheet1!$C:$BZ,32,FALSE),0)</f>
        <v>0</v>
      </c>
      <c r="CH82">
        <f>IFERROR(VLOOKUP(DF82,源_6社保表_Sheet1!$C:$BZ,33,FALSE),0)</f>
        <v>0</v>
      </c>
      <c r="CI82">
        <f>IFERROR(VLOOKUP(DF82,源_6社保表_Sheet1!$C:$BZ,34,FALSE),0)</f>
        <v>0</v>
      </c>
      <c r="CJ82">
        <f>IFERROR(VLOOKUP(DF82,源_6社保表_Sheet1!$C:$BZ,38,FALSE),0)</f>
        <v>0</v>
      </c>
      <c r="CK82">
        <f>IFERROR(VLOOKUP(DF82,源_6社保表_Sheet1!$C:$BZ,35,FALSE),0)</f>
        <v>0</v>
      </c>
      <c r="CL82">
        <f>IFERROR(VLOOKUP(DF82,源_6社保表_Sheet1!$C:$BZ,36,FALSE),0)</f>
        <v>0</v>
      </c>
      <c r="CM82">
        <f>IFERROR(VLOOKUP(DF82,源_6社保表_Sheet1!$C:$BZ,37,FALSE),0)</f>
        <v>0</v>
      </c>
      <c r="CN82">
        <f t="shared" si="32"/>
        <v>0</v>
      </c>
      <c r="CO82">
        <f t="shared" si="33"/>
        <v>4634.5232383808097</v>
      </c>
      <c r="CP82">
        <f>IF(IFERROR(VLOOKUP(K82,源_13残疾人信息_残疾人信息!$A:$M,1,FALSE),"")&lt;&gt;"",0,IF(OR(P82="门店全职",P82="门店管理组",P82="全职(非门店)"),(BI82-AT82)*IFERROR(VLOOKUP(D82,源_12计提残保金规则_Sheet1!$A:$E,4,FALSE),0)*IFERROR(VLOOKUP(D82,源_12计提残保金规则_Sheet1!$A:$E,5,FALSE),0),0))</f>
        <v>62.478313718140924</v>
      </c>
      <c r="CQ82">
        <f t="shared" si="34"/>
        <v>16.05</v>
      </c>
      <c r="CR82">
        <f t="shared" si="35"/>
        <v>20.67</v>
      </c>
      <c r="CS82">
        <f>IF(DATEVALUE(N82)&gt;DATE(参数!$B$2,9,30),0,IF(M82="行政",0,IF(O82="",R82/12,IF(MONTH(DATEVALUE(O82))=参数!$B$3,0,IF(DATEVALUE(O82)&lt;DATE(参数!$B$2,参数!$B$3,1),0,R82/12)))))</f>
        <v>358.33333333333331</v>
      </c>
      <c r="CT82">
        <f t="shared" si="36"/>
        <v>438.59999999999997</v>
      </c>
      <c r="CU82">
        <f>IFERROR(VLOOKUP(DF82,源_6社保表_Sheet1!$C:$I,2,FALSE),0)</f>
        <v>0</v>
      </c>
      <c r="CV82">
        <f>IFERROR(VLOOKUP(DF82,源_6社保表_Sheet1!$C:$I,7,FALSE),0)</f>
        <v>0</v>
      </c>
      <c r="CW82">
        <f>IFERROR(VLOOKUP(DF82,源_6社保表_Sheet1!$C:$I,3,FALSE),0)</f>
        <v>0</v>
      </c>
      <c r="CX82">
        <f>IFERROR(VLOOKUP(DF82,源_6社保表_Sheet1!$C:$I,4,FALSE),0)</f>
        <v>0</v>
      </c>
      <c r="CY82">
        <f>IFERROR(VLOOKUP(DF82,源_6社保表_Sheet1!$C:$I,5,FALSE),0)</f>
        <v>0</v>
      </c>
      <c r="CZ82">
        <f>IFERROR(VLOOKUP(DF82,源_6社保表_Sheet1!$C:$I,6,FALSE),0)</f>
        <v>0</v>
      </c>
      <c r="DA82">
        <f t="shared" si="37"/>
        <v>2717.0232383808097</v>
      </c>
      <c r="DB82">
        <f t="shared" si="38"/>
        <v>3619.6548854322841</v>
      </c>
      <c r="DC82" t="str">
        <f>IFERROR(VLOOKUP(K82,源_7银行卡表_Sheet1!$A:$J,8,FALSE),"")</f>
        <v>建设银行</v>
      </c>
      <c r="DD82" t="str">
        <f>IFERROR(VLOOKUP(K82,源_7银行卡表_Sheet1!$A:$J,9,FALSE),"")</f>
        <v>6289287803991997499</v>
      </c>
      <c r="DE82" t="str">
        <f>IFERROR(VLOOKUP(K82,源_7银行卡表_Sheet1!$A:$J,10,FALSE),"")</f>
        <v>江桥支行</v>
      </c>
      <c r="DF82" t="s">
        <v>497</v>
      </c>
      <c r="DG82">
        <v>17536702236</v>
      </c>
      <c r="DH82" t="s">
        <v>492</v>
      </c>
      <c r="DI82">
        <v>0</v>
      </c>
      <c r="DJ82">
        <v>0</v>
      </c>
      <c r="DK82">
        <v>0</v>
      </c>
      <c r="DL82">
        <v>0</v>
      </c>
      <c r="DM82">
        <v>0</v>
      </c>
      <c r="DN82">
        <v>0</v>
      </c>
      <c r="DO82">
        <v>0</v>
      </c>
      <c r="DP82">
        <v>0</v>
      </c>
      <c r="DQ82">
        <v>0</v>
      </c>
      <c r="DR82">
        <f>IF(OR(IFERROR(VLOOKUP(K82,源_3考勤报表_考勤表!$F:$BG,39,FALSE),0)+IFERROR(VLOOKUP(K82,源_8补工时表_补当月工时!$A:$AC,24,FALSE),0)=0,IFERROR(VLOOKUP(K82,源_3考勤报表_考勤表!$F:$BG,43,FALSE),0)+IFERROR(VLOOKUP(K82,源_8补工时表_补当月工时!$A:$AC,26,FALSE),0)=0),IF(BI82+BG82-BT82&lt;0,BI82+BG82-BT82,0),0)</f>
        <v>0</v>
      </c>
    </row>
    <row r="83" spans="1:122" x14ac:dyDescent="0.15">
      <c r="A83">
        <f>参数!$B$2</f>
        <v>2025</v>
      </c>
      <c r="B83">
        <f>参数!$B$3</f>
        <v>12</v>
      </c>
      <c r="D83" t="s">
        <v>498</v>
      </c>
      <c r="E83" t="s">
        <v>123</v>
      </c>
      <c r="F83" t="str">
        <f>IFERROR(VLOOKUP(K83,源_7银行卡表_Sheet1!$A:$J,6,FALSE),"")</f>
        <v>华北营运</v>
      </c>
      <c r="G83" t="s">
        <v>499</v>
      </c>
      <c r="H83" t="s">
        <v>500</v>
      </c>
      <c r="I83" t="s">
        <v>501</v>
      </c>
      <c r="J83">
        <v>1</v>
      </c>
      <c r="K83">
        <v>26123082</v>
      </c>
      <c r="L83" t="s">
        <v>502</v>
      </c>
      <c r="M83" t="s">
        <v>218</v>
      </c>
      <c r="N83" t="s">
        <v>503</v>
      </c>
      <c r="P83" t="s">
        <v>131</v>
      </c>
      <c r="Q83">
        <f>IF(P83="门店全职",IFERROR(VLOOKUP(K83,源_3考勤报表_考勤表!$F:$BG,34,FALSE),0)+IFERROR(VLOOKUP(K83,源_8补工时表_补当月工时!$A:$AC,14,FALSE),0),IF(P83="门店管理组",IF(IFERROR(VLOOKUP(K83,源_3考勤报表_考勤表!$F:$BG,34,FALSE),0)+IFERROR(VLOOKUP(K83,源_8补工时表_补当月工时!$A:$AC,14,FALSE),0)+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44,FALSE),0)+IFERROR(VLOOKUP(K83,源_8补工时表_补当月工时!$A:$AC,16,FALSE),0)+IFERROR(VLOOKUP(K83,源_3考勤报表_考勤表!$F:$BG,45,FALSE),0)&gt;=参数!$B$4,参数!$B$4-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44,FALSE),0)-IFERROR(VLOOKUP(K83,源_8补工时表_补当月工时!$A:$AC,16,FALSE),0)-IFERROR(VLOOKUP(K83,源_3考勤报表_考勤表!$F:$BG,45,FALSE),0),IFERROR(VLOOKUP(K83,源_3考勤报表_考勤表!$F:$BG,34,FALSE),0)+IFERROR(VLOOKUP(K83,源_8补工时表_补当月工时!$A:$AC,14,FALSE),0)),0))</f>
        <v>0</v>
      </c>
      <c r="R83">
        <v>4000</v>
      </c>
      <c r="S83">
        <v>0</v>
      </c>
      <c r="T83">
        <f>IF(P83="门店全职",R83/参数!$B$4*(Q83-MAX(IFERROR(VLOOKUP(K83,源_3考勤报表_考勤表!$F:$BG,34,FALSE),0)+IFERROR(VLOOKUP(K83,源_8补工时表_补当月工时!$A:$AC,14,FALSE),0)+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参数!$B$4,0)),R83/参数!$B$4*Q83)</f>
        <v>0</v>
      </c>
      <c r="U83">
        <v>0</v>
      </c>
      <c r="V83">
        <v>0</v>
      </c>
      <c r="W83">
        <f t="shared" si="26"/>
        <v>0</v>
      </c>
      <c r="X83">
        <f>IFERROR(VLOOKUP(K83,源_4奖金汇总表_拆分手工算!$A:$N,8,FALSE),0)</f>
        <v>0</v>
      </c>
      <c r="Y83">
        <f>IFERROR(VLOOKUP(K83,源_5薪资备忘录_工资调整项!$A:$AC,14,FALSE),0)</f>
        <v>0</v>
      </c>
      <c r="Z83">
        <f>IFERROR(VLOOKUP(K83,源_5薪资备忘录_工资调整项!$A:$AC,16,FALSE),0)</f>
        <v>0</v>
      </c>
      <c r="AA83">
        <f>IFERROR(VLOOKUP(K83,源_5薪资备忘录_工资调整项!$A:$AC,15,FALSE),0)</f>
        <v>0</v>
      </c>
      <c r="AB83">
        <f t="shared" si="27"/>
        <v>0</v>
      </c>
      <c r="AC83">
        <f>IF(P83="门店全职",R83/174*MAX(IFERROR(VLOOKUP(K83,源_3考勤报表_考勤表!$F:$BG,34,FALSE),0)+IFERROR(VLOOKUP(K83,源_8补工时表_补当月工时!$A:$AC,14,FALSE),0)+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参数!$B$4,0)*1.5,0)</f>
        <v>0</v>
      </c>
      <c r="AD83">
        <v>0</v>
      </c>
      <c r="AE83">
        <f>IFERROR(VLOOKUP(K83,源_3考勤报表_考勤表!$F:$BG,46,FALSE),0)+IFERROR(VLOOKUP(K83,源_8补工时表_补当月工时!$A:$AC,25,FALSE),0)</f>
        <v>0</v>
      </c>
      <c r="AF83">
        <f t="shared" si="28"/>
        <v>0</v>
      </c>
      <c r="AG83">
        <f>IFERROR(VLOOKUP(K83,源_4奖金汇总表_拆分手工算!$A:$N,10,FALSE),0)</f>
        <v>0</v>
      </c>
      <c r="AH83">
        <f>IFERROR(VLOOKUP(K83,源_4奖金汇总表_拆分手工算!$A:$N,5,FALSE),0)</f>
        <v>0</v>
      </c>
      <c r="AI83">
        <f>IFERROR(VLOOKUP(K83,源_4奖金汇总表_拆分手工算!$A:$N,11,FALSE),0)</f>
        <v>0</v>
      </c>
      <c r="AJ83">
        <f>IFERROR(VLOOKUP(K83,源_4奖金汇总表_拆分手工算!$A:$N,4,FALSE),0)</f>
        <v>0</v>
      </c>
      <c r="AK83">
        <f>IFERROR(VLOOKUP(K83,源_4奖金汇总表_拆分手工算!$A:$N,3,FALSE),0)</f>
        <v>0</v>
      </c>
      <c r="AL83">
        <f>IFERROR(VLOOKUP(K83,源_4奖金汇总表_拆分手工算!$A:$N,6,FALSE),0)</f>
        <v>40</v>
      </c>
      <c r="AM83">
        <f>IFERROR(VLOOKUP(K83,源_5薪资备忘录_工资调整项!$A:$AC,18,FALSE),0)+IFERROR(VLOOKUP(K83,源_4奖金汇总表_拆分手工算!$A:$N,7,FALSE),0)</f>
        <v>0</v>
      </c>
      <c r="AN83">
        <f>IFERROR(VLOOKUP(K83,源_5薪资备忘录_工资调整项!$A:$AC,17,FALSE),0)</f>
        <v>100</v>
      </c>
      <c r="AO83">
        <f>IF(OR(IFERROR(VLOOKUP(K83,源_3考勤报表_考勤表!$F:$BG,39,FALSE),0)+IFERROR(VLOOKUP(K83,源_8补工时表_补当月工时!$A:$AC,24,FALSE),0)&gt;0,IFERROR(VLOOKUP(K83,源_3考勤报表_考勤表!$F:$BG,43,FALSE),0)+IFERROR(VLOOKUP(K83,源_8补工时表_补当月工时!$A:$AC,26,FALSE),0)&gt;0),IF(IFERROR(VLOOKUP(DH83,源_11产假政策_Sheet1!$C:$F,4,FALSE),"")="是",R83/参数!$B$4*(IFERROR(VLOOKUP(K83,源_3考勤报表_考勤表!$F:$BG,39,FALSE),0)+IFERROR(VLOOKUP(K83,源_8补工时表_补当月工时!$A:$AC,24,FALSE),0)+IFERROR(VLOOKUP(K83,源_3考勤报表_考勤表!$F:$BG,43,FALSE),0)+IFERROR(VLOOKUP(K83,源_8补工时表_补当月工时!$A:$AC,26,FALSE),0)),IFERROR(VLOOKUP(K83,源_5薪资备忘录_工资调整项!$A:$AC,19,FALSE),0)),0)</f>
        <v>0</v>
      </c>
      <c r="AP83">
        <v>0</v>
      </c>
      <c r="AQ83">
        <f>IFERROR(VLOOKUP(K83,源_4奖金汇总表_拆分手工算!$A:$N,12,FALSE),0)+IFERROR(VLOOKUP(K83,源_9年终奖表_Sheet1!$A:$E,3,FALSE),0)</f>
        <v>1200</v>
      </c>
      <c r="AR83">
        <f>IFERROR(VLOOKUP(K83,源_4奖金汇总表_拆分手工算!$A:$N,13,FALSE),0)+IFERROR(VLOOKUP(K83,源_9年终奖表_Sheet1!$A:$E,4,FALSE),0)</f>
        <v>600</v>
      </c>
      <c r="AS83">
        <f>IFERROR(VLOOKUP(K83,源_4奖金汇总表_拆分手工算!$A:$N,14,FALSE),0)+IFERROR(VLOOKUP(K83,源_9年终奖表_Sheet1!$A:$E,5,FALSE),0)</f>
        <v>222</v>
      </c>
      <c r="AT83">
        <f>IFERROR(VLOOKUP(K83,源_5薪资备忘录_工资调整项!$A:$AC,20,FALSE),0)</f>
        <v>0</v>
      </c>
      <c r="AU83">
        <f>IFERROR(VLOOKUP(K83,源_5薪资备忘录_工资调整项!$A:$AC,21,FALSE),0)+IFERROR(VLOOKUP(K83,源_4奖金汇总表_拆分手工算!$A:$N,9,FALSE),0)</f>
        <v>0</v>
      </c>
      <c r="AV83">
        <f>R83/参数!$B$4*(IFERROR(VLOOKUP(K83,源_3考勤报表_考勤表!$F:$BG,37,FALSE),0)+IFERROR(VLOOKUP(K83,源_8补工时表_补当月工时!$A:$AC,15,FALSE),0))</f>
        <v>695.6521739130435</v>
      </c>
      <c r="AW83">
        <f>R83/174*MIN(IFERROR(VLOOKUP(K83,源_3考勤报表_考勤表!$F:$BG,35,FALSE),0),174)*IF(DATEDIF(N83,DATE(参数!$B$2,参数!$B$3+1,0),"Y")&lt;2,0.6,IF(DATEDIF(N83,DATE(参数!$B$2,参数!$B$3+1,0),"Y")&lt;4,0.7,IF(DATEDIF(N83,DATE(参数!$B$2,参数!$B$3+1,0),"Y")&lt;6,0.8,IF(DATEDIF(N83,DATE(参数!$B$2,参数!$B$3+1,0),"Y")&lt;8,0.9,1))))</f>
        <v>2096.5517241379307</v>
      </c>
      <c r="AX83">
        <f>IF(Q83+IFERROR(VLOOKUP(K83,源_3考勤报表_考勤表!$F:$BG,37,FALSE),0)+IFERROR(VLOOKUP(K83,源_8补工时表_补当月工时!$A:$AC,15,FALSE),0)&gt;=参数!$B$4,0,IF(Q83+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lt;=参数!$B$4,R83/参数!$B$4*(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0))</f>
        <v>0</v>
      </c>
      <c r="AY83">
        <v>0</v>
      </c>
      <c r="AZ83">
        <v>0</v>
      </c>
      <c r="BA83">
        <v>0</v>
      </c>
      <c r="BB83">
        <v>0</v>
      </c>
      <c r="BC83">
        <f>IFERROR(VLOOKUP(K83,源_5薪资备忘录_工资调整项!$A:$AC,25,FALSE),0)</f>
        <v>0</v>
      </c>
      <c r="BD83">
        <v>0</v>
      </c>
      <c r="BE83">
        <v>0</v>
      </c>
      <c r="BF83">
        <v>0</v>
      </c>
      <c r="BG83">
        <f>IFERROR(VLOOKUP(K83,源_5薪资备忘录_工资调整项!$A:$AC,22,FALSE),0)+IFERROR(VLOOKUP(K83,源_5薪资备忘录_工资调整项!$A:$AC,23,FALSE),0)+IFERROR(VLOOKUP(K83,源_5薪资备忘录_工资调整项!$A:$AC,24,FALSE),0)</f>
        <v>0</v>
      </c>
      <c r="BH83">
        <f>IFERROR(VLOOKUP(DF83,源_6社保表_Sheet1!$C:$CD,80,FALSE),0)+4.5</f>
        <v>6.5</v>
      </c>
      <c r="BI83">
        <f t="shared" si="29"/>
        <v>4954.2038980509742</v>
      </c>
      <c r="BJ83">
        <f>IFERROR(VLOOKUP(DF83,源_6社保表_Sheet1!$C:$BZ,26,FALSE),0)</f>
        <v>237</v>
      </c>
      <c r="BK83">
        <f>IFERROR(VLOOKUP(DF83,源_6社保表_Sheet1!$C:$BZ,27,FALSE),0)</f>
        <v>47.4</v>
      </c>
      <c r="BL83">
        <f>IFERROR(VLOOKUP(DF83,源_6社保表_Sheet1!$C:$BZ,28,FALSE),0)</f>
        <v>23.7</v>
      </c>
      <c r="BM83">
        <f>IFERROR(VLOOKUP(DF83,源_6社保表_Sheet1!$C:$BZ,30,FALSE),0)</f>
        <v>237</v>
      </c>
      <c r="BN83">
        <f>IFERROR(VLOOKUP(DF83,源_6社保表_Sheet1!$C:$BZ,29,FALSE),0)</f>
        <v>0</v>
      </c>
      <c r="BO83">
        <f>IFERROR(VLOOKUP(DF83,源_6社保表_Sheet1!$C:$BZ,40,FALSE),0)</f>
        <v>0</v>
      </c>
      <c r="BP83">
        <f>IFERROR(VLOOKUP(DF83,源_6社保表_Sheet1!$C:$BZ,41,FALSE),0)</f>
        <v>0</v>
      </c>
      <c r="BQ83">
        <f>IFERROR(VLOOKUP(DF83,源_6社保表_Sheet1!$C:$BZ,42,FALSE),0)</f>
        <v>0</v>
      </c>
      <c r="BR83">
        <f>IFERROR(VLOOKUP(DF83,源_6社保表_Sheet1!$C:$BZ,44,FALSE),0)</f>
        <v>0</v>
      </c>
      <c r="BS83">
        <f>IFERROR(VLOOKUP(DF83,源_6社保表_Sheet1!$C:$BZ,43,FALSE),0)</f>
        <v>0</v>
      </c>
      <c r="BT83">
        <f t="shared" si="30"/>
        <v>545.09999999999991</v>
      </c>
      <c r="BU83">
        <v>0</v>
      </c>
      <c r="BV83">
        <v>0</v>
      </c>
      <c r="BW83">
        <v>0</v>
      </c>
      <c r="BX83">
        <f t="shared" si="31"/>
        <v>0</v>
      </c>
      <c r="BY83">
        <v>0</v>
      </c>
      <c r="BZ83">
        <f>IFERROR(VLOOKUP(DF83,源_6社保表_Sheet1!$C:$BZ,18,FALSE),0)</f>
        <v>568.79999999999995</v>
      </c>
      <c r="CA83">
        <f>IFERROR(VLOOKUP(DF83,源_6社保表_Sheet1!$C:$BZ,19,FALSE),0)</f>
        <v>284.39999999999998</v>
      </c>
      <c r="CB83">
        <f>IFERROR(VLOOKUP(DF83,源_6社保表_Sheet1!$C:$BZ,24,FALSE),0)</f>
        <v>237</v>
      </c>
      <c r="CC83">
        <f>IFERROR(VLOOKUP(DF83,源_6社保表_Sheet1!$C:$BZ,20,FALSE),0)</f>
        <v>23.7</v>
      </c>
      <c r="CD83">
        <f>IFERROR(VLOOKUP(DF83,源_6社保表_Sheet1!$C:$BZ,21,FALSE),0)</f>
        <v>15.167999999999999</v>
      </c>
      <c r="CE83">
        <f>IFERROR(VLOOKUP(DF83,源_6社保表_Sheet1!$C:$BZ,22,FALSE),0)</f>
        <v>0</v>
      </c>
      <c r="CF83">
        <f>IFERROR(VLOOKUP(DF83,源_6社保表_Sheet1!$C:$BZ,23,FALSE),0)</f>
        <v>0</v>
      </c>
      <c r="CG83">
        <f>IFERROR(VLOOKUP(DF83,源_6社保表_Sheet1!$C:$BZ,32,FALSE),0)</f>
        <v>0</v>
      </c>
      <c r="CH83">
        <f>IFERROR(VLOOKUP(DF83,源_6社保表_Sheet1!$C:$BZ,33,FALSE),0)</f>
        <v>0</v>
      </c>
      <c r="CI83">
        <f>IFERROR(VLOOKUP(DF83,源_6社保表_Sheet1!$C:$BZ,34,FALSE),0)</f>
        <v>0</v>
      </c>
      <c r="CJ83">
        <f>IFERROR(VLOOKUP(DF83,源_6社保表_Sheet1!$C:$BZ,38,FALSE),0)</f>
        <v>0</v>
      </c>
      <c r="CK83">
        <f>IFERROR(VLOOKUP(DF83,源_6社保表_Sheet1!$C:$BZ,35,FALSE),0)</f>
        <v>0</v>
      </c>
      <c r="CL83">
        <f>IFERROR(VLOOKUP(DF83,源_6社保表_Sheet1!$C:$BZ,36,FALSE),0)</f>
        <v>0</v>
      </c>
      <c r="CM83">
        <f>IFERROR(VLOOKUP(DF83,源_6社保表_Sheet1!$C:$BZ,37,FALSE),0)</f>
        <v>0</v>
      </c>
      <c r="CN83">
        <f t="shared" si="32"/>
        <v>1129.0679999999998</v>
      </c>
      <c r="CO83">
        <f t="shared" si="33"/>
        <v>6089.7718980509744</v>
      </c>
      <c r="CP83">
        <f>IF(IFERROR(VLOOKUP(K83,源_13残疾人信息_残疾人信息!$A:$M,1,FALSE),"")&lt;&gt;"",0,IF(OR(P83="门店全职",P83="门店管理组",P83="全职(非门店)"),(BI83-AT83)*IFERROR(VLOOKUP(D83,源_12计提残保金规则_Sheet1!$A:$E,4,FALSE),0)*IFERROR(VLOOKUP(D83,源_12计提残保金规则_Sheet1!$A:$E,5,FALSE),0),0))</f>
        <v>66.881752623688158</v>
      </c>
      <c r="CQ83">
        <f t="shared" si="34"/>
        <v>16.05</v>
      </c>
      <c r="CR83">
        <f t="shared" si="35"/>
        <v>20.67</v>
      </c>
      <c r="CS83">
        <f>IF(DATEVALUE(N83)&gt;DATE(参数!$B$2,9,30),0,IF(M83="行政",0,IF(O83="",R83/12,IF(MONTH(DATEVALUE(O83))=参数!$B$3,0,IF(DATEVALUE(O83)&lt;DATE(参数!$B$2,参数!$B$3,1),0,R83/12)))))</f>
        <v>333.33333333333331</v>
      </c>
      <c r="CT83">
        <f t="shared" si="36"/>
        <v>408</v>
      </c>
      <c r="CU83">
        <f>IFERROR(VLOOKUP(DF83,源_6社保表_Sheet1!$C:$I,2,FALSE),0)</f>
        <v>4740</v>
      </c>
      <c r="CV83">
        <f>IFERROR(VLOOKUP(DF83,源_6社保表_Sheet1!$C:$I,7,FALSE),0)</f>
        <v>4740</v>
      </c>
      <c r="CW83">
        <f>IFERROR(VLOOKUP(DF83,源_6社保表_Sheet1!$C:$I,3,FALSE),0)</f>
        <v>4740</v>
      </c>
      <c r="CX83">
        <f>IFERROR(VLOOKUP(DF83,源_6社保表_Sheet1!$C:$I,4,FALSE),0)</f>
        <v>4740</v>
      </c>
      <c r="CY83">
        <f>IFERROR(VLOOKUP(DF83,源_6社保表_Sheet1!$C:$I,5,FALSE),0)</f>
        <v>4740</v>
      </c>
      <c r="CZ83">
        <f>IFERROR(VLOOKUP(DF83,源_6社保表_Sheet1!$C:$I,6,FALSE),0)</f>
        <v>0</v>
      </c>
      <c r="DA83">
        <f t="shared" si="37"/>
        <v>4021.2718980509744</v>
      </c>
      <c r="DB83">
        <f t="shared" si="38"/>
        <v>4872.7069840079957</v>
      </c>
      <c r="DC83" t="str">
        <f>IFERROR(VLOOKUP(K83,源_7银行卡表_Sheet1!$A:$J,8,FALSE),"")</f>
        <v>建设银行</v>
      </c>
      <c r="DD83" t="str">
        <f>IFERROR(VLOOKUP(K83,源_7银行卡表_Sheet1!$A:$J,9,FALSE),"")</f>
        <v>6281513346891554237</v>
      </c>
      <c r="DE83" t="str">
        <f>IFERROR(VLOOKUP(K83,源_7银行卡表_Sheet1!$A:$J,10,FALSE),"")</f>
        <v>淞南支行</v>
      </c>
      <c r="DF83" t="s">
        <v>504</v>
      </c>
      <c r="DG83">
        <v>16321305042</v>
      </c>
      <c r="DH83" t="s">
        <v>499</v>
      </c>
      <c r="DI83">
        <v>0</v>
      </c>
      <c r="DJ83">
        <v>0</v>
      </c>
      <c r="DK83">
        <v>0</v>
      </c>
      <c r="DL83">
        <v>0</v>
      </c>
      <c r="DM83">
        <v>0</v>
      </c>
      <c r="DN83">
        <v>0</v>
      </c>
      <c r="DO83">
        <v>0</v>
      </c>
      <c r="DP83">
        <v>0</v>
      </c>
      <c r="DQ83">
        <v>0</v>
      </c>
      <c r="DR83">
        <f>IF(OR(IFERROR(VLOOKUP(K83,源_3考勤报表_考勤表!$F:$BG,39,FALSE),0)+IFERROR(VLOOKUP(K83,源_8补工时表_补当月工时!$A:$AC,24,FALSE),0)=0,IFERROR(VLOOKUP(K83,源_3考勤报表_考勤表!$F:$BG,43,FALSE),0)+IFERROR(VLOOKUP(K83,源_8补工时表_补当月工时!$A:$AC,26,FALSE),0)=0),IF(BI83+BG83-BT83&lt;0,BI83+BG83-BT83,0),0)</f>
        <v>0</v>
      </c>
    </row>
    <row r="84" spans="1:122" x14ac:dyDescent="0.15">
      <c r="A84">
        <f>参数!$B$2</f>
        <v>2025</v>
      </c>
      <c r="B84">
        <f>参数!$B$3</f>
        <v>12</v>
      </c>
      <c r="D84" t="s">
        <v>505</v>
      </c>
      <c r="E84" t="s">
        <v>123</v>
      </c>
      <c r="F84" t="str">
        <f>IFERROR(VLOOKUP(K84,源_7银行卡表_Sheet1!$A:$J,6,FALSE),"")</f>
        <v>华北营运</v>
      </c>
      <c r="G84" t="s">
        <v>506</v>
      </c>
      <c r="H84" t="s">
        <v>507</v>
      </c>
      <c r="I84" t="s">
        <v>508</v>
      </c>
      <c r="J84">
        <v>1</v>
      </c>
      <c r="K84">
        <v>26123083</v>
      </c>
      <c r="L84" t="s">
        <v>509</v>
      </c>
      <c r="M84" t="s">
        <v>218</v>
      </c>
      <c r="N84" t="s">
        <v>510</v>
      </c>
      <c r="P84" t="s">
        <v>131</v>
      </c>
      <c r="Q84">
        <f>IF(P84="门店全职",IFERROR(VLOOKUP(K84,源_3考勤报表_考勤表!$F:$BG,34,FALSE),0)+IFERROR(VLOOKUP(K84,源_8补工时表_补当月工时!$A:$AC,14,FALSE),0),IF(P84="门店管理组",IF(IFERROR(VLOOKUP(K84,源_3考勤报表_考勤表!$F:$BG,34,FALSE),0)+IFERROR(VLOOKUP(K84,源_8补工时表_补当月工时!$A:$AC,14,FALSE),0)+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44,FALSE),0)+IFERROR(VLOOKUP(K84,源_8补工时表_补当月工时!$A:$AC,16,FALSE),0)+IFERROR(VLOOKUP(K84,源_3考勤报表_考勤表!$F:$BG,45,FALSE),0)&gt;=参数!$B$4,参数!$B$4-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44,FALSE),0)-IFERROR(VLOOKUP(K84,源_8补工时表_补当月工时!$A:$AC,16,FALSE),0)-IFERROR(VLOOKUP(K84,源_3考勤报表_考勤表!$F:$BG,45,FALSE),0),IFERROR(VLOOKUP(K84,源_3考勤报表_考勤表!$F:$BG,34,FALSE),0)+IFERROR(VLOOKUP(K84,源_8补工时表_补当月工时!$A:$AC,14,FALSE),0)),0))</f>
        <v>168</v>
      </c>
      <c r="R84">
        <v>4300</v>
      </c>
      <c r="S84">
        <v>0</v>
      </c>
      <c r="T84">
        <f>IF(P84="门店全职",R84/参数!$B$4*(Q84-MAX(IFERROR(VLOOKUP(K84,源_3考勤报表_考勤表!$F:$BG,34,FALSE),0)+IFERROR(VLOOKUP(K84,源_8补工时表_补当月工时!$A:$AC,14,FALSE),0)+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参数!$B$4,0)),R84/参数!$B$4*Q84)</f>
        <v>3926.086956521739</v>
      </c>
      <c r="U84">
        <v>0</v>
      </c>
      <c r="V84">
        <v>0</v>
      </c>
      <c r="W84">
        <f t="shared" si="26"/>
        <v>300</v>
      </c>
      <c r="X84">
        <f>IFERROR(VLOOKUP(K84,源_4奖金汇总表_拆分手工算!$A:$N,8,FALSE),0)</f>
        <v>0</v>
      </c>
      <c r="Y84">
        <f>IFERROR(VLOOKUP(K84,源_5薪资备忘录_工资调整项!$A:$AC,14,FALSE),0)</f>
        <v>300</v>
      </c>
      <c r="Z84">
        <f>IFERROR(VLOOKUP(K84,源_5薪资备忘录_工资调整项!$A:$AC,16,FALSE),0)</f>
        <v>0</v>
      </c>
      <c r="AA84">
        <f>IFERROR(VLOOKUP(K84,源_5薪资备忘录_工资调整项!$A:$AC,15,FALSE),0)</f>
        <v>0</v>
      </c>
      <c r="AB84">
        <f t="shared" si="27"/>
        <v>0</v>
      </c>
      <c r="AC84">
        <f>IF(P84="门店全职",R84/174*MAX(IFERROR(VLOOKUP(K84,源_3考勤报表_考勤表!$F:$BG,34,FALSE),0)+IFERROR(VLOOKUP(K84,源_8补工时表_补当月工时!$A:$AC,14,FALSE),0)+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参数!$B$4,0)*1.5,0)</f>
        <v>0</v>
      </c>
      <c r="AD84">
        <v>0</v>
      </c>
      <c r="AE84">
        <f>IFERROR(VLOOKUP(K84,源_3考勤报表_考勤表!$F:$BG,46,FALSE),0)+IFERROR(VLOOKUP(K84,源_8补工时表_补当月工时!$A:$AC,25,FALSE),0)</f>
        <v>0</v>
      </c>
      <c r="AF84">
        <f t="shared" si="28"/>
        <v>0</v>
      </c>
      <c r="AG84">
        <f>IFERROR(VLOOKUP(K84,源_4奖金汇总表_拆分手工算!$A:$N,10,FALSE),0)</f>
        <v>0</v>
      </c>
      <c r="AH84">
        <f>IFERROR(VLOOKUP(K84,源_4奖金汇总表_拆分手工算!$A:$N,5,FALSE),0)</f>
        <v>0</v>
      </c>
      <c r="AI84">
        <f>IFERROR(VLOOKUP(K84,源_4奖金汇总表_拆分手工算!$A:$N,11,FALSE),0)</f>
        <v>0</v>
      </c>
      <c r="AJ84">
        <f>IFERROR(VLOOKUP(K84,源_4奖金汇总表_拆分手工算!$A:$N,4,FALSE),0)</f>
        <v>0</v>
      </c>
      <c r="AK84">
        <f>IFERROR(VLOOKUP(K84,源_4奖金汇总表_拆分手工算!$A:$N,3,FALSE),0)</f>
        <v>0</v>
      </c>
      <c r="AL84">
        <f>IFERROR(VLOOKUP(K84,源_4奖金汇总表_拆分手工算!$A:$N,6,FALSE),0)</f>
        <v>0</v>
      </c>
      <c r="AM84">
        <f>IFERROR(VLOOKUP(K84,源_5薪资备忘录_工资调整项!$A:$AC,18,FALSE),0)+IFERROR(VLOOKUP(K84,源_4奖金汇总表_拆分手工算!$A:$N,7,FALSE),0)</f>
        <v>0</v>
      </c>
      <c r="AN84">
        <f>IFERROR(VLOOKUP(K84,源_5薪资备忘录_工资调整项!$A:$AC,17,FALSE),0)</f>
        <v>0</v>
      </c>
      <c r="AO84">
        <f>IF(OR(IFERROR(VLOOKUP(K84,源_3考勤报表_考勤表!$F:$BG,39,FALSE),0)+IFERROR(VLOOKUP(K84,源_8补工时表_补当月工时!$A:$AC,24,FALSE),0)&gt;0,IFERROR(VLOOKUP(K84,源_3考勤报表_考勤表!$F:$BG,43,FALSE),0)+IFERROR(VLOOKUP(K84,源_8补工时表_补当月工时!$A:$AC,26,FALSE),0)&gt;0),IF(IFERROR(VLOOKUP(DH84,源_11产假政策_Sheet1!$C:$F,4,FALSE),"")="是",R84/参数!$B$4*(IFERROR(VLOOKUP(K84,源_3考勤报表_考勤表!$F:$BG,39,FALSE),0)+IFERROR(VLOOKUP(K84,源_8补工时表_补当月工时!$A:$AC,24,FALSE),0)+IFERROR(VLOOKUP(K84,源_3考勤报表_考勤表!$F:$BG,43,FALSE),0)+IFERROR(VLOOKUP(K84,源_8补工时表_补当月工时!$A:$AC,26,FALSE),0)),IFERROR(VLOOKUP(K84,源_5薪资备忘录_工资调整项!$A:$AC,19,FALSE),0)),0)</f>
        <v>0</v>
      </c>
      <c r="AP84">
        <v>0</v>
      </c>
      <c r="AQ84">
        <f>IFERROR(VLOOKUP(K84,源_4奖金汇总表_拆分手工算!$A:$N,12,FALSE),0)+IFERROR(VLOOKUP(K84,源_9年终奖表_Sheet1!$A:$E,3,FALSE),0)</f>
        <v>1200</v>
      </c>
      <c r="AR84">
        <f>IFERROR(VLOOKUP(K84,源_4奖金汇总表_拆分手工算!$A:$N,13,FALSE),0)+IFERROR(VLOOKUP(K84,源_9年终奖表_Sheet1!$A:$E,4,FALSE),0)</f>
        <v>600</v>
      </c>
      <c r="AS84">
        <f>IFERROR(VLOOKUP(K84,源_4奖金汇总表_拆分手工算!$A:$N,14,FALSE),0)+IFERROR(VLOOKUP(K84,源_9年终奖表_Sheet1!$A:$E,5,FALSE),0)</f>
        <v>111</v>
      </c>
      <c r="AT84">
        <f>IFERROR(VLOOKUP(K84,源_5薪资备忘录_工资调整项!$A:$AC,20,FALSE),0)</f>
        <v>0</v>
      </c>
      <c r="AU84">
        <f>IFERROR(VLOOKUP(K84,源_5薪资备忘录_工资调整项!$A:$AC,21,FALSE),0)+IFERROR(VLOOKUP(K84,源_4奖金汇总表_拆分手工算!$A:$N,9,FALSE),0)</f>
        <v>692.2</v>
      </c>
      <c r="AV84">
        <f>R84/参数!$B$4*(IFERROR(VLOOKUP(K84,源_3考勤报表_考勤表!$F:$BG,37,FALSE),0)+IFERROR(VLOOKUP(K84,源_8补工时表_补当月工时!$A:$AC,15,FALSE),0))</f>
        <v>373.91304347826087</v>
      </c>
      <c r="AW84">
        <f>R84/174*MIN(IFERROR(VLOOKUP(K84,源_3考勤报表_考勤表!$F:$BG,35,FALSE),0),174)*IF(DATEDIF(N84,DATE(参数!$B$2,参数!$B$3+1,0),"Y")&lt;2,0.6,IF(DATEDIF(N84,DATE(参数!$B$2,参数!$B$3+1,0),"Y")&lt;4,0.7,IF(DATEDIF(N84,DATE(参数!$B$2,参数!$B$3+1,0),"Y")&lt;6,0.8,IF(DATEDIF(N84,DATE(参数!$B$2,参数!$B$3+1,0),"Y")&lt;8,0.9,1))))</f>
        <v>0</v>
      </c>
      <c r="AX84">
        <f>IF(Q84+IFERROR(VLOOKUP(K84,源_3考勤报表_考勤表!$F:$BG,37,FALSE),0)+IFERROR(VLOOKUP(K84,源_8补工时表_补当月工时!$A:$AC,15,FALSE),0)&gt;=参数!$B$4,0,IF(Q84+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lt;=参数!$B$4,R84/参数!$B$4*(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0))</f>
        <v>0</v>
      </c>
      <c r="AY84">
        <v>0</v>
      </c>
      <c r="AZ84">
        <v>0</v>
      </c>
      <c r="BA84">
        <v>0</v>
      </c>
      <c r="BB84">
        <v>0</v>
      </c>
      <c r="BC84">
        <f>IFERROR(VLOOKUP(K84,源_5薪资备忘录_工资调整项!$A:$AC,25,FALSE),0)</f>
        <v>0</v>
      </c>
      <c r="BD84">
        <v>0</v>
      </c>
      <c r="BE84">
        <v>0</v>
      </c>
      <c r="BF84">
        <v>0</v>
      </c>
      <c r="BG84">
        <f>IFERROR(VLOOKUP(K84,源_5薪资备忘录_工资调整项!$A:$AC,22,FALSE),0)+IFERROR(VLOOKUP(K84,源_5薪资备忘录_工资调整项!$A:$AC,23,FALSE),0)+IFERROR(VLOOKUP(K84,源_5薪资备忘录_工资调整项!$A:$AC,24,FALSE),0)</f>
        <v>0</v>
      </c>
      <c r="BH84">
        <f>IFERROR(VLOOKUP(DF84,源_6社保表_Sheet1!$C:$CD,80,FALSE),0)+4.5</f>
        <v>6.5</v>
      </c>
      <c r="BI84">
        <f t="shared" si="29"/>
        <v>7203.2</v>
      </c>
      <c r="BJ84">
        <f>IFERROR(VLOOKUP(DF84,源_6社保表_Sheet1!$C:$BZ,26,FALSE),0)</f>
        <v>389.2</v>
      </c>
      <c r="BK84">
        <f>IFERROR(VLOOKUP(DF84,源_6社保表_Sheet1!$C:$BZ,27,FALSE),0)</f>
        <v>55.6</v>
      </c>
      <c r="BL84">
        <f>IFERROR(VLOOKUP(DF84,源_6社保表_Sheet1!$C:$BZ,28,FALSE),0)</f>
        <v>27.8</v>
      </c>
      <c r="BM84">
        <f>IFERROR(VLOOKUP(DF84,源_6社保表_Sheet1!$C:$BZ,30,FALSE),0)</f>
        <v>333.6</v>
      </c>
      <c r="BN84">
        <f>IFERROR(VLOOKUP(DF84,源_6社保表_Sheet1!$C:$BZ,29,FALSE),0)</f>
        <v>0</v>
      </c>
      <c r="BO84">
        <f>IFERROR(VLOOKUP(DF84,源_6社保表_Sheet1!$C:$BZ,40,FALSE),0)</f>
        <v>0</v>
      </c>
      <c r="BP84">
        <f>IFERROR(VLOOKUP(DF84,源_6社保表_Sheet1!$C:$BZ,41,FALSE),0)</f>
        <v>0</v>
      </c>
      <c r="BQ84">
        <f>IFERROR(VLOOKUP(DF84,源_6社保表_Sheet1!$C:$BZ,42,FALSE),0)</f>
        <v>0</v>
      </c>
      <c r="BR84">
        <f>IFERROR(VLOOKUP(DF84,源_6社保表_Sheet1!$C:$BZ,44,FALSE),0)</f>
        <v>0</v>
      </c>
      <c r="BS84">
        <f>IFERROR(VLOOKUP(DF84,源_6社保表_Sheet1!$C:$BZ,43,FALSE),0)</f>
        <v>0</v>
      </c>
      <c r="BT84">
        <f t="shared" si="30"/>
        <v>806.2</v>
      </c>
      <c r="BU84">
        <v>0</v>
      </c>
      <c r="BV84">
        <v>0</v>
      </c>
      <c r="BW84">
        <v>0</v>
      </c>
      <c r="BX84">
        <f t="shared" si="31"/>
        <v>0</v>
      </c>
      <c r="BY84">
        <v>0</v>
      </c>
      <c r="BZ84">
        <f>IFERROR(VLOOKUP(DF84,源_6社保表_Sheet1!$C:$BZ,18,FALSE),0)</f>
        <v>834</v>
      </c>
      <c r="CA84">
        <f>IFERROR(VLOOKUP(DF84,源_6社保表_Sheet1!$C:$BZ,19,FALSE),0)</f>
        <v>444.8</v>
      </c>
      <c r="CB84">
        <f>IFERROR(VLOOKUP(DF84,源_6社保表_Sheet1!$C:$BZ,24,FALSE),0)</f>
        <v>333.6</v>
      </c>
      <c r="CC84">
        <f>IFERROR(VLOOKUP(DF84,源_6社保表_Sheet1!$C:$BZ,20,FALSE),0)</f>
        <v>27.8</v>
      </c>
      <c r="CD84">
        <f>IFERROR(VLOOKUP(DF84,源_6社保表_Sheet1!$C:$BZ,21,FALSE),0)</f>
        <v>17.792000000000002</v>
      </c>
      <c r="CE84">
        <f>IFERROR(VLOOKUP(DF84,源_6社保表_Sheet1!$C:$BZ,22,FALSE),0)</f>
        <v>0</v>
      </c>
      <c r="CF84">
        <f>IFERROR(VLOOKUP(DF84,源_6社保表_Sheet1!$C:$BZ,23,FALSE),0)</f>
        <v>0</v>
      </c>
      <c r="CG84">
        <f>IFERROR(VLOOKUP(DF84,源_6社保表_Sheet1!$C:$BZ,32,FALSE),0)</f>
        <v>0</v>
      </c>
      <c r="CH84">
        <f>IFERROR(VLOOKUP(DF84,源_6社保表_Sheet1!$C:$BZ,33,FALSE),0)</f>
        <v>0</v>
      </c>
      <c r="CI84">
        <f>IFERROR(VLOOKUP(DF84,源_6社保表_Sheet1!$C:$BZ,34,FALSE),0)</f>
        <v>0</v>
      </c>
      <c r="CJ84">
        <f>IFERROR(VLOOKUP(DF84,源_6社保表_Sheet1!$C:$BZ,38,FALSE),0)</f>
        <v>0</v>
      </c>
      <c r="CK84">
        <f>IFERROR(VLOOKUP(DF84,源_6社保表_Sheet1!$C:$BZ,35,FALSE),0)</f>
        <v>0</v>
      </c>
      <c r="CL84">
        <f>IFERROR(VLOOKUP(DF84,源_6社保表_Sheet1!$C:$BZ,36,FALSE),0)</f>
        <v>0</v>
      </c>
      <c r="CM84">
        <f>IFERROR(VLOOKUP(DF84,源_6社保表_Sheet1!$C:$BZ,37,FALSE),0)</f>
        <v>0</v>
      </c>
      <c r="CN84">
        <f t="shared" si="32"/>
        <v>1657.992</v>
      </c>
      <c r="CO84">
        <f t="shared" si="33"/>
        <v>8867.6919999999991</v>
      </c>
      <c r="CP84">
        <f>IF(IFERROR(VLOOKUP(K84,源_13残疾人信息_残疾人信息!$A:$M,1,FALSE),"")&lt;&gt;"",0,IF(OR(P84="门店全职",P84="门店管理组",P84="全职(非门店)"),(BI84-AT84)*IFERROR(VLOOKUP(D84,源_12计提残保金规则_Sheet1!$A:$E,4,FALSE),0)*IFERROR(VLOOKUP(D84,源_12计提残保金规则_Sheet1!$A:$E,5,FALSE),0),0))</f>
        <v>97.243199999999987</v>
      </c>
      <c r="CQ84">
        <f t="shared" si="34"/>
        <v>16.05</v>
      </c>
      <c r="CR84">
        <f t="shared" si="35"/>
        <v>20.67</v>
      </c>
      <c r="CS84">
        <f>IF(DATEVALUE(N84)&gt;DATE(参数!$B$2,9,30),0,IF(M84="行政",0,IF(O84="",R84/12,IF(MONTH(DATEVALUE(O84))=参数!$B$3,0,IF(DATEVALUE(O84)&lt;DATE(参数!$B$2,参数!$B$3,1),0,R84/12)))))</f>
        <v>358.33333333333331</v>
      </c>
      <c r="CT84">
        <f t="shared" si="36"/>
        <v>438.59999999999997</v>
      </c>
      <c r="CU84">
        <f>IFERROR(VLOOKUP(DF84,源_6社保表_Sheet1!$C:$I,2,FALSE),0)</f>
        <v>5560</v>
      </c>
      <c r="CV84">
        <f>IFERROR(VLOOKUP(DF84,源_6社保表_Sheet1!$C:$I,7,FALSE),0)</f>
        <v>5560</v>
      </c>
      <c r="CW84">
        <f>IFERROR(VLOOKUP(DF84,源_6社保表_Sheet1!$C:$I,3,FALSE),0)</f>
        <v>5560</v>
      </c>
      <c r="CX84">
        <f>IFERROR(VLOOKUP(DF84,源_6社保表_Sheet1!$C:$I,4,FALSE),0)</f>
        <v>5560</v>
      </c>
      <c r="CY84">
        <f>IFERROR(VLOOKUP(DF84,源_6社保表_Sheet1!$C:$I,5,FALSE),0)</f>
        <v>5560</v>
      </c>
      <c r="CZ84">
        <f>IFERROR(VLOOKUP(DF84,源_6社保表_Sheet1!$C:$I,6,FALSE),0)</f>
        <v>0</v>
      </c>
      <c r="DA84">
        <f t="shared" si="37"/>
        <v>6950.1919999999991</v>
      </c>
      <c r="DB84">
        <f t="shared" si="38"/>
        <v>7887.5885333333326</v>
      </c>
      <c r="DC84" t="str">
        <f>IFERROR(VLOOKUP(K84,源_7银行卡表_Sheet1!$A:$J,8,FALSE),"")</f>
        <v>交通银行</v>
      </c>
      <c r="DD84" t="str">
        <f>IFERROR(VLOOKUP(K84,源_7银行卡表_Sheet1!$A:$J,9,FALSE),"")</f>
        <v>6281911379071535548</v>
      </c>
      <c r="DE84" t="str">
        <f>IFERROR(VLOOKUP(K84,源_7银行卡表_Sheet1!$A:$J,10,FALSE),"")</f>
        <v>颛桥之行</v>
      </c>
      <c r="DF84" t="s">
        <v>511</v>
      </c>
      <c r="DG84">
        <v>18808184344</v>
      </c>
      <c r="DH84" t="s">
        <v>506</v>
      </c>
      <c r="DI84">
        <v>0</v>
      </c>
      <c r="DJ84">
        <v>0</v>
      </c>
      <c r="DK84">
        <v>0</v>
      </c>
      <c r="DL84">
        <v>0</v>
      </c>
      <c r="DM84">
        <v>0</v>
      </c>
      <c r="DN84">
        <v>0</v>
      </c>
      <c r="DO84">
        <v>0</v>
      </c>
      <c r="DP84">
        <v>0</v>
      </c>
      <c r="DQ84">
        <v>0</v>
      </c>
      <c r="DR84">
        <f>IF(OR(IFERROR(VLOOKUP(K84,源_3考勤报表_考勤表!$F:$BG,39,FALSE),0)+IFERROR(VLOOKUP(K84,源_8补工时表_补当月工时!$A:$AC,24,FALSE),0)=0,IFERROR(VLOOKUP(K84,源_3考勤报表_考勤表!$F:$BG,43,FALSE),0)+IFERROR(VLOOKUP(K84,源_8补工时表_补当月工时!$A:$AC,26,FALSE),0)=0),IF(BI84+BG84-BT84&lt;0,BI84+BG84-BT84,0),0)</f>
        <v>0</v>
      </c>
    </row>
    <row r="85" spans="1:122" x14ac:dyDescent="0.15">
      <c r="A85">
        <f>参数!$B$2</f>
        <v>2025</v>
      </c>
      <c r="B85">
        <f>参数!$B$3</f>
        <v>12</v>
      </c>
      <c r="D85" t="s">
        <v>498</v>
      </c>
      <c r="E85" t="s">
        <v>123</v>
      </c>
      <c r="F85" t="str">
        <f>IFERROR(VLOOKUP(K85,源_7银行卡表_Sheet1!$A:$J,6,FALSE),"")</f>
        <v>华北营运</v>
      </c>
      <c r="G85" t="s">
        <v>499</v>
      </c>
      <c r="H85" t="s">
        <v>500</v>
      </c>
      <c r="I85" t="s">
        <v>501</v>
      </c>
      <c r="J85">
        <v>1</v>
      </c>
      <c r="K85">
        <v>26123084</v>
      </c>
      <c r="L85" t="s">
        <v>512</v>
      </c>
      <c r="M85" t="s">
        <v>140</v>
      </c>
      <c r="N85" t="s">
        <v>513</v>
      </c>
      <c r="P85" t="s">
        <v>131</v>
      </c>
      <c r="Q85">
        <f>IF(P85="门店全职",IFERROR(VLOOKUP(K85,源_3考勤报表_考勤表!$F:$BG,34,FALSE),0)+IFERROR(VLOOKUP(K85,源_8补工时表_补当月工时!$A:$AC,14,FALSE),0),IF(P85="门店管理组",IF(IFERROR(VLOOKUP(K85,源_3考勤报表_考勤表!$F:$BG,34,FALSE),0)+IFERROR(VLOOKUP(K85,源_8补工时表_补当月工时!$A:$AC,14,FALSE),0)+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44,FALSE),0)+IFERROR(VLOOKUP(K85,源_8补工时表_补当月工时!$A:$AC,16,FALSE),0)+IFERROR(VLOOKUP(K85,源_3考勤报表_考勤表!$F:$BG,45,FALSE),0)&gt;=参数!$B$4,参数!$B$4-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44,FALSE),0)-IFERROR(VLOOKUP(K85,源_8补工时表_补当月工时!$A:$AC,16,FALSE),0)-IFERROR(VLOOKUP(K85,源_3考勤报表_考勤表!$F:$BG,45,FALSE),0),IFERROR(VLOOKUP(K85,源_3考勤报表_考勤表!$F:$BG,34,FALSE),0)+IFERROR(VLOOKUP(K85,源_8补工时表_补当月工时!$A:$AC,14,FALSE),0)),0))</f>
        <v>160</v>
      </c>
      <c r="R85">
        <v>4900</v>
      </c>
      <c r="S85">
        <v>0</v>
      </c>
      <c r="T85">
        <f>IF(P85="门店全职",R85/参数!$B$4*(Q85-MAX(IFERROR(VLOOKUP(K85,源_3考勤报表_考勤表!$F:$BG,34,FALSE),0)+IFERROR(VLOOKUP(K85,源_8补工时表_补当月工时!$A:$AC,14,FALSE),0)+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参数!$B$4,0)),R85/参数!$B$4*Q85)</f>
        <v>4260.869565217391</v>
      </c>
      <c r="U85">
        <v>0</v>
      </c>
      <c r="V85">
        <v>0</v>
      </c>
      <c r="W85">
        <f t="shared" si="26"/>
        <v>0</v>
      </c>
      <c r="X85">
        <f>IFERROR(VLOOKUP(K85,源_4奖金汇总表_拆分手工算!$A:$N,8,FALSE),0)</f>
        <v>0</v>
      </c>
      <c r="Y85">
        <f>IFERROR(VLOOKUP(K85,源_5薪资备忘录_工资调整项!$A:$AC,14,FALSE),0)</f>
        <v>0</v>
      </c>
      <c r="Z85">
        <f>IFERROR(VLOOKUP(K85,源_5薪资备忘录_工资调整项!$A:$AC,16,FALSE),0)</f>
        <v>0</v>
      </c>
      <c r="AA85">
        <f>IFERROR(VLOOKUP(K85,源_5薪资备忘录_工资调整项!$A:$AC,15,FALSE),0)</f>
        <v>0</v>
      </c>
      <c r="AB85">
        <f t="shared" si="27"/>
        <v>0</v>
      </c>
      <c r="AC85">
        <f>IF(P85="门店全职",R85/174*MAX(IFERROR(VLOOKUP(K85,源_3考勤报表_考勤表!$F:$BG,34,FALSE),0)+IFERROR(VLOOKUP(K85,源_8补工时表_补当月工时!$A:$AC,14,FALSE),0)+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参数!$B$4,0)*1.5,0)</f>
        <v>0</v>
      </c>
      <c r="AD85">
        <v>0</v>
      </c>
      <c r="AE85">
        <f>IFERROR(VLOOKUP(K85,源_3考勤报表_考勤表!$F:$BG,46,FALSE),0)+IFERROR(VLOOKUP(K85,源_8补工时表_补当月工时!$A:$AC,25,FALSE),0)</f>
        <v>0</v>
      </c>
      <c r="AF85">
        <f t="shared" si="28"/>
        <v>0</v>
      </c>
      <c r="AG85">
        <f>IFERROR(VLOOKUP(K85,源_4奖金汇总表_拆分手工算!$A:$N,10,FALSE),0)</f>
        <v>0</v>
      </c>
      <c r="AH85">
        <f>IFERROR(VLOOKUP(K85,源_4奖金汇总表_拆分手工算!$A:$N,5,FALSE),0)</f>
        <v>0</v>
      </c>
      <c r="AI85">
        <f>IFERROR(VLOOKUP(K85,源_4奖金汇总表_拆分手工算!$A:$N,11,FALSE),0)</f>
        <v>0</v>
      </c>
      <c r="AJ85">
        <f>IFERROR(VLOOKUP(K85,源_4奖金汇总表_拆分手工算!$A:$N,4,FALSE),0)</f>
        <v>0</v>
      </c>
      <c r="AK85">
        <f>IFERROR(VLOOKUP(K85,源_4奖金汇总表_拆分手工算!$A:$N,3,FALSE),0)</f>
        <v>0</v>
      </c>
      <c r="AL85">
        <f>IFERROR(VLOOKUP(K85,源_4奖金汇总表_拆分手工算!$A:$N,6,FALSE),0)</f>
        <v>2910</v>
      </c>
      <c r="AM85">
        <f>IFERROR(VLOOKUP(K85,源_5薪资备忘录_工资调整项!$A:$AC,18,FALSE),0)+IFERROR(VLOOKUP(K85,源_4奖金汇总表_拆分手工算!$A:$N,7,FALSE),0)</f>
        <v>0</v>
      </c>
      <c r="AN85">
        <f>IFERROR(VLOOKUP(K85,源_5薪资备忘录_工资调整项!$A:$AC,17,FALSE),0)</f>
        <v>0</v>
      </c>
      <c r="AO85">
        <f>IF(OR(IFERROR(VLOOKUP(K85,源_3考勤报表_考勤表!$F:$BG,39,FALSE),0)+IFERROR(VLOOKUP(K85,源_8补工时表_补当月工时!$A:$AC,24,FALSE),0)&gt;0,IFERROR(VLOOKUP(K85,源_3考勤报表_考勤表!$F:$BG,43,FALSE),0)+IFERROR(VLOOKUP(K85,源_8补工时表_补当月工时!$A:$AC,26,FALSE),0)&gt;0),IF(IFERROR(VLOOKUP(DH85,源_11产假政策_Sheet1!$C:$F,4,FALSE),"")="是",R85/参数!$B$4*(IFERROR(VLOOKUP(K85,源_3考勤报表_考勤表!$F:$BG,39,FALSE),0)+IFERROR(VLOOKUP(K85,源_8补工时表_补当月工时!$A:$AC,24,FALSE),0)+IFERROR(VLOOKUP(K85,源_3考勤报表_考勤表!$F:$BG,43,FALSE),0)+IFERROR(VLOOKUP(K85,源_8补工时表_补当月工时!$A:$AC,26,FALSE),0)),IFERROR(VLOOKUP(K85,源_5薪资备忘录_工资调整项!$A:$AC,19,FALSE),0)),0)</f>
        <v>0</v>
      </c>
      <c r="AP85">
        <v>0</v>
      </c>
      <c r="AQ85">
        <f>IFERROR(VLOOKUP(K85,源_4奖金汇总表_拆分手工算!$A:$N,12,FALSE),0)+IFERROR(VLOOKUP(K85,源_9年终奖表_Sheet1!$A:$E,3,FALSE),0)</f>
        <v>0</v>
      </c>
      <c r="AR85">
        <f>IFERROR(VLOOKUP(K85,源_4奖金汇总表_拆分手工算!$A:$N,13,FALSE),0)+IFERROR(VLOOKUP(K85,源_9年终奖表_Sheet1!$A:$E,4,FALSE),0)</f>
        <v>0</v>
      </c>
      <c r="AS85">
        <f>IFERROR(VLOOKUP(K85,源_4奖金汇总表_拆分手工算!$A:$N,14,FALSE),0)+IFERROR(VLOOKUP(K85,源_9年终奖表_Sheet1!$A:$E,5,FALSE),0)</f>
        <v>0</v>
      </c>
      <c r="AT85">
        <f>IFERROR(VLOOKUP(K85,源_5薪资备忘录_工资调整项!$A:$AC,20,FALSE),0)</f>
        <v>0</v>
      </c>
      <c r="AU85">
        <f>IFERROR(VLOOKUP(K85,源_5薪资备忘录_工资调整项!$A:$AC,21,FALSE),0)+IFERROR(VLOOKUP(K85,源_4奖金汇总表_拆分手工算!$A:$N,9,FALSE),0)</f>
        <v>6325</v>
      </c>
      <c r="AV85">
        <f>R85/参数!$B$4*(IFERROR(VLOOKUP(K85,源_3考勤报表_考勤表!$F:$BG,37,FALSE),0)+IFERROR(VLOOKUP(K85,源_8补工时表_补当月工时!$A:$AC,15,FALSE),0))</f>
        <v>639.13043478260875</v>
      </c>
      <c r="AW85">
        <f>R85/174*MIN(IFERROR(VLOOKUP(K85,源_3考勤报表_考勤表!$F:$BG,35,FALSE),0),174)*IF(DATEDIF(N85,DATE(参数!$B$2,参数!$B$3+1,0),"Y")&lt;2,0.6,IF(DATEDIF(N85,DATE(参数!$B$2,参数!$B$3+1,0),"Y")&lt;4,0.7,IF(DATEDIF(N85,DATE(参数!$B$2,参数!$B$3+1,0),"Y")&lt;6,0.8,IF(DATEDIF(N85,DATE(参数!$B$2,参数!$B$3+1,0),"Y")&lt;8,0.9,1))))</f>
        <v>0</v>
      </c>
      <c r="AX85">
        <f>IF(Q85+IFERROR(VLOOKUP(K85,源_3考勤报表_考勤表!$F:$BG,37,FALSE),0)+IFERROR(VLOOKUP(K85,源_8补工时表_补当月工时!$A:$AC,15,FALSE),0)&gt;=参数!$B$4,0,IF(Q85+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lt;=参数!$B$4,R85/参数!$B$4*(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0))</f>
        <v>0</v>
      </c>
      <c r="AY85">
        <v>0</v>
      </c>
      <c r="AZ85">
        <v>0</v>
      </c>
      <c r="BA85">
        <v>0</v>
      </c>
      <c r="BB85">
        <v>0</v>
      </c>
      <c r="BC85">
        <f>IFERROR(VLOOKUP(K85,源_5薪资备忘录_工资调整项!$A:$AC,25,FALSE),0)</f>
        <v>0</v>
      </c>
      <c r="BD85">
        <v>0</v>
      </c>
      <c r="BE85">
        <v>0</v>
      </c>
      <c r="BF85">
        <v>0</v>
      </c>
      <c r="BG85">
        <f>IFERROR(VLOOKUP(K85,源_5薪资备忘录_工资调整项!$A:$AC,22,FALSE),0)+IFERROR(VLOOKUP(K85,源_5薪资备忘录_工资调整项!$A:$AC,23,FALSE),0)+IFERROR(VLOOKUP(K85,源_5薪资备忘录_工资调整项!$A:$AC,24,FALSE),0)</f>
        <v>0</v>
      </c>
      <c r="BH85">
        <f>IFERROR(VLOOKUP(DF85,源_6社保表_Sheet1!$C:$CD,80,FALSE),0)+4.5</f>
        <v>6.5</v>
      </c>
      <c r="BI85">
        <f t="shared" si="29"/>
        <v>14135</v>
      </c>
      <c r="BJ85">
        <f>IFERROR(VLOOKUP(DF85,源_6社保表_Sheet1!$C:$BZ,26,FALSE),0)</f>
        <v>413</v>
      </c>
      <c r="BK85">
        <f>IFERROR(VLOOKUP(DF85,源_6社保表_Sheet1!$C:$BZ,27,FALSE),0)</f>
        <v>59</v>
      </c>
      <c r="BL85">
        <f>IFERROR(VLOOKUP(DF85,源_6社保表_Sheet1!$C:$BZ,28,FALSE),0)</f>
        <v>29.5</v>
      </c>
      <c r="BM85">
        <f>IFERROR(VLOOKUP(DF85,源_6社保表_Sheet1!$C:$BZ,30,FALSE),0)</f>
        <v>354</v>
      </c>
      <c r="BN85">
        <f>IFERROR(VLOOKUP(DF85,源_6社保表_Sheet1!$C:$BZ,29,FALSE),0)</f>
        <v>0</v>
      </c>
      <c r="BO85">
        <f>IFERROR(VLOOKUP(DF85,源_6社保表_Sheet1!$C:$BZ,40,FALSE),0)</f>
        <v>0</v>
      </c>
      <c r="BP85">
        <f>IFERROR(VLOOKUP(DF85,源_6社保表_Sheet1!$C:$BZ,41,FALSE),0)</f>
        <v>0</v>
      </c>
      <c r="BQ85">
        <f>IFERROR(VLOOKUP(DF85,源_6社保表_Sheet1!$C:$BZ,42,FALSE),0)</f>
        <v>0</v>
      </c>
      <c r="BR85">
        <f>IFERROR(VLOOKUP(DF85,源_6社保表_Sheet1!$C:$BZ,44,FALSE),0)</f>
        <v>0</v>
      </c>
      <c r="BS85">
        <f>IFERROR(VLOOKUP(DF85,源_6社保表_Sheet1!$C:$BZ,43,FALSE),0)</f>
        <v>0</v>
      </c>
      <c r="BT85">
        <f t="shared" si="30"/>
        <v>855.5</v>
      </c>
      <c r="BU85">
        <v>0</v>
      </c>
      <c r="BV85">
        <v>0</v>
      </c>
      <c r="BW85">
        <v>0</v>
      </c>
      <c r="BX85">
        <f t="shared" si="31"/>
        <v>0</v>
      </c>
      <c r="BY85">
        <v>0</v>
      </c>
      <c r="BZ85">
        <f>IFERROR(VLOOKUP(DF85,源_6社保表_Sheet1!$C:$BZ,18,FALSE),0)</f>
        <v>885</v>
      </c>
      <c r="CA85">
        <f>IFERROR(VLOOKUP(DF85,源_6社保表_Sheet1!$C:$BZ,19,FALSE),0)</f>
        <v>472</v>
      </c>
      <c r="CB85">
        <f>IFERROR(VLOOKUP(DF85,源_6社保表_Sheet1!$C:$BZ,24,FALSE),0)</f>
        <v>354</v>
      </c>
      <c r="CC85">
        <f>IFERROR(VLOOKUP(DF85,源_6社保表_Sheet1!$C:$BZ,20,FALSE),0)</f>
        <v>29.5</v>
      </c>
      <c r="CD85">
        <f>IFERROR(VLOOKUP(DF85,源_6社保表_Sheet1!$C:$BZ,21,FALSE),0)</f>
        <v>18.88</v>
      </c>
      <c r="CE85">
        <f>IFERROR(VLOOKUP(DF85,源_6社保表_Sheet1!$C:$BZ,22,FALSE),0)</f>
        <v>0</v>
      </c>
      <c r="CF85">
        <f>IFERROR(VLOOKUP(DF85,源_6社保表_Sheet1!$C:$BZ,23,FALSE),0)</f>
        <v>0</v>
      </c>
      <c r="CG85">
        <f>IFERROR(VLOOKUP(DF85,源_6社保表_Sheet1!$C:$BZ,32,FALSE),0)</f>
        <v>0</v>
      </c>
      <c r="CH85">
        <f>IFERROR(VLOOKUP(DF85,源_6社保表_Sheet1!$C:$BZ,33,FALSE),0)</f>
        <v>0</v>
      </c>
      <c r="CI85">
        <f>IFERROR(VLOOKUP(DF85,源_6社保表_Sheet1!$C:$BZ,34,FALSE),0)</f>
        <v>0</v>
      </c>
      <c r="CJ85">
        <f>IFERROR(VLOOKUP(DF85,源_6社保表_Sheet1!$C:$BZ,38,FALSE),0)</f>
        <v>0</v>
      </c>
      <c r="CK85">
        <f>IFERROR(VLOOKUP(DF85,源_6社保表_Sheet1!$C:$BZ,35,FALSE),0)</f>
        <v>0</v>
      </c>
      <c r="CL85">
        <f>IFERROR(VLOOKUP(DF85,源_6社保表_Sheet1!$C:$BZ,36,FALSE),0)</f>
        <v>0</v>
      </c>
      <c r="CM85">
        <f>IFERROR(VLOOKUP(DF85,源_6社保表_Sheet1!$C:$BZ,37,FALSE),0)</f>
        <v>0</v>
      </c>
      <c r="CN85">
        <f t="shared" si="32"/>
        <v>1759.38</v>
      </c>
      <c r="CO85">
        <f t="shared" si="33"/>
        <v>15900.880000000001</v>
      </c>
      <c r="CP85">
        <f>IF(IFERROR(VLOOKUP(K85,源_13残疾人信息_残疾人信息!$A:$M,1,FALSE),"")&lt;&gt;"",0,IF(OR(P85="门店全职",P85="门店管理组",P85="全职(非门店)"),(BI85-AT85)*IFERROR(VLOOKUP(D85,源_12计提残保金规则_Sheet1!$A:$E,4,FALSE),0)*IFERROR(VLOOKUP(D85,源_12计提残保金规则_Sheet1!$A:$E,5,FALSE),0),0))</f>
        <v>190.82250000000002</v>
      </c>
      <c r="CQ85">
        <f t="shared" si="34"/>
        <v>16.05</v>
      </c>
      <c r="CR85">
        <f t="shared" si="35"/>
        <v>20.67</v>
      </c>
      <c r="CS85">
        <f>IF(DATEVALUE(N85)&gt;DATE(参数!$B$2,9,30),0,IF(M85="行政",0,IF(O85="",R85/12,IF(MONTH(DATEVALUE(O85))=参数!$B$3,0,IF(DATEVALUE(O85)&lt;DATE(参数!$B$2,参数!$B$3,1),0,R85/12)))))</f>
        <v>408.33333333333331</v>
      </c>
      <c r="CT85">
        <f t="shared" si="36"/>
        <v>499.8</v>
      </c>
      <c r="CU85">
        <f>IFERROR(VLOOKUP(DF85,源_6社保表_Sheet1!$C:$I,2,FALSE),0)</f>
        <v>5900</v>
      </c>
      <c r="CV85">
        <f>IFERROR(VLOOKUP(DF85,源_6社保表_Sheet1!$C:$I,7,FALSE),0)</f>
        <v>5900</v>
      </c>
      <c r="CW85">
        <f>IFERROR(VLOOKUP(DF85,源_6社保表_Sheet1!$C:$I,3,FALSE),0)</f>
        <v>5900</v>
      </c>
      <c r="CX85">
        <f>IFERROR(VLOOKUP(DF85,源_6社保表_Sheet1!$C:$I,4,FALSE),0)</f>
        <v>5900</v>
      </c>
      <c r="CY85">
        <f>IFERROR(VLOOKUP(DF85,源_6社保表_Sheet1!$C:$I,5,FALSE),0)</f>
        <v>5900</v>
      </c>
      <c r="CZ85">
        <f>IFERROR(VLOOKUP(DF85,源_6社保表_Sheet1!$C:$I,6,FALSE),0)</f>
        <v>0</v>
      </c>
      <c r="DA85">
        <f t="shared" si="37"/>
        <v>12984.380000000001</v>
      </c>
      <c r="DB85">
        <f t="shared" si="38"/>
        <v>14126.555833333334</v>
      </c>
      <c r="DC85" t="str">
        <f>IFERROR(VLOOKUP(K85,源_7银行卡表_Sheet1!$A:$J,8,FALSE),"")</f>
        <v>交通银行</v>
      </c>
      <c r="DD85" t="str">
        <f>IFERROR(VLOOKUP(K85,源_7银行卡表_Sheet1!$A:$J,9,FALSE),"")</f>
        <v>6284814440669306170</v>
      </c>
      <c r="DE85" t="str">
        <f>IFERROR(VLOOKUP(K85,源_7银行卡表_Sheet1!$A:$J,10,FALSE),"")</f>
        <v>奉浦支行</v>
      </c>
      <c r="DF85" t="s">
        <v>514</v>
      </c>
      <c r="DG85">
        <v>15499949022</v>
      </c>
      <c r="DH85" t="s">
        <v>499</v>
      </c>
      <c r="DI85">
        <v>0</v>
      </c>
      <c r="DJ85">
        <v>0</v>
      </c>
      <c r="DK85">
        <v>0</v>
      </c>
      <c r="DL85">
        <v>0</v>
      </c>
      <c r="DM85">
        <v>0</v>
      </c>
      <c r="DN85">
        <v>0</v>
      </c>
      <c r="DO85">
        <v>0</v>
      </c>
      <c r="DP85">
        <v>0</v>
      </c>
      <c r="DQ85">
        <v>0</v>
      </c>
      <c r="DR85">
        <f>IF(OR(IFERROR(VLOOKUP(K85,源_3考勤报表_考勤表!$F:$BG,39,FALSE),0)+IFERROR(VLOOKUP(K85,源_8补工时表_补当月工时!$A:$AC,24,FALSE),0)=0,IFERROR(VLOOKUP(K85,源_3考勤报表_考勤表!$F:$BG,43,FALSE),0)+IFERROR(VLOOKUP(K85,源_8补工时表_补当月工时!$A:$AC,26,FALSE),0)=0),IF(BI85+BG85-BT85&lt;0,BI85+BG85-BT85,0),0)</f>
        <v>0</v>
      </c>
    </row>
    <row r="86" spans="1:122" x14ac:dyDescent="0.15">
      <c r="A86">
        <f>参数!$B$2</f>
        <v>2025</v>
      </c>
      <c r="B86">
        <f>参数!$B$3</f>
        <v>12</v>
      </c>
      <c r="D86" t="s">
        <v>515</v>
      </c>
      <c r="E86" t="s">
        <v>123</v>
      </c>
      <c r="F86" t="str">
        <f>IFERROR(VLOOKUP(K86,源_7银行卡表_Sheet1!$A:$J,6,FALSE),"")</f>
        <v>华北营运</v>
      </c>
      <c r="G86" t="s">
        <v>516</v>
      </c>
      <c r="H86" t="s">
        <v>517</v>
      </c>
      <c r="I86" t="s">
        <v>518</v>
      </c>
      <c r="J86">
        <v>1</v>
      </c>
      <c r="K86">
        <v>26123085</v>
      </c>
      <c r="L86" t="s">
        <v>519</v>
      </c>
      <c r="M86" t="s">
        <v>218</v>
      </c>
      <c r="N86" t="s">
        <v>520</v>
      </c>
      <c r="P86" t="s">
        <v>131</v>
      </c>
      <c r="Q86">
        <f>IF(P86="门店全职",IFERROR(VLOOKUP(K86,源_3考勤报表_考勤表!$F:$BG,34,FALSE),0)+IFERROR(VLOOKUP(K86,源_8补工时表_补当月工时!$A:$AC,14,FALSE),0),IF(P86="门店管理组",IF(IFERROR(VLOOKUP(K86,源_3考勤报表_考勤表!$F:$BG,34,FALSE),0)+IFERROR(VLOOKUP(K86,源_8补工时表_补当月工时!$A:$AC,14,FALSE),0)+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44,FALSE),0)+IFERROR(VLOOKUP(K86,源_8补工时表_补当月工时!$A:$AC,16,FALSE),0)+IFERROR(VLOOKUP(K86,源_3考勤报表_考勤表!$F:$BG,45,FALSE),0)&gt;=参数!$B$4,参数!$B$4-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44,FALSE),0)-IFERROR(VLOOKUP(K86,源_8补工时表_补当月工时!$A:$AC,16,FALSE),0)-IFERROR(VLOOKUP(K86,源_3考勤报表_考勤表!$F:$BG,45,FALSE),0),IFERROR(VLOOKUP(K86,源_3考勤报表_考勤表!$F:$BG,34,FALSE),0)+IFERROR(VLOOKUP(K86,源_8补工时表_补当月工时!$A:$AC,14,FALSE),0)),0))</f>
        <v>166.5</v>
      </c>
      <c r="R86">
        <v>4300</v>
      </c>
      <c r="S86">
        <v>0</v>
      </c>
      <c r="T86">
        <f>IF(P86="门店全职",R86/参数!$B$4*(Q86-MAX(IFERROR(VLOOKUP(K86,源_3考勤报表_考勤表!$F:$BG,34,FALSE),0)+IFERROR(VLOOKUP(K86,源_8补工时表_补当月工时!$A:$AC,14,FALSE),0)+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参数!$B$4,0)),R86/参数!$B$4*Q86)</f>
        <v>3891.032608695652</v>
      </c>
      <c r="U86">
        <v>0</v>
      </c>
      <c r="V86">
        <v>0</v>
      </c>
      <c r="W86">
        <f t="shared" si="26"/>
        <v>0</v>
      </c>
      <c r="X86">
        <f>IFERROR(VLOOKUP(K86,源_4奖金汇总表_拆分手工算!$A:$N,8,FALSE),0)</f>
        <v>0</v>
      </c>
      <c r="Y86">
        <f>IFERROR(VLOOKUP(K86,源_5薪资备忘录_工资调整项!$A:$AC,14,FALSE),0)</f>
        <v>0</v>
      </c>
      <c r="Z86">
        <f>IFERROR(VLOOKUP(K86,源_5薪资备忘录_工资调整项!$A:$AC,16,FALSE),0)</f>
        <v>0</v>
      </c>
      <c r="AA86">
        <f>IFERROR(VLOOKUP(K86,源_5薪资备忘录_工资调整项!$A:$AC,15,FALSE),0)</f>
        <v>0</v>
      </c>
      <c r="AB86">
        <f t="shared" si="27"/>
        <v>0</v>
      </c>
      <c r="AC86">
        <f>IF(P86="门店全职",R86/174*MAX(IFERROR(VLOOKUP(K86,源_3考勤报表_考勤表!$F:$BG,34,FALSE),0)+IFERROR(VLOOKUP(K86,源_8补工时表_补当月工时!$A:$AC,14,FALSE),0)+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参数!$B$4,0)*1.5,0)</f>
        <v>0</v>
      </c>
      <c r="AD86">
        <v>0</v>
      </c>
      <c r="AE86">
        <f>IFERROR(VLOOKUP(K86,源_3考勤报表_考勤表!$F:$BG,46,FALSE),0)+IFERROR(VLOOKUP(K86,源_8补工时表_补当月工时!$A:$AC,25,FALSE),0)</f>
        <v>0</v>
      </c>
      <c r="AF86">
        <f t="shared" si="28"/>
        <v>0</v>
      </c>
      <c r="AG86">
        <f>IFERROR(VLOOKUP(K86,源_4奖金汇总表_拆分手工算!$A:$N,10,FALSE),0)</f>
        <v>0</v>
      </c>
      <c r="AH86">
        <f>IFERROR(VLOOKUP(K86,源_4奖金汇总表_拆分手工算!$A:$N,5,FALSE),0)</f>
        <v>0</v>
      </c>
      <c r="AI86">
        <f>IFERROR(VLOOKUP(K86,源_4奖金汇总表_拆分手工算!$A:$N,11,FALSE),0)</f>
        <v>0</v>
      </c>
      <c r="AJ86">
        <f>IFERROR(VLOOKUP(K86,源_4奖金汇总表_拆分手工算!$A:$N,4,FALSE),0)</f>
        <v>0</v>
      </c>
      <c r="AK86">
        <f>IFERROR(VLOOKUP(K86,源_4奖金汇总表_拆分手工算!$A:$N,3,FALSE),0)</f>
        <v>0</v>
      </c>
      <c r="AL86">
        <f>IFERROR(VLOOKUP(K86,源_4奖金汇总表_拆分手工算!$A:$N,6,FALSE),0)</f>
        <v>0</v>
      </c>
      <c r="AM86">
        <f>IFERROR(VLOOKUP(K86,源_5薪资备忘录_工资调整项!$A:$AC,18,FALSE),0)+IFERROR(VLOOKUP(K86,源_4奖金汇总表_拆分手工算!$A:$N,7,FALSE),0)</f>
        <v>2200</v>
      </c>
      <c r="AN86">
        <f>IFERROR(VLOOKUP(K86,源_5薪资备忘录_工资调整项!$A:$AC,17,FALSE),0)</f>
        <v>0</v>
      </c>
      <c r="AO86">
        <f>IF(OR(IFERROR(VLOOKUP(K86,源_3考勤报表_考勤表!$F:$BG,39,FALSE),0)+IFERROR(VLOOKUP(K86,源_8补工时表_补当月工时!$A:$AC,24,FALSE),0)&gt;0,IFERROR(VLOOKUP(K86,源_3考勤报表_考勤表!$F:$BG,43,FALSE),0)+IFERROR(VLOOKUP(K86,源_8补工时表_补当月工时!$A:$AC,26,FALSE),0)&gt;0),IF(IFERROR(VLOOKUP(DH86,源_11产假政策_Sheet1!$C:$F,4,FALSE),"")="是",R86/参数!$B$4*(IFERROR(VLOOKUP(K86,源_3考勤报表_考勤表!$F:$BG,39,FALSE),0)+IFERROR(VLOOKUP(K86,源_8补工时表_补当月工时!$A:$AC,24,FALSE),0)+IFERROR(VLOOKUP(K86,源_3考勤报表_考勤表!$F:$BG,43,FALSE),0)+IFERROR(VLOOKUP(K86,源_8补工时表_补当月工时!$A:$AC,26,FALSE),0)),IFERROR(VLOOKUP(K86,源_5薪资备忘录_工资调整项!$A:$AC,19,FALSE),0)),0)</f>
        <v>0</v>
      </c>
      <c r="AP86">
        <v>0</v>
      </c>
      <c r="AQ86">
        <f>IFERROR(VLOOKUP(K86,源_4奖金汇总表_拆分手工算!$A:$N,12,FALSE),0)+IFERROR(VLOOKUP(K86,源_9年终奖表_Sheet1!$A:$E,3,FALSE),0)</f>
        <v>0</v>
      </c>
      <c r="AR86">
        <f>IFERROR(VLOOKUP(K86,源_4奖金汇总表_拆分手工算!$A:$N,13,FALSE),0)+IFERROR(VLOOKUP(K86,源_9年终奖表_Sheet1!$A:$E,4,FALSE),0)</f>
        <v>0</v>
      </c>
      <c r="AS86">
        <f>IFERROR(VLOOKUP(K86,源_4奖金汇总表_拆分手工算!$A:$N,14,FALSE),0)+IFERROR(VLOOKUP(K86,源_9年终奖表_Sheet1!$A:$E,5,FALSE),0)</f>
        <v>0</v>
      </c>
      <c r="AT86">
        <f>IFERROR(VLOOKUP(K86,源_5薪资备忘录_工资调整项!$A:$AC,20,FALSE),0)</f>
        <v>0</v>
      </c>
      <c r="AU86">
        <f>IFERROR(VLOOKUP(K86,源_5薪资备忘录_工资调整项!$A:$AC,21,FALSE),0)+IFERROR(VLOOKUP(K86,源_4奖金汇总表_拆分手工算!$A:$N,9,FALSE),0)</f>
        <v>0</v>
      </c>
      <c r="AV86">
        <f>R86/参数!$B$4*(IFERROR(VLOOKUP(K86,源_3考勤报表_考勤表!$F:$BG,37,FALSE),0)+IFERROR(VLOOKUP(K86,源_8补工时表_补当月工时!$A:$AC,15,FALSE),0))</f>
        <v>186.95652173913044</v>
      </c>
      <c r="AW86">
        <f>R86/174*MIN(IFERROR(VLOOKUP(K86,源_3考勤报表_考勤表!$F:$BG,35,FALSE),0),174)*IF(DATEDIF(N86,DATE(参数!$B$2,参数!$B$3+1,0),"Y")&lt;2,0.6,IF(DATEDIF(N86,DATE(参数!$B$2,参数!$B$3+1,0),"Y")&lt;4,0.7,IF(DATEDIF(N86,DATE(参数!$B$2,参数!$B$3+1,0),"Y")&lt;6,0.8,IF(DATEDIF(N86,DATE(参数!$B$2,参数!$B$3+1,0),"Y")&lt;8,0.9,1))))</f>
        <v>140.86206896551724</v>
      </c>
      <c r="AX86">
        <f>IF(Q86+IFERROR(VLOOKUP(K86,源_3考勤报表_考勤表!$F:$BG,37,FALSE),0)+IFERROR(VLOOKUP(K86,源_8补工时表_补当月工时!$A:$AC,15,FALSE),0)&gt;=参数!$B$4,0,IF(Q86+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lt;=参数!$B$4,R86/参数!$B$4*(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0))</f>
        <v>0</v>
      </c>
      <c r="AY86">
        <v>0</v>
      </c>
      <c r="AZ86">
        <v>0</v>
      </c>
      <c r="BA86">
        <v>0</v>
      </c>
      <c r="BB86">
        <v>0</v>
      </c>
      <c r="BC86">
        <f>IFERROR(VLOOKUP(K86,源_5薪资备忘录_工资调整项!$A:$AC,25,FALSE),0)</f>
        <v>0</v>
      </c>
      <c r="BD86">
        <v>0</v>
      </c>
      <c r="BE86">
        <v>0</v>
      </c>
      <c r="BF86">
        <v>0</v>
      </c>
      <c r="BG86">
        <f>IFERROR(VLOOKUP(K86,源_5薪资备忘录_工资调整项!$A:$AC,22,FALSE),0)+IFERROR(VLOOKUP(K86,源_5薪资备忘录_工资调整项!$A:$AC,23,FALSE),0)+IFERROR(VLOOKUP(K86,源_5薪资备忘录_工资调整项!$A:$AC,24,FALSE),0)</f>
        <v>0</v>
      </c>
      <c r="BH86">
        <f>IFERROR(VLOOKUP(DF86,源_6社保表_Sheet1!$C:$CD,80,FALSE),0)+4.5</f>
        <v>6.5</v>
      </c>
      <c r="BI86">
        <f t="shared" si="29"/>
        <v>6418.8511994002993</v>
      </c>
      <c r="BJ86">
        <f>IFERROR(VLOOKUP(DF86,源_6社保表_Sheet1!$C:$BZ,26,FALSE),0)</f>
        <v>350</v>
      </c>
      <c r="BK86">
        <f>IFERROR(VLOOKUP(DF86,源_6社保表_Sheet1!$C:$BZ,27,FALSE),0)</f>
        <v>59.552500000000002</v>
      </c>
      <c r="BL86">
        <f>IFERROR(VLOOKUP(DF86,源_6社保表_Sheet1!$C:$BZ,28,FALSE),0)</f>
        <v>25</v>
      </c>
      <c r="BM86">
        <f>IFERROR(VLOOKUP(DF86,源_6社保表_Sheet1!$C:$BZ,30,FALSE),0)</f>
        <v>317.04000000000002</v>
      </c>
      <c r="BN86">
        <f>IFERROR(VLOOKUP(DF86,源_6社保表_Sheet1!$C:$BZ,29,FALSE),0)</f>
        <v>0</v>
      </c>
      <c r="BO86">
        <f>IFERROR(VLOOKUP(DF86,源_6社保表_Sheet1!$C:$BZ,40,FALSE),0)</f>
        <v>0</v>
      </c>
      <c r="BP86">
        <f>IFERROR(VLOOKUP(DF86,源_6社保表_Sheet1!$C:$BZ,41,FALSE),0)</f>
        <v>0</v>
      </c>
      <c r="BQ86">
        <f>IFERROR(VLOOKUP(DF86,源_6社保表_Sheet1!$C:$BZ,42,FALSE),0)</f>
        <v>0</v>
      </c>
      <c r="BR86">
        <f>IFERROR(VLOOKUP(DF86,源_6社保表_Sheet1!$C:$BZ,44,FALSE),0)</f>
        <v>0</v>
      </c>
      <c r="BS86">
        <f>IFERROR(VLOOKUP(DF86,源_6社保表_Sheet1!$C:$BZ,43,FALSE),0)</f>
        <v>0</v>
      </c>
      <c r="BT86">
        <f t="shared" si="30"/>
        <v>751.59249999999997</v>
      </c>
      <c r="BU86">
        <v>0</v>
      </c>
      <c r="BV86">
        <v>0</v>
      </c>
      <c r="BW86">
        <v>0</v>
      </c>
      <c r="BX86">
        <f t="shared" si="31"/>
        <v>0</v>
      </c>
      <c r="BY86">
        <v>0</v>
      </c>
      <c r="BZ86">
        <f>IFERROR(VLOOKUP(DF86,源_6社保表_Sheet1!$C:$BZ,18,FALSE),0)</f>
        <v>750</v>
      </c>
      <c r="CA86">
        <f>IFERROR(VLOOKUP(DF86,源_6社保表_Sheet1!$C:$BZ,19,FALSE),0)</f>
        <v>476.42</v>
      </c>
      <c r="CB86">
        <f>IFERROR(VLOOKUP(DF86,源_6社保表_Sheet1!$C:$BZ,24,FALSE),0)</f>
        <v>317.04000000000002</v>
      </c>
      <c r="CC86">
        <f>IFERROR(VLOOKUP(DF86,源_6社保表_Sheet1!$C:$BZ,20,FALSE),0)</f>
        <v>25</v>
      </c>
      <c r="CD86">
        <f>IFERROR(VLOOKUP(DF86,源_6社保表_Sheet1!$C:$BZ,21,FALSE),0)</f>
        <v>16</v>
      </c>
      <c r="CE86">
        <f>IFERROR(VLOOKUP(DF86,源_6社保表_Sheet1!$C:$BZ,22,FALSE),0)</f>
        <v>0</v>
      </c>
      <c r="CF86">
        <f>IFERROR(VLOOKUP(DF86,源_6社保表_Sheet1!$C:$BZ,23,FALSE),0)</f>
        <v>0</v>
      </c>
      <c r="CG86">
        <f>IFERROR(VLOOKUP(DF86,源_6社保表_Sheet1!$C:$BZ,32,FALSE),0)</f>
        <v>0</v>
      </c>
      <c r="CH86">
        <f>IFERROR(VLOOKUP(DF86,源_6社保表_Sheet1!$C:$BZ,33,FALSE),0)</f>
        <v>0</v>
      </c>
      <c r="CI86">
        <f>IFERROR(VLOOKUP(DF86,源_6社保表_Sheet1!$C:$BZ,34,FALSE),0)</f>
        <v>0</v>
      </c>
      <c r="CJ86">
        <f>IFERROR(VLOOKUP(DF86,源_6社保表_Sheet1!$C:$BZ,38,FALSE),0)</f>
        <v>0</v>
      </c>
      <c r="CK86">
        <f>IFERROR(VLOOKUP(DF86,源_6社保表_Sheet1!$C:$BZ,35,FALSE),0)</f>
        <v>0</v>
      </c>
      <c r="CL86">
        <f>IFERROR(VLOOKUP(DF86,源_6社保表_Sheet1!$C:$BZ,36,FALSE),0)</f>
        <v>0</v>
      </c>
      <c r="CM86">
        <f>IFERROR(VLOOKUP(DF86,源_6社保表_Sheet1!$C:$BZ,37,FALSE),0)</f>
        <v>0</v>
      </c>
      <c r="CN86">
        <f t="shared" si="32"/>
        <v>1584.46</v>
      </c>
      <c r="CO86">
        <f t="shared" si="33"/>
        <v>8009.8111994002993</v>
      </c>
      <c r="CP86">
        <f>IF(IFERROR(VLOOKUP(K86,源_13残疾人信息_残疾人信息!$A:$M,1,FALSE),"")&lt;&gt;"",0,IF(OR(P86="门店全职",P86="门店管理组",P86="全职(非门店)"),(BI86-AT86)*IFERROR(VLOOKUP(D86,源_12计提残保金规则_Sheet1!$A:$E,4,FALSE),0)*IFERROR(VLOOKUP(D86,源_12计提残保金规则_Sheet1!$A:$E,5,FALSE),0),0))</f>
        <v>86.654491191904043</v>
      </c>
      <c r="CQ86">
        <f t="shared" si="34"/>
        <v>16.05</v>
      </c>
      <c r="CR86">
        <f t="shared" si="35"/>
        <v>20.67</v>
      </c>
      <c r="CS86">
        <f>IF(DATEVALUE(N86)&gt;DATE(参数!$B$2,9,30),0,IF(M86="行政",0,IF(O86="",R86/12,IF(MONTH(DATEVALUE(O86))=参数!$B$3,0,IF(DATEVALUE(O86)&lt;DATE(参数!$B$2,参数!$B$3,1),0,R86/12)))))</f>
        <v>358.33333333333331</v>
      </c>
      <c r="CT86">
        <f t="shared" si="36"/>
        <v>438.59999999999997</v>
      </c>
      <c r="CU86">
        <f>IFERROR(VLOOKUP(DF86,源_6社保表_Sheet1!$C:$I,2,FALSE),0)</f>
        <v>5000</v>
      </c>
      <c r="CV86">
        <f>IFERROR(VLOOKUP(DF86,源_6社保表_Sheet1!$C:$I,7,FALSE),0)</f>
        <v>5284</v>
      </c>
      <c r="CW86">
        <f>IFERROR(VLOOKUP(DF86,源_6社保表_Sheet1!$C:$I,3,FALSE),0)</f>
        <v>5955.25</v>
      </c>
      <c r="CX86">
        <f>IFERROR(VLOOKUP(DF86,源_6社保表_Sheet1!$C:$I,4,FALSE),0)</f>
        <v>5000</v>
      </c>
      <c r="CY86">
        <f>IFERROR(VLOOKUP(DF86,源_6社保表_Sheet1!$C:$I,5,FALSE),0)</f>
        <v>5000</v>
      </c>
      <c r="CZ86">
        <f>IFERROR(VLOOKUP(DF86,源_6社保表_Sheet1!$C:$I,6,FALSE),0)</f>
        <v>0</v>
      </c>
      <c r="DA86">
        <f t="shared" si="37"/>
        <v>5803.3111994002993</v>
      </c>
      <c r="DB86">
        <f t="shared" si="38"/>
        <v>6730.1190239255366</v>
      </c>
      <c r="DC86" t="str">
        <f>IFERROR(VLOOKUP(K86,源_7银行卡表_Sheet1!$A:$J,8,FALSE),"")</f>
        <v>交通银行</v>
      </c>
      <c r="DD86" t="str">
        <f>IFERROR(VLOOKUP(K86,源_7银行卡表_Sheet1!$A:$J,9,FALSE),"")</f>
        <v>6281366382099690025</v>
      </c>
      <c r="DE86" t="str">
        <f>IFERROR(VLOOKUP(K86,源_7银行卡表_Sheet1!$A:$J,10,FALSE),"")</f>
        <v>昌里路支行</v>
      </c>
      <c r="DF86" t="s">
        <v>521</v>
      </c>
      <c r="DG86">
        <v>14453638497</v>
      </c>
      <c r="DH86" t="s">
        <v>516</v>
      </c>
      <c r="DI86">
        <v>0</v>
      </c>
      <c r="DJ86">
        <v>0</v>
      </c>
      <c r="DK86">
        <v>0</v>
      </c>
      <c r="DL86">
        <v>0</v>
      </c>
      <c r="DM86">
        <v>0</v>
      </c>
      <c r="DN86">
        <v>0</v>
      </c>
      <c r="DO86">
        <v>0</v>
      </c>
      <c r="DP86">
        <v>0</v>
      </c>
      <c r="DQ86">
        <v>0</v>
      </c>
      <c r="DR86">
        <f>IF(OR(IFERROR(VLOOKUP(K86,源_3考勤报表_考勤表!$F:$BG,39,FALSE),0)+IFERROR(VLOOKUP(K86,源_8补工时表_补当月工时!$A:$AC,24,FALSE),0)=0,IFERROR(VLOOKUP(K86,源_3考勤报表_考勤表!$F:$BG,43,FALSE),0)+IFERROR(VLOOKUP(K86,源_8补工时表_补当月工时!$A:$AC,26,FALSE),0)=0),IF(BI86+BG86-BT86&lt;0,BI86+BG86-BT86,0),0)</f>
        <v>0</v>
      </c>
    </row>
    <row r="87" spans="1:122" x14ac:dyDescent="0.15">
      <c r="A87">
        <f>参数!$B$2</f>
        <v>2025</v>
      </c>
      <c r="B87">
        <f>参数!$B$3</f>
        <v>12</v>
      </c>
      <c r="D87" t="s">
        <v>505</v>
      </c>
      <c r="E87" t="s">
        <v>123</v>
      </c>
      <c r="F87" t="str">
        <f>IFERROR(VLOOKUP(K87,源_7银行卡表_Sheet1!$A:$J,6,FALSE),"")</f>
        <v>华北营运</v>
      </c>
      <c r="G87" t="s">
        <v>506</v>
      </c>
      <c r="H87" t="s">
        <v>522</v>
      </c>
      <c r="I87" t="s">
        <v>508</v>
      </c>
      <c r="J87">
        <v>1</v>
      </c>
      <c r="K87">
        <v>26123086</v>
      </c>
      <c r="L87" t="s">
        <v>523</v>
      </c>
      <c r="M87" t="s">
        <v>140</v>
      </c>
      <c r="N87" t="s">
        <v>524</v>
      </c>
      <c r="P87" t="s">
        <v>131</v>
      </c>
      <c r="Q87">
        <f>IF(P87="门店全职",IFERROR(VLOOKUP(K87,源_3考勤报表_考勤表!$F:$BG,34,FALSE),0)+IFERROR(VLOOKUP(K87,源_8补工时表_补当月工时!$A:$AC,14,FALSE),0),IF(P87="门店管理组",IF(IFERROR(VLOOKUP(K87,源_3考勤报表_考勤表!$F:$BG,34,FALSE),0)+IFERROR(VLOOKUP(K87,源_8补工时表_补当月工时!$A:$AC,14,FALSE),0)+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44,FALSE),0)+IFERROR(VLOOKUP(K87,源_8补工时表_补当月工时!$A:$AC,16,FALSE),0)+IFERROR(VLOOKUP(K87,源_3考勤报表_考勤表!$F:$BG,45,FALSE),0)&gt;=参数!$B$4,参数!$B$4-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44,FALSE),0)-IFERROR(VLOOKUP(K87,源_8补工时表_补当月工时!$A:$AC,16,FALSE),0)-IFERROR(VLOOKUP(K87,源_3考勤报表_考勤表!$F:$BG,45,FALSE),0),IFERROR(VLOOKUP(K87,源_3考勤报表_考勤表!$F:$BG,34,FALSE),0)+IFERROR(VLOOKUP(K87,源_8补工时表_补当月工时!$A:$AC,14,FALSE),0)),0))</f>
        <v>0</v>
      </c>
      <c r="R87">
        <v>5200</v>
      </c>
      <c r="S87">
        <v>0</v>
      </c>
      <c r="T87">
        <f>IF(P87="门店全职",R87/参数!$B$4*(Q87-MAX(IFERROR(VLOOKUP(K87,源_3考勤报表_考勤表!$F:$BG,34,FALSE),0)+IFERROR(VLOOKUP(K87,源_8补工时表_补当月工时!$A:$AC,14,FALSE),0)+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参数!$B$4,0)),R87/参数!$B$4*Q87)</f>
        <v>0</v>
      </c>
      <c r="U87">
        <v>0</v>
      </c>
      <c r="V87">
        <v>0</v>
      </c>
      <c r="W87">
        <f t="shared" si="26"/>
        <v>25.5</v>
      </c>
      <c r="X87">
        <f>IFERROR(VLOOKUP(K87,源_4奖金汇总表_拆分手工算!$A:$N,8,FALSE),0)</f>
        <v>25.5</v>
      </c>
      <c r="Y87">
        <f>IFERROR(VLOOKUP(K87,源_5薪资备忘录_工资调整项!$A:$AC,14,FALSE),0)</f>
        <v>0</v>
      </c>
      <c r="Z87">
        <f>IFERROR(VLOOKUP(K87,源_5薪资备忘录_工资调整项!$A:$AC,16,FALSE),0)</f>
        <v>0</v>
      </c>
      <c r="AA87">
        <f>IFERROR(VLOOKUP(K87,源_5薪资备忘录_工资调整项!$A:$AC,15,FALSE),0)</f>
        <v>0</v>
      </c>
      <c r="AB87">
        <f t="shared" si="27"/>
        <v>0</v>
      </c>
      <c r="AC87">
        <f>IF(P87="门店全职",R87/174*MAX(IFERROR(VLOOKUP(K87,源_3考勤报表_考勤表!$F:$BG,34,FALSE),0)+IFERROR(VLOOKUP(K87,源_8补工时表_补当月工时!$A:$AC,14,FALSE),0)+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参数!$B$4,0)*1.5,0)</f>
        <v>0</v>
      </c>
      <c r="AD87">
        <v>0</v>
      </c>
      <c r="AE87">
        <f>IFERROR(VLOOKUP(K87,源_3考勤报表_考勤表!$F:$BG,46,FALSE),0)+IFERROR(VLOOKUP(K87,源_8补工时表_补当月工时!$A:$AC,25,FALSE),0)</f>
        <v>0</v>
      </c>
      <c r="AF87">
        <f t="shared" si="28"/>
        <v>0</v>
      </c>
      <c r="AG87">
        <f>IFERROR(VLOOKUP(K87,源_4奖金汇总表_拆分手工算!$A:$N,10,FALSE),0)</f>
        <v>0</v>
      </c>
      <c r="AH87">
        <f>IFERROR(VLOOKUP(K87,源_4奖金汇总表_拆分手工算!$A:$N,5,FALSE),0)</f>
        <v>0</v>
      </c>
      <c r="AI87">
        <f>IFERROR(VLOOKUP(K87,源_4奖金汇总表_拆分手工算!$A:$N,11,FALSE),0)</f>
        <v>0</v>
      </c>
      <c r="AJ87">
        <f>IFERROR(VLOOKUP(K87,源_4奖金汇总表_拆分手工算!$A:$N,4,FALSE),0)</f>
        <v>0</v>
      </c>
      <c r="AK87">
        <f>IFERROR(VLOOKUP(K87,源_4奖金汇总表_拆分手工算!$A:$N,3,FALSE),0)</f>
        <v>0</v>
      </c>
      <c r="AL87">
        <f>IFERROR(VLOOKUP(K87,源_4奖金汇总表_拆分手工算!$A:$N,6,FALSE),0)</f>
        <v>0</v>
      </c>
      <c r="AM87">
        <f>IFERROR(VLOOKUP(K87,源_5薪资备忘录_工资调整项!$A:$AC,18,FALSE),0)+IFERROR(VLOOKUP(K87,源_4奖金汇总表_拆分手工算!$A:$N,7,FALSE),0)</f>
        <v>0</v>
      </c>
      <c r="AN87">
        <f>IFERROR(VLOOKUP(K87,源_5薪资备忘录_工资调整项!$A:$AC,17,FALSE),0)</f>
        <v>300</v>
      </c>
      <c r="AO87">
        <f>IF(OR(IFERROR(VLOOKUP(K87,源_3考勤报表_考勤表!$F:$BG,39,FALSE),0)+IFERROR(VLOOKUP(K87,源_8补工时表_补当月工时!$A:$AC,24,FALSE),0)&gt;0,IFERROR(VLOOKUP(K87,源_3考勤报表_考勤表!$F:$BG,43,FALSE),0)+IFERROR(VLOOKUP(K87,源_8补工时表_补当月工时!$A:$AC,26,FALSE),0)&gt;0),IF(IFERROR(VLOOKUP(DH87,源_11产假政策_Sheet1!$C:$F,4,FALSE),"")="是",R87/参数!$B$4*(IFERROR(VLOOKUP(K87,源_3考勤报表_考勤表!$F:$BG,39,FALSE),0)+IFERROR(VLOOKUP(K87,源_8补工时表_补当月工时!$A:$AC,24,FALSE),0)+IFERROR(VLOOKUP(K87,源_3考勤报表_考勤表!$F:$BG,43,FALSE),0)+IFERROR(VLOOKUP(K87,源_8补工时表_补当月工时!$A:$AC,26,FALSE),0)),IFERROR(VLOOKUP(K87,源_5薪资备忘录_工资调整项!$A:$AC,19,FALSE),0)),0)</f>
        <v>0</v>
      </c>
      <c r="AP87">
        <v>0</v>
      </c>
      <c r="AQ87">
        <f>IFERROR(VLOOKUP(K87,源_4奖金汇总表_拆分手工算!$A:$N,12,FALSE),0)+IFERROR(VLOOKUP(K87,源_9年终奖表_Sheet1!$A:$E,3,FALSE),0)</f>
        <v>0</v>
      </c>
      <c r="AR87">
        <f>IFERROR(VLOOKUP(K87,源_4奖金汇总表_拆分手工算!$A:$N,13,FALSE),0)+IFERROR(VLOOKUP(K87,源_9年终奖表_Sheet1!$A:$E,4,FALSE),0)</f>
        <v>0</v>
      </c>
      <c r="AS87">
        <f>IFERROR(VLOOKUP(K87,源_4奖金汇总表_拆分手工算!$A:$N,14,FALSE),0)+IFERROR(VLOOKUP(K87,源_9年终奖表_Sheet1!$A:$E,5,FALSE),0)</f>
        <v>0</v>
      </c>
      <c r="AT87">
        <f>IFERROR(VLOOKUP(K87,源_5薪资备忘录_工资调整项!$A:$AC,20,FALSE),0)</f>
        <v>0</v>
      </c>
      <c r="AU87">
        <f>IFERROR(VLOOKUP(K87,源_5薪资备忘录_工资调整项!$A:$AC,21,FALSE),0)+IFERROR(VLOOKUP(K87,源_4奖金汇总表_拆分手工算!$A:$N,9,FALSE),0)</f>
        <v>0</v>
      </c>
      <c r="AV87">
        <f>R87/参数!$B$4*(IFERROR(VLOOKUP(K87,源_3考勤报表_考勤表!$F:$BG,37,FALSE),0)+IFERROR(VLOOKUP(K87,源_8补工时表_补当月工时!$A:$AC,15,FALSE),0))</f>
        <v>0</v>
      </c>
      <c r="AW87">
        <f>R87/174*MIN(IFERROR(VLOOKUP(K87,源_3考勤报表_考勤表!$F:$BG,35,FALSE),0),174)*IF(DATEDIF(N87,DATE(参数!$B$2,参数!$B$3+1,0),"Y")&lt;2,0.6,IF(DATEDIF(N87,DATE(参数!$B$2,参数!$B$3+1,0),"Y")&lt;4,0.7,IF(DATEDIF(N87,DATE(参数!$B$2,参数!$B$3+1,0),"Y")&lt;6,0.8,IF(DATEDIF(N87,DATE(参数!$B$2,参数!$B$3+1,0),"Y")&lt;8,0.9,1))))</f>
        <v>0</v>
      </c>
      <c r="AX87">
        <f>IF(Q87+IFERROR(VLOOKUP(K87,源_3考勤报表_考勤表!$F:$BG,37,FALSE),0)+IFERROR(VLOOKUP(K87,源_8补工时表_补当月工时!$A:$AC,15,FALSE),0)&gt;=参数!$B$4,0,IF(Q87+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lt;=参数!$B$4,R87/参数!$B$4*(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0))</f>
        <v>0</v>
      </c>
      <c r="AY87">
        <v>0</v>
      </c>
      <c r="AZ87">
        <v>0</v>
      </c>
      <c r="BA87">
        <v>0</v>
      </c>
      <c r="BB87">
        <v>0</v>
      </c>
      <c r="BC87">
        <f>IFERROR(VLOOKUP(K87,源_5薪资备忘录_工资调整项!$A:$AC,25,FALSE),0)</f>
        <v>0</v>
      </c>
      <c r="BD87">
        <v>0</v>
      </c>
      <c r="BE87">
        <v>0</v>
      </c>
      <c r="BF87">
        <v>0</v>
      </c>
      <c r="BG87">
        <f>IFERROR(VLOOKUP(K87,源_5薪资备忘录_工资调整项!$A:$AC,22,FALSE),0)+IFERROR(VLOOKUP(K87,源_5薪资备忘录_工资调整项!$A:$AC,23,FALSE),0)+IFERROR(VLOOKUP(K87,源_5薪资备忘录_工资调整项!$A:$AC,24,FALSE),0)</f>
        <v>0</v>
      </c>
      <c r="BH87">
        <f>IFERROR(VLOOKUP(DF87,源_6社保表_Sheet1!$C:$CD,80,FALSE),0)+4.5</f>
        <v>6.5</v>
      </c>
      <c r="BI87">
        <f t="shared" si="29"/>
        <v>325.5</v>
      </c>
      <c r="BJ87">
        <f>IFERROR(VLOOKUP(DF87,源_6社保表_Sheet1!$C:$BZ,26,FALSE),0)</f>
        <v>364</v>
      </c>
      <c r="BK87">
        <f>IFERROR(VLOOKUP(DF87,源_6社保表_Sheet1!$C:$BZ,27,FALSE),0)</f>
        <v>52</v>
      </c>
      <c r="BL87">
        <f>IFERROR(VLOOKUP(DF87,源_6社保表_Sheet1!$C:$BZ,28,FALSE),0)</f>
        <v>26</v>
      </c>
      <c r="BM87">
        <f>IFERROR(VLOOKUP(DF87,源_6社保表_Sheet1!$C:$BZ,30,FALSE),0)</f>
        <v>312</v>
      </c>
      <c r="BN87">
        <f>IFERROR(VLOOKUP(DF87,源_6社保表_Sheet1!$C:$BZ,29,FALSE),0)</f>
        <v>0</v>
      </c>
      <c r="BO87">
        <f>IFERROR(VLOOKUP(DF87,源_6社保表_Sheet1!$C:$BZ,40,FALSE),0)</f>
        <v>0</v>
      </c>
      <c r="BP87">
        <f>IFERROR(VLOOKUP(DF87,源_6社保表_Sheet1!$C:$BZ,41,FALSE),0)</f>
        <v>0</v>
      </c>
      <c r="BQ87">
        <f>IFERROR(VLOOKUP(DF87,源_6社保表_Sheet1!$C:$BZ,42,FALSE),0)</f>
        <v>0</v>
      </c>
      <c r="BR87">
        <f>IFERROR(VLOOKUP(DF87,源_6社保表_Sheet1!$C:$BZ,44,FALSE),0)</f>
        <v>0</v>
      </c>
      <c r="BS87">
        <f>IFERROR(VLOOKUP(DF87,源_6社保表_Sheet1!$C:$BZ,43,FALSE),0)</f>
        <v>0</v>
      </c>
      <c r="BT87">
        <f t="shared" si="30"/>
        <v>754</v>
      </c>
      <c r="BU87">
        <v>0</v>
      </c>
      <c r="BV87">
        <v>0</v>
      </c>
      <c r="BW87">
        <v>0</v>
      </c>
      <c r="BX87">
        <f t="shared" si="31"/>
        <v>0</v>
      </c>
      <c r="BY87">
        <v>0</v>
      </c>
      <c r="BZ87">
        <f>IFERROR(VLOOKUP(DF87,源_6社保表_Sheet1!$C:$BZ,18,FALSE),0)</f>
        <v>780</v>
      </c>
      <c r="CA87">
        <f>IFERROR(VLOOKUP(DF87,源_6社保表_Sheet1!$C:$BZ,19,FALSE),0)</f>
        <v>416</v>
      </c>
      <c r="CB87">
        <f>IFERROR(VLOOKUP(DF87,源_6社保表_Sheet1!$C:$BZ,24,FALSE),0)</f>
        <v>312</v>
      </c>
      <c r="CC87">
        <f>IFERROR(VLOOKUP(DF87,源_6社保表_Sheet1!$C:$BZ,20,FALSE),0)</f>
        <v>26</v>
      </c>
      <c r="CD87">
        <f>IFERROR(VLOOKUP(DF87,源_6社保表_Sheet1!$C:$BZ,21,FALSE),0)</f>
        <v>16.64</v>
      </c>
      <c r="CE87">
        <f>IFERROR(VLOOKUP(DF87,源_6社保表_Sheet1!$C:$BZ,22,FALSE),0)</f>
        <v>0</v>
      </c>
      <c r="CF87">
        <f>IFERROR(VLOOKUP(DF87,源_6社保表_Sheet1!$C:$BZ,23,FALSE),0)</f>
        <v>0</v>
      </c>
      <c r="CG87">
        <f>IFERROR(VLOOKUP(DF87,源_6社保表_Sheet1!$C:$BZ,32,FALSE),0)</f>
        <v>0</v>
      </c>
      <c r="CH87">
        <f>IFERROR(VLOOKUP(DF87,源_6社保表_Sheet1!$C:$BZ,33,FALSE),0)</f>
        <v>0</v>
      </c>
      <c r="CI87">
        <f>IFERROR(VLOOKUP(DF87,源_6社保表_Sheet1!$C:$BZ,34,FALSE),0)</f>
        <v>0</v>
      </c>
      <c r="CJ87">
        <f>IFERROR(VLOOKUP(DF87,源_6社保表_Sheet1!$C:$BZ,38,FALSE),0)</f>
        <v>0</v>
      </c>
      <c r="CK87">
        <f>IFERROR(VLOOKUP(DF87,源_6社保表_Sheet1!$C:$BZ,35,FALSE),0)</f>
        <v>0</v>
      </c>
      <c r="CL87">
        <f>IFERROR(VLOOKUP(DF87,源_6社保表_Sheet1!$C:$BZ,36,FALSE),0)</f>
        <v>0</v>
      </c>
      <c r="CM87">
        <f>IFERROR(VLOOKUP(DF87,源_6社保表_Sheet1!$C:$BZ,37,FALSE),0)</f>
        <v>0</v>
      </c>
      <c r="CN87">
        <f t="shared" si="32"/>
        <v>1550.64</v>
      </c>
      <c r="CO87">
        <f t="shared" si="33"/>
        <v>1882.64</v>
      </c>
      <c r="CP87">
        <f>IF(IFERROR(VLOOKUP(K87,源_13残疾人信息_残疾人信息!$A:$M,1,FALSE),"")&lt;&gt;"",0,IF(OR(P87="门店全职",P87="门店管理组",P87="全职(非门店)"),(BI87-AT87)*IFERROR(VLOOKUP(D87,源_12计提残保金规则_Sheet1!$A:$E,4,FALSE),0)*IFERROR(VLOOKUP(D87,源_12计提残保金规则_Sheet1!$A:$E,5,FALSE),0),0))</f>
        <v>4.3942499999999995</v>
      </c>
      <c r="CQ87">
        <f t="shared" si="34"/>
        <v>16.05</v>
      </c>
      <c r="CR87">
        <f t="shared" si="35"/>
        <v>20.67</v>
      </c>
      <c r="CS87">
        <f>IF(DATEVALUE(N87)&gt;DATE(参数!$B$2,9,30),0,IF(M87="行政",0,IF(O87="",R87/12,IF(MONTH(DATEVALUE(O87))=参数!$B$3,0,IF(DATEVALUE(O87)&lt;DATE(参数!$B$2,参数!$B$3,1),0,R87/12)))))</f>
        <v>433.33333333333331</v>
      </c>
      <c r="CT87">
        <f t="shared" si="36"/>
        <v>530.4</v>
      </c>
      <c r="CU87">
        <f>IFERROR(VLOOKUP(DF87,源_6社保表_Sheet1!$C:$I,2,FALSE),0)</f>
        <v>5200</v>
      </c>
      <c r="CV87">
        <f>IFERROR(VLOOKUP(DF87,源_6社保表_Sheet1!$C:$I,7,FALSE),0)</f>
        <v>5200</v>
      </c>
      <c r="CW87">
        <f>IFERROR(VLOOKUP(DF87,源_6社保表_Sheet1!$C:$I,3,FALSE),0)</f>
        <v>5200</v>
      </c>
      <c r="CX87">
        <f>IFERROR(VLOOKUP(DF87,源_6社保表_Sheet1!$C:$I,4,FALSE),0)</f>
        <v>5200</v>
      </c>
      <c r="CY87">
        <f>IFERROR(VLOOKUP(DF87,源_6社保表_Sheet1!$C:$I,5,FALSE),0)</f>
        <v>5200</v>
      </c>
      <c r="CZ87">
        <f>IFERROR(VLOOKUP(DF87,源_6社保表_Sheet1!$C:$I,6,FALSE),0)</f>
        <v>0</v>
      </c>
      <c r="DA87">
        <f t="shared" si="37"/>
        <v>1876.14</v>
      </c>
      <c r="DB87">
        <f t="shared" si="38"/>
        <v>2887.4875833333335</v>
      </c>
      <c r="DC87" t="str">
        <f>IFERROR(VLOOKUP(K87,源_7银行卡表_Sheet1!$A:$J,8,FALSE),"")</f>
        <v>交通银行</v>
      </c>
      <c r="DD87" t="str">
        <f>IFERROR(VLOOKUP(K87,源_7银行卡表_Sheet1!$A:$J,9,FALSE),"")</f>
        <v>6287731298789245149</v>
      </c>
      <c r="DE87" t="str">
        <f>IFERROR(VLOOKUP(K87,源_7银行卡表_Sheet1!$A:$J,10,FALSE),"")</f>
        <v>嘉定安亭</v>
      </c>
      <c r="DF87" t="s">
        <v>525</v>
      </c>
      <c r="DG87">
        <v>18421594548</v>
      </c>
      <c r="DH87" t="s">
        <v>506</v>
      </c>
      <c r="DI87">
        <v>0</v>
      </c>
      <c r="DJ87">
        <v>0</v>
      </c>
      <c r="DK87">
        <v>0</v>
      </c>
      <c r="DL87">
        <v>0</v>
      </c>
      <c r="DM87">
        <v>0</v>
      </c>
      <c r="DN87">
        <v>0</v>
      </c>
      <c r="DO87">
        <v>0</v>
      </c>
      <c r="DP87">
        <v>0</v>
      </c>
      <c r="DQ87">
        <v>0</v>
      </c>
      <c r="DR87">
        <f>IF(OR(IFERROR(VLOOKUP(K87,源_3考勤报表_考勤表!$F:$BG,39,FALSE),0)+IFERROR(VLOOKUP(K87,源_8补工时表_补当月工时!$A:$AC,24,FALSE),0)=0,IFERROR(VLOOKUP(K87,源_3考勤报表_考勤表!$F:$BG,43,FALSE),0)+IFERROR(VLOOKUP(K87,源_8补工时表_补当月工时!$A:$AC,26,FALSE),0)=0),IF(BI87+BG87-BT87&lt;0,BI87+BG87-BT87,0),0)</f>
        <v>-428.5</v>
      </c>
    </row>
    <row r="88" spans="1:122" x14ac:dyDescent="0.15">
      <c r="A88">
        <f>参数!$B$2</f>
        <v>2025</v>
      </c>
      <c r="B88">
        <f>参数!$B$3</f>
        <v>12</v>
      </c>
      <c r="D88" t="s">
        <v>526</v>
      </c>
      <c r="E88" t="s">
        <v>123</v>
      </c>
      <c r="F88" t="str">
        <f>IFERROR(VLOOKUP(K88,源_7银行卡表_Sheet1!$A:$J,6,FALSE),"")</f>
        <v>华东营运</v>
      </c>
      <c r="G88" t="s">
        <v>527</v>
      </c>
      <c r="H88" t="s">
        <v>528</v>
      </c>
      <c r="I88" t="s">
        <v>529</v>
      </c>
      <c r="J88">
        <v>1</v>
      </c>
      <c r="K88">
        <v>26123087</v>
      </c>
      <c r="L88" t="s">
        <v>530</v>
      </c>
      <c r="M88" t="s">
        <v>218</v>
      </c>
      <c r="N88" t="s">
        <v>531</v>
      </c>
      <c r="P88" t="s">
        <v>131</v>
      </c>
      <c r="Q88">
        <f>IF(P88="门店全职",IFERROR(VLOOKUP(K88,源_3考勤报表_考勤表!$F:$BG,34,FALSE),0)+IFERROR(VLOOKUP(K88,源_8补工时表_补当月工时!$A:$AC,14,FALSE),0),IF(P88="门店管理组",IF(IFERROR(VLOOKUP(K88,源_3考勤报表_考勤表!$F:$BG,34,FALSE),0)+IFERROR(VLOOKUP(K88,源_8补工时表_补当月工时!$A:$AC,14,FALSE),0)+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44,FALSE),0)+IFERROR(VLOOKUP(K88,源_8补工时表_补当月工时!$A:$AC,16,FALSE),0)+IFERROR(VLOOKUP(K88,源_3考勤报表_考勤表!$F:$BG,45,FALSE),0)&gt;=参数!$B$4,参数!$B$4-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44,FALSE),0)-IFERROR(VLOOKUP(K88,源_8补工时表_补当月工时!$A:$AC,16,FALSE),0)-IFERROR(VLOOKUP(K88,源_3考勤报表_考勤表!$F:$BG,45,FALSE),0),IFERROR(VLOOKUP(K88,源_3考勤报表_考勤表!$F:$BG,34,FALSE),0)+IFERROR(VLOOKUP(K88,源_8补工时表_补当月工时!$A:$AC,14,FALSE),0)),0))</f>
        <v>0</v>
      </c>
      <c r="R88">
        <v>4300</v>
      </c>
      <c r="S88">
        <v>0</v>
      </c>
      <c r="T88">
        <f>IF(P88="门店全职",R88/参数!$B$4*(Q88-MAX(IFERROR(VLOOKUP(K88,源_3考勤报表_考勤表!$F:$BG,34,FALSE),0)+IFERROR(VLOOKUP(K88,源_8补工时表_补当月工时!$A:$AC,14,FALSE),0)+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参数!$B$4,0)),R88/参数!$B$4*Q88)</f>
        <v>0</v>
      </c>
      <c r="U88">
        <v>0</v>
      </c>
      <c r="V88">
        <v>0</v>
      </c>
      <c r="W88">
        <f t="shared" si="26"/>
        <v>322</v>
      </c>
      <c r="X88">
        <f>IFERROR(VLOOKUP(K88,源_4奖金汇总表_拆分手工算!$A:$N,8,FALSE),0)</f>
        <v>0</v>
      </c>
      <c r="Y88">
        <f>IFERROR(VLOOKUP(K88,源_5薪资备忘录_工资调整项!$A:$AC,14,FALSE),0)</f>
        <v>100</v>
      </c>
      <c r="Z88">
        <f>IFERROR(VLOOKUP(K88,源_5薪资备忘录_工资调整项!$A:$AC,16,FALSE),0)</f>
        <v>222</v>
      </c>
      <c r="AA88">
        <f>IFERROR(VLOOKUP(K88,源_5薪资备忘录_工资调整项!$A:$AC,15,FALSE),0)</f>
        <v>0</v>
      </c>
      <c r="AB88">
        <f t="shared" si="27"/>
        <v>0</v>
      </c>
      <c r="AC88">
        <f>IF(P88="门店全职",R88/174*MAX(IFERROR(VLOOKUP(K88,源_3考勤报表_考勤表!$F:$BG,34,FALSE),0)+IFERROR(VLOOKUP(K88,源_8补工时表_补当月工时!$A:$AC,14,FALSE),0)+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参数!$B$4,0)*1.5,0)</f>
        <v>0</v>
      </c>
      <c r="AD88">
        <v>0</v>
      </c>
      <c r="AE88">
        <f>IFERROR(VLOOKUP(K88,源_3考勤报表_考勤表!$F:$BG,46,FALSE),0)+IFERROR(VLOOKUP(K88,源_8补工时表_补当月工时!$A:$AC,25,FALSE),0)</f>
        <v>0</v>
      </c>
      <c r="AF88">
        <f t="shared" si="28"/>
        <v>0</v>
      </c>
      <c r="AG88">
        <f>IFERROR(VLOOKUP(K88,源_4奖金汇总表_拆分手工算!$A:$N,10,FALSE),0)</f>
        <v>0</v>
      </c>
      <c r="AH88">
        <f>IFERROR(VLOOKUP(K88,源_4奖金汇总表_拆分手工算!$A:$N,5,FALSE),0)</f>
        <v>0</v>
      </c>
      <c r="AI88">
        <f>IFERROR(VLOOKUP(K88,源_4奖金汇总表_拆分手工算!$A:$N,11,FALSE),0)</f>
        <v>0</v>
      </c>
      <c r="AJ88">
        <f>IFERROR(VLOOKUP(K88,源_4奖金汇总表_拆分手工算!$A:$N,4,FALSE),0)</f>
        <v>0</v>
      </c>
      <c r="AK88">
        <f>IFERROR(VLOOKUP(K88,源_4奖金汇总表_拆分手工算!$A:$N,3,FALSE),0)</f>
        <v>0</v>
      </c>
      <c r="AL88">
        <f>IFERROR(VLOOKUP(K88,源_4奖金汇总表_拆分手工算!$A:$N,6,FALSE),0)</f>
        <v>0</v>
      </c>
      <c r="AM88">
        <f>IFERROR(VLOOKUP(K88,源_5薪资备忘录_工资调整项!$A:$AC,18,FALSE),0)+IFERROR(VLOOKUP(K88,源_4奖金汇总表_拆分手工算!$A:$N,7,FALSE),0)</f>
        <v>0</v>
      </c>
      <c r="AN88">
        <f>IFERROR(VLOOKUP(K88,源_5薪资备忘录_工资调整项!$A:$AC,17,FALSE),0)</f>
        <v>0</v>
      </c>
      <c r="AO88">
        <f>IF(OR(IFERROR(VLOOKUP(K88,源_3考勤报表_考勤表!$F:$BG,39,FALSE),0)+IFERROR(VLOOKUP(K88,源_8补工时表_补当月工时!$A:$AC,24,FALSE),0)&gt;0,IFERROR(VLOOKUP(K88,源_3考勤报表_考勤表!$F:$BG,43,FALSE),0)+IFERROR(VLOOKUP(K88,源_8补工时表_补当月工时!$A:$AC,26,FALSE),0)&gt;0),IF(IFERROR(VLOOKUP(DH88,源_11产假政策_Sheet1!$C:$F,4,FALSE),"")="是",R88/参数!$B$4*(IFERROR(VLOOKUP(K88,源_3考勤报表_考勤表!$F:$BG,39,FALSE),0)+IFERROR(VLOOKUP(K88,源_8补工时表_补当月工时!$A:$AC,24,FALSE),0)+IFERROR(VLOOKUP(K88,源_3考勤报表_考勤表!$F:$BG,43,FALSE),0)+IFERROR(VLOOKUP(K88,源_8补工时表_补当月工时!$A:$AC,26,FALSE),0)),IFERROR(VLOOKUP(K88,源_5薪资备忘录_工资调整项!$A:$AC,19,FALSE),0)),0)</f>
        <v>0</v>
      </c>
      <c r="AP88">
        <v>0</v>
      </c>
      <c r="AQ88">
        <f>IFERROR(VLOOKUP(K88,源_4奖金汇总表_拆分手工算!$A:$N,12,FALSE),0)+IFERROR(VLOOKUP(K88,源_9年终奖表_Sheet1!$A:$E,3,FALSE),0)</f>
        <v>0</v>
      </c>
      <c r="AR88">
        <f>IFERROR(VLOOKUP(K88,源_4奖金汇总表_拆分手工算!$A:$N,13,FALSE),0)+IFERROR(VLOOKUP(K88,源_9年终奖表_Sheet1!$A:$E,4,FALSE),0)</f>
        <v>0</v>
      </c>
      <c r="AS88">
        <f>IFERROR(VLOOKUP(K88,源_4奖金汇总表_拆分手工算!$A:$N,14,FALSE),0)+IFERROR(VLOOKUP(K88,源_9年终奖表_Sheet1!$A:$E,5,FALSE),0)</f>
        <v>0</v>
      </c>
      <c r="AT88">
        <f>IFERROR(VLOOKUP(K88,源_5薪资备忘录_工资调整项!$A:$AC,20,FALSE),0)</f>
        <v>0</v>
      </c>
      <c r="AU88">
        <f>IFERROR(VLOOKUP(K88,源_5薪资备忘录_工资调整项!$A:$AC,21,FALSE),0)+IFERROR(VLOOKUP(K88,源_4奖金汇总表_拆分手工算!$A:$N,9,FALSE),0)</f>
        <v>0</v>
      </c>
      <c r="AV88">
        <f>R88/参数!$B$4*(IFERROR(VLOOKUP(K88,源_3考勤报表_考勤表!$F:$BG,37,FALSE),0)+IFERROR(VLOOKUP(K88,源_8补工时表_补当月工时!$A:$AC,15,FALSE),0))</f>
        <v>0</v>
      </c>
      <c r="AW88">
        <f>R88/174*MIN(IFERROR(VLOOKUP(K88,源_3考勤报表_考勤表!$F:$BG,35,FALSE),0),174)*IF(DATEDIF(N88,DATE(参数!$B$2,参数!$B$3+1,0),"Y")&lt;2,0.6,IF(DATEDIF(N88,DATE(参数!$B$2,参数!$B$3+1,0),"Y")&lt;4,0.7,IF(DATEDIF(N88,DATE(参数!$B$2,参数!$B$3+1,0),"Y")&lt;6,0.8,IF(DATEDIF(N88,DATE(参数!$B$2,参数!$B$3+1,0),"Y")&lt;8,0.9,1))))</f>
        <v>0</v>
      </c>
      <c r="AX88">
        <f>IF(Q88+IFERROR(VLOOKUP(K88,源_3考勤报表_考勤表!$F:$BG,37,FALSE),0)+IFERROR(VLOOKUP(K88,源_8补工时表_补当月工时!$A:$AC,15,FALSE),0)&gt;=参数!$B$4,0,IF(Q88+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lt;=参数!$B$4,R88/参数!$B$4*(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0))</f>
        <v>0</v>
      </c>
      <c r="AY88">
        <v>0</v>
      </c>
      <c r="AZ88">
        <v>0</v>
      </c>
      <c r="BA88">
        <v>0</v>
      </c>
      <c r="BB88">
        <v>0</v>
      </c>
      <c r="BC88">
        <f>IFERROR(VLOOKUP(K88,源_5薪资备忘录_工资调整项!$A:$AC,25,FALSE),0)</f>
        <v>0</v>
      </c>
      <c r="BD88">
        <v>0</v>
      </c>
      <c r="BE88">
        <v>0</v>
      </c>
      <c r="BF88">
        <v>0</v>
      </c>
      <c r="BG88">
        <f>IFERROR(VLOOKUP(K88,源_5薪资备忘录_工资调整项!$A:$AC,22,FALSE),0)+IFERROR(VLOOKUP(K88,源_5薪资备忘录_工资调整项!$A:$AC,23,FALSE),0)+IFERROR(VLOOKUP(K88,源_5薪资备忘录_工资调整项!$A:$AC,24,FALSE),0)</f>
        <v>0</v>
      </c>
      <c r="BH88">
        <f>IFERROR(VLOOKUP(DF88,源_6社保表_Sheet1!$C:$CD,80,FALSE),0)+4.5</f>
        <v>6.5</v>
      </c>
      <c r="BI88">
        <f t="shared" si="29"/>
        <v>322</v>
      </c>
      <c r="BJ88">
        <f>IFERROR(VLOOKUP(DF88,源_6社保表_Sheet1!$C:$BZ,26,FALSE),0)</f>
        <v>191.55</v>
      </c>
      <c r="BK88">
        <f>IFERROR(VLOOKUP(DF88,源_6社保表_Sheet1!$C:$BZ,27,FALSE),0)</f>
        <v>38.31</v>
      </c>
      <c r="BL88">
        <f>IFERROR(VLOOKUP(DF88,源_6社保表_Sheet1!$C:$BZ,28,FALSE),0)</f>
        <v>19.155000000000001</v>
      </c>
      <c r="BM88">
        <f>IFERROR(VLOOKUP(DF88,源_6社保表_Sheet1!$C:$BZ,30,FALSE),0)</f>
        <v>145.5</v>
      </c>
      <c r="BN88">
        <f>IFERROR(VLOOKUP(DF88,源_6社保表_Sheet1!$C:$BZ,29,FALSE),0)</f>
        <v>0</v>
      </c>
      <c r="BO88">
        <f>IFERROR(VLOOKUP(DF88,源_6社保表_Sheet1!$C:$BZ,40,FALSE),0)</f>
        <v>0</v>
      </c>
      <c r="BP88">
        <f>IFERROR(VLOOKUP(DF88,源_6社保表_Sheet1!$C:$BZ,41,FALSE),0)</f>
        <v>0</v>
      </c>
      <c r="BQ88">
        <f>IFERROR(VLOOKUP(DF88,源_6社保表_Sheet1!$C:$BZ,42,FALSE),0)</f>
        <v>0</v>
      </c>
      <c r="BR88">
        <f>IFERROR(VLOOKUP(DF88,源_6社保表_Sheet1!$C:$BZ,44,FALSE),0)</f>
        <v>0</v>
      </c>
      <c r="BS88">
        <f>IFERROR(VLOOKUP(DF88,源_6社保表_Sheet1!$C:$BZ,43,FALSE),0)</f>
        <v>0</v>
      </c>
      <c r="BT88">
        <f t="shared" si="30"/>
        <v>394.51499999999999</v>
      </c>
      <c r="BU88">
        <v>0</v>
      </c>
      <c r="BV88">
        <v>0</v>
      </c>
      <c r="BW88">
        <v>0</v>
      </c>
      <c r="BX88">
        <f t="shared" si="31"/>
        <v>0</v>
      </c>
      <c r="BY88">
        <v>0</v>
      </c>
      <c r="BZ88">
        <f>IFERROR(VLOOKUP(DF88,源_6社保表_Sheet1!$C:$BZ,18,FALSE),0)</f>
        <v>459.72</v>
      </c>
      <c r="CA88">
        <f>IFERROR(VLOOKUP(DF88,源_6社保表_Sheet1!$C:$BZ,19,FALSE),0)</f>
        <v>229.86</v>
      </c>
      <c r="CB88">
        <f>IFERROR(VLOOKUP(DF88,源_6社保表_Sheet1!$C:$BZ,24,FALSE),0)</f>
        <v>145.5</v>
      </c>
      <c r="CC88">
        <f>IFERROR(VLOOKUP(DF88,源_6社保表_Sheet1!$C:$BZ,20,FALSE),0)</f>
        <v>19.155000000000001</v>
      </c>
      <c r="CD88">
        <f>IFERROR(VLOOKUP(DF88,源_6社保表_Sheet1!$C:$BZ,21,FALSE),0)</f>
        <v>12.2592</v>
      </c>
      <c r="CE88">
        <f>IFERROR(VLOOKUP(DF88,源_6社保表_Sheet1!$C:$BZ,22,FALSE),0)</f>
        <v>0</v>
      </c>
      <c r="CF88">
        <f>IFERROR(VLOOKUP(DF88,源_6社保表_Sheet1!$C:$BZ,23,FALSE),0)</f>
        <v>0</v>
      </c>
      <c r="CG88">
        <f>IFERROR(VLOOKUP(DF88,源_6社保表_Sheet1!$C:$BZ,32,FALSE),0)</f>
        <v>0</v>
      </c>
      <c r="CH88">
        <f>IFERROR(VLOOKUP(DF88,源_6社保表_Sheet1!$C:$BZ,33,FALSE),0)</f>
        <v>0</v>
      </c>
      <c r="CI88">
        <f>IFERROR(VLOOKUP(DF88,源_6社保表_Sheet1!$C:$BZ,34,FALSE),0)</f>
        <v>0</v>
      </c>
      <c r="CJ88">
        <f>IFERROR(VLOOKUP(DF88,源_6社保表_Sheet1!$C:$BZ,38,FALSE),0)</f>
        <v>0</v>
      </c>
      <c r="CK88">
        <f>IFERROR(VLOOKUP(DF88,源_6社保表_Sheet1!$C:$BZ,35,FALSE),0)</f>
        <v>0</v>
      </c>
      <c r="CL88">
        <f>IFERROR(VLOOKUP(DF88,源_6社保表_Sheet1!$C:$BZ,36,FALSE),0)</f>
        <v>0</v>
      </c>
      <c r="CM88">
        <f>IFERROR(VLOOKUP(DF88,源_6社保表_Sheet1!$C:$BZ,37,FALSE),0)</f>
        <v>0</v>
      </c>
      <c r="CN88">
        <f t="shared" si="32"/>
        <v>866.49419999999998</v>
      </c>
      <c r="CO88">
        <f t="shared" si="33"/>
        <v>1194.9942000000001</v>
      </c>
      <c r="CP88">
        <f>IF(IFERROR(VLOOKUP(K88,源_13残疾人信息_残疾人信息!$A:$M,1,FALSE),"")&lt;&gt;"",0,IF(OR(P88="门店全职",P88="门店管理组",P88="全职(非门店)"),(BI88-AT88)*IFERROR(VLOOKUP(D88,源_12计提残保金规则_Sheet1!$A:$E,4,FALSE),0)*IFERROR(VLOOKUP(D88,源_12计提残保金规则_Sheet1!$A:$E,5,FALSE),0),0))</f>
        <v>4.6368</v>
      </c>
      <c r="CQ88">
        <f t="shared" si="34"/>
        <v>16.05</v>
      </c>
      <c r="CR88">
        <f t="shared" si="35"/>
        <v>20.67</v>
      </c>
      <c r="CS88">
        <f>IF(DATEVALUE(N88)&gt;DATE(参数!$B$2,9,30),0,IF(M88="行政",0,IF(O88="",R88/12,IF(MONTH(DATEVALUE(O88))=参数!$B$3,0,IF(DATEVALUE(O88)&lt;DATE(参数!$B$2,参数!$B$3,1),0,R88/12)))))</f>
        <v>358.33333333333331</v>
      </c>
      <c r="CT88">
        <f t="shared" si="36"/>
        <v>438.59999999999997</v>
      </c>
      <c r="CU88">
        <f>IFERROR(VLOOKUP(DF88,源_6社保表_Sheet1!$C:$I,2,FALSE),0)</f>
        <v>3831</v>
      </c>
      <c r="CV88">
        <f>IFERROR(VLOOKUP(DF88,源_6社保表_Sheet1!$C:$I,7,FALSE),0)</f>
        <v>2910</v>
      </c>
      <c r="CW88">
        <f>IFERROR(VLOOKUP(DF88,源_6社保表_Sheet1!$C:$I,3,FALSE),0)</f>
        <v>3831</v>
      </c>
      <c r="CX88">
        <f>IFERROR(VLOOKUP(DF88,源_6社保表_Sheet1!$C:$I,4,FALSE),0)</f>
        <v>3831</v>
      </c>
      <c r="CY88">
        <f>IFERROR(VLOOKUP(DF88,源_6社保表_Sheet1!$C:$I,5,FALSE),0)</f>
        <v>3831</v>
      </c>
      <c r="CZ88">
        <f>IFERROR(VLOOKUP(DF88,源_6社保表_Sheet1!$C:$I,6,FALSE),0)</f>
        <v>0</v>
      </c>
      <c r="DA88">
        <f t="shared" si="37"/>
        <v>1188.4942000000001</v>
      </c>
      <c r="DB88">
        <f t="shared" si="38"/>
        <v>2033.2843333333333</v>
      </c>
      <c r="DC88" t="str">
        <f>IFERROR(VLOOKUP(K88,源_7银行卡表_Sheet1!$A:$J,8,FALSE),"")</f>
        <v>交通银行</v>
      </c>
      <c r="DD88" t="str">
        <f>IFERROR(VLOOKUP(K88,源_7银行卡表_Sheet1!$A:$J,9,FALSE),"")</f>
        <v>6281910503203260941</v>
      </c>
      <c r="DE88" t="str">
        <f>IFERROR(VLOOKUP(K88,源_7银行卡表_Sheet1!$A:$J,10,FALSE),"")</f>
        <v>交通银行西三旗支行</v>
      </c>
      <c r="DF88" t="s">
        <v>532</v>
      </c>
      <c r="DG88">
        <v>16878141229</v>
      </c>
      <c r="DH88" t="s">
        <v>527</v>
      </c>
      <c r="DI88">
        <v>0</v>
      </c>
      <c r="DJ88">
        <v>0</v>
      </c>
      <c r="DK88">
        <v>0</v>
      </c>
      <c r="DL88">
        <v>0</v>
      </c>
      <c r="DM88">
        <v>0</v>
      </c>
      <c r="DN88">
        <v>0</v>
      </c>
      <c r="DO88">
        <v>0</v>
      </c>
      <c r="DP88">
        <v>0</v>
      </c>
      <c r="DQ88">
        <v>0</v>
      </c>
      <c r="DR88">
        <f>IF(OR(IFERROR(VLOOKUP(K88,源_3考勤报表_考勤表!$F:$BG,39,FALSE),0)+IFERROR(VLOOKUP(K88,源_8补工时表_补当月工时!$A:$AC,24,FALSE),0)=0,IFERROR(VLOOKUP(K88,源_3考勤报表_考勤表!$F:$BG,43,FALSE),0)+IFERROR(VLOOKUP(K88,源_8补工时表_补当月工时!$A:$AC,26,FALSE),0)=0),IF(BI88+BG88-BT88&lt;0,BI88+BG88-BT88,0),0)</f>
        <v>-72.514999999999986</v>
      </c>
    </row>
    <row r="89" spans="1:122" x14ac:dyDescent="0.15">
      <c r="A89">
        <f>参数!$B$2</f>
        <v>2025</v>
      </c>
      <c r="B89">
        <f>参数!$B$3</f>
        <v>12</v>
      </c>
      <c r="D89" t="s">
        <v>533</v>
      </c>
      <c r="E89" t="s">
        <v>123</v>
      </c>
      <c r="F89" t="str">
        <f>IFERROR(VLOOKUP(K89,源_7银行卡表_Sheet1!$A:$J,6,FALSE),"")</f>
        <v>华东营运</v>
      </c>
      <c r="G89" t="s">
        <v>534</v>
      </c>
      <c r="H89" t="s">
        <v>535</v>
      </c>
      <c r="I89" t="s">
        <v>536</v>
      </c>
      <c r="J89">
        <v>1</v>
      </c>
      <c r="K89">
        <v>26123088</v>
      </c>
      <c r="L89" t="s">
        <v>537</v>
      </c>
      <c r="M89" t="s">
        <v>187</v>
      </c>
      <c r="N89" t="s">
        <v>538</v>
      </c>
      <c r="P89" t="s">
        <v>154</v>
      </c>
      <c r="Q89">
        <f>IF(P89="门店全职",IFERROR(VLOOKUP(K89,源_3考勤报表_考勤表!$F:$BG,34,FALSE),0)+IFERROR(VLOOKUP(K89,源_8补工时表_补当月工时!$A:$AC,14,FALSE),0),IF(P89="门店管理组",IF(IFERROR(VLOOKUP(K89,源_3考勤报表_考勤表!$F:$BG,34,FALSE),0)+IFERROR(VLOOKUP(K89,源_8补工时表_补当月工时!$A:$AC,14,FALSE),0)+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44,FALSE),0)+IFERROR(VLOOKUP(K89,源_8补工时表_补当月工时!$A:$AC,16,FALSE),0)+IFERROR(VLOOKUP(K89,源_3考勤报表_考勤表!$F:$BG,45,FALSE),0)&gt;=参数!$B$4,参数!$B$4-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44,FALSE),0)-IFERROR(VLOOKUP(K89,源_8补工时表_补当月工时!$A:$AC,16,FALSE),0)-IFERROR(VLOOKUP(K89,源_3考勤报表_考勤表!$F:$BG,45,FALSE),0),IFERROR(VLOOKUP(K89,源_3考勤报表_考勤表!$F:$BG,34,FALSE),0)+IFERROR(VLOOKUP(K89,源_8补工时表_补当月工时!$A:$AC,14,FALSE),0)),0))</f>
        <v>0</v>
      </c>
      <c r="R89">
        <v>3540</v>
      </c>
      <c r="S89">
        <v>0</v>
      </c>
      <c r="T89">
        <f>IF(P89="门店全职",R89/参数!$B$4*(Q89-MAX(IFERROR(VLOOKUP(K89,源_3考勤报表_考勤表!$F:$BG,34,FALSE),0)+IFERROR(VLOOKUP(K89,源_8补工时表_补当月工时!$A:$AC,14,FALSE),0)+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参数!$B$4,0)),R89/参数!$B$4*Q89)</f>
        <v>0</v>
      </c>
      <c r="U89">
        <v>0</v>
      </c>
      <c r="V89">
        <v>0</v>
      </c>
      <c r="W89">
        <f t="shared" si="26"/>
        <v>0</v>
      </c>
      <c r="X89">
        <f>IFERROR(VLOOKUP(K89,源_4奖金汇总表_拆分手工算!$A:$N,8,FALSE),0)</f>
        <v>0</v>
      </c>
      <c r="Y89">
        <f>IFERROR(VLOOKUP(K89,源_5薪资备忘录_工资调整项!$A:$AC,14,FALSE),0)</f>
        <v>0</v>
      </c>
      <c r="Z89">
        <f>IFERROR(VLOOKUP(K89,源_5薪资备忘录_工资调整项!$A:$AC,16,FALSE),0)</f>
        <v>0</v>
      </c>
      <c r="AA89">
        <f>IFERROR(VLOOKUP(K89,源_5薪资备忘录_工资调整项!$A:$AC,15,FALSE),0)</f>
        <v>0</v>
      </c>
      <c r="AB89">
        <f t="shared" si="27"/>
        <v>0</v>
      </c>
      <c r="AC89">
        <f>IF(P89="门店全职",R89/174*MAX(IFERROR(VLOOKUP(K89,源_3考勤报表_考勤表!$F:$BG,34,FALSE),0)+IFERROR(VLOOKUP(K89,源_8补工时表_补当月工时!$A:$AC,14,FALSE),0)+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参数!$B$4,0)*1.5,0)</f>
        <v>0</v>
      </c>
      <c r="AD89">
        <v>0</v>
      </c>
      <c r="AE89">
        <f>IFERROR(VLOOKUP(K89,源_3考勤报表_考勤表!$F:$BG,46,FALSE),0)+IFERROR(VLOOKUP(K89,源_8补工时表_补当月工时!$A:$AC,25,FALSE),0)</f>
        <v>0</v>
      </c>
      <c r="AF89">
        <f t="shared" si="28"/>
        <v>0</v>
      </c>
      <c r="AG89">
        <f>IFERROR(VLOOKUP(K89,源_4奖金汇总表_拆分手工算!$A:$N,10,FALSE),0)</f>
        <v>0</v>
      </c>
      <c r="AH89">
        <f>IFERROR(VLOOKUP(K89,源_4奖金汇总表_拆分手工算!$A:$N,5,FALSE),0)</f>
        <v>0</v>
      </c>
      <c r="AI89">
        <f>IFERROR(VLOOKUP(K89,源_4奖金汇总表_拆分手工算!$A:$N,11,FALSE),0)</f>
        <v>0</v>
      </c>
      <c r="AJ89">
        <f>IFERROR(VLOOKUP(K89,源_4奖金汇总表_拆分手工算!$A:$N,4,FALSE),0)</f>
        <v>0</v>
      </c>
      <c r="AK89">
        <f>IFERROR(VLOOKUP(K89,源_4奖金汇总表_拆分手工算!$A:$N,3,FALSE),0)</f>
        <v>0</v>
      </c>
      <c r="AL89">
        <f>IFERROR(VLOOKUP(K89,源_4奖金汇总表_拆分手工算!$A:$N,6,FALSE),0)</f>
        <v>0</v>
      </c>
      <c r="AM89">
        <f>IFERROR(VLOOKUP(K89,源_5薪资备忘录_工资调整项!$A:$AC,18,FALSE),0)+IFERROR(VLOOKUP(K89,源_4奖金汇总表_拆分手工算!$A:$N,7,FALSE),0)</f>
        <v>0</v>
      </c>
      <c r="AN89">
        <f>IFERROR(VLOOKUP(K89,源_5薪资备忘录_工资调整项!$A:$AC,17,FALSE),0)</f>
        <v>0</v>
      </c>
      <c r="AO89">
        <f>IF(OR(IFERROR(VLOOKUP(K89,源_3考勤报表_考勤表!$F:$BG,39,FALSE),0)+IFERROR(VLOOKUP(K89,源_8补工时表_补当月工时!$A:$AC,24,FALSE),0)&gt;0,IFERROR(VLOOKUP(K89,源_3考勤报表_考勤表!$F:$BG,43,FALSE),0)+IFERROR(VLOOKUP(K89,源_8补工时表_补当月工时!$A:$AC,26,FALSE),0)&gt;0),IF(IFERROR(VLOOKUP(DH89,源_11产假政策_Sheet1!$C:$F,4,FALSE),"")="是",R89/参数!$B$4*(IFERROR(VLOOKUP(K89,源_3考勤报表_考勤表!$F:$BG,39,FALSE),0)+IFERROR(VLOOKUP(K89,源_8补工时表_补当月工时!$A:$AC,24,FALSE),0)+IFERROR(VLOOKUP(K89,源_3考勤报表_考勤表!$F:$BG,43,FALSE),0)+IFERROR(VLOOKUP(K89,源_8补工时表_补当月工时!$A:$AC,26,FALSE),0)),IFERROR(VLOOKUP(K89,源_5薪资备忘录_工资调整项!$A:$AC,19,FALSE),0)),0)</f>
        <v>0</v>
      </c>
      <c r="AP89">
        <v>0</v>
      </c>
      <c r="AQ89">
        <f>IFERROR(VLOOKUP(K89,源_4奖金汇总表_拆分手工算!$A:$N,12,FALSE),0)+IFERROR(VLOOKUP(K89,源_9年终奖表_Sheet1!$A:$E,3,FALSE),0)</f>
        <v>1200</v>
      </c>
      <c r="AR89">
        <f>IFERROR(VLOOKUP(K89,源_4奖金汇总表_拆分手工算!$A:$N,13,FALSE),0)+IFERROR(VLOOKUP(K89,源_9年终奖表_Sheet1!$A:$E,4,FALSE),0)</f>
        <v>600</v>
      </c>
      <c r="AS89">
        <f>IFERROR(VLOOKUP(K89,源_4奖金汇总表_拆分手工算!$A:$N,14,FALSE),0)+IFERROR(VLOOKUP(K89,源_9年终奖表_Sheet1!$A:$E,5,FALSE),0)</f>
        <v>111</v>
      </c>
      <c r="AT89">
        <f>IFERROR(VLOOKUP(K89,源_5薪资备忘录_工资调整项!$A:$AC,20,FALSE),0)</f>
        <v>0</v>
      </c>
      <c r="AU89">
        <f>IFERROR(VLOOKUP(K89,源_5薪资备忘录_工资调整项!$A:$AC,21,FALSE),0)+IFERROR(VLOOKUP(K89,源_4奖金汇总表_拆分手工算!$A:$N,9,FALSE),0)</f>
        <v>0</v>
      </c>
      <c r="AV89">
        <f>R89/参数!$B$4*(IFERROR(VLOOKUP(K89,源_3考勤报表_考勤表!$F:$BG,37,FALSE),0)+IFERROR(VLOOKUP(K89,源_8补工时表_补当月工时!$A:$AC,15,FALSE),0))</f>
        <v>0</v>
      </c>
      <c r="AW89">
        <f>R89/174*MIN(IFERROR(VLOOKUP(K89,源_3考勤报表_考勤表!$F:$BG,35,FALSE),0),174)*IF(DATEDIF(N89,DATE(参数!$B$2,参数!$B$3+1,0),"Y")&lt;2,0.6,IF(DATEDIF(N89,DATE(参数!$B$2,参数!$B$3+1,0),"Y")&lt;4,0.7,IF(DATEDIF(N89,DATE(参数!$B$2,参数!$B$3+1,0),"Y")&lt;6,0.8,IF(DATEDIF(N89,DATE(参数!$B$2,参数!$B$3+1,0),"Y")&lt;8,0.9,1))))</f>
        <v>0</v>
      </c>
      <c r="AX89">
        <f>IF(Q89+IFERROR(VLOOKUP(K89,源_3考勤报表_考勤表!$F:$BG,37,FALSE),0)+IFERROR(VLOOKUP(K89,源_8补工时表_补当月工时!$A:$AC,15,FALSE),0)&gt;=参数!$B$4,0,IF(Q89+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lt;=参数!$B$4,R89/参数!$B$4*(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0))</f>
        <v>0</v>
      </c>
      <c r="AY89">
        <v>0</v>
      </c>
      <c r="AZ89">
        <v>0</v>
      </c>
      <c r="BA89">
        <v>0</v>
      </c>
      <c r="BB89">
        <v>0</v>
      </c>
      <c r="BC89">
        <f>IFERROR(VLOOKUP(K89,源_5薪资备忘录_工资调整项!$A:$AC,25,FALSE),0)</f>
        <v>0</v>
      </c>
      <c r="BD89">
        <v>0</v>
      </c>
      <c r="BE89">
        <v>0</v>
      </c>
      <c r="BF89">
        <v>0</v>
      </c>
      <c r="BG89">
        <f>IFERROR(VLOOKUP(K89,源_5薪资备忘录_工资调整项!$A:$AC,22,FALSE),0)+IFERROR(VLOOKUP(K89,源_5薪资备忘录_工资调整项!$A:$AC,23,FALSE),0)+IFERROR(VLOOKUP(K89,源_5薪资备忘录_工资调整项!$A:$AC,24,FALSE),0)</f>
        <v>0</v>
      </c>
      <c r="BH89">
        <f>IFERROR(VLOOKUP(DF89,源_6社保表_Sheet1!$C:$CD,80,FALSE),0)+4.5</f>
        <v>6.5</v>
      </c>
      <c r="BI89">
        <f t="shared" si="29"/>
        <v>1911</v>
      </c>
      <c r="BJ89">
        <f>IFERROR(VLOOKUP(DF89,源_6社保表_Sheet1!$C:$BZ,26,FALSE),0)</f>
        <v>249.3</v>
      </c>
      <c r="BK89">
        <f>IFERROR(VLOOKUP(DF89,源_6社保表_Sheet1!$C:$BZ,27,FALSE),0)</f>
        <v>49.86</v>
      </c>
      <c r="BL89">
        <f>IFERROR(VLOOKUP(DF89,源_6社保表_Sheet1!$C:$BZ,28,FALSE),0)</f>
        <v>24.93</v>
      </c>
      <c r="BM89">
        <f>IFERROR(VLOOKUP(DF89,源_6社保表_Sheet1!$C:$BZ,30,FALSE),0)</f>
        <v>167.5</v>
      </c>
      <c r="BN89">
        <f>IFERROR(VLOOKUP(DF89,源_6社保表_Sheet1!$C:$BZ,29,FALSE),0)</f>
        <v>0</v>
      </c>
      <c r="BO89">
        <f>IFERROR(VLOOKUP(DF89,源_6社保表_Sheet1!$C:$BZ,40,FALSE),0)</f>
        <v>0</v>
      </c>
      <c r="BP89">
        <f>IFERROR(VLOOKUP(DF89,源_6社保表_Sheet1!$C:$BZ,41,FALSE),0)</f>
        <v>0</v>
      </c>
      <c r="BQ89">
        <f>IFERROR(VLOOKUP(DF89,源_6社保表_Sheet1!$C:$BZ,42,FALSE),0)</f>
        <v>0</v>
      </c>
      <c r="BR89">
        <f>IFERROR(VLOOKUP(DF89,源_6社保表_Sheet1!$C:$BZ,44,FALSE),0)</f>
        <v>0</v>
      </c>
      <c r="BS89">
        <f>IFERROR(VLOOKUP(DF89,源_6社保表_Sheet1!$C:$BZ,43,FALSE),0)</f>
        <v>0</v>
      </c>
      <c r="BT89">
        <f t="shared" si="30"/>
        <v>491.59000000000003</v>
      </c>
      <c r="BU89">
        <v>0</v>
      </c>
      <c r="BV89">
        <v>0</v>
      </c>
      <c r="BW89">
        <v>0</v>
      </c>
      <c r="BX89">
        <f t="shared" si="31"/>
        <v>0</v>
      </c>
      <c r="BY89">
        <v>0</v>
      </c>
      <c r="BZ89">
        <f>IFERROR(VLOOKUP(DF89,源_6社保表_Sheet1!$C:$BZ,18,FALSE),0)</f>
        <v>598.32000000000005</v>
      </c>
      <c r="CA89">
        <f>IFERROR(VLOOKUP(DF89,源_6社保表_Sheet1!$C:$BZ,19,FALSE),0)</f>
        <v>299.16000000000003</v>
      </c>
      <c r="CB89">
        <f>IFERROR(VLOOKUP(DF89,源_6社保表_Sheet1!$C:$BZ,24,FALSE),0)</f>
        <v>167.5</v>
      </c>
      <c r="CC89">
        <f>IFERROR(VLOOKUP(DF89,源_6社保表_Sheet1!$C:$BZ,20,FALSE),0)</f>
        <v>24.93</v>
      </c>
      <c r="CD89">
        <f>IFERROR(VLOOKUP(DF89,源_6社保表_Sheet1!$C:$BZ,21,FALSE),0)</f>
        <v>15.9552</v>
      </c>
      <c r="CE89">
        <f>IFERROR(VLOOKUP(DF89,源_6社保表_Sheet1!$C:$BZ,22,FALSE),0)</f>
        <v>0</v>
      </c>
      <c r="CF89">
        <f>IFERROR(VLOOKUP(DF89,源_6社保表_Sheet1!$C:$BZ,23,FALSE),0)</f>
        <v>0</v>
      </c>
      <c r="CG89">
        <f>IFERROR(VLOOKUP(DF89,源_6社保表_Sheet1!$C:$BZ,32,FALSE),0)</f>
        <v>0</v>
      </c>
      <c r="CH89">
        <f>IFERROR(VLOOKUP(DF89,源_6社保表_Sheet1!$C:$BZ,33,FALSE),0)</f>
        <v>0</v>
      </c>
      <c r="CI89">
        <f>IFERROR(VLOOKUP(DF89,源_6社保表_Sheet1!$C:$BZ,34,FALSE),0)</f>
        <v>0</v>
      </c>
      <c r="CJ89">
        <f>IFERROR(VLOOKUP(DF89,源_6社保表_Sheet1!$C:$BZ,38,FALSE),0)</f>
        <v>0</v>
      </c>
      <c r="CK89">
        <f>IFERROR(VLOOKUP(DF89,源_6社保表_Sheet1!$C:$BZ,35,FALSE),0)</f>
        <v>0</v>
      </c>
      <c r="CL89">
        <f>IFERROR(VLOOKUP(DF89,源_6社保表_Sheet1!$C:$BZ,36,FALSE),0)</f>
        <v>0</v>
      </c>
      <c r="CM89">
        <f>IFERROR(VLOOKUP(DF89,源_6社保表_Sheet1!$C:$BZ,37,FALSE),0)</f>
        <v>0</v>
      </c>
      <c r="CN89">
        <f t="shared" si="32"/>
        <v>1105.8652000000002</v>
      </c>
      <c r="CO89">
        <f t="shared" si="33"/>
        <v>3023.3652000000002</v>
      </c>
      <c r="CP89">
        <f>IF(IFERROR(VLOOKUP(K89,源_13残疾人信息_残疾人信息!$A:$M,1,FALSE),"")&lt;&gt;"",0,IF(OR(P89="门店全职",P89="门店管理组",P89="全职(非门店)"),(BI89-AT89)*IFERROR(VLOOKUP(D89,源_12计提残保金规则_Sheet1!$A:$E,4,FALSE),0)*IFERROR(VLOOKUP(D89,源_12计提残保金规则_Sheet1!$A:$E,5,FALSE),0),0))</f>
        <v>25.798500000000001</v>
      </c>
      <c r="CQ89">
        <f t="shared" si="34"/>
        <v>16.05</v>
      </c>
      <c r="CR89">
        <f t="shared" si="35"/>
        <v>20.67</v>
      </c>
      <c r="CS89">
        <f>IF(DATEVALUE(N89)&gt;DATE(参数!$B$2,9,30),0,IF(M89="行政",0,IF(O89="",R89/12,IF(MONTH(DATEVALUE(O89))=参数!$B$3,0,IF(DATEVALUE(O89)&lt;DATE(参数!$B$2,参数!$B$3,1),0,R89/12)))))</f>
        <v>295</v>
      </c>
      <c r="CT89">
        <f t="shared" si="36"/>
        <v>0</v>
      </c>
      <c r="CU89">
        <f>IFERROR(VLOOKUP(DF89,源_6社保表_Sheet1!$C:$I,2,FALSE),0)</f>
        <v>4986</v>
      </c>
      <c r="CV89">
        <f>IFERROR(VLOOKUP(DF89,源_6社保表_Sheet1!$C:$I,7,FALSE),0)</f>
        <v>3350</v>
      </c>
      <c r="CW89">
        <f>IFERROR(VLOOKUP(DF89,源_6社保表_Sheet1!$C:$I,3,FALSE),0)</f>
        <v>4986</v>
      </c>
      <c r="CX89">
        <f>IFERROR(VLOOKUP(DF89,源_6社保表_Sheet1!$C:$I,4,FALSE),0)</f>
        <v>4986</v>
      </c>
      <c r="CY89">
        <f>IFERROR(VLOOKUP(DF89,源_6社保表_Sheet1!$C:$I,5,FALSE),0)</f>
        <v>4986</v>
      </c>
      <c r="CZ89">
        <f>IFERROR(VLOOKUP(DF89,源_6社保表_Sheet1!$C:$I,6,FALSE),0)</f>
        <v>0</v>
      </c>
      <c r="DA89">
        <f t="shared" si="37"/>
        <v>1105.8652000000002</v>
      </c>
      <c r="DB89">
        <f t="shared" si="38"/>
        <v>1469.8837000000003</v>
      </c>
      <c r="DC89" t="str">
        <f>IFERROR(VLOOKUP(K89,源_7银行卡表_Sheet1!$A:$J,8,FALSE),"")</f>
        <v>交通银行</v>
      </c>
      <c r="DD89" t="str">
        <f>IFERROR(VLOOKUP(K89,源_7银行卡表_Sheet1!$A:$J,9,FALSE),"")</f>
        <v>6283335386448688116</v>
      </c>
      <c r="DE89" t="str">
        <f>IFERROR(VLOOKUP(K89,源_7银行卡表_Sheet1!$A:$J,10,FALSE),"")</f>
        <v>交通银行北京玉泉营支行</v>
      </c>
      <c r="DF89" t="s">
        <v>539</v>
      </c>
      <c r="DG89">
        <v>13672073618</v>
      </c>
      <c r="DH89" t="s">
        <v>534</v>
      </c>
      <c r="DI89">
        <v>0</v>
      </c>
      <c r="DJ89">
        <v>0</v>
      </c>
      <c r="DK89">
        <v>0</v>
      </c>
      <c r="DL89">
        <v>0</v>
      </c>
      <c r="DM89">
        <v>0</v>
      </c>
      <c r="DN89">
        <v>0</v>
      </c>
      <c r="DO89">
        <v>0</v>
      </c>
      <c r="DP89">
        <v>0</v>
      </c>
      <c r="DQ89">
        <v>0</v>
      </c>
      <c r="DR89">
        <f>IF(OR(IFERROR(VLOOKUP(K89,源_3考勤报表_考勤表!$F:$BG,39,FALSE),0)+IFERROR(VLOOKUP(K89,源_8补工时表_补当月工时!$A:$AC,24,FALSE),0)=0,IFERROR(VLOOKUP(K89,源_3考勤报表_考勤表!$F:$BG,43,FALSE),0)+IFERROR(VLOOKUP(K89,源_8补工时表_补当月工时!$A:$AC,26,FALSE),0)=0),IF(BI89+BG89-BT89&lt;0,BI89+BG89-BT89,0),0)</f>
        <v>0</v>
      </c>
    </row>
    <row r="90" spans="1:122" x14ac:dyDescent="0.15">
      <c r="A90">
        <f>参数!$B$2</f>
        <v>2025</v>
      </c>
      <c r="B90">
        <f>参数!$B$3</f>
        <v>12</v>
      </c>
      <c r="D90" t="s">
        <v>165</v>
      </c>
      <c r="E90" t="s">
        <v>123</v>
      </c>
      <c r="F90" t="str">
        <f>IFERROR(VLOOKUP(K90,源_7银行卡表_Sheet1!$A:$J,6,FALSE),"")</f>
        <v>华北营运</v>
      </c>
      <c r="G90" t="s">
        <v>166</v>
      </c>
      <c r="H90" t="s">
        <v>540</v>
      </c>
      <c r="I90" t="s">
        <v>168</v>
      </c>
      <c r="J90">
        <v>1</v>
      </c>
      <c r="K90">
        <v>26123089</v>
      </c>
      <c r="L90" t="s">
        <v>541</v>
      </c>
      <c r="M90" t="s">
        <v>170</v>
      </c>
      <c r="N90" t="s">
        <v>542</v>
      </c>
      <c r="P90" t="s">
        <v>154</v>
      </c>
      <c r="Q90">
        <f>IF(P90="门店全职",IFERROR(VLOOKUP(K90,源_3考勤报表_考勤表!$F:$BG,34,FALSE),0)+IFERROR(VLOOKUP(K90,源_8补工时表_补当月工时!$A:$AC,14,FALSE),0),IF(P90="门店管理组",IF(IFERROR(VLOOKUP(K90,源_3考勤报表_考勤表!$F:$BG,34,FALSE),0)+IFERROR(VLOOKUP(K90,源_8补工时表_补当月工时!$A:$AC,14,FALSE),0)+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44,FALSE),0)+IFERROR(VLOOKUP(K90,源_8补工时表_补当月工时!$A:$AC,16,FALSE),0)+IFERROR(VLOOKUP(K90,源_3考勤报表_考勤表!$F:$BG,45,FALSE),0)&gt;=参数!$B$4,参数!$B$4-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44,FALSE),0)-IFERROR(VLOOKUP(K90,源_8补工时表_补当月工时!$A:$AC,16,FALSE),0)-IFERROR(VLOOKUP(K90,源_3考勤报表_考勤表!$F:$BG,45,FALSE),0),IFERROR(VLOOKUP(K90,源_3考勤报表_考勤表!$F:$BG,34,FALSE),0)+IFERROR(VLOOKUP(K90,源_8补工时表_补当月工时!$A:$AC,14,FALSE),0)),0))</f>
        <v>157</v>
      </c>
      <c r="R90">
        <v>3130</v>
      </c>
      <c r="S90">
        <v>0</v>
      </c>
      <c r="T90">
        <f>IF(P90="门店全职",R90/参数!$B$4*(Q90-MAX(IFERROR(VLOOKUP(K90,源_3考勤报表_考勤表!$F:$BG,34,FALSE),0)+IFERROR(VLOOKUP(K90,源_8补工时表_补当月工时!$A:$AC,14,FALSE),0)+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参数!$B$4,0)),R90/参数!$B$4*Q90)</f>
        <v>2449.565217391304</v>
      </c>
      <c r="U90">
        <v>0</v>
      </c>
      <c r="V90">
        <v>0</v>
      </c>
      <c r="W90">
        <f t="shared" si="26"/>
        <v>0</v>
      </c>
      <c r="X90">
        <f>IFERROR(VLOOKUP(K90,源_4奖金汇总表_拆分手工算!$A:$N,8,FALSE),0)</f>
        <v>0</v>
      </c>
      <c r="Y90">
        <f>IFERROR(VLOOKUP(K90,源_5薪资备忘录_工资调整项!$A:$AC,14,FALSE),0)</f>
        <v>0</v>
      </c>
      <c r="Z90">
        <f>IFERROR(VLOOKUP(K90,源_5薪资备忘录_工资调整项!$A:$AC,16,FALSE),0)</f>
        <v>0</v>
      </c>
      <c r="AA90">
        <f>IFERROR(VLOOKUP(K90,源_5薪资备忘录_工资调整项!$A:$AC,15,FALSE),0)</f>
        <v>0</v>
      </c>
      <c r="AB90">
        <f t="shared" si="27"/>
        <v>350.77586206896547</v>
      </c>
      <c r="AC90">
        <f>IF(P90="门店全职",R90/174*MAX(IFERROR(VLOOKUP(K90,源_3考勤报表_考勤表!$F:$BG,34,FALSE),0)+IFERROR(VLOOKUP(K90,源_8补工时表_补当月工时!$A:$AC,14,FALSE),0)+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参数!$B$4,0)*1.5,0)</f>
        <v>350.77586206896547</v>
      </c>
      <c r="AD90">
        <v>0</v>
      </c>
      <c r="AE90">
        <f>IFERROR(VLOOKUP(K90,源_3考勤报表_考勤表!$F:$BG,46,FALSE),0)+IFERROR(VLOOKUP(K90,源_8补工时表_补当月工时!$A:$AC,25,FALSE),0)</f>
        <v>0</v>
      </c>
      <c r="AF90">
        <f t="shared" si="28"/>
        <v>0</v>
      </c>
      <c r="AG90">
        <f>IFERROR(VLOOKUP(K90,源_4奖金汇总表_拆分手工算!$A:$N,10,FALSE),0)</f>
        <v>0</v>
      </c>
      <c r="AH90">
        <f>IFERROR(VLOOKUP(K90,源_4奖金汇总表_拆分手工算!$A:$N,5,FALSE),0)</f>
        <v>0</v>
      </c>
      <c r="AI90">
        <f>IFERROR(VLOOKUP(K90,源_4奖金汇总表_拆分手工算!$A:$N,11,FALSE),0)</f>
        <v>0</v>
      </c>
      <c r="AJ90">
        <f>IFERROR(VLOOKUP(K90,源_4奖金汇总表_拆分手工算!$A:$N,4,FALSE),0)</f>
        <v>0</v>
      </c>
      <c r="AK90">
        <f>IFERROR(VLOOKUP(K90,源_4奖金汇总表_拆分手工算!$A:$N,3,FALSE),0)</f>
        <v>0</v>
      </c>
      <c r="AL90">
        <f>IFERROR(VLOOKUP(K90,源_4奖金汇总表_拆分手工算!$A:$N,6,FALSE),0)</f>
        <v>0</v>
      </c>
      <c r="AM90">
        <f>IFERROR(VLOOKUP(K90,源_5薪资备忘录_工资调整项!$A:$AC,18,FALSE),0)+IFERROR(VLOOKUP(K90,源_4奖金汇总表_拆分手工算!$A:$N,7,FALSE),0)</f>
        <v>0</v>
      </c>
      <c r="AN90">
        <f>IFERROR(VLOOKUP(K90,源_5薪资备忘录_工资调整项!$A:$AC,17,FALSE),0)</f>
        <v>0</v>
      </c>
      <c r="AO90">
        <f>IF(OR(IFERROR(VLOOKUP(K90,源_3考勤报表_考勤表!$F:$BG,39,FALSE),0)+IFERROR(VLOOKUP(K90,源_8补工时表_补当月工时!$A:$AC,24,FALSE),0)&gt;0,IFERROR(VLOOKUP(K90,源_3考勤报表_考勤表!$F:$BG,43,FALSE),0)+IFERROR(VLOOKUP(K90,源_8补工时表_补当月工时!$A:$AC,26,FALSE),0)&gt;0),IF(IFERROR(VLOOKUP(DH90,源_11产假政策_Sheet1!$C:$F,4,FALSE),"")="是",R90/参数!$B$4*(IFERROR(VLOOKUP(K90,源_3考勤报表_考勤表!$F:$BG,39,FALSE),0)+IFERROR(VLOOKUP(K90,源_8补工时表_补当月工时!$A:$AC,24,FALSE),0)+IFERROR(VLOOKUP(K90,源_3考勤报表_考勤表!$F:$BG,43,FALSE),0)+IFERROR(VLOOKUP(K90,源_8补工时表_补当月工时!$A:$AC,26,FALSE),0)),IFERROR(VLOOKUP(K90,源_5薪资备忘录_工资调整项!$A:$AC,19,FALSE),0)),0)</f>
        <v>0</v>
      </c>
      <c r="AP90">
        <v>0</v>
      </c>
      <c r="AQ90">
        <f>IFERROR(VLOOKUP(K90,源_4奖金汇总表_拆分手工算!$A:$N,12,FALSE),0)+IFERROR(VLOOKUP(K90,源_9年终奖表_Sheet1!$A:$E,3,FALSE),0)</f>
        <v>1200</v>
      </c>
      <c r="AR90">
        <f>IFERROR(VLOOKUP(K90,源_4奖金汇总表_拆分手工算!$A:$N,13,FALSE),0)+IFERROR(VLOOKUP(K90,源_9年终奖表_Sheet1!$A:$E,4,FALSE),0)</f>
        <v>600</v>
      </c>
      <c r="AS90">
        <f>IFERROR(VLOOKUP(K90,源_4奖金汇总表_拆分手工算!$A:$N,14,FALSE),0)+IFERROR(VLOOKUP(K90,源_9年终奖表_Sheet1!$A:$E,5,FALSE),0)</f>
        <v>222</v>
      </c>
      <c r="AT90">
        <f>IFERROR(VLOOKUP(K90,源_5薪资备忘录_工资调整项!$A:$AC,20,FALSE),0)</f>
        <v>0</v>
      </c>
      <c r="AU90">
        <f>IFERROR(VLOOKUP(K90,源_5薪资备忘录_工资调整项!$A:$AC,21,FALSE),0)+IFERROR(VLOOKUP(K90,源_4奖金汇总表_拆分手工算!$A:$N,9,FALSE),0)</f>
        <v>0</v>
      </c>
      <c r="AV90">
        <f>R90/参数!$B$4*(IFERROR(VLOOKUP(K90,源_3考勤报表_考勤表!$F:$BG,37,FALSE),0)+IFERROR(VLOOKUP(K90,源_8补工时表_补当月工时!$A:$AC,15,FALSE),0))</f>
        <v>680.43478260869563</v>
      </c>
      <c r="AW90">
        <f>R90/174*MIN(IFERROR(VLOOKUP(K90,源_3考勤报表_考勤表!$F:$BG,35,FALSE),0),174)*IF(DATEDIF(N90,DATE(参数!$B$2,参数!$B$3+1,0),"Y")&lt;2,0.6,IF(DATEDIF(N90,DATE(参数!$B$2,参数!$B$3+1,0),"Y")&lt;4,0.7,IF(DATEDIF(N90,DATE(参数!$B$2,参数!$B$3+1,0),"Y")&lt;6,0.8,IF(DATEDIF(N90,DATE(参数!$B$2,参数!$B$3+1,0),"Y")&lt;8,0.9,1))))</f>
        <v>0</v>
      </c>
      <c r="AX90">
        <f>IF(Q90+IFERROR(VLOOKUP(K90,源_3考勤报表_考勤表!$F:$BG,37,FALSE),0)+IFERROR(VLOOKUP(K90,源_8补工时表_补当月工时!$A:$AC,15,FALSE),0)&gt;=参数!$B$4,0,IF(Q90+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lt;=参数!$B$4,R90/参数!$B$4*(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0))</f>
        <v>0</v>
      </c>
      <c r="AY90">
        <v>0</v>
      </c>
      <c r="AZ90">
        <v>0</v>
      </c>
      <c r="BA90">
        <v>0</v>
      </c>
      <c r="BB90">
        <v>0</v>
      </c>
      <c r="BC90">
        <f>IFERROR(VLOOKUP(K90,源_5薪资备忘录_工资调整项!$A:$AC,25,FALSE),0)</f>
        <v>0</v>
      </c>
      <c r="BD90">
        <v>0</v>
      </c>
      <c r="BE90">
        <v>0</v>
      </c>
      <c r="BF90">
        <v>0</v>
      </c>
      <c r="BG90">
        <f>IFERROR(VLOOKUP(K90,源_5薪资备忘录_工资调整项!$A:$AC,22,FALSE),0)+IFERROR(VLOOKUP(K90,源_5薪资备忘录_工资调整项!$A:$AC,23,FALSE),0)+IFERROR(VLOOKUP(K90,源_5薪资备忘录_工资调整项!$A:$AC,24,FALSE),0)</f>
        <v>0</v>
      </c>
      <c r="BH90">
        <f>IFERROR(VLOOKUP(DF90,源_6社保表_Sheet1!$C:$CD,80,FALSE),0)+4.5</f>
        <v>6.5</v>
      </c>
      <c r="BI90">
        <f t="shared" si="29"/>
        <v>5502.7758620689656</v>
      </c>
      <c r="BJ90">
        <f>IFERROR(VLOOKUP(DF90,源_6社保表_Sheet1!$C:$BZ,26,FALSE),0)</f>
        <v>358.68</v>
      </c>
      <c r="BK90">
        <f>IFERROR(VLOOKUP(DF90,源_6社保表_Sheet1!$C:$BZ,27,FALSE),0)</f>
        <v>51.24</v>
      </c>
      <c r="BL90">
        <f>IFERROR(VLOOKUP(DF90,源_6社保表_Sheet1!$C:$BZ,28,FALSE),0)</f>
        <v>25.62</v>
      </c>
      <c r="BM90">
        <f>IFERROR(VLOOKUP(DF90,源_6社保表_Sheet1!$C:$BZ,30,FALSE),0)</f>
        <v>179.4</v>
      </c>
      <c r="BN90">
        <f>IFERROR(VLOOKUP(DF90,源_6社保表_Sheet1!$C:$BZ,29,FALSE),0)</f>
        <v>0</v>
      </c>
      <c r="BO90">
        <f>IFERROR(VLOOKUP(DF90,源_6社保表_Sheet1!$C:$BZ,40,FALSE),0)</f>
        <v>0</v>
      </c>
      <c r="BP90">
        <f>IFERROR(VLOOKUP(DF90,源_6社保表_Sheet1!$C:$BZ,41,FALSE),0)</f>
        <v>0</v>
      </c>
      <c r="BQ90">
        <f>IFERROR(VLOOKUP(DF90,源_6社保表_Sheet1!$C:$BZ,42,FALSE),0)</f>
        <v>0</v>
      </c>
      <c r="BR90">
        <f>IFERROR(VLOOKUP(DF90,源_6社保表_Sheet1!$C:$BZ,44,FALSE),0)</f>
        <v>0</v>
      </c>
      <c r="BS90">
        <f>IFERROR(VLOOKUP(DF90,源_6社保表_Sheet1!$C:$BZ,43,FALSE),0)</f>
        <v>0</v>
      </c>
      <c r="BT90">
        <f t="shared" si="30"/>
        <v>614.94000000000005</v>
      </c>
      <c r="BU90">
        <v>0</v>
      </c>
      <c r="BV90">
        <v>0</v>
      </c>
      <c r="BW90">
        <v>0</v>
      </c>
      <c r="BX90">
        <f t="shared" si="31"/>
        <v>0</v>
      </c>
      <c r="BY90">
        <v>0</v>
      </c>
      <c r="BZ90">
        <f>IFERROR(VLOOKUP(DF90,源_6社保表_Sheet1!$C:$BZ,18,FALSE),0)</f>
        <v>768.6</v>
      </c>
      <c r="CA90">
        <f>IFERROR(VLOOKUP(DF90,源_6社保表_Sheet1!$C:$BZ,19,FALSE),0)</f>
        <v>409.92</v>
      </c>
      <c r="CB90">
        <f>IFERROR(VLOOKUP(DF90,源_6社保表_Sheet1!$C:$BZ,24,FALSE),0)</f>
        <v>179.4</v>
      </c>
      <c r="CC90">
        <f>IFERROR(VLOOKUP(DF90,源_6社保表_Sheet1!$C:$BZ,20,FALSE),0)</f>
        <v>25.62</v>
      </c>
      <c r="CD90">
        <f>IFERROR(VLOOKUP(DF90,源_6社保表_Sheet1!$C:$BZ,21,FALSE),0)</f>
        <v>16.396799999999999</v>
      </c>
      <c r="CE90">
        <f>IFERROR(VLOOKUP(DF90,源_6社保表_Sheet1!$C:$BZ,22,FALSE),0)</f>
        <v>0</v>
      </c>
      <c r="CF90">
        <f>IFERROR(VLOOKUP(DF90,源_6社保表_Sheet1!$C:$BZ,23,FALSE),0)</f>
        <v>0</v>
      </c>
      <c r="CG90">
        <f>IFERROR(VLOOKUP(DF90,源_6社保表_Sheet1!$C:$BZ,32,FALSE),0)</f>
        <v>0</v>
      </c>
      <c r="CH90">
        <f>IFERROR(VLOOKUP(DF90,源_6社保表_Sheet1!$C:$BZ,33,FALSE),0)</f>
        <v>0</v>
      </c>
      <c r="CI90">
        <f>IFERROR(VLOOKUP(DF90,源_6社保表_Sheet1!$C:$BZ,34,FALSE),0)</f>
        <v>0</v>
      </c>
      <c r="CJ90">
        <f>IFERROR(VLOOKUP(DF90,源_6社保表_Sheet1!$C:$BZ,38,FALSE),0)</f>
        <v>0</v>
      </c>
      <c r="CK90">
        <f>IFERROR(VLOOKUP(DF90,源_6社保表_Sheet1!$C:$BZ,35,FALSE),0)</f>
        <v>0</v>
      </c>
      <c r="CL90">
        <f>IFERROR(VLOOKUP(DF90,源_6社保表_Sheet1!$C:$BZ,36,FALSE),0)</f>
        <v>0</v>
      </c>
      <c r="CM90">
        <f>IFERROR(VLOOKUP(DF90,源_6社保表_Sheet1!$C:$BZ,37,FALSE),0)</f>
        <v>0</v>
      </c>
      <c r="CN90">
        <f t="shared" si="32"/>
        <v>1399.9367999999999</v>
      </c>
      <c r="CO90">
        <f t="shared" si="33"/>
        <v>6909.2126620689651</v>
      </c>
      <c r="CP90">
        <f>IF(IFERROR(VLOOKUP(K90,源_13残疾人信息_残疾人信息!$A:$M,1,FALSE),"")&lt;&gt;"",0,IF(OR(P90="门店全职",P90="门店管理组",P90="全职(非门店)"),(BI90-AT90)*IFERROR(VLOOKUP(D90,源_12计提残保金规则_Sheet1!$A:$E,4,FALSE),0)*IFERROR(VLOOKUP(D90,源_12计提残保金规则_Sheet1!$A:$E,5,FALSE),0),0))</f>
        <v>74.287474137931042</v>
      </c>
      <c r="CQ90">
        <f t="shared" si="34"/>
        <v>16.05</v>
      </c>
      <c r="CR90">
        <f t="shared" si="35"/>
        <v>20.67</v>
      </c>
      <c r="CS90">
        <f>IF(DATEVALUE(N90)&gt;DATE(参数!$B$2,9,30),0,IF(M90="行政",0,IF(O90="",R90/12,IF(MONTH(DATEVALUE(O90))=参数!$B$3,0,IF(DATEVALUE(O90)&lt;DATE(参数!$B$2,参数!$B$3,1),0,R90/12)))))</f>
        <v>260.83333333333331</v>
      </c>
      <c r="CT90">
        <f t="shared" si="36"/>
        <v>0</v>
      </c>
      <c r="CU90">
        <f>IFERROR(VLOOKUP(DF90,源_6社保表_Sheet1!$C:$I,2,FALSE),0)</f>
        <v>5124</v>
      </c>
      <c r="CV90">
        <f>IFERROR(VLOOKUP(DF90,源_6社保表_Sheet1!$C:$I,7,FALSE),0)</f>
        <v>2990</v>
      </c>
      <c r="CW90">
        <f>IFERROR(VLOOKUP(DF90,源_6社保表_Sheet1!$C:$I,3,FALSE),0)</f>
        <v>5124</v>
      </c>
      <c r="CX90">
        <f>IFERROR(VLOOKUP(DF90,源_6社保表_Sheet1!$C:$I,4,FALSE),0)</f>
        <v>5124</v>
      </c>
      <c r="CY90">
        <f>IFERROR(VLOOKUP(DF90,源_6社保表_Sheet1!$C:$I,5,FALSE),0)</f>
        <v>5124</v>
      </c>
      <c r="CZ90">
        <f>IFERROR(VLOOKUP(DF90,源_6社保表_Sheet1!$C:$I,6,FALSE),0)</f>
        <v>0</v>
      </c>
      <c r="DA90">
        <f t="shared" si="37"/>
        <v>4880.7126620689651</v>
      </c>
      <c r="DB90">
        <f t="shared" si="38"/>
        <v>5259.0534695402293</v>
      </c>
      <c r="DC90" t="str">
        <f>IFERROR(VLOOKUP(K90,源_7银行卡表_Sheet1!$A:$J,8,FALSE),"")</f>
        <v>交通银行</v>
      </c>
      <c r="DD90" t="str">
        <f>IFERROR(VLOOKUP(K90,源_7银行卡表_Sheet1!$A:$J,9,FALSE),"")</f>
        <v>6284391857961487729</v>
      </c>
      <c r="DE90" t="str">
        <f>IFERROR(VLOOKUP(K90,源_7银行卡表_Sheet1!$A:$J,10,FALSE),"")</f>
        <v>北京紫竹院支行</v>
      </c>
      <c r="DF90" t="s">
        <v>543</v>
      </c>
      <c r="DG90">
        <v>18336619749</v>
      </c>
      <c r="DH90" t="s">
        <v>166</v>
      </c>
      <c r="DI90">
        <v>0</v>
      </c>
      <c r="DJ90">
        <v>0</v>
      </c>
      <c r="DK90">
        <v>0</v>
      </c>
      <c r="DL90">
        <v>0</v>
      </c>
      <c r="DM90">
        <v>0</v>
      </c>
      <c r="DN90">
        <v>0</v>
      </c>
      <c r="DO90">
        <v>0</v>
      </c>
      <c r="DP90">
        <v>0</v>
      </c>
      <c r="DQ90">
        <v>0</v>
      </c>
      <c r="DR90">
        <f>IF(OR(IFERROR(VLOOKUP(K90,源_3考勤报表_考勤表!$F:$BG,39,FALSE),0)+IFERROR(VLOOKUP(K90,源_8补工时表_补当月工时!$A:$AC,24,FALSE),0)=0,IFERROR(VLOOKUP(K90,源_3考勤报表_考勤表!$F:$BG,43,FALSE),0)+IFERROR(VLOOKUP(K90,源_8补工时表_补当月工时!$A:$AC,26,FALSE),0)=0),IF(BI90+BG90-BT90&lt;0,BI90+BG90-BT90,0),0)</f>
        <v>0</v>
      </c>
    </row>
    <row r="91" spans="1:122" x14ac:dyDescent="0.15">
      <c r="A91">
        <f>参数!$B$2</f>
        <v>2025</v>
      </c>
      <c r="B91">
        <f>参数!$B$3</f>
        <v>12</v>
      </c>
      <c r="D91" t="s">
        <v>147</v>
      </c>
      <c r="E91" t="s">
        <v>123</v>
      </c>
      <c r="F91" t="str">
        <f>IFERROR(VLOOKUP(K91,源_7银行卡表_Sheet1!$A:$J,6,FALSE),"")</f>
        <v>华北营运</v>
      </c>
      <c r="G91" t="s">
        <v>148</v>
      </c>
      <c r="H91" t="s">
        <v>544</v>
      </c>
      <c r="I91" t="s">
        <v>150</v>
      </c>
      <c r="J91">
        <v>1</v>
      </c>
      <c r="K91">
        <v>26123090</v>
      </c>
      <c r="L91" t="s">
        <v>545</v>
      </c>
      <c r="M91" t="s">
        <v>170</v>
      </c>
      <c r="N91" t="s">
        <v>546</v>
      </c>
      <c r="P91" t="s">
        <v>154</v>
      </c>
      <c r="Q91">
        <f>IF(P91="门店全职",IFERROR(VLOOKUP(K91,源_3考勤报表_考勤表!$F:$BG,34,FALSE),0)+IFERROR(VLOOKUP(K91,源_8补工时表_补当月工时!$A:$AC,14,FALSE),0),IF(P91="门店管理组",IF(IFERROR(VLOOKUP(K91,源_3考勤报表_考勤表!$F:$BG,34,FALSE),0)+IFERROR(VLOOKUP(K91,源_8补工时表_补当月工时!$A:$AC,14,FALSE),0)+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44,FALSE),0)+IFERROR(VLOOKUP(K91,源_8补工时表_补当月工时!$A:$AC,16,FALSE),0)+IFERROR(VLOOKUP(K91,源_3考勤报表_考勤表!$F:$BG,45,FALSE),0)&gt;=参数!$B$4,参数!$B$4-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44,FALSE),0)-IFERROR(VLOOKUP(K91,源_8补工时表_补当月工时!$A:$AC,16,FALSE),0)-IFERROR(VLOOKUP(K91,源_3考勤报表_考勤表!$F:$BG,45,FALSE),0),IFERROR(VLOOKUP(K91,源_3考勤报表_考勤表!$F:$BG,34,FALSE),0)+IFERROR(VLOOKUP(K91,源_8补工时表_补当月工时!$A:$AC,14,FALSE),0)),0))</f>
        <v>0</v>
      </c>
      <c r="R91">
        <v>3640</v>
      </c>
      <c r="S91">
        <v>0</v>
      </c>
      <c r="T91">
        <f>IF(P91="门店全职",R91/参数!$B$4*(Q91-MAX(IFERROR(VLOOKUP(K91,源_3考勤报表_考勤表!$F:$BG,34,FALSE),0)+IFERROR(VLOOKUP(K91,源_8补工时表_补当月工时!$A:$AC,14,FALSE),0)+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参数!$B$4,0)),R91/参数!$B$4*Q91)</f>
        <v>0</v>
      </c>
      <c r="U91">
        <v>0</v>
      </c>
      <c r="V91">
        <v>0</v>
      </c>
      <c r="W91">
        <f t="shared" si="26"/>
        <v>0</v>
      </c>
      <c r="X91">
        <f>IFERROR(VLOOKUP(K91,源_4奖金汇总表_拆分手工算!$A:$N,8,FALSE),0)</f>
        <v>0</v>
      </c>
      <c r="Y91">
        <f>IFERROR(VLOOKUP(K91,源_5薪资备忘录_工资调整项!$A:$AC,14,FALSE),0)</f>
        <v>0</v>
      </c>
      <c r="Z91">
        <f>IFERROR(VLOOKUP(K91,源_5薪资备忘录_工资调整项!$A:$AC,16,FALSE),0)</f>
        <v>0</v>
      </c>
      <c r="AA91">
        <f>IFERROR(VLOOKUP(K91,源_5薪资备忘录_工资调整项!$A:$AC,15,FALSE),0)</f>
        <v>0</v>
      </c>
      <c r="AB91">
        <f t="shared" si="27"/>
        <v>0</v>
      </c>
      <c r="AC91">
        <f>IF(P91="门店全职",R91/174*MAX(IFERROR(VLOOKUP(K91,源_3考勤报表_考勤表!$F:$BG,34,FALSE),0)+IFERROR(VLOOKUP(K91,源_8补工时表_补当月工时!$A:$AC,14,FALSE),0)+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参数!$B$4,0)*1.5,0)</f>
        <v>0</v>
      </c>
      <c r="AD91">
        <v>0</v>
      </c>
      <c r="AE91">
        <f>IFERROR(VLOOKUP(K91,源_3考勤报表_考勤表!$F:$BG,46,FALSE),0)+IFERROR(VLOOKUP(K91,源_8补工时表_补当月工时!$A:$AC,25,FALSE),0)</f>
        <v>0</v>
      </c>
      <c r="AF91">
        <f t="shared" si="28"/>
        <v>0</v>
      </c>
      <c r="AG91">
        <f>IFERROR(VLOOKUP(K91,源_4奖金汇总表_拆分手工算!$A:$N,10,FALSE),0)</f>
        <v>0</v>
      </c>
      <c r="AH91">
        <f>IFERROR(VLOOKUP(K91,源_4奖金汇总表_拆分手工算!$A:$N,5,FALSE),0)</f>
        <v>0</v>
      </c>
      <c r="AI91">
        <f>IFERROR(VLOOKUP(K91,源_4奖金汇总表_拆分手工算!$A:$N,11,FALSE),0)</f>
        <v>0</v>
      </c>
      <c r="AJ91">
        <f>IFERROR(VLOOKUP(K91,源_4奖金汇总表_拆分手工算!$A:$N,4,FALSE),0)</f>
        <v>0</v>
      </c>
      <c r="AK91">
        <f>IFERROR(VLOOKUP(K91,源_4奖金汇总表_拆分手工算!$A:$N,3,FALSE),0)</f>
        <v>0</v>
      </c>
      <c r="AL91">
        <f>IFERROR(VLOOKUP(K91,源_4奖金汇总表_拆分手工算!$A:$N,6,FALSE),0)</f>
        <v>0</v>
      </c>
      <c r="AM91">
        <f>IFERROR(VLOOKUP(K91,源_5薪资备忘录_工资调整项!$A:$AC,18,FALSE),0)+IFERROR(VLOOKUP(K91,源_4奖金汇总表_拆分手工算!$A:$N,7,FALSE),0)</f>
        <v>0</v>
      </c>
      <c r="AN91">
        <f>IFERROR(VLOOKUP(K91,源_5薪资备忘录_工资调整项!$A:$AC,17,FALSE),0)</f>
        <v>0</v>
      </c>
      <c r="AO91">
        <f>IF(OR(IFERROR(VLOOKUP(K91,源_3考勤报表_考勤表!$F:$BG,39,FALSE),0)+IFERROR(VLOOKUP(K91,源_8补工时表_补当月工时!$A:$AC,24,FALSE),0)&gt;0,IFERROR(VLOOKUP(K91,源_3考勤报表_考勤表!$F:$BG,43,FALSE),0)+IFERROR(VLOOKUP(K91,源_8补工时表_补当月工时!$A:$AC,26,FALSE),0)&gt;0),IF(IFERROR(VLOOKUP(DH91,源_11产假政策_Sheet1!$C:$F,4,FALSE),"")="是",R91/参数!$B$4*(IFERROR(VLOOKUP(K91,源_3考勤报表_考勤表!$F:$BG,39,FALSE),0)+IFERROR(VLOOKUP(K91,源_8补工时表_补当月工时!$A:$AC,24,FALSE),0)+IFERROR(VLOOKUP(K91,源_3考勤报表_考勤表!$F:$BG,43,FALSE),0)+IFERROR(VLOOKUP(K91,源_8补工时表_补当月工时!$A:$AC,26,FALSE),0)),IFERROR(VLOOKUP(K91,源_5薪资备忘录_工资调整项!$A:$AC,19,FALSE),0)),0)</f>
        <v>0</v>
      </c>
      <c r="AP91">
        <v>0</v>
      </c>
      <c r="AQ91">
        <f>IFERROR(VLOOKUP(K91,源_4奖金汇总表_拆分手工算!$A:$N,12,FALSE),0)+IFERROR(VLOOKUP(K91,源_9年终奖表_Sheet1!$A:$E,3,FALSE),0)</f>
        <v>1028.96</v>
      </c>
      <c r="AR91">
        <f>IFERROR(VLOOKUP(K91,源_4奖金汇总表_拆分手工算!$A:$N,13,FALSE),0)+IFERROR(VLOOKUP(K91,源_9年终奖表_Sheet1!$A:$E,4,FALSE),0)</f>
        <v>683.96</v>
      </c>
      <c r="AS91">
        <f>IFERROR(VLOOKUP(K91,源_4奖金汇总表_拆分手工算!$A:$N,14,FALSE),0)+IFERROR(VLOOKUP(K91,源_9年终奖表_Sheet1!$A:$E,5,FALSE),0)</f>
        <v>111</v>
      </c>
      <c r="AT91">
        <f>IFERROR(VLOOKUP(K91,源_5薪资备忘录_工资调整项!$A:$AC,20,FALSE),0)</f>
        <v>0</v>
      </c>
      <c r="AU91">
        <f>IFERROR(VLOOKUP(K91,源_5薪资备忘录_工资调整项!$A:$AC,21,FALSE),0)+IFERROR(VLOOKUP(K91,源_4奖金汇总表_拆分手工算!$A:$N,9,FALSE),0)</f>
        <v>0</v>
      </c>
      <c r="AV91">
        <f>R91/参数!$B$4*(IFERROR(VLOOKUP(K91,源_3考勤报表_考勤表!$F:$BG,37,FALSE),0)+IFERROR(VLOOKUP(K91,源_8补工时表_补当月工时!$A:$AC,15,FALSE),0))</f>
        <v>0</v>
      </c>
      <c r="AW91">
        <f>R91/174*MIN(IFERROR(VLOOKUP(K91,源_3考勤报表_考勤表!$F:$BG,35,FALSE),0),174)*IF(DATEDIF(N91,DATE(参数!$B$2,参数!$B$3+1,0),"Y")&lt;2,0.6,IF(DATEDIF(N91,DATE(参数!$B$2,参数!$B$3+1,0),"Y")&lt;4,0.7,IF(DATEDIF(N91,DATE(参数!$B$2,参数!$B$3+1,0),"Y")&lt;6,0.8,IF(DATEDIF(N91,DATE(参数!$B$2,参数!$B$3+1,0),"Y")&lt;8,0.9,1))))</f>
        <v>1004.1379310344828</v>
      </c>
      <c r="AX91">
        <f>IF(Q91+IFERROR(VLOOKUP(K91,源_3考勤报表_考勤表!$F:$BG,37,FALSE),0)+IFERROR(VLOOKUP(K91,源_8补工时表_补当月工时!$A:$AC,15,FALSE),0)&gt;=参数!$B$4,0,IF(Q91+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lt;=参数!$B$4,R91/参数!$B$4*(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0))</f>
        <v>0</v>
      </c>
      <c r="AY91">
        <v>0</v>
      </c>
      <c r="AZ91">
        <v>0</v>
      </c>
      <c r="BA91">
        <v>0</v>
      </c>
      <c r="BB91">
        <v>0</v>
      </c>
      <c r="BC91">
        <f>IFERROR(VLOOKUP(K91,源_5薪资备忘录_工资调整项!$A:$AC,25,FALSE),0)</f>
        <v>0</v>
      </c>
      <c r="BD91">
        <v>0</v>
      </c>
      <c r="BE91">
        <f>(T91+W91+AB91+AG91+AH91+AI91+AJ91+AK91+AL91+AM91+AN91+AO91+AP91+AU91+AV91+AW91+AX91+BC91-IFERROR(VLOOKUP(DF91,源_6社保表_Sheet1!$C:$BZ,76,FALSE),0))*0.02</f>
        <v>3.7673586206896563</v>
      </c>
      <c r="BF91">
        <v>0</v>
      </c>
      <c r="BG91">
        <f>IFERROR(VLOOKUP(K91,源_5薪资备忘录_工资调整项!$A:$AC,22,FALSE),0)+IFERROR(VLOOKUP(K91,源_5薪资备忘录_工资调整项!$A:$AC,23,FALSE),0)+IFERROR(VLOOKUP(K91,源_5薪资备忘录_工资调整项!$A:$AC,24,FALSE),0)</f>
        <v>0</v>
      </c>
      <c r="BH91">
        <f>IFERROR(VLOOKUP(DF91,源_6社保表_Sheet1!$C:$CD,80,FALSE),0)+4.5</f>
        <v>6.5</v>
      </c>
      <c r="BI91">
        <f t="shared" si="29"/>
        <v>2828.0579310344829</v>
      </c>
      <c r="BJ91">
        <f>IFERROR(VLOOKUP(DF91,源_6社保表_Sheet1!$C:$BZ,26,FALSE),0)</f>
        <v>501.34</v>
      </c>
      <c r="BK91">
        <f>IFERROR(VLOOKUP(DF91,源_6社保表_Sheet1!$C:$BZ,27,FALSE),0)</f>
        <v>71.62</v>
      </c>
      <c r="BL91">
        <f>IFERROR(VLOOKUP(DF91,源_6社保表_Sheet1!$C:$BZ,28,FALSE),0)</f>
        <v>35.81</v>
      </c>
      <c r="BM91">
        <f>IFERROR(VLOOKUP(DF91,源_6社保表_Sheet1!$C:$BZ,30,FALSE),0)</f>
        <v>207</v>
      </c>
      <c r="BN91">
        <f>IFERROR(VLOOKUP(DF91,源_6社保表_Sheet1!$C:$BZ,29,FALSE),0)</f>
        <v>0</v>
      </c>
      <c r="BO91">
        <f>IFERROR(VLOOKUP(DF91,源_6社保表_Sheet1!$C:$BZ,40,FALSE),0)</f>
        <v>0</v>
      </c>
      <c r="BP91">
        <f>IFERROR(VLOOKUP(DF91,源_6社保表_Sheet1!$C:$BZ,41,FALSE),0)</f>
        <v>0</v>
      </c>
      <c r="BQ91">
        <f>IFERROR(VLOOKUP(DF91,源_6社保表_Sheet1!$C:$BZ,42,FALSE),0)</f>
        <v>0</v>
      </c>
      <c r="BR91">
        <f>IFERROR(VLOOKUP(DF91,源_6社保表_Sheet1!$C:$BZ,44,FALSE),0)</f>
        <v>0</v>
      </c>
      <c r="BS91">
        <f>IFERROR(VLOOKUP(DF91,源_6社保表_Sheet1!$C:$BZ,43,FALSE),0)</f>
        <v>0</v>
      </c>
      <c r="BT91">
        <f t="shared" si="30"/>
        <v>815.77</v>
      </c>
      <c r="BU91">
        <v>0</v>
      </c>
      <c r="BV91">
        <v>0</v>
      </c>
      <c r="BW91">
        <v>0</v>
      </c>
      <c r="BX91">
        <f t="shared" si="31"/>
        <v>0</v>
      </c>
      <c r="BY91">
        <v>0</v>
      </c>
      <c r="BZ91">
        <f>IFERROR(VLOOKUP(DF91,源_6社保表_Sheet1!$C:$BZ,18,FALSE),0)</f>
        <v>1074.3</v>
      </c>
      <c r="CA91">
        <f>IFERROR(VLOOKUP(DF91,源_6社保表_Sheet1!$C:$BZ,19,FALSE),0)</f>
        <v>572.96</v>
      </c>
      <c r="CB91">
        <f>IFERROR(VLOOKUP(DF91,源_6社保表_Sheet1!$C:$BZ,24,FALSE),0)</f>
        <v>207</v>
      </c>
      <c r="CC91">
        <f>IFERROR(VLOOKUP(DF91,源_6社保表_Sheet1!$C:$BZ,20,FALSE),0)</f>
        <v>35.81</v>
      </c>
      <c r="CD91">
        <f>IFERROR(VLOOKUP(DF91,源_6社保表_Sheet1!$C:$BZ,21,FALSE),0)</f>
        <v>22.918399999999998</v>
      </c>
      <c r="CE91">
        <f>IFERROR(VLOOKUP(DF91,源_6社保表_Sheet1!$C:$BZ,22,FALSE),0)</f>
        <v>0</v>
      </c>
      <c r="CF91">
        <f>IFERROR(VLOOKUP(DF91,源_6社保表_Sheet1!$C:$BZ,23,FALSE),0)</f>
        <v>0</v>
      </c>
      <c r="CG91">
        <f>IFERROR(VLOOKUP(DF91,源_6社保表_Sheet1!$C:$BZ,32,FALSE),0)</f>
        <v>0</v>
      </c>
      <c r="CH91">
        <f>IFERROR(VLOOKUP(DF91,源_6社保表_Sheet1!$C:$BZ,33,FALSE),0)</f>
        <v>0</v>
      </c>
      <c r="CI91">
        <f>IFERROR(VLOOKUP(DF91,源_6社保表_Sheet1!$C:$BZ,34,FALSE),0)</f>
        <v>0</v>
      </c>
      <c r="CJ91">
        <f>IFERROR(VLOOKUP(DF91,源_6社保表_Sheet1!$C:$BZ,38,FALSE),0)</f>
        <v>0</v>
      </c>
      <c r="CK91">
        <f>IFERROR(VLOOKUP(DF91,源_6社保表_Sheet1!$C:$BZ,35,FALSE),0)</f>
        <v>0</v>
      </c>
      <c r="CL91">
        <f>IFERROR(VLOOKUP(DF91,源_6社保表_Sheet1!$C:$BZ,36,FALSE),0)</f>
        <v>0</v>
      </c>
      <c r="CM91">
        <f>IFERROR(VLOOKUP(DF91,源_6社保表_Sheet1!$C:$BZ,37,FALSE),0)</f>
        <v>0</v>
      </c>
      <c r="CN91">
        <f t="shared" si="32"/>
        <v>1912.9884</v>
      </c>
      <c r="CO91">
        <f t="shared" si="33"/>
        <v>4751.3136896551723</v>
      </c>
      <c r="CP91">
        <f>IF(IFERROR(VLOOKUP(K91,源_13残疾人信息_残疾人信息!$A:$M,1,FALSE),"")&lt;&gt;"",0,IF(OR(P91="门店全职",P91="门店管理组",P91="全职(非门店)"),(BI91-AT91)*IFERROR(VLOOKUP(D91,源_12计提残保金规则_Sheet1!$A:$E,4,FALSE),0)*IFERROR(VLOOKUP(D91,源_12计提残保金规则_Sheet1!$A:$E,5,FALSE),0),0))</f>
        <v>38.178782068965518</v>
      </c>
      <c r="CQ91">
        <f t="shared" si="34"/>
        <v>16.05</v>
      </c>
      <c r="CR91">
        <f t="shared" si="35"/>
        <v>20.67</v>
      </c>
      <c r="CS91">
        <f>IF(DATEVALUE(N91)&gt;DATE(参数!$B$2,9,30),0,IF(M91="行政",0,IF(O91="",R91/12,IF(MONTH(DATEVALUE(O91))=参数!$B$3,0,IF(DATEVALUE(O91)&lt;DATE(参数!$B$2,参数!$B$3,1),0,R91/12)))))</f>
        <v>303.33333333333331</v>
      </c>
      <c r="CT91">
        <f t="shared" si="36"/>
        <v>0</v>
      </c>
      <c r="CU91">
        <f>IFERROR(VLOOKUP(DF91,源_6社保表_Sheet1!$C:$I,2,FALSE),0)</f>
        <v>7162</v>
      </c>
      <c r="CV91">
        <f>IFERROR(VLOOKUP(DF91,源_6社保表_Sheet1!$C:$I,7,FALSE),0)</f>
        <v>3450</v>
      </c>
      <c r="CW91">
        <f>IFERROR(VLOOKUP(DF91,源_6社保表_Sheet1!$C:$I,3,FALSE),0)</f>
        <v>7162</v>
      </c>
      <c r="CX91">
        <f>IFERROR(VLOOKUP(DF91,源_6社保表_Sheet1!$C:$I,4,FALSE),0)</f>
        <v>7162</v>
      </c>
      <c r="CY91">
        <f>IFERROR(VLOOKUP(DF91,源_6社保表_Sheet1!$C:$I,5,FALSE),0)</f>
        <v>7162</v>
      </c>
      <c r="CZ91">
        <f>IFERROR(VLOOKUP(DF91,源_6社保表_Sheet1!$C:$I,6,FALSE),0)</f>
        <v>0</v>
      </c>
      <c r="DA91">
        <f t="shared" si="37"/>
        <v>2917.126331034483</v>
      </c>
      <c r="DB91">
        <f t="shared" si="38"/>
        <v>3301.8584464367823</v>
      </c>
      <c r="DC91" t="str">
        <f>IFERROR(VLOOKUP(K91,源_7银行卡表_Sheet1!$A:$J,8,FALSE),"")</f>
        <v>交通银行</v>
      </c>
      <c r="DD91" t="str">
        <f>IFERROR(VLOOKUP(K91,源_7银行卡表_Sheet1!$A:$J,9,FALSE),"")</f>
        <v>6289206993959307963</v>
      </c>
      <c r="DE91" t="str">
        <f>IFERROR(VLOOKUP(K91,源_7银行卡表_Sheet1!$A:$J,10,FALSE),"")</f>
        <v>交通银行北京中关村支行</v>
      </c>
      <c r="DF91" t="s">
        <v>547</v>
      </c>
      <c r="DG91">
        <v>18564624621</v>
      </c>
      <c r="DH91" t="s">
        <v>148</v>
      </c>
      <c r="DI91">
        <v>0</v>
      </c>
      <c r="DJ91">
        <v>0</v>
      </c>
      <c r="DK91">
        <v>0</v>
      </c>
      <c r="DL91">
        <v>0</v>
      </c>
      <c r="DM91">
        <v>0</v>
      </c>
      <c r="DN91">
        <v>0</v>
      </c>
      <c r="DO91">
        <v>0</v>
      </c>
      <c r="DP91">
        <v>0</v>
      </c>
      <c r="DQ91">
        <v>0</v>
      </c>
      <c r="DR91">
        <f>IF(OR(IFERROR(VLOOKUP(K91,源_3考勤报表_考勤表!$F:$BG,39,FALSE),0)+IFERROR(VLOOKUP(K91,源_8补工时表_补当月工时!$A:$AC,24,FALSE),0)=0,IFERROR(VLOOKUP(K91,源_3考勤报表_考勤表!$F:$BG,43,FALSE),0)+IFERROR(VLOOKUP(K91,源_8补工时表_补当月工时!$A:$AC,26,FALSE),0)=0),IF(BI91+BG91-BT91&lt;0,BI91+BG91-BT91,0),0)</f>
        <v>0</v>
      </c>
    </row>
    <row r="92" spans="1:122" x14ac:dyDescent="0.15">
      <c r="A92">
        <f>参数!$B$2</f>
        <v>2025</v>
      </c>
      <c r="B92">
        <f>参数!$B$3</f>
        <v>12</v>
      </c>
      <c r="D92" t="s">
        <v>548</v>
      </c>
      <c r="E92" t="s">
        <v>123</v>
      </c>
      <c r="F92" t="str">
        <f>IFERROR(VLOOKUP(K92,源_7银行卡表_Sheet1!$A:$J,6,FALSE),"")</f>
        <v>华东营运</v>
      </c>
      <c r="G92" t="s">
        <v>549</v>
      </c>
      <c r="H92" t="s">
        <v>550</v>
      </c>
      <c r="I92" t="s">
        <v>551</v>
      </c>
      <c r="J92">
        <v>1</v>
      </c>
      <c r="K92">
        <v>26123091</v>
      </c>
      <c r="L92" t="s">
        <v>552</v>
      </c>
      <c r="M92" t="s">
        <v>170</v>
      </c>
      <c r="N92" t="s">
        <v>553</v>
      </c>
      <c r="P92" t="s">
        <v>154</v>
      </c>
      <c r="Q92">
        <f>IF(P92="门店全职",IFERROR(VLOOKUP(K92,源_3考勤报表_考勤表!$F:$BG,34,FALSE),0)+IFERROR(VLOOKUP(K92,源_8补工时表_补当月工时!$A:$AC,14,FALSE),0),IF(P92="门店管理组",IF(IFERROR(VLOOKUP(K92,源_3考勤报表_考勤表!$F:$BG,34,FALSE),0)+IFERROR(VLOOKUP(K92,源_8补工时表_补当月工时!$A:$AC,14,FALSE),0)+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44,FALSE),0)+IFERROR(VLOOKUP(K92,源_8补工时表_补当月工时!$A:$AC,16,FALSE),0)+IFERROR(VLOOKUP(K92,源_3考勤报表_考勤表!$F:$BG,45,FALSE),0)&gt;=参数!$B$4,参数!$B$4-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44,FALSE),0)-IFERROR(VLOOKUP(K92,源_8补工时表_补当月工时!$A:$AC,16,FALSE),0)-IFERROR(VLOOKUP(K92,源_3考勤报表_考勤表!$F:$BG,45,FALSE),0),IFERROR(VLOOKUP(K92,源_3考勤报表_考勤表!$F:$BG,34,FALSE),0)+IFERROR(VLOOKUP(K92,源_8补工时表_补当月工时!$A:$AC,14,FALSE),0)),0))</f>
        <v>0</v>
      </c>
      <c r="R92">
        <v>3300</v>
      </c>
      <c r="S92">
        <v>0</v>
      </c>
      <c r="T92">
        <f>IF(P92="门店全职",R92/参数!$B$4*(Q92-MAX(IFERROR(VLOOKUP(K92,源_3考勤报表_考勤表!$F:$BG,34,FALSE),0)+IFERROR(VLOOKUP(K92,源_8补工时表_补当月工时!$A:$AC,14,FALSE),0)+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参数!$B$4,0)),R92/参数!$B$4*Q92)</f>
        <v>0</v>
      </c>
      <c r="U92">
        <v>0</v>
      </c>
      <c r="V92">
        <v>0</v>
      </c>
      <c r="W92">
        <f t="shared" si="26"/>
        <v>300</v>
      </c>
      <c r="X92">
        <f>IFERROR(VLOOKUP(K92,源_4奖金汇总表_拆分手工算!$A:$N,8,FALSE),0)</f>
        <v>0</v>
      </c>
      <c r="Y92">
        <f>IFERROR(VLOOKUP(K92,源_5薪资备忘录_工资调整项!$A:$AC,14,FALSE),0)</f>
        <v>300</v>
      </c>
      <c r="Z92">
        <f>IFERROR(VLOOKUP(K92,源_5薪资备忘录_工资调整项!$A:$AC,16,FALSE),0)</f>
        <v>0</v>
      </c>
      <c r="AA92">
        <f>IFERROR(VLOOKUP(K92,源_5薪资备忘录_工资调整项!$A:$AC,15,FALSE),0)</f>
        <v>0</v>
      </c>
      <c r="AB92">
        <f t="shared" si="27"/>
        <v>0</v>
      </c>
      <c r="AC92">
        <f>IF(P92="门店全职",R92/174*MAX(IFERROR(VLOOKUP(K92,源_3考勤报表_考勤表!$F:$BG,34,FALSE),0)+IFERROR(VLOOKUP(K92,源_8补工时表_补当月工时!$A:$AC,14,FALSE),0)+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参数!$B$4,0)*1.5,0)</f>
        <v>0</v>
      </c>
      <c r="AD92">
        <v>0</v>
      </c>
      <c r="AE92">
        <f>IFERROR(VLOOKUP(K92,源_3考勤报表_考勤表!$F:$BG,46,FALSE),0)+IFERROR(VLOOKUP(K92,源_8补工时表_补当月工时!$A:$AC,25,FALSE),0)</f>
        <v>0</v>
      </c>
      <c r="AF92">
        <f t="shared" si="28"/>
        <v>0</v>
      </c>
      <c r="AG92">
        <f>IFERROR(VLOOKUP(K92,源_4奖金汇总表_拆分手工算!$A:$N,10,FALSE),0)</f>
        <v>0</v>
      </c>
      <c r="AH92">
        <f>IFERROR(VLOOKUP(K92,源_4奖金汇总表_拆分手工算!$A:$N,5,FALSE),0)</f>
        <v>0</v>
      </c>
      <c r="AI92">
        <f>IFERROR(VLOOKUP(K92,源_4奖金汇总表_拆分手工算!$A:$N,11,FALSE),0)</f>
        <v>0</v>
      </c>
      <c r="AJ92">
        <f>IFERROR(VLOOKUP(K92,源_4奖金汇总表_拆分手工算!$A:$N,4,FALSE),0)</f>
        <v>0</v>
      </c>
      <c r="AK92">
        <f>IFERROR(VLOOKUP(K92,源_4奖金汇总表_拆分手工算!$A:$N,3,FALSE),0)</f>
        <v>0</v>
      </c>
      <c r="AL92">
        <f>IFERROR(VLOOKUP(K92,源_4奖金汇总表_拆分手工算!$A:$N,6,FALSE),0)</f>
        <v>0</v>
      </c>
      <c r="AM92">
        <f>IFERROR(VLOOKUP(K92,源_5薪资备忘录_工资调整项!$A:$AC,18,FALSE),0)+IFERROR(VLOOKUP(K92,源_4奖金汇总表_拆分手工算!$A:$N,7,FALSE),0)</f>
        <v>0</v>
      </c>
      <c r="AN92">
        <f>IFERROR(VLOOKUP(K92,源_5薪资备忘录_工资调整项!$A:$AC,17,FALSE),0)</f>
        <v>0</v>
      </c>
      <c r="AO92">
        <f>IF(OR(IFERROR(VLOOKUP(K92,源_3考勤报表_考勤表!$F:$BG,39,FALSE),0)+IFERROR(VLOOKUP(K92,源_8补工时表_补当月工时!$A:$AC,24,FALSE),0)&gt;0,IFERROR(VLOOKUP(K92,源_3考勤报表_考勤表!$F:$BG,43,FALSE),0)+IFERROR(VLOOKUP(K92,源_8补工时表_补当月工时!$A:$AC,26,FALSE),0)&gt;0),IF(IFERROR(VLOOKUP(DH92,源_11产假政策_Sheet1!$C:$F,4,FALSE),"")="是",R92/参数!$B$4*(IFERROR(VLOOKUP(K92,源_3考勤报表_考勤表!$F:$BG,39,FALSE),0)+IFERROR(VLOOKUP(K92,源_8补工时表_补当月工时!$A:$AC,24,FALSE),0)+IFERROR(VLOOKUP(K92,源_3考勤报表_考勤表!$F:$BG,43,FALSE),0)+IFERROR(VLOOKUP(K92,源_8补工时表_补当月工时!$A:$AC,26,FALSE),0)),IFERROR(VLOOKUP(K92,源_5薪资备忘录_工资调整项!$A:$AC,19,FALSE),0)),0)</f>
        <v>0</v>
      </c>
      <c r="AP92">
        <v>0</v>
      </c>
      <c r="AQ92">
        <f>IFERROR(VLOOKUP(K92,源_4奖金汇总表_拆分手工算!$A:$N,12,FALSE),0)+IFERROR(VLOOKUP(K92,源_9年终奖表_Sheet1!$A:$E,3,FALSE),0)</f>
        <v>1200</v>
      </c>
      <c r="AR92">
        <f>IFERROR(VLOOKUP(K92,源_4奖金汇总表_拆分手工算!$A:$N,13,FALSE),0)+IFERROR(VLOOKUP(K92,源_9年终奖表_Sheet1!$A:$E,4,FALSE),0)</f>
        <v>600</v>
      </c>
      <c r="AS92">
        <f>IFERROR(VLOOKUP(K92,源_4奖金汇总表_拆分手工算!$A:$N,14,FALSE),0)+IFERROR(VLOOKUP(K92,源_9年终奖表_Sheet1!$A:$E,5,FALSE),0)</f>
        <v>222</v>
      </c>
      <c r="AT92">
        <f>IFERROR(VLOOKUP(K92,源_5薪资备忘录_工资调整项!$A:$AC,20,FALSE),0)</f>
        <v>0</v>
      </c>
      <c r="AU92">
        <f>IFERROR(VLOOKUP(K92,源_5薪资备忘录_工资调整项!$A:$AC,21,FALSE),0)+IFERROR(VLOOKUP(K92,源_4奖金汇总表_拆分手工算!$A:$N,9,FALSE),0)</f>
        <v>0</v>
      </c>
      <c r="AV92">
        <f>R92/参数!$B$4*(IFERROR(VLOOKUP(K92,源_3考勤报表_考勤表!$F:$BG,37,FALSE),0)+IFERROR(VLOOKUP(K92,源_8补工时表_补当月工时!$A:$AC,15,FALSE),0))</f>
        <v>0</v>
      </c>
      <c r="AW92">
        <f>R92/174*MIN(IFERROR(VLOOKUP(K92,源_3考勤报表_考勤表!$F:$BG,35,FALSE),0),174)*IF(DATEDIF(N92,DATE(参数!$B$2,参数!$B$3+1,0),"Y")&lt;2,0.6,IF(DATEDIF(N92,DATE(参数!$B$2,参数!$B$3+1,0),"Y")&lt;4,0.7,IF(DATEDIF(N92,DATE(参数!$B$2,参数!$B$3+1,0),"Y")&lt;6,0.8,IF(DATEDIF(N92,DATE(参数!$B$2,参数!$B$3+1,0),"Y")&lt;8,0.9,1))))</f>
        <v>0</v>
      </c>
      <c r="AX92">
        <f>IF(Q92+IFERROR(VLOOKUP(K92,源_3考勤报表_考勤表!$F:$BG,37,FALSE),0)+IFERROR(VLOOKUP(K92,源_8补工时表_补当月工时!$A:$AC,15,FALSE),0)&gt;=参数!$B$4,0,IF(Q92+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lt;=参数!$B$4,R92/参数!$B$4*(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0))</f>
        <v>0</v>
      </c>
      <c r="AY92">
        <v>0</v>
      </c>
      <c r="AZ92">
        <v>0</v>
      </c>
      <c r="BA92">
        <v>0</v>
      </c>
      <c r="BB92">
        <v>0</v>
      </c>
      <c r="BC92">
        <f>IFERROR(VLOOKUP(K92,源_5薪资备忘录_工资调整项!$A:$AC,25,FALSE),0)</f>
        <v>0</v>
      </c>
      <c r="BD92">
        <v>0</v>
      </c>
      <c r="BE92">
        <v>0</v>
      </c>
      <c r="BF92">
        <v>0</v>
      </c>
      <c r="BG92">
        <f>IFERROR(VLOOKUP(K92,源_5薪资备忘录_工资调整项!$A:$AC,22,FALSE),0)+IFERROR(VLOOKUP(K92,源_5薪资备忘录_工资调整项!$A:$AC,23,FALSE),0)+IFERROR(VLOOKUP(K92,源_5薪资备忘录_工资调整项!$A:$AC,24,FALSE),0)</f>
        <v>0</v>
      </c>
      <c r="BH92">
        <f>IFERROR(VLOOKUP(DF92,源_6社保表_Sheet1!$C:$CD,80,FALSE),0)+4.5</f>
        <v>6.5</v>
      </c>
      <c r="BI92">
        <f t="shared" si="29"/>
        <v>2322</v>
      </c>
      <c r="BJ92">
        <f>IFERROR(VLOOKUP(DF92,源_6社保表_Sheet1!$C:$BZ,26,FALSE),0)</f>
        <v>247.6</v>
      </c>
      <c r="BK92">
        <f>IFERROR(VLOOKUP(DF92,源_6社保表_Sheet1!$C:$BZ,27,FALSE),0)</f>
        <v>49.52</v>
      </c>
      <c r="BL92">
        <f>IFERROR(VLOOKUP(DF92,源_6社保表_Sheet1!$C:$BZ,28,FALSE),0)</f>
        <v>24.76</v>
      </c>
      <c r="BM92">
        <f>IFERROR(VLOOKUP(DF92,源_6社保表_Sheet1!$C:$BZ,30,FALSE),0)</f>
        <v>165</v>
      </c>
      <c r="BN92">
        <f>IFERROR(VLOOKUP(DF92,源_6社保表_Sheet1!$C:$BZ,29,FALSE),0)</f>
        <v>0</v>
      </c>
      <c r="BO92">
        <f>IFERROR(VLOOKUP(DF92,源_6社保表_Sheet1!$C:$BZ,40,FALSE),0)</f>
        <v>0</v>
      </c>
      <c r="BP92">
        <f>IFERROR(VLOOKUP(DF92,源_6社保表_Sheet1!$C:$BZ,41,FALSE),0)</f>
        <v>0</v>
      </c>
      <c r="BQ92">
        <f>IFERROR(VLOOKUP(DF92,源_6社保表_Sheet1!$C:$BZ,42,FALSE),0)</f>
        <v>0</v>
      </c>
      <c r="BR92">
        <f>IFERROR(VLOOKUP(DF92,源_6社保表_Sheet1!$C:$BZ,44,FALSE),0)</f>
        <v>0</v>
      </c>
      <c r="BS92">
        <f>IFERROR(VLOOKUP(DF92,源_6社保表_Sheet1!$C:$BZ,43,FALSE),0)</f>
        <v>0</v>
      </c>
      <c r="BT92">
        <f t="shared" si="30"/>
        <v>486.88</v>
      </c>
      <c r="BU92">
        <v>0</v>
      </c>
      <c r="BV92">
        <v>0</v>
      </c>
      <c r="BW92">
        <v>0</v>
      </c>
      <c r="BX92">
        <f t="shared" si="31"/>
        <v>0</v>
      </c>
      <c r="BY92">
        <v>0</v>
      </c>
      <c r="BZ92">
        <f>IFERROR(VLOOKUP(DF92,源_6社保表_Sheet1!$C:$BZ,18,FALSE),0)</f>
        <v>594.24</v>
      </c>
      <c r="CA92">
        <f>IFERROR(VLOOKUP(DF92,源_6社保表_Sheet1!$C:$BZ,19,FALSE),0)</f>
        <v>297.12</v>
      </c>
      <c r="CB92">
        <f>IFERROR(VLOOKUP(DF92,源_6社保表_Sheet1!$C:$BZ,24,FALSE),0)</f>
        <v>165</v>
      </c>
      <c r="CC92">
        <f>IFERROR(VLOOKUP(DF92,源_6社保表_Sheet1!$C:$BZ,20,FALSE),0)</f>
        <v>24.76</v>
      </c>
      <c r="CD92">
        <f>IFERROR(VLOOKUP(DF92,源_6社保表_Sheet1!$C:$BZ,21,FALSE),0)</f>
        <v>15.846399999999999</v>
      </c>
      <c r="CE92">
        <f>IFERROR(VLOOKUP(DF92,源_6社保表_Sheet1!$C:$BZ,22,FALSE),0)</f>
        <v>0</v>
      </c>
      <c r="CF92">
        <f>IFERROR(VLOOKUP(DF92,源_6社保表_Sheet1!$C:$BZ,23,FALSE),0)</f>
        <v>0</v>
      </c>
      <c r="CG92">
        <f>IFERROR(VLOOKUP(DF92,源_6社保表_Sheet1!$C:$BZ,32,FALSE),0)</f>
        <v>0</v>
      </c>
      <c r="CH92">
        <f>IFERROR(VLOOKUP(DF92,源_6社保表_Sheet1!$C:$BZ,33,FALSE),0)</f>
        <v>0</v>
      </c>
      <c r="CI92">
        <f>IFERROR(VLOOKUP(DF92,源_6社保表_Sheet1!$C:$BZ,34,FALSE),0)</f>
        <v>0</v>
      </c>
      <c r="CJ92">
        <f>IFERROR(VLOOKUP(DF92,源_6社保表_Sheet1!$C:$BZ,38,FALSE),0)</f>
        <v>0</v>
      </c>
      <c r="CK92">
        <f>IFERROR(VLOOKUP(DF92,源_6社保表_Sheet1!$C:$BZ,35,FALSE),0)</f>
        <v>0</v>
      </c>
      <c r="CL92">
        <f>IFERROR(VLOOKUP(DF92,源_6社保表_Sheet1!$C:$BZ,36,FALSE),0)</f>
        <v>0</v>
      </c>
      <c r="CM92">
        <f>IFERROR(VLOOKUP(DF92,源_6社保表_Sheet1!$C:$BZ,37,FALSE),0)</f>
        <v>0</v>
      </c>
      <c r="CN92">
        <f t="shared" si="32"/>
        <v>1096.9664</v>
      </c>
      <c r="CO92">
        <f t="shared" si="33"/>
        <v>3425.4664000000002</v>
      </c>
      <c r="CP92">
        <f>IF(IFERROR(VLOOKUP(K92,源_13残疾人信息_残疾人信息!$A:$M,1,FALSE),"")&lt;&gt;"",0,IF(OR(P92="门店全职",P92="门店管理组",P92="全职(非门店)"),(BI92-AT92)*IFERROR(VLOOKUP(D92,源_12计提残保金规则_Sheet1!$A:$E,4,FALSE),0)*IFERROR(VLOOKUP(D92,源_12计提残保金规则_Sheet1!$A:$E,5,FALSE),0),0))</f>
        <v>31.346999999999998</v>
      </c>
      <c r="CQ92">
        <f t="shared" si="34"/>
        <v>16.05</v>
      </c>
      <c r="CR92">
        <f t="shared" si="35"/>
        <v>20.67</v>
      </c>
      <c r="CS92">
        <f>IF(DATEVALUE(N92)&gt;DATE(参数!$B$2,9,30),0,IF(M92="行政",0,IF(O92="",R92/12,IF(MONTH(DATEVALUE(O92))=参数!$B$3,0,IF(DATEVALUE(O92)&lt;DATE(参数!$B$2,参数!$B$3,1),0,R92/12)))))</f>
        <v>275</v>
      </c>
      <c r="CT92">
        <f t="shared" si="36"/>
        <v>0</v>
      </c>
      <c r="CU92">
        <f>IFERROR(VLOOKUP(DF92,源_6社保表_Sheet1!$C:$I,2,FALSE),0)</f>
        <v>4952</v>
      </c>
      <c r="CV92">
        <f>IFERROR(VLOOKUP(DF92,源_6社保表_Sheet1!$C:$I,7,FALSE),0)</f>
        <v>3300</v>
      </c>
      <c r="CW92">
        <f>IFERROR(VLOOKUP(DF92,源_6社保表_Sheet1!$C:$I,3,FALSE),0)</f>
        <v>4952</v>
      </c>
      <c r="CX92">
        <f>IFERROR(VLOOKUP(DF92,源_6社保表_Sheet1!$C:$I,4,FALSE),0)</f>
        <v>4952</v>
      </c>
      <c r="CY92">
        <f>IFERROR(VLOOKUP(DF92,源_6社保表_Sheet1!$C:$I,5,FALSE),0)</f>
        <v>4952</v>
      </c>
      <c r="CZ92">
        <f>IFERROR(VLOOKUP(DF92,源_6社保表_Sheet1!$C:$I,6,FALSE),0)</f>
        <v>0</v>
      </c>
      <c r="DA92">
        <f t="shared" si="37"/>
        <v>1396.9664000000002</v>
      </c>
      <c r="DB92">
        <f t="shared" si="38"/>
        <v>1746.5334000000003</v>
      </c>
      <c r="DC92" t="str">
        <f>IFERROR(VLOOKUP(K92,源_7银行卡表_Sheet1!$A:$J,8,FALSE),"")</f>
        <v>交通银行</v>
      </c>
      <c r="DD92" t="str">
        <f>IFERROR(VLOOKUP(K92,源_7银行卡表_Sheet1!$A:$J,9,FALSE),"")</f>
        <v>6281253363890471169</v>
      </c>
      <c r="DE92" t="str">
        <f>IFERROR(VLOOKUP(K92,源_7银行卡表_Sheet1!$A:$J,10,FALSE),"")</f>
        <v>交通银行北京右安门支行</v>
      </c>
      <c r="DF92" t="s">
        <v>554</v>
      </c>
      <c r="DG92">
        <v>14619634917</v>
      </c>
      <c r="DH92" t="s">
        <v>549</v>
      </c>
      <c r="DI92">
        <v>0</v>
      </c>
      <c r="DJ92">
        <v>0</v>
      </c>
      <c r="DK92">
        <v>0</v>
      </c>
      <c r="DL92">
        <v>0</v>
      </c>
      <c r="DM92">
        <v>0</v>
      </c>
      <c r="DN92">
        <v>0</v>
      </c>
      <c r="DO92">
        <v>0</v>
      </c>
      <c r="DP92">
        <v>0</v>
      </c>
      <c r="DQ92">
        <v>0</v>
      </c>
      <c r="DR92">
        <f>IF(OR(IFERROR(VLOOKUP(K92,源_3考勤报表_考勤表!$F:$BG,39,FALSE),0)+IFERROR(VLOOKUP(K92,源_8补工时表_补当月工时!$A:$AC,24,FALSE),0)=0,IFERROR(VLOOKUP(K92,源_3考勤报表_考勤表!$F:$BG,43,FALSE),0)+IFERROR(VLOOKUP(K92,源_8补工时表_补当月工时!$A:$AC,26,FALSE),0)=0),IF(BI92+BG92-BT92&lt;0,BI92+BG92-BT92,0),0)</f>
        <v>0</v>
      </c>
    </row>
    <row r="93" spans="1:122" x14ac:dyDescent="0.15">
      <c r="A93">
        <f>参数!$B$2</f>
        <v>2025</v>
      </c>
      <c r="B93">
        <f>参数!$B$3</f>
        <v>12</v>
      </c>
      <c r="D93" t="s">
        <v>505</v>
      </c>
      <c r="E93" t="s">
        <v>123</v>
      </c>
      <c r="F93" t="str">
        <f>IFERROR(VLOOKUP(K93,源_7银行卡表_Sheet1!$A:$J,6,FALSE),"")</f>
        <v>华北营运</v>
      </c>
      <c r="G93" t="s">
        <v>506</v>
      </c>
      <c r="H93" t="s">
        <v>522</v>
      </c>
      <c r="I93" t="s">
        <v>508</v>
      </c>
      <c r="J93">
        <v>1</v>
      </c>
      <c r="K93">
        <v>26123092</v>
      </c>
      <c r="L93" t="s">
        <v>555</v>
      </c>
      <c r="M93" t="s">
        <v>377</v>
      </c>
      <c r="N93" t="s">
        <v>553</v>
      </c>
      <c r="P93" t="s">
        <v>154</v>
      </c>
      <c r="Q93">
        <f>IF(P93="门店全职",IFERROR(VLOOKUP(K93,源_3考勤报表_考勤表!$F:$BG,34,FALSE),0)+IFERROR(VLOOKUP(K93,源_8补工时表_补当月工时!$A:$AC,14,FALSE),0),IF(P93="门店管理组",IF(IFERROR(VLOOKUP(K93,源_3考勤报表_考勤表!$F:$BG,34,FALSE),0)+IFERROR(VLOOKUP(K93,源_8补工时表_补当月工时!$A:$AC,14,FALSE),0)+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44,FALSE),0)+IFERROR(VLOOKUP(K93,源_8补工时表_补当月工时!$A:$AC,16,FALSE),0)+IFERROR(VLOOKUP(K93,源_3考勤报表_考勤表!$F:$BG,45,FALSE),0)&gt;=参数!$B$4,参数!$B$4-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44,FALSE),0)-IFERROR(VLOOKUP(K93,源_8补工时表_补当月工时!$A:$AC,16,FALSE),0)-IFERROR(VLOOKUP(K93,源_3考勤报表_考勤表!$F:$BG,45,FALSE),0),IFERROR(VLOOKUP(K93,源_3考勤报表_考勤表!$F:$BG,34,FALSE),0)+IFERROR(VLOOKUP(K93,源_8补工时表_补当月工时!$A:$AC,14,FALSE),0)),0))</f>
        <v>0</v>
      </c>
      <c r="R93">
        <v>2100</v>
      </c>
      <c r="S93">
        <v>0</v>
      </c>
      <c r="T93">
        <f>IF(P93="门店全职",R93/参数!$B$4*(Q93-MAX(IFERROR(VLOOKUP(K93,源_3考勤报表_考勤表!$F:$BG,34,FALSE),0)+IFERROR(VLOOKUP(K93,源_8补工时表_补当月工时!$A:$AC,14,FALSE),0)+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参数!$B$4,0)),R93/参数!$B$4*Q93)</f>
        <v>0</v>
      </c>
      <c r="U93">
        <v>0</v>
      </c>
      <c r="V93">
        <v>0</v>
      </c>
      <c r="W93">
        <f t="shared" si="26"/>
        <v>0</v>
      </c>
      <c r="X93">
        <f>IFERROR(VLOOKUP(K93,源_4奖金汇总表_拆分手工算!$A:$N,8,FALSE),0)</f>
        <v>0</v>
      </c>
      <c r="Y93">
        <f>IFERROR(VLOOKUP(K93,源_5薪资备忘录_工资调整项!$A:$AC,14,FALSE),0)</f>
        <v>0</v>
      </c>
      <c r="Z93">
        <f>IFERROR(VLOOKUP(K93,源_5薪资备忘录_工资调整项!$A:$AC,16,FALSE),0)</f>
        <v>0</v>
      </c>
      <c r="AA93">
        <f>IFERROR(VLOOKUP(K93,源_5薪资备忘录_工资调整项!$A:$AC,15,FALSE),0)</f>
        <v>0</v>
      </c>
      <c r="AB93">
        <f t="shared" si="27"/>
        <v>0</v>
      </c>
      <c r="AC93">
        <f>IF(P93="门店全职",R93/174*MAX(IFERROR(VLOOKUP(K93,源_3考勤报表_考勤表!$F:$BG,34,FALSE),0)+IFERROR(VLOOKUP(K93,源_8补工时表_补当月工时!$A:$AC,14,FALSE),0)+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参数!$B$4,0)*1.5,0)</f>
        <v>0</v>
      </c>
      <c r="AD93">
        <v>0</v>
      </c>
      <c r="AE93">
        <f>IFERROR(VLOOKUP(K93,源_3考勤报表_考勤表!$F:$BG,46,FALSE),0)+IFERROR(VLOOKUP(K93,源_8补工时表_补当月工时!$A:$AC,25,FALSE),0)</f>
        <v>0</v>
      </c>
      <c r="AF93">
        <f t="shared" si="28"/>
        <v>0</v>
      </c>
      <c r="AG93">
        <f>IFERROR(VLOOKUP(K93,源_4奖金汇总表_拆分手工算!$A:$N,10,FALSE),0)</f>
        <v>0</v>
      </c>
      <c r="AH93">
        <f>IFERROR(VLOOKUP(K93,源_4奖金汇总表_拆分手工算!$A:$N,5,FALSE),0)</f>
        <v>0</v>
      </c>
      <c r="AI93">
        <f>IFERROR(VLOOKUP(K93,源_4奖金汇总表_拆分手工算!$A:$N,11,FALSE),0)</f>
        <v>0</v>
      </c>
      <c r="AJ93">
        <f>IFERROR(VLOOKUP(K93,源_4奖金汇总表_拆分手工算!$A:$N,4,FALSE),0)</f>
        <v>0</v>
      </c>
      <c r="AK93">
        <f>IFERROR(VLOOKUP(K93,源_4奖金汇总表_拆分手工算!$A:$N,3,FALSE),0)</f>
        <v>0</v>
      </c>
      <c r="AL93">
        <f>IFERROR(VLOOKUP(K93,源_4奖金汇总表_拆分手工算!$A:$N,6,FALSE),0)</f>
        <v>0</v>
      </c>
      <c r="AM93">
        <f>IFERROR(VLOOKUP(K93,源_5薪资备忘录_工资调整项!$A:$AC,18,FALSE),0)+IFERROR(VLOOKUP(K93,源_4奖金汇总表_拆分手工算!$A:$N,7,FALSE),0)</f>
        <v>0</v>
      </c>
      <c r="AN93">
        <f>IFERROR(VLOOKUP(K93,源_5薪资备忘录_工资调整项!$A:$AC,17,FALSE),0)</f>
        <v>0</v>
      </c>
      <c r="AO93">
        <f>IF(OR(IFERROR(VLOOKUP(K93,源_3考勤报表_考勤表!$F:$BG,39,FALSE),0)+IFERROR(VLOOKUP(K93,源_8补工时表_补当月工时!$A:$AC,24,FALSE),0)&gt;0,IFERROR(VLOOKUP(K93,源_3考勤报表_考勤表!$F:$BG,43,FALSE),0)+IFERROR(VLOOKUP(K93,源_8补工时表_补当月工时!$A:$AC,26,FALSE),0)&gt;0),IF(IFERROR(VLOOKUP(DH93,源_11产假政策_Sheet1!$C:$F,4,FALSE),"")="是",R93/参数!$B$4*(IFERROR(VLOOKUP(K93,源_3考勤报表_考勤表!$F:$BG,39,FALSE),0)+IFERROR(VLOOKUP(K93,源_8补工时表_补当月工时!$A:$AC,24,FALSE),0)+IFERROR(VLOOKUP(K93,源_3考勤报表_考勤表!$F:$BG,43,FALSE),0)+IFERROR(VLOOKUP(K93,源_8补工时表_补当月工时!$A:$AC,26,FALSE),0)),IFERROR(VLOOKUP(K93,源_5薪资备忘录_工资调整项!$A:$AC,19,FALSE),0)),0)</f>
        <v>0</v>
      </c>
      <c r="AP93">
        <v>0</v>
      </c>
      <c r="AQ93">
        <f>IFERROR(VLOOKUP(K93,源_4奖金汇总表_拆分手工算!$A:$N,12,FALSE),0)+IFERROR(VLOOKUP(K93,源_9年终奖表_Sheet1!$A:$E,3,FALSE),0)</f>
        <v>1200</v>
      </c>
      <c r="AR93">
        <f>IFERROR(VLOOKUP(K93,源_4奖金汇总表_拆分手工算!$A:$N,13,FALSE),0)+IFERROR(VLOOKUP(K93,源_9年终奖表_Sheet1!$A:$E,4,FALSE),0)</f>
        <v>600</v>
      </c>
      <c r="AS93">
        <f>IFERROR(VLOOKUP(K93,源_4奖金汇总表_拆分手工算!$A:$N,14,FALSE),0)+IFERROR(VLOOKUP(K93,源_9年终奖表_Sheet1!$A:$E,5,FALSE),0)</f>
        <v>111</v>
      </c>
      <c r="AT93">
        <f>IFERROR(VLOOKUP(K93,源_5薪资备忘录_工资调整项!$A:$AC,20,FALSE),0)</f>
        <v>666.66</v>
      </c>
      <c r="AU93">
        <f>IFERROR(VLOOKUP(K93,源_5薪资备忘录_工资调整项!$A:$AC,21,FALSE),0)+IFERROR(VLOOKUP(K93,源_4奖金汇总表_拆分手工算!$A:$N,9,FALSE),0)</f>
        <v>0</v>
      </c>
      <c r="AV93">
        <f>R93/参数!$B$4*(IFERROR(VLOOKUP(K93,源_3考勤报表_考勤表!$F:$BG,37,FALSE),0)+IFERROR(VLOOKUP(K93,源_8补工时表_补当月工时!$A:$AC,15,FALSE),0))</f>
        <v>0</v>
      </c>
      <c r="AW93">
        <f>R93/174*MIN(IFERROR(VLOOKUP(K93,源_3考勤报表_考勤表!$F:$BG,35,FALSE),0),174)*IF(DATEDIF(N93,DATE(参数!$B$2,参数!$B$3+1,0),"Y")&lt;2,0.6,IF(DATEDIF(N93,DATE(参数!$B$2,参数!$B$3+1,0),"Y")&lt;4,0.7,IF(DATEDIF(N93,DATE(参数!$B$2,参数!$B$3+1,0),"Y")&lt;6,0.8,IF(DATEDIF(N93,DATE(参数!$B$2,参数!$B$3+1,0),"Y")&lt;8,0.9,1))))</f>
        <v>0</v>
      </c>
      <c r="AX93">
        <f>IF(Q93+IFERROR(VLOOKUP(K93,源_3考勤报表_考勤表!$F:$BG,37,FALSE),0)+IFERROR(VLOOKUP(K93,源_8补工时表_补当月工时!$A:$AC,15,FALSE),0)&gt;=参数!$B$4,0,IF(Q93+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lt;=参数!$B$4,R93/参数!$B$4*(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0))</f>
        <v>0</v>
      </c>
      <c r="AY93">
        <v>0</v>
      </c>
      <c r="AZ93">
        <v>0</v>
      </c>
      <c r="BA93">
        <v>0</v>
      </c>
      <c r="BB93">
        <v>0</v>
      </c>
      <c r="BC93">
        <f>IFERROR(VLOOKUP(K93,源_5薪资备忘录_工资调整项!$A:$AC,25,FALSE),0)</f>
        <v>0</v>
      </c>
      <c r="BD93">
        <v>0</v>
      </c>
      <c r="BE93">
        <v>0</v>
      </c>
      <c r="BF93">
        <v>0</v>
      </c>
      <c r="BG93">
        <f>IFERROR(VLOOKUP(K93,源_5薪资备忘录_工资调整项!$A:$AC,22,FALSE),0)+IFERROR(VLOOKUP(K93,源_5薪资备忘录_工资调整项!$A:$AC,23,FALSE),0)+IFERROR(VLOOKUP(K93,源_5薪资备忘录_工资调整项!$A:$AC,24,FALSE),0)</f>
        <v>0</v>
      </c>
      <c r="BH93">
        <f>IFERROR(VLOOKUP(DF93,源_6社保表_Sheet1!$C:$CD,80,FALSE),0)+4.5</f>
        <v>6.5</v>
      </c>
      <c r="BI93">
        <f t="shared" si="29"/>
        <v>2577.66</v>
      </c>
      <c r="BJ93">
        <f>IFERROR(VLOOKUP(DF93,源_6社保表_Sheet1!$C:$BZ,26,FALSE),0)</f>
        <v>217.95</v>
      </c>
      <c r="BK93">
        <f>IFERROR(VLOOKUP(DF93,源_6社保表_Sheet1!$C:$BZ,27,FALSE),0)</f>
        <v>48.46</v>
      </c>
      <c r="BL93">
        <f>IFERROR(VLOOKUP(DF93,源_6社保表_Sheet1!$C:$BZ,28,FALSE),0)</f>
        <v>21.795000000000002</v>
      </c>
      <c r="BM93">
        <f>IFERROR(VLOOKUP(DF93,源_6社保表_Sheet1!$C:$BZ,30,FALSE),0)</f>
        <v>105</v>
      </c>
      <c r="BN93">
        <f>IFERROR(VLOOKUP(DF93,源_6社保表_Sheet1!$C:$BZ,29,FALSE),0)</f>
        <v>0</v>
      </c>
      <c r="BO93">
        <f>IFERROR(VLOOKUP(DF93,源_6社保表_Sheet1!$C:$BZ,40,FALSE),0)</f>
        <v>0</v>
      </c>
      <c r="BP93">
        <f>IFERROR(VLOOKUP(DF93,源_6社保表_Sheet1!$C:$BZ,41,FALSE),0)</f>
        <v>0</v>
      </c>
      <c r="BQ93">
        <f>IFERROR(VLOOKUP(DF93,源_6社保表_Sheet1!$C:$BZ,42,FALSE),0)</f>
        <v>0</v>
      </c>
      <c r="BR93">
        <f>IFERROR(VLOOKUP(DF93,源_6社保表_Sheet1!$C:$BZ,44,FALSE),0)</f>
        <v>0</v>
      </c>
      <c r="BS93">
        <f>IFERROR(VLOOKUP(DF93,源_6社保表_Sheet1!$C:$BZ,43,FALSE),0)</f>
        <v>0</v>
      </c>
      <c r="BT93">
        <f t="shared" si="30"/>
        <v>393.20499999999998</v>
      </c>
      <c r="BU93">
        <v>0</v>
      </c>
      <c r="BV93">
        <v>0</v>
      </c>
      <c r="BW93">
        <v>0</v>
      </c>
      <c r="BX93">
        <f t="shared" si="31"/>
        <v>0</v>
      </c>
      <c r="BY93">
        <v>0</v>
      </c>
      <c r="BZ93">
        <f>IFERROR(VLOOKUP(DF93,源_6社保表_Sheet1!$C:$BZ,18,FALSE),0)</f>
        <v>523.08000000000004</v>
      </c>
      <c r="CA93">
        <f>IFERROR(VLOOKUP(DF93,源_6社保表_Sheet1!$C:$BZ,19,FALSE),0)</f>
        <v>290.76</v>
      </c>
      <c r="CB93">
        <f>IFERROR(VLOOKUP(DF93,源_6社保表_Sheet1!$C:$BZ,24,FALSE),0)</f>
        <v>105</v>
      </c>
      <c r="CC93">
        <f>IFERROR(VLOOKUP(DF93,源_6社保表_Sheet1!$C:$BZ,20,FALSE),0)</f>
        <v>21.795000000000002</v>
      </c>
      <c r="CD93">
        <f>IFERROR(VLOOKUP(DF93,源_6社保表_Sheet1!$C:$BZ,21,FALSE),0)</f>
        <v>13.9488</v>
      </c>
      <c r="CE93">
        <f>IFERROR(VLOOKUP(DF93,源_6社保表_Sheet1!$C:$BZ,22,FALSE),0)</f>
        <v>0</v>
      </c>
      <c r="CF93">
        <f>IFERROR(VLOOKUP(DF93,源_6社保表_Sheet1!$C:$BZ,23,FALSE),0)</f>
        <v>0</v>
      </c>
      <c r="CG93">
        <f>IFERROR(VLOOKUP(DF93,源_6社保表_Sheet1!$C:$BZ,32,FALSE),0)</f>
        <v>0</v>
      </c>
      <c r="CH93">
        <f>IFERROR(VLOOKUP(DF93,源_6社保表_Sheet1!$C:$BZ,33,FALSE),0)</f>
        <v>0</v>
      </c>
      <c r="CI93">
        <f>IFERROR(VLOOKUP(DF93,源_6社保表_Sheet1!$C:$BZ,34,FALSE),0)</f>
        <v>0</v>
      </c>
      <c r="CJ93">
        <f>IFERROR(VLOOKUP(DF93,源_6社保表_Sheet1!$C:$BZ,38,FALSE),0)</f>
        <v>0</v>
      </c>
      <c r="CK93">
        <f>IFERROR(VLOOKUP(DF93,源_6社保表_Sheet1!$C:$BZ,35,FALSE),0)</f>
        <v>0</v>
      </c>
      <c r="CL93">
        <f>IFERROR(VLOOKUP(DF93,源_6社保表_Sheet1!$C:$BZ,36,FALSE),0)</f>
        <v>0</v>
      </c>
      <c r="CM93">
        <f>IFERROR(VLOOKUP(DF93,源_6社保表_Sheet1!$C:$BZ,37,FALSE),0)</f>
        <v>0</v>
      </c>
      <c r="CN93">
        <f t="shared" si="32"/>
        <v>954.5838</v>
      </c>
      <c r="CO93">
        <f t="shared" si="33"/>
        <v>3538.7437999999997</v>
      </c>
      <c r="CP93">
        <f>IF(IFERROR(VLOOKUP(K93,源_13残疾人信息_残疾人信息!$A:$M,1,FALSE),"")&lt;&gt;"",0,IF(OR(P93="门店全职",P93="门店管理组",P93="全职(非门店)"),(BI93-AT93)*IFERROR(VLOOKUP(D93,源_12计提残保金规则_Sheet1!$A:$E,4,FALSE),0)*IFERROR(VLOOKUP(D93,源_12计提残保金规则_Sheet1!$A:$E,5,FALSE),0),0))</f>
        <v>25.798500000000001</v>
      </c>
      <c r="CQ93">
        <f t="shared" si="34"/>
        <v>0</v>
      </c>
      <c r="CR93">
        <f t="shared" si="35"/>
        <v>20.67</v>
      </c>
      <c r="CS93">
        <f>IF(DATEVALUE(N93)&gt;DATE(参数!$B$2,9,30),0,IF(M93="行政",0,IF(O93="",R93/12,IF(MONTH(DATEVALUE(O93))=参数!$B$3,0,IF(DATEVALUE(O93)&lt;DATE(参数!$B$2,参数!$B$3,1),0,R93/12)))))</f>
        <v>0</v>
      </c>
      <c r="CT93">
        <f t="shared" si="36"/>
        <v>0</v>
      </c>
      <c r="CU93">
        <f>IFERROR(VLOOKUP(DF93,源_6社保表_Sheet1!$C:$I,2,FALSE),0)</f>
        <v>4359</v>
      </c>
      <c r="CV93">
        <f>IFERROR(VLOOKUP(DF93,源_6社保表_Sheet1!$C:$I,7,FALSE),0)</f>
        <v>2100</v>
      </c>
      <c r="CW93">
        <f>IFERROR(VLOOKUP(DF93,源_6社保表_Sheet1!$C:$I,3,FALSE),0)</f>
        <v>4846</v>
      </c>
      <c r="CX93">
        <f>IFERROR(VLOOKUP(DF93,源_6社保表_Sheet1!$C:$I,4,FALSE),0)</f>
        <v>4359</v>
      </c>
      <c r="CY93">
        <f>IFERROR(VLOOKUP(DF93,源_6社保表_Sheet1!$C:$I,5,FALSE),0)</f>
        <v>4359</v>
      </c>
      <c r="CZ93">
        <f>IFERROR(VLOOKUP(DF93,源_6社保表_Sheet1!$C:$I,6,FALSE),0)</f>
        <v>0</v>
      </c>
      <c r="DA93">
        <f t="shared" si="37"/>
        <v>954.58379999999977</v>
      </c>
      <c r="DB93">
        <f t="shared" si="38"/>
        <v>1007.5522999999997</v>
      </c>
      <c r="DC93" t="str">
        <f>IFERROR(VLOOKUP(K93,源_7银行卡表_Sheet1!$A:$J,8,FALSE),"")</f>
        <v>交通银行</v>
      </c>
      <c r="DD93" t="str">
        <f>IFERROR(VLOOKUP(K93,源_7银行卡表_Sheet1!$A:$J,9,FALSE),"")</f>
        <v>6282131443194251733</v>
      </c>
      <c r="DE93" t="str">
        <f>IFERROR(VLOOKUP(K93,源_7银行卡表_Sheet1!$A:$J,10,FALSE),"")</f>
        <v>交通银行丰台北路支行</v>
      </c>
      <c r="DF93" t="s">
        <v>556</v>
      </c>
      <c r="DG93">
        <v>16736856029</v>
      </c>
      <c r="DH93" t="s">
        <v>506</v>
      </c>
      <c r="DI93">
        <v>0</v>
      </c>
      <c r="DJ93">
        <v>0</v>
      </c>
      <c r="DK93">
        <v>0</v>
      </c>
      <c r="DL93">
        <v>0</v>
      </c>
      <c r="DM93">
        <v>0</v>
      </c>
      <c r="DN93">
        <v>0</v>
      </c>
      <c r="DO93">
        <v>0</v>
      </c>
      <c r="DP93">
        <v>0</v>
      </c>
      <c r="DQ93">
        <v>0</v>
      </c>
      <c r="DR93">
        <f>IF(OR(IFERROR(VLOOKUP(K93,源_3考勤报表_考勤表!$F:$BG,39,FALSE),0)+IFERROR(VLOOKUP(K93,源_8补工时表_补当月工时!$A:$AC,24,FALSE),0)=0,IFERROR(VLOOKUP(K93,源_3考勤报表_考勤表!$F:$BG,43,FALSE),0)+IFERROR(VLOOKUP(K93,源_8补工时表_补当月工时!$A:$AC,26,FALSE),0)=0),IF(BI93+BG93-BT93&lt;0,BI93+BG93-BT93,0),0)</f>
        <v>0</v>
      </c>
    </row>
    <row r="94" spans="1:122" x14ac:dyDescent="0.15">
      <c r="A94">
        <f>参数!$B$2</f>
        <v>2025</v>
      </c>
      <c r="B94">
        <f>参数!$B$3</f>
        <v>12</v>
      </c>
      <c r="D94" t="s">
        <v>505</v>
      </c>
      <c r="E94" t="s">
        <v>123</v>
      </c>
      <c r="F94" t="str">
        <f>IFERROR(VLOOKUP(K94,源_7银行卡表_Sheet1!$A:$J,6,FALSE),"")</f>
        <v>华北营运</v>
      </c>
      <c r="G94" t="s">
        <v>506</v>
      </c>
      <c r="H94" t="s">
        <v>557</v>
      </c>
      <c r="I94" t="s">
        <v>508</v>
      </c>
      <c r="J94">
        <v>1</v>
      </c>
      <c r="K94">
        <v>26123093</v>
      </c>
      <c r="L94" t="s">
        <v>558</v>
      </c>
      <c r="M94" t="s">
        <v>218</v>
      </c>
      <c r="N94" t="s">
        <v>559</v>
      </c>
      <c r="P94" t="s">
        <v>131</v>
      </c>
      <c r="Q94">
        <f>IF(P94="门店全职",IFERROR(VLOOKUP(K94,源_3考勤报表_考勤表!$F:$BG,34,FALSE),0)+IFERROR(VLOOKUP(K94,源_8补工时表_补当月工时!$A:$AC,14,FALSE),0),IF(P94="门店管理组",IF(IFERROR(VLOOKUP(K94,源_3考勤报表_考勤表!$F:$BG,34,FALSE),0)+IFERROR(VLOOKUP(K94,源_8补工时表_补当月工时!$A:$AC,14,FALSE),0)+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44,FALSE),0)+IFERROR(VLOOKUP(K94,源_8补工时表_补当月工时!$A:$AC,16,FALSE),0)+IFERROR(VLOOKUP(K94,源_3考勤报表_考勤表!$F:$BG,45,FALSE),0)&gt;=参数!$B$4,参数!$B$4-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44,FALSE),0)-IFERROR(VLOOKUP(K94,源_8补工时表_补当月工时!$A:$AC,16,FALSE),0)-IFERROR(VLOOKUP(K94,源_3考勤报表_考勤表!$F:$BG,45,FALSE),0),IFERROR(VLOOKUP(K94,源_3考勤报表_考勤表!$F:$BG,34,FALSE),0)+IFERROR(VLOOKUP(K94,源_8补工时表_补当月工时!$A:$AC,14,FALSE),0)),0))</f>
        <v>104</v>
      </c>
      <c r="R94">
        <v>4300</v>
      </c>
      <c r="S94">
        <v>0</v>
      </c>
      <c r="T94">
        <f>IF(P94="门店全职",R94/参数!$B$4*(Q94-MAX(IFERROR(VLOOKUP(K94,源_3考勤报表_考勤表!$F:$BG,34,FALSE),0)+IFERROR(VLOOKUP(K94,源_8补工时表_补当月工时!$A:$AC,14,FALSE),0)+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参数!$B$4,0)),R94/参数!$B$4*Q94)</f>
        <v>2430.4347826086955</v>
      </c>
      <c r="U94">
        <v>0</v>
      </c>
      <c r="V94">
        <v>0</v>
      </c>
      <c r="W94">
        <f t="shared" si="26"/>
        <v>0</v>
      </c>
      <c r="X94">
        <f>IFERROR(VLOOKUP(K94,源_4奖金汇总表_拆分手工算!$A:$N,8,FALSE),0)</f>
        <v>0</v>
      </c>
      <c r="Y94">
        <f>IFERROR(VLOOKUP(K94,源_5薪资备忘录_工资调整项!$A:$AC,14,FALSE),0)</f>
        <v>0</v>
      </c>
      <c r="Z94">
        <f>IFERROR(VLOOKUP(K94,源_5薪资备忘录_工资调整项!$A:$AC,16,FALSE),0)</f>
        <v>0</v>
      </c>
      <c r="AA94">
        <f>IFERROR(VLOOKUP(K94,源_5薪资备忘录_工资调整项!$A:$AC,15,FALSE),0)</f>
        <v>0</v>
      </c>
      <c r="AB94">
        <f t="shared" si="27"/>
        <v>0</v>
      </c>
      <c r="AC94">
        <f>IF(P94="门店全职",R94/174*MAX(IFERROR(VLOOKUP(K94,源_3考勤报表_考勤表!$F:$BG,34,FALSE),0)+IFERROR(VLOOKUP(K94,源_8补工时表_补当月工时!$A:$AC,14,FALSE),0)+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参数!$B$4,0)*1.5,0)</f>
        <v>0</v>
      </c>
      <c r="AD94">
        <v>0</v>
      </c>
      <c r="AE94">
        <f>IFERROR(VLOOKUP(K94,源_3考勤报表_考勤表!$F:$BG,46,FALSE),0)+IFERROR(VLOOKUP(K94,源_8补工时表_补当月工时!$A:$AC,25,FALSE),0)</f>
        <v>0</v>
      </c>
      <c r="AF94">
        <f t="shared" si="28"/>
        <v>0</v>
      </c>
      <c r="AG94">
        <f>IFERROR(VLOOKUP(K94,源_4奖金汇总表_拆分手工算!$A:$N,10,FALSE),0)</f>
        <v>0</v>
      </c>
      <c r="AH94">
        <f>IFERROR(VLOOKUP(K94,源_4奖金汇总表_拆分手工算!$A:$N,5,FALSE),0)</f>
        <v>0</v>
      </c>
      <c r="AI94">
        <f>IFERROR(VLOOKUP(K94,源_4奖金汇总表_拆分手工算!$A:$N,11,FALSE),0)</f>
        <v>0</v>
      </c>
      <c r="AJ94">
        <f>IFERROR(VLOOKUP(K94,源_4奖金汇总表_拆分手工算!$A:$N,4,FALSE),0)</f>
        <v>0</v>
      </c>
      <c r="AK94">
        <f>IFERROR(VLOOKUP(K94,源_4奖金汇总表_拆分手工算!$A:$N,3,FALSE),0)</f>
        <v>0</v>
      </c>
      <c r="AL94">
        <f>IFERROR(VLOOKUP(K94,源_4奖金汇总表_拆分手工算!$A:$N,6,FALSE),0)</f>
        <v>0</v>
      </c>
      <c r="AM94">
        <f>IFERROR(VLOOKUP(K94,源_5薪资备忘录_工资调整项!$A:$AC,18,FALSE),0)+IFERROR(VLOOKUP(K94,源_4奖金汇总表_拆分手工算!$A:$N,7,FALSE),0)</f>
        <v>0</v>
      </c>
      <c r="AN94">
        <f>IFERROR(VLOOKUP(K94,源_5薪资备忘录_工资调整项!$A:$AC,17,FALSE),0)</f>
        <v>0</v>
      </c>
      <c r="AO94">
        <f>IF(OR(IFERROR(VLOOKUP(K94,源_3考勤报表_考勤表!$F:$BG,39,FALSE),0)+IFERROR(VLOOKUP(K94,源_8补工时表_补当月工时!$A:$AC,24,FALSE),0)&gt;0,IFERROR(VLOOKUP(K94,源_3考勤报表_考勤表!$F:$BG,43,FALSE),0)+IFERROR(VLOOKUP(K94,源_8补工时表_补当月工时!$A:$AC,26,FALSE),0)&gt;0),IF(IFERROR(VLOOKUP(DH94,源_11产假政策_Sheet1!$C:$F,4,FALSE),"")="是",R94/参数!$B$4*(IFERROR(VLOOKUP(K94,源_3考勤报表_考勤表!$F:$BG,39,FALSE),0)+IFERROR(VLOOKUP(K94,源_8补工时表_补当月工时!$A:$AC,24,FALSE),0)+IFERROR(VLOOKUP(K94,源_3考勤报表_考勤表!$F:$BG,43,FALSE),0)+IFERROR(VLOOKUP(K94,源_8补工时表_补当月工时!$A:$AC,26,FALSE),0)),IFERROR(VLOOKUP(K94,源_5薪资备忘录_工资调整项!$A:$AC,19,FALSE),0)),0)</f>
        <v>0</v>
      </c>
      <c r="AP94">
        <v>0</v>
      </c>
      <c r="AQ94">
        <f>IFERROR(VLOOKUP(K94,源_4奖金汇总表_拆分手工算!$A:$N,12,FALSE),0)+IFERROR(VLOOKUP(K94,源_9年终奖表_Sheet1!$A:$E,3,FALSE),0)</f>
        <v>1200</v>
      </c>
      <c r="AR94">
        <f>IFERROR(VLOOKUP(K94,源_4奖金汇总表_拆分手工算!$A:$N,13,FALSE),0)+IFERROR(VLOOKUP(K94,源_9年终奖表_Sheet1!$A:$E,4,FALSE),0)</f>
        <v>600</v>
      </c>
      <c r="AS94">
        <f>IFERROR(VLOOKUP(K94,源_4奖金汇总表_拆分手工算!$A:$N,14,FALSE),0)+IFERROR(VLOOKUP(K94,源_9年终奖表_Sheet1!$A:$E,5,FALSE),0)</f>
        <v>222</v>
      </c>
      <c r="AT94">
        <f>IFERROR(VLOOKUP(K94,源_5薪资备忘录_工资调整项!$A:$AC,20,FALSE),0)</f>
        <v>0</v>
      </c>
      <c r="AU94">
        <f>IFERROR(VLOOKUP(K94,源_5薪资备忘录_工资调整项!$A:$AC,21,FALSE),0)+IFERROR(VLOOKUP(K94,源_4奖金汇总表_拆分手工算!$A:$N,9,FALSE),0)</f>
        <v>0</v>
      </c>
      <c r="AV94">
        <f>R94/参数!$B$4*(IFERROR(VLOOKUP(K94,源_3考勤报表_考勤表!$F:$BG,37,FALSE),0)+IFERROR(VLOOKUP(K94,源_8补工时表_补当月工时!$A:$AC,15,FALSE),0))</f>
        <v>934.78260869565224</v>
      </c>
      <c r="AW94">
        <f>R94/174*MIN(IFERROR(VLOOKUP(K94,源_3考勤报表_考勤表!$F:$BG,35,FALSE),0),174)*IF(DATEDIF(N94,DATE(参数!$B$2,参数!$B$3+1,0),"Y")&lt;2,0.6,IF(DATEDIF(N94,DATE(参数!$B$2,参数!$B$3+1,0),"Y")&lt;4,0.7,IF(DATEDIF(N94,DATE(参数!$B$2,参数!$B$3+1,0),"Y")&lt;6,0.8,IF(DATEDIF(N94,DATE(参数!$B$2,参数!$B$3+1,0),"Y")&lt;8,0.9,1))))</f>
        <v>0</v>
      </c>
      <c r="AX94">
        <f>IF(Q94+IFERROR(VLOOKUP(K94,源_3考勤报表_考勤表!$F:$BG,37,FALSE),0)+IFERROR(VLOOKUP(K94,源_8补工时表_补当月工时!$A:$AC,15,FALSE),0)&gt;=参数!$B$4,0,IF(Q94+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lt;=参数!$B$4,R94/参数!$B$4*(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0))</f>
        <v>934.78260869565224</v>
      </c>
      <c r="AY94">
        <v>0</v>
      </c>
      <c r="AZ94">
        <v>0</v>
      </c>
      <c r="BA94">
        <v>0</v>
      </c>
      <c r="BB94">
        <v>0</v>
      </c>
      <c r="BC94">
        <f>IFERROR(VLOOKUP(K94,源_5薪资备忘录_工资调整项!$A:$AC,25,FALSE),0)</f>
        <v>0</v>
      </c>
      <c r="BD94">
        <v>0</v>
      </c>
      <c r="BE94">
        <v>0</v>
      </c>
      <c r="BF94">
        <v>0</v>
      </c>
      <c r="BG94">
        <f>IFERROR(VLOOKUP(K94,源_5薪资备忘录_工资调整项!$A:$AC,22,FALSE),0)+IFERROR(VLOOKUP(K94,源_5薪资备忘录_工资调整项!$A:$AC,23,FALSE),0)+IFERROR(VLOOKUP(K94,源_5薪资备忘录_工资调整项!$A:$AC,24,FALSE),0)</f>
        <v>0</v>
      </c>
      <c r="BH94">
        <f>IFERROR(VLOOKUP(DF94,源_6社保表_Sheet1!$C:$CD,80,FALSE),0)+4.5</f>
        <v>6.5</v>
      </c>
      <c r="BI94">
        <f t="shared" si="29"/>
        <v>6322</v>
      </c>
      <c r="BJ94">
        <f>IFERROR(VLOOKUP(DF94,源_6社保表_Sheet1!$C:$BZ,26,FALSE),0)</f>
        <v>217.95</v>
      </c>
      <c r="BK94">
        <f>IFERROR(VLOOKUP(DF94,源_6社保表_Sheet1!$C:$BZ,27,FALSE),0)</f>
        <v>48.46</v>
      </c>
      <c r="BL94">
        <f>IFERROR(VLOOKUP(DF94,源_6社保表_Sheet1!$C:$BZ,28,FALSE),0)</f>
        <v>21.795000000000002</v>
      </c>
      <c r="BM94">
        <f>IFERROR(VLOOKUP(DF94,源_6社保表_Sheet1!$C:$BZ,30,FALSE),0)</f>
        <v>215</v>
      </c>
      <c r="BN94">
        <f>IFERROR(VLOOKUP(DF94,源_6社保表_Sheet1!$C:$BZ,29,FALSE),0)</f>
        <v>0</v>
      </c>
      <c r="BO94">
        <f>IFERROR(VLOOKUP(DF94,源_6社保表_Sheet1!$C:$BZ,40,FALSE),0)</f>
        <v>0</v>
      </c>
      <c r="BP94">
        <f>IFERROR(VLOOKUP(DF94,源_6社保表_Sheet1!$C:$BZ,41,FALSE),0)</f>
        <v>0</v>
      </c>
      <c r="BQ94">
        <f>IFERROR(VLOOKUP(DF94,源_6社保表_Sheet1!$C:$BZ,42,FALSE),0)</f>
        <v>0</v>
      </c>
      <c r="BR94">
        <f>IFERROR(VLOOKUP(DF94,源_6社保表_Sheet1!$C:$BZ,44,FALSE),0)</f>
        <v>0</v>
      </c>
      <c r="BS94">
        <f>IFERROR(VLOOKUP(DF94,源_6社保表_Sheet1!$C:$BZ,43,FALSE),0)</f>
        <v>0</v>
      </c>
      <c r="BT94">
        <f t="shared" si="30"/>
        <v>503.20499999999998</v>
      </c>
      <c r="BU94">
        <v>0</v>
      </c>
      <c r="BV94">
        <v>0</v>
      </c>
      <c r="BW94">
        <v>0</v>
      </c>
      <c r="BX94">
        <f t="shared" si="31"/>
        <v>0</v>
      </c>
      <c r="BY94">
        <v>0</v>
      </c>
      <c r="BZ94">
        <f>IFERROR(VLOOKUP(DF94,源_6社保表_Sheet1!$C:$BZ,18,FALSE),0)</f>
        <v>523.08000000000004</v>
      </c>
      <c r="CA94">
        <f>IFERROR(VLOOKUP(DF94,源_6社保表_Sheet1!$C:$BZ,19,FALSE),0)</f>
        <v>290.76</v>
      </c>
      <c r="CB94">
        <f>IFERROR(VLOOKUP(DF94,源_6社保表_Sheet1!$C:$BZ,24,FALSE),0)</f>
        <v>215</v>
      </c>
      <c r="CC94">
        <f>IFERROR(VLOOKUP(DF94,源_6社保表_Sheet1!$C:$BZ,20,FALSE),0)</f>
        <v>21.795000000000002</v>
      </c>
      <c r="CD94">
        <f>IFERROR(VLOOKUP(DF94,源_6社保表_Sheet1!$C:$BZ,21,FALSE),0)</f>
        <v>13.9488</v>
      </c>
      <c r="CE94">
        <f>IFERROR(VLOOKUP(DF94,源_6社保表_Sheet1!$C:$BZ,22,FALSE),0)</f>
        <v>0</v>
      </c>
      <c r="CF94">
        <f>IFERROR(VLOOKUP(DF94,源_6社保表_Sheet1!$C:$BZ,23,FALSE),0)</f>
        <v>0</v>
      </c>
      <c r="CG94">
        <f>IFERROR(VLOOKUP(DF94,源_6社保表_Sheet1!$C:$BZ,32,FALSE),0)</f>
        <v>0</v>
      </c>
      <c r="CH94">
        <f>IFERROR(VLOOKUP(DF94,源_6社保表_Sheet1!$C:$BZ,33,FALSE),0)</f>
        <v>0</v>
      </c>
      <c r="CI94">
        <f>IFERROR(VLOOKUP(DF94,源_6社保表_Sheet1!$C:$BZ,34,FALSE),0)</f>
        <v>0</v>
      </c>
      <c r="CJ94">
        <f>IFERROR(VLOOKUP(DF94,源_6社保表_Sheet1!$C:$BZ,38,FALSE),0)</f>
        <v>0</v>
      </c>
      <c r="CK94">
        <f>IFERROR(VLOOKUP(DF94,源_6社保表_Sheet1!$C:$BZ,35,FALSE),0)</f>
        <v>0</v>
      </c>
      <c r="CL94">
        <f>IFERROR(VLOOKUP(DF94,源_6社保表_Sheet1!$C:$BZ,36,FALSE),0)</f>
        <v>0</v>
      </c>
      <c r="CM94">
        <f>IFERROR(VLOOKUP(DF94,源_6社保表_Sheet1!$C:$BZ,37,FALSE),0)</f>
        <v>0</v>
      </c>
      <c r="CN94">
        <f t="shared" si="32"/>
        <v>1064.5838000000001</v>
      </c>
      <c r="CO94">
        <f t="shared" si="33"/>
        <v>7393.0838000000003</v>
      </c>
      <c r="CP94">
        <f>IF(IFERROR(VLOOKUP(K94,源_13残疾人信息_残疾人信息!$A:$M,1,FALSE),"")&lt;&gt;"",0,IF(OR(P94="门店全职",P94="门店管理组",P94="全职(非门店)"),(BI94-AT94)*IFERROR(VLOOKUP(D94,源_12计提残保金规则_Sheet1!$A:$E,4,FALSE),0)*IFERROR(VLOOKUP(D94,源_12计提残保金规则_Sheet1!$A:$E,5,FALSE),0),0))</f>
        <v>85.346999999999994</v>
      </c>
      <c r="CQ94">
        <f t="shared" si="34"/>
        <v>16.05</v>
      </c>
      <c r="CR94">
        <f t="shared" si="35"/>
        <v>20.67</v>
      </c>
      <c r="CS94">
        <f>IF(DATEVALUE(N94)&gt;DATE(参数!$B$2,9,30),0,IF(M94="行政",0,IF(O94="",R94/12,IF(MONTH(DATEVALUE(O94))=参数!$B$3,0,IF(DATEVALUE(O94)&lt;DATE(参数!$B$2,参数!$B$3,1),0,R94/12)))))</f>
        <v>358.33333333333331</v>
      </c>
      <c r="CT94">
        <f t="shared" si="36"/>
        <v>438.59999999999997</v>
      </c>
      <c r="CU94">
        <f>IFERROR(VLOOKUP(DF94,源_6社保表_Sheet1!$C:$I,2,FALSE),0)</f>
        <v>4359</v>
      </c>
      <c r="CV94">
        <f>IFERROR(VLOOKUP(DF94,源_6社保表_Sheet1!$C:$I,7,FALSE),0)</f>
        <v>4300</v>
      </c>
      <c r="CW94">
        <f>IFERROR(VLOOKUP(DF94,源_6社保表_Sheet1!$C:$I,3,FALSE),0)</f>
        <v>4846</v>
      </c>
      <c r="CX94">
        <f>IFERROR(VLOOKUP(DF94,源_6社保表_Sheet1!$C:$I,4,FALSE),0)</f>
        <v>4359</v>
      </c>
      <c r="CY94">
        <f>IFERROR(VLOOKUP(DF94,源_6社保表_Sheet1!$C:$I,5,FALSE),0)</f>
        <v>4359</v>
      </c>
      <c r="CZ94">
        <f>IFERROR(VLOOKUP(DF94,源_6社保表_Sheet1!$C:$I,6,FALSE),0)</f>
        <v>0</v>
      </c>
      <c r="DA94">
        <f t="shared" si="37"/>
        <v>5364.5838000000003</v>
      </c>
      <c r="DB94">
        <f t="shared" si="38"/>
        <v>6290.0841333333337</v>
      </c>
      <c r="DC94" t="str">
        <f>IFERROR(VLOOKUP(K94,源_7银行卡表_Sheet1!$A:$J,8,FALSE),"")</f>
        <v>交通银行</v>
      </c>
      <c r="DD94" t="str">
        <f>IFERROR(VLOOKUP(K94,源_7银行卡表_Sheet1!$A:$J,9,FALSE),"")</f>
        <v>6288699253877745843</v>
      </c>
      <c r="DE94" t="str">
        <f>IFERROR(VLOOKUP(K94,源_7银行卡表_Sheet1!$A:$J,10,FALSE),"")</f>
        <v>北京市崇文门支行</v>
      </c>
      <c r="DF94" t="s">
        <v>560</v>
      </c>
      <c r="DG94">
        <v>15582979367</v>
      </c>
      <c r="DH94" t="s">
        <v>506</v>
      </c>
      <c r="DI94">
        <v>0</v>
      </c>
      <c r="DJ94">
        <v>0</v>
      </c>
      <c r="DK94">
        <v>0</v>
      </c>
      <c r="DL94">
        <v>0</v>
      </c>
      <c r="DM94">
        <v>0</v>
      </c>
      <c r="DN94">
        <v>0</v>
      </c>
      <c r="DO94">
        <v>0</v>
      </c>
      <c r="DP94">
        <v>0</v>
      </c>
      <c r="DQ94">
        <v>0</v>
      </c>
      <c r="DR94">
        <f>IF(OR(IFERROR(VLOOKUP(K94,源_3考勤报表_考勤表!$F:$BG,39,FALSE),0)+IFERROR(VLOOKUP(K94,源_8补工时表_补当月工时!$A:$AC,24,FALSE),0)=0,IFERROR(VLOOKUP(K94,源_3考勤报表_考勤表!$F:$BG,43,FALSE),0)+IFERROR(VLOOKUP(K94,源_8补工时表_补当月工时!$A:$AC,26,FALSE),0)=0),IF(BI94+BG94-BT94&lt;0,BI94+BG94-BT94,0),0)</f>
        <v>0</v>
      </c>
    </row>
    <row r="95" spans="1:122" x14ac:dyDescent="0.15">
      <c r="A95">
        <f>参数!$B$2</f>
        <v>2025</v>
      </c>
      <c r="B95">
        <f>参数!$B$3</f>
        <v>12</v>
      </c>
      <c r="D95" t="s">
        <v>505</v>
      </c>
      <c r="E95" t="s">
        <v>123</v>
      </c>
      <c r="F95" t="str">
        <f>IFERROR(VLOOKUP(K95,源_7银行卡表_Sheet1!$A:$J,6,FALSE),"")</f>
        <v>华北营运</v>
      </c>
      <c r="G95" t="s">
        <v>506</v>
      </c>
      <c r="H95" t="s">
        <v>561</v>
      </c>
      <c r="I95" t="s">
        <v>508</v>
      </c>
      <c r="J95">
        <v>1</v>
      </c>
      <c r="K95">
        <v>26123094</v>
      </c>
      <c r="L95" t="s">
        <v>562</v>
      </c>
      <c r="M95" t="s">
        <v>170</v>
      </c>
      <c r="N95" t="s">
        <v>563</v>
      </c>
      <c r="P95" t="s">
        <v>154</v>
      </c>
      <c r="Q95">
        <f>IF(P95="门店全职",IFERROR(VLOOKUP(K95,源_3考勤报表_考勤表!$F:$BG,34,FALSE),0)+IFERROR(VLOOKUP(K95,源_8补工时表_补当月工时!$A:$AC,14,FALSE),0),IF(P95="门店管理组",IF(IFERROR(VLOOKUP(K95,源_3考勤报表_考勤表!$F:$BG,34,FALSE),0)+IFERROR(VLOOKUP(K95,源_8补工时表_补当月工时!$A:$AC,14,FALSE),0)+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44,FALSE),0)+IFERROR(VLOOKUP(K95,源_8补工时表_补当月工时!$A:$AC,16,FALSE),0)+IFERROR(VLOOKUP(K95,源_3考勤报表_考勤表!$F:$BG,45,FALSE),0)&gt;=参数!$B$4,参数!$B$4-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44,FALSE),0)-IFERROR(VLOOKUP(K95,源_8补工时表_补当月工时!$A:$AC,16,FALSE),0)-IFERROR(VLOOKUP(K95,源_3考勤报表_考勤表!$F:$BG,45,FALSE),0),IFERROR(VLOOKUP(K95,源_3考勤报表_考勤表!$F:$BG,34,FALSE),0)+IFERROR(VLOOKUP(K95,源_8补工时表_补当月工时!$A:$AC,14,FALSE),0)),0))</f>
        <v>144</v>
      </c>
      <c r="R95">
        <v>2910</v>
      </c>
      <c r="S95">
        <v>0</v>
      </c>
      <c r="T95">
        <f>IF(P95="门店全职",R95/参数!$B$4*(Q95-MAX(IFERROR(VLOOKUP(K95,源_3考勤报表_考勤表!$F:$BG,34,FALSE),0)+IFERROR(VLOOKUP(K95,源_8补工时表_补当月工时!$A:$AC,14,FALSE),0)+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参数!$B$4,0)),R95/参数!$B$4*Q95)</f>
        <v>2277.391304347826</v>
      </c>
      <c r="U95">
        <v>0</v>
      </c>
      <c r="V95">
        <v>0</v>
      </c>
      <c r="W95">
        <f t="shared" si="26"/>
        <v>0</v>
      </c>
      <c r="X95">
        <f>IFERROR(VLOOKUP(K95,源_4奖金汇总表_拆分手工算!$A:$N,8,FALSE),0)</f>
        <v>0</v>
      </c>
      <c r="Y95">
        <f>IFERROR(VLOOKUP(K95,源_5薪资备忘录_工资调整项!$A:$AC,14,FALSE),0)</f>
        <v>0</v>
      </c>
      <c r="Z95">
        <f>IFERROR(VLOOKUP(K95,源_5薪资备忘录_工资调整项!$A:$AC,16,FALSE),0)</f>
        <v>0</v>
      </c>
      <c r="AA95">
        <f>IFERROR(VLOOKUP(K95,源_5薪资备忘录_工资调整项!$A:$AC,15,FALSE),0)</f>
        <v>0</v>
      </c>
      <c r="AB95">
        <f t="shared" si="27"/>
        <v>401.37931034482762</v>
      </c>
      <c r="AC95">
        <f>IF(P95="门店全职",R95/174*MAX(IFERROR(VLOOKUP(K95,源_3考勤报表_考勤表!$F:$BG,34,FALSE),0)+IFERROR(VLOOKUP(K95,源_8补工时表_补当月工时!$A:$AC,14,FALSE),0)+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参数!$B$4,0)*1.5,0)</f>
        <v>0</v>
      </c>
      <c r="AD95">
        <v>0</v>
      </c>
      <c r="AE95">
        <f>IFERROR(VLOOKUP(K95,源_3考勤报表_考勤表!$F:$BG,46,FALSE),0)+IFERROR(VLOOKUP(K95,源_8补工时表_补当月工时!$A:$AC,25,FALSE),0)</f>
        <v>8</v>
      </c>
      <c r="AF95">
        <f t="shared" si="28"/>
        <v>401.37931034482762</v>
      </c>
      <c r="AG95">
        <f>IFERROR(VLOOKUP(K95,源_4奖金汇总表_拆分手工算!$A:$N,10,FALSE),0)</f>
        <v>0</v>
      </c>
      <c r="AH95">
        <f>IFERROR(VLOOKUP(K95,源_4奖金汇总表_拆分手工算!$A:$N,5,FALSE),0)</f>
        <v>0</v>
      </c>
      <c r="AI95">
        <f>IFERROR(VLOOKUP(K95,源_4奖金汇总表_拆分手工算!$A:$N,11,FALSE),0)</f>
        <v>0</v>
      </c>
      <c r="AJ95">
        <f>IFERROR(VLOOKUP(K95,源_4奖金汇总表_拆分手工算!$A:$N,4,FALSE),0)</f>
        <v>0</v>
      </c>
      <c r="AK95">
        <f>IFERROR(VLOOKUP(K95,源_4奖金汇总表_拆分手工算!$A:$N,3,FALSE),0)</f>
        <v>0</v>
      </c>
      <c r="AL95">
        <f>IFERROR(VLOOKUP(K95,源_4奖金汇总表_拆分手工算!$A:$N,6,FALSE),0)</f>
        <v>0</v>
      </c>
      <c r="AM95">
        <f>IFERROR(VLOOKUP(K95,源_5薪资备忘录_工资调整项!$A:$AC,18,FALSE),0)+IFERROR(VLOOKUP(K95,源_4奖金汇总表_拆分手工算!$A:$N,7,FALSE),0)</f>
        <v>0</v>
      </c>
      <c r="AN95">
        <f>IFERROR(VLOOKUP(K95,源_5薪资备忘录_工资调整项!$A:$AC,17,FALSE),0)</f>
        <v>0</v>
      </c>
      <c r="AO95">
        <f>IF(OR(IFERROR(VLOOKUP(K95,源_3考勤报表_考勤表!$F:$BG,39,FALSE),0)+IFERROR(VLOOKUP(K95,源_8补工时表_补当月工时!$A:$AC,24,FALSE),0)&gt;0,IFERROR(VLOOKUP(K95,源_3考勤报表_考勤表!$F:$BG,43,FALSE),0)+IFERROR(VLOOKUP(K95,源_8补工时表_补当月工时!$A:$AC,26,FALSE),0)&gt;0),IF(IFERROR(VLOOKUP(DH95,源_11产假政策_Sheet1!$C:$F,4,FALSE),"")="是",R95/参数!$B$4*(IFERROR(VLOOKUP(K95,源_3考勤报表_考勤表!$F:$BG,39,FALSE),0)+IFERROR(VLOOKUP(K95,源_8补工时表_补当月工时!$A:$AC,24,FALSE),0)+IFERROR(VLOOKUP(K95,源_3考勤报表_考勤表!$F:$BG,43,FALSE),0)+IFERROR(VLOOKUP(K95,源_8补工时表_补当月工时!$A:$AC,26,FALSE),0)),IFERROR(VLOOKUP(K95,源_5薪资备忘录_工资调整项!$A:$AC,19,FALSE),0)),0)</f>
        <v>0</v>
      </c>
      <c r="AP95">
        <v>0</v>
      </c>
      <c r="AQ95">
        <f>IFERROR(VLOOKUP(K95,源_4奖金汇总表_拆分手工算!$A:$N,12,FALSE),0)+IFERROR(VLOOKUP(K95,源_9年终奖表_Sheet1!$A:$E,3,FALSE),0)</f>
        <v>0</v>
      </c>
      <c r="AR95">
        <f>IFERROR(VLOOKUP(K95,源_4奖金汇总表_拆分手工算!$A:$N,13,FALSE),0)+IFERROR(VLOOKUP(K95,源_9年终奖表_Sheet1!$A:$E,4,FALSE),0)</f>
        <v>0</v>
      </c>
      <c r="AS95">
        <f>IFERROR(VLOOKUP(K95,源_4奖金汇总表_拆分手工算!$A:$N,14,FALSE),0)+IFERROR(VLOOKUP(K95,源_9年终奖表_Sheet1!$A:$E,5,FALSE),0)</f>
        <v>0</v>
      </c>
      <c r="AT95">
        <f>IFERROR(VLOOKUP(K95,源_5薪资备忘录_工资调整项!$A:$AC,20,FALSE),0)</f>
        <v>0</v>
      </c>
      <c r="AU95">
        <f>IFERROR(VLOOKUP(K95,源_5薪资备忘录_工资调整项!$A:$AC,21,FALSE),0)+IFERROR(VLOOKUP(K95,源_4奖金汇总表_拆分手工算!$A:$N,9,FALSE),0)</f>
        <v>5623</v>
      </c>
      <c r="AV95">
        <f>R95/参数!$B$4*(IFERROR(VLOOKUP(K95,源_3考勤报表_考勤表!$F:$BG,37,FALSE),0)+IFERROR(VLOOKUP(K95,源_8补工时表_补当月工时!$A:$AC,15,FALSE),0))</f>
        <v>0</v>
      </c>
      <c r="AW95">
        <f>R95/174*MIN(IFERROR(VLOOKUP(K95,源_3考勤报表_考勤表!$F:$BG,35,FALSE),0),174)*IF(DATEDIF(N95,DATE(参数!$B$2,参数!$B$3+1,0),"Y")&lt;2,0.6,IF(DATEDIF(N95,DATE(参数!$B$2,参数!$B$3+1,0),"Y")&lt;4,0.7,IF(DATEDIF(N95,DATE(参数!$B$2,参数!$B$3+1,0),"Y")&lt;6,0.8,IF(DATEDIF(N95,DATE(参数!$B$2,参数!$B$3+1,0),"Y")&lt;8,0.9,1))))</f>
        <v>0</v>
      </c>
      <c r="AX95">
        <f>IF(Q95+IFERROR(VLOOKUP(K95,源_3考勤报表_考勤表!$F:$BG,37,FALSE),0)+IFERROR(VLOOKUP(K95,源_8补工时表_补当月工时!$A:$AC,15,FALSE),0)&gt;=参数!$B$4,0,IF(Q95+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lt;=参数!$B$4,R95/参数!$B$4*(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0))</f>
        <v>0</v>
      </c>
      <c r="AY95">
        <v>0</v>
      </c>
      <c r="AZ95">
        <v>0</v>
      </c>
      <c r="BA95">
        <v>0</v>
      </c>
      <c r="BB95">
        <v>0</v>
      </c>
      <c r="BC95">
        <f>IFERROR(VLOOKUP(K95,源_5薪资备忘录_工资调整项!$A:$AC,25,FALSE),0)</f>
        <v>0</v>
      </c>
      <c r="BD95">
        <v>0</v>
      </c>
      <c r="BE95">
        <v>0</v>
      </c>
      <c r="BF95">
        <v>0</v>
      </c>
      <c r="BG95">
        <f>IFERROR(VLOOKUP(K95,源_5薪资备忘录_工资调整项!$A:$AC,22,FALSE),0)+IFERROR(VLOOKUP(K95,源_5薪资备忘录_工资调整项!$A:$AC,23,FALSE),0)+IFERROR(VLOOKUP(K95,源_5薪资备忘录_工资调整项!$A:$AC,24,FALSE),0)</f>
        <v>0</v>
      </c>
      <c r="BH95">
        <f>IFERROR(VLOOKUP(DF95,源_6社保表_Sheet1!$C:$CD,80,FALSE),0)+4.5</f>
        <v>6.5</v>
      </c>
      <c r="BI95">
        <f t="shared" si="29"/>
        <v>8301.7706146926539</v>
      </c>
      <c r="BJ95">
        <f>IFERROR(VLOOKUP(DF95,源_6社保表_Sheet1!$C:$BZ,26,FALSE),0)</f>
        <v>217.95</v>
      </c>
      <c r="BK95">
        <f>IFERROR(VLOOKUP(DF95,源_6社保表_Sheet1!$C:$BZ,27,FALSE),0)</f>
        <v>48.46</v>
      </c>
      <c r="BL95">
        <f>IFERROR(VLOOKUP(DF95,源_6社保表_Sheet1!$C:$BZ,28,FALSE),0)</f>
        <v>21.795000000000002</v>
      </c>
      <c r="BM95">
        <f>IFERROR(VLOOKUP(DF95,源_6社保表_Sheet1!$C:$BZ,30,FALSE),0)</f>
        <v>145.5</v>
      </c>
      <c r="BN95">
        <f>IFERROR(VLOOKUP(DF95,源_6社保表_Sheet1!$C:$BZ,29,FALSE),0)</f>
        <v>0</v>
      </c>
      <c r="BO95">
        <f>IFERROR(VLOOKUP(DF95,源_6社保表_Sheet1!$C:$BZ,40,FALSE),0)</f>
        <v>0</v>
      </c>
      <c r="BP95">
        <f>IFERROR(VLOOKUP(DF95,源_6社保表_Sheet1!$C:$BZ,41,FALSE),0)</f>
        <v>0</v>
      </c>
      <c r="BQ95">
        <f>IFERROR(VLOOKUP(DF95,源_6社保表_Sheet1!$C:$BZ,42,FALSE),0)</f>
        <v>0</v>
      </c>
      <c r="BR95">
        <f>IFERROR(VLOOKUP(DF95,源_6社保表_Sheet1!$C:$BZ,44,FALSE),0)</f>
        <v>0</v>
      </c>
      <c r="BS95">
        <f>IFERROR(VLOOKUP(DF95,源_6社保表_Sheet1!$C:$BZ,43,FALSE),0)</f>
        <v>0</v>
      </c>
      <c r="BT95">
        <f t="shared" si="30"/>
        <v>433.70499999999998</v>
      </c>
      <c r="BU95">
        <v>0</v>
      </c>
      <c r="BV95">
        <v>0</v>
      </c>
      <c r="BW95">
        <v>0</v>
      </c>
      <c r="BX95">
        <f t="shared" si="31"/>
        <v>0</v>
      </c>
      <c r="BY95">
        <v>0</v>
      </c>
      <c r="BZ95">
        <f>IFERROR(VLOOKUP(DF95,源_6社保表_Sheet1!$C:$BZ,18,FALSE),0)</f>
        <v>523.08000000000004</v>
      </c>
      <c r="CA95">
        <f>IFERROR(VLOOKUP(DF95,源_6社保表_Sheet1!$C:$BZ,19,FALSE),0)</f>
        <v>290.76</v>
      </c>
      <c r="CB95">
        <f>IFERROR(VLOOKUP(DF95,源_6社保表_Sheet1!$C:$BZ,24,FALSE),0)</f>
        <v>145.5</v>
      </c>
      <c r="CC95">
        <f>IFERROR(VLOOKUP(DF95,源_6社保表_Sheet1!$C:$BZ,20,FALSE),0)</f>
        <v>21.795000000000002</v>
      </c>
      <c r="CD95">
        <f>IFERROR(VLOOKUP(DF95,源_6社保表_Sheet1!$C:$BZ,21,FALSE),0)</f>
        <v>13.9488</v>
      </c>
      <c r="CE95">
        <f>IFERROR(VLOOKUP(DF95,源_6社保表_Sheet1!$C:$BZ,22,FALSE),0)</f>
        <v>0</v>
      </c>
      <c r="CF95">
        <f>IFERROR(VLOOKUP(DF95,源_6社保表_Sheet1!$C:$BZ,23,FALSE),0)</f>
        <v>0</v>
      </c>
      <c r="CG95">
        <f>IFERROR(VLOOKUP(DF95,源_6社保表_Sheet1!$C:$BZ,32,FALSE),0)</f>
        <v>0</v>
      </c>
      <c r="CH95">
        <f>IFERROR(VLOOKUP(DF95,源_6社保表_Sheet1!$C:$BZ,33,FALSE),0)</f>
        <v>0</v>
      </c>
      <c r="CI95">
        <f>IFERROR(VLOOKUP(DF95,源_6社保表_Sheet1!$C:$BZ,34,FALSE),0)</f>
        <v>0</v>
      </c>
      <c r="CJ95">
        <f>IFERROR(VLOOKUP(DF95,源_6社保表_Sheet1!$C:$BZ,38,FALSE),0)</f>
        <v>0</v>
      </c>
      <c r="CK95">
        <f>IFERROR(VLOOKUP(DF95,源_6社保表_Sheet1!$C:$BZ,35,FALSE),0)</f>
        <v>0</v>
      </c>
      <c r="CL95">
        <f>IFERROR(VLOOKUP(DF95,源_6社保表_Sheet1!$C:$BZ,36,FALSE),0)</f>
        <v>0</v>
      </c>
      <c r="CM95">
        <f>IFERROR(VLOOKUP(DF95,源_6社保表_Sheet1!$C:$BZ,37,FALSE),0)</f>
        <v>0</v>
      </c>
      <c r="CN95">
        <f t="shared" si="32"/>
        <v>995.0838</v>
      </c>
      <c r="CO95">
        <f t="shared" si="33"/>
        <v>9303.3544146926542</v>
      </c>
      <c r="CP95">
        <f>IF(IFERROR(VLOOKUP(K95,源_13残疾人信息_残疾人信息!$A:$M,1,FALSE),"")&lt;&gt;"",0,IF(OR(P95="门店全职",P95="门店管理组",P95="全职(非门店)"),(BI95-AT95)*IFERROR(VLOOKUP(D95,源_12计提残保金规则_Sheet1!$A:$E,4,FALSE),0)*IFERROR(VLOOKUP(D95,源_12计提残保金规则_Sheet1!$A:$E,5,FALSE),0),0))</f>
        <v>112.07390329835083</v>
      </c>
      <c r="CQ95">
        <f t="shared" si="34"/>
        <v>16.05</v>
      </c>
      <c r="CR95">
        <f t="shared" si="35"/>
        <v>20.67</v>
      </c>
      <c r="CS95">
        <f>IF(DATEVALUE(N95)&gt;DATE(参数!$B$2,9,30),0,IF(M95="行政",0,IF(O95="",R95/12,IF(MONTH(DATEVALUE(O95))=参数!$B$3,0,IF(DATEVALUE(O95)&lt;DATE(参数!$B$2,参数!$B$3,1),0,R95/12)))))</f>
        <v>242.5</v>
      </c>
      <c r="CT95">
        <f t="shared" si="36"/>
        <v>0</v>
      </c>
      <c r="CU95">
        <f>IFERROR(VLOOKUP(DF95,源_6社保表_Sheet1!$C:$I,2,FALSE),0)</f>
        <v>4359</v>
      </c>
      <c r="CV95">
        <f>IFERROR(VLOOKUP(DF95,源_6社保表_Sheet1!$C:$I,7,FALSE),0)</f>
        <v>2910</v>
      </c>
      <c r="CW95">
        <f>IFERROR(VLOOKUP(DF95,源_6社保表_Sheet1!$C:$I,3,FALSE),0)</f>
        <v>4846</v>
      </c>
      <c r="CX95">
        <f>IFERROR(VLOOKUP(DF95,源_6社保表_Sheet1!$C:$I,4,FALSE),0)</f>
        <v>4359</v>
      </c>
      <c r="CY95">
        <f>IFERROR(VLOOKUP(DF95,源_6社保表_Sheet1!$C:$I,5,FALSE),0)</f>
        <v>4359</v>
      </c>
      <c r="CZ95">
        <f>IFERROR(VLOOKUP(DF95,源_6社保表_Sheet1!$C:$I,6,FALSE),0)</f>
        <v>0</v>
      </c>
      <c r="DA95">
        <f t="shared" si="37"/>
        <v>9296.8544146926542</v>
      </c>
      <c r="DB95">
        <f t="shared" si="38"/>
        <v>9694.6483179910047</v>
      </c>
      <c r="DC95" t="str">
        <f>IFERROR(VLOOKUP(K95,源_7银行卡表_Sheet1!$A:$J,8,FALSE),"")</f>
        <v>交通银行</v>
      </c>
      <c r="DD95" t="str">
        <f>IFERROR(VLOOKUP(K95,源_7银行卡表_Sheet1!$A:$J,9,FALSE),"")</f>
        <v>6289195864793018477</v>
      </c>
      <c r="DE95" t="str">
        <f>IFERROR(VLOOKUP(K95,源_7银行卡表_Sheet1!$A:$J,10,FALSE),"")</f>
        <v>北京常营支行</v>
      </c>
      <c r="DF95" t="s">
        <v>564</v>
      </c>
      <c r="DG95">
        <v>14740538302</v>
      </c>
      <c r="DH95" t="s">
        <v>506</v>
      </c>
      <c r="DI95">
        <v>0</v>
      </c>
      <c r="DJ95">
        <v>0</v>
      </c>
      <c r="DK95">
        <v>0</v>
      </c>
      <c r="DL95">
        <v>0</v>
      </c>
      <c r="DM95">
        <v>0</v>
      </c>
      <c r="DN95">
        <v>0</v>
      </c>
      <c r="DO95">
        <v>0</v>
      </c>
      <c r="DP95">
        <v>0</v>
      </c>
      <c r="DQ95">
        <v>0</v>
      </c>
      <c r="DR95">
        <f>IF(OR(IFERROR(VLOOKUP(K95,源_3考勤报表_考勤表!$F:$BG,39,FALSE),0)+IFERROR(VLOOKUP(K95,源_8补工时表_补当月工时!$A:$AC,24,FALSE),0)=0,IFERROR(VLOOKUP(K95,源_3考勤报表_考勤表!$F:$BG,43,FALSE),0)+IFERROR(VLOOKUP(K95,源_8补工时表_补当月工时!$A:$AC,26,FALSE),0)=0),IF(BI95+BG95-BT95&lt;0,BI95+BG95-BT95,0),0)</f>
        <v>0</v>
      </c>
    </row>
    <row r="96" spans="1:122" x14ac:dyDescent="0.15">
      <c r="A96">
        <f>参数!$B$2</f>
        <v>2025</v>
      </c>
      <c r="B96">
        <f>参数!$B$3</f>
        <v>12</v>
      </c>
      <c r="D96" t="s">
        <v>526</v>
      </c>
      <c r="E96" t="s">
        <v>123</v>
      </c>
      <c r="F96" t="str">
        <f>IFERROR(VLOOKUP(K96,源_7银行卡表_Sheet1!$A:$J,6,FALSE),"")</f>
        <v>华东营运</v>
      </c>
      <c r="G96" t="s">
        <v>565</v>
      </c>
      <c r="H96" t="s">
        <v>566</v>
      </c>
      <c r="I96" t="s">
        <v>529</v>
      </c>
      <c r="J96">
        <v>1</v>
      </c>
      <c r="K96">
        <v>26123095</v>
      </c>
      <c r="L96" t="s">
        <v>567</v>
      </c>
      <c r="M96" t="s">
        <v>218</v>
      </c>
      <c r="N96" t="s">
        <v>568</v>
      </c>
      <c r="P96" t="s">
        <v>131</v>
      </c>
      <c r="Q96">
        <f>IF(P96="门店全职",IFERROR(VLOOKUP(K96,源_3考勤报表_考勤表!$F:$BG,34,FALSE),0)+IFERROR(VLOOKUP(K96,源_8补工时表_补当月工时!$A:$AC,14,FALSE),0),IF(P96="门店管理组",IF(IFERROR(VLOOKUP(K96,源_3考勤报表_考勤表!$F:$BG,34,FALSE),0)+IFERROR(VLOOKUP(K96,源_8补工时表_补当月工时!$A:$AC,14,FALSE),0)+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44,FALSE),0)+IFERROR(VLOOKUP(K96,源_8补工时表_补当月工时!$A:$AC,16,FALSE),0)+IFERROR(VLOOKUP(K96,源_3考勤报表_考勤表!$F:$BG,45,FALSE),0)&gt;=参数!$B$4,参数!$B$4-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44,FALSE),0)-IFERROR(VLOOKUP(K96,源_8补工时表_补当月工时!$A:$AC,16,FALSE),0)-IFERROR(VLOOKUP(K96,源_3考勤报表_考勤表!$F:$BG,45,FALSE),0),IFERROR(VLOOKUP(K96,源_3考勤报表_考勤表!$F:$BG,34,FALSE),0)+IFERROR(VLOOKUP(K96,源_8补工时表_补当月工时!$A:$AC,14,FALSE),0)),0))</f>
        <v>160</v>
      </c>
      <c r="R96">
        <v>4300</v>
      </c>
      <c r="S96">
        <v>0</v>
      </c>
      <c r="T96">
        <f>IF(P96="门店全职",R96/参数!$B$4*(Q96-MAX(IFERROR(VLOOKUP(K96,源_3考勤报表_考勤表!$F:$BG,34,FALSE),0)+IFERROR(VLOOKUP(K96,源_8补工时表_补当月工时!$A:$AC,14,FALSE),0)+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参数!$B$4,0)),R96/参数!$B$4*Q96)</f>
        <v>3739.130434782609</v>
      </c>
      <c r="U96">
        <v>0</v>
      </c>
      <c r="V96">
        <v>0</v>
      </c>
      <c r="W96">
        <f t="shared" si="26"/>
        <v>0</v>
      </c>
      <c r="X96">
        <f>IFERROR(VLOOKUP(K96,源_4奖金汇总表_拆分手工算!$A:$N,8,FALSE),0)</f>
        <v>0</v>
      </c>
      <c r="Y96">
        <f>IFERROR(VLOOKUP(K96,源_5薪资备忘录_工资调整项!$A:$AC,14,FALSE),0)</f>
        <v>0</v>
      </c>
      <c r="Z96">
        <f>IFERROR(VLOOKUP(K96,源_5薪资备忘录_工资调整项!$A:$AC,16,FALSE),0)</f>
        <v>0</v>
      </c>
      <c r="AA96">
        <f>IFERROR(VLOOKUP(K96,源_5薪资备忘录_工资调整项!$A:$AC,15,FALSE),0)</f>
        <v>0</v>
      </c>
      <c r="AB96">
        <f t="shared" si="27"/>
        <v>0</v>
      </c>
      <c r="AC96">
        <f>IF(P96="门店全职",R96/174*MAX(IFERROR(VLOOKUP(K96,源_3考勤报表_考勤表!$F:$BG,34,FALSE),0)+IFERROR(VLOOKUP(K96,源_8补工时表_补当月工时!$A:$AC,14,FALSE),0)+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参数!$B$4,0)*1.5,0)</f>
        <v>0</v>
      </c>
      <c r="AD96">
        <v>0</v>
      </c>
      <c r="AE96">
        <f>IFERROR(VLOOKUP(K96,源_3考勤报表_考勤表!$F:$BG,46,FALSE),0)+IFERROR(VLOOKUP(K96,源_8补工时表_补当月工时!$A:$AC,25,FALSE),0)</f>
        <v>0</v>
      </c>
      <c r="AF96">
        <f t="shared" si="28"/>
        <v>0</v>
      </c>
      <c r="AG96">
        <f>IFERROR(VLOOKUP(K96,源_4奖金汇总表_拆分手工算!$A:$N,10,FALSE),0)</f>
        <v>0</v>
      </c>
      <c r="AH96">
        <f>IFERROR(VLOOKUP(K96,源_4奖金汇总表_拆分手工算!$A:$N,5,FALSE),0)</f>
        <v>0</v>
      </c>
      <c r="AI96">
        <f>IFERROR(VLOOKUP(K96,源_4奖金汇总表_拆分手工算!$A:$N,11,FALSE),0)</f>
        <v>0</v>
      </c>
      <c r="AJ96">
        <f>IFERROR(VLOOKUP(K96,源_4奖金汇总表_拆分手工算!$A:$N,4,FALSE),0)</f>
        <v>0</v>
      </c>
      <c r="AK96">
        <f>IFERROR(VLOOKUP(K96,源_4奖金汇总表_拆分手工算!$A:$N,3,FALSE),0)</f>
        <v>0</v>
      </c>
      <c r="AL96">
        <f>IFERROR(VLOOKUP(K96,源_4奖金汇总表_拆分手工算!$A:$N,6,FALSE),0)</f>
        <v>0</v>
      </c>
      <c r="AM96">
        <f>IFERROR(VLOOKUP(K96,源_5薪资备忘录_工资调整项!$A:$AC,18,FALSE),0)+IFERROR(VLOOKUP(K96,源_4奖金汇总表_拆分手工算!$A:$N,7,FALSE),0)</f>
        <v>0</v>
      </c>
      <c r="AN96">
        <f>IFERROR(VLOOKUP(K96,源_5薪资备忘录_工资调整项!$A:$AC,17,FALSE),0)</f>
        <v>0</v>
      </c>
      <c r="AO96">
        <f>IF(OR(IFERROR(VLOOKUP(K96,源_3考勤报表_考勤表!$F:$BG,39,FALSE),0)+IFERROR(VLOOKUP(K96,源_8补工时表_补当月工时!$A:$AC,24,FALSE),0)&gt;0,IFERROR(VLOOKUP(K96,源_3考勤报表_考勤表!$F:$BG,43,FALSE),0)+IFERROR(VLOOKUP(K96,源_8补工时表_补当月工时!$A:$AC,26,FALSE),0)&gt;0),IF(IFERROR(VLOOKUP(DH96,源_11产假政策_Sheet1!$C:$F,4,FALSE),"")="是",R96/参数!$B$4*(IFERROR(VLOOKUP(K96,源_3考勤报表_考勤表!$F:$BG,39,FALSE),0)+IFERROR(VLOOKUP(K96,源_8补工时表_补当月工时!$A:$AC,24,FALSE),0)+IFERROR(VLOOKUP(K96,源_3考勤报表_考勤表!$F:$BG,43,FALSE),0)+IFERROR(VLOOKUP(K96,源_8补工时表_补当月工时!$A:$AC,26,FALSE),0)),IFERROR(VLOOKUP(K96,源_5薪资备忘录_工资调整项!$A:$AC,19,FALSE),0)),0)</f>
        <v>0</v>
      </c>
      <c r="AP96">
        <v>0</v>
      </c>
      <c r="AQ96">
        <f>IFERROR(VLOOKUP(K96,源_4奖金汇总表_拆分手工算!$A:$N,12,FALSE),0)+IFERROR(VLOOKUP(K96,源_9年终奖表_Sheet1!$A:$E,3,FALSE),0)</f>
        <v>1200</v>
      </c>
      <c r="AR96">
        <f>IFERROR(VLOOKUP(K96,源_4奖金汇总表_拆分手工算!$A:$N,13,FALSE),0)+IFERROR(VLOOKUP(K96,源_9年终奖表_Sheet1!$A:$E,4,FALSE),0)</f>
        <v>600</v>
      </c>
      <c r="AS96">
        <f>IFERROR(VLOOKUP(K96,源_4奖金汇总表_拆分手工算!$A:$N,14,FALSE),0)+IFERROR(VLOOKUP(K96,源_9年终奖表_Sheet1!$A:$E,5,FALSE),0)</f>
        <v>111</v>
      </c>
      <c r="AT96">
        <f>IFERROR(VLOOKUP(K96,源_5薪资备忘录_工资调整项!$A:$AC,20,FALSE),0)</f>
        <v>0</v>
      </c>
      <c r="AU96">
        <f>IFERROR(VLOOKUP(K96,源_5薪资备忘录_工资调整项!$A:$AC,21,FALSE),0)+IFERROR(VLOOKUP(K96,源_4奖金汇总表_拆分手工算!$A:$N,9,FALSE),0)</f>
        <v>0</v>
      </c>
      <c r="AV96">
        <f>R96/参数!$B$4*(IFERROR(VLOOKUP(K96,源_3考勤报表_考勤表!$F:$BG,37,FALSE),0)+IFERROR(VLOOKUP(K96,源_8补工时表_补当月工时!$A:$AC,15,FALSE),0))</f>
        <v>373.91304347826087</v>
      </c>
      <c r="AW96">
        <f>R96/174*MIN(IFERROR(VLOOKUP(K96,源_3考勤报表_考勤表!$F:$BG,35,FALSE),0),174)*IF(DATEDIF(N96,DATE(参数!$B$2,参数!$B$3+1,0),"Y")&lt;2,0.6,IF(DATEDIF(N96,DATE(参数!$B$2,参数!$B$3+1,0),"Y")&lt;4,0.7,IF(DATEDIF(N96,DATE(参数!$B$2,参数!$B$3+1,0),"Y")&lt;6,0.8,IF(DATEDIF(N96,DATE(参数!$B$2,参数!$B$3+1,0),"Y")&lt;8,0.9,1))))</f>
        <v>0</v>
      </c>
      <c r="AX96">
        <f>IF(Q96+IFERROR(VLOOKUP(K96,源_3考勤报表_考勤表!$F:$BG,37,FALSE),0)+IFERROR(VLOOKUP(K96,源_8补工时表_补当月工时!$A:$AC,15,FALSE),0)&gt;=参数!$B$4,0,IF(Q96+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lt;=参数!$B$4,R96/参数!$B$4*(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0))</f>
        <v>0</v>
      </c>
      <c r="AY96">
        <v>0</v>
      </c>
      <c r="AZ96">
        <v>0</v>
      </c>
      <c r="BA96">
        <v>0</v>
      </c>
      <c r="BB96">
        <v>0</v>
      </c>
      <c r="BC96">
        <f>IFERROR(VLOOKUP(K96,源_5薪资备忘录_工资调整项!$A:$AC,25,FALSE),0)</f>
        <v>0</v>
      </c>
      <c r="BD96">
        <v>0</v>
      </c>
      <c r="BE96">
        <v>0</v>
      </c>
      <c r="BF96">
        <v>0</v>
      </c>
      <c r="BG96">
        <f>IFERROR(VLOOKUP(K96,源_5薪资备忘录_工资调整项!$A:$AC,22,FALSE),0)+IFERROR(VLOOKUP(K96,源_5薪资备忘录_工资调整项!$A:$AC,23,FALSE),0)+IFERROR(VLOOKUP(K96,源_5薪资备忘录_工资调整项!$A:$AC,24,FALSE),0)</f>
        <v>0</v>
      </c>
      <c r="BH96">
        <f>IFERROR(VLOOKUP(DF96,源_6社保表_Sheet1!$C:$CD,80,FALSE),0)+4.5</f>
        <v>6.5</v>
      </c>
      <c r="BI96">
        <f t="shared" si="29"/>
        <v>6024.04347826087</v>
      </c>
      <c r="BJ96">
        <f>IFERROR(VLOOKUP(DF96,源_6社保表_Sheet1!$C:$BZ,26,FALSE),0)</f>
        <v>215</v>
      </c>
      <c r="BK96">
        <f>IFERROR(VLOOKUP(DF96,源_6社保表_Sheet1!$C:$BZ,27,FALSE),0)</f>
        <v>43</v>
      </c>
      <c r="BL96">
        <f>IFERROR(VLOOKUP(DF96,源_6社保表_Sheet1!$C:$BZ,28,FALSE),0)</f>
        <v>21.5</v>
      </c>
      <c r="BM96">
        <f>IFERROR(VLOOKUP(DF96,源_6社保表_Sheet1!$C:$BZ,30,FALSE),0)</f>
        <v>215</v>
      </c>
      <c r="BN96">
        <f>IFERROR(VLOOKUP(DF96,源_6社保表_Sheet1!$C:$BZ,29,FALSE),0)</f>
        <v>0</v>
      </c>
      <c r="BO96">
        <f>IFERROR(VLOOKUP(DF96,源_6社保表_Sheet1!$C:$BZ,40,FALSE),0)</f>
        <v>0</v>
      </c>
      <c r="BP96">
        <f>IFERROR(VLOOKUP(DF96,源_6社保表_Sheet1!$C:$BZ,41,FALSE),0)</f>
        <v>0</v>
      </c>
      <c r="BQ96">
        <f>IFERROR(VLOOKUP(DF96,源_6社保表_Sheet1!$C:$BZ,42,FALSE),0)</f>
        <v>0</v>
      </c>
      <c r="BR96">
        <f>IFERROR(VLOOKUP(DF96,源_6社保表_Sheet1!$C:$BZ,44,FALSE),0)</f>
        <v>0</v>
      </c>
      <c r="BS96">
        <f>IFERROR(VLOOKUP(DF96,源_6社保表_Sheet1!$C:$BZ,43,FALSE),0)</f>
        <v>0</v>
      </c>
      <c r="BT96">
        <f t="shared" si="30"/>
        <v>494.5</v>
      </c>
      <c r="BU96">
        <v>0</v>
      </c>
      <c r="BV96">
        <v>0</v>
      </c>
      <c r="BW96">
        <v>0</v>
      </c>
      <c r="BX96">
        <f t="shared" si="31"/>
        <v>0</v>
      </c>
      <c r="BY96">
        <v>0</v>
      </c>
      <c r="BZ96">
        <f>IFERROR(VLOOKUP(DF96,源_6社保表_Sheet1!$C:$BZ,18,FALSE),0)</f>
        <v>516</v>
      </c>
      <c r="CA96">
        <f>IFERROR(VLOOKUP(DF96,源_6社保表_Sheet1!$C:$BZ,19,FALSE),0)</f>
        <v>258</v>
      </c>
      <c r="CB96">
        <f>IFERROR(VLOOKUP(DF96,源_6社保表_Sheet1!$C:$BZ,24,FALSE),0)</f>
        <v>215</v>
      </c>
      <c r="CC96">
        <f>IFERROR(VLOOKUP(DF96,源_6社保表_Sheet1!$C:$BZ,20,FALSE),0)</f>
        <v>21.5</v>
      </c>
      <c r="CD96">
        <f>IFERROR(VLOOKUP(DF96,源_6社保表_Sheet1!$C:$BZ,21,FALSE),0)</f>
        <v>13.76</v>
      </c>
      <c r="CE96">
        <f>IFERROR(VLOOKUP(DF96,源_6社保表_Sheet1!$C:$BZ,22,FALSE),0)</f>
        <v>0</v>
      </c>
      <c r="CF96">
        <f>IFERROR(VLOOKUP(DF96,源_6社保表_Sheet1!$C:$BZ,23,FALSE),0)</f>
        <v>0</v>
      </c>
      <c r="CG96">
        <f>IFERROR(VLOOKUP(DF96,源_6社保表_Sheet1!$C:$BZ,32,FALSE),0)</f>
        <v>0</v>
      </c>
      <c r="CH96">
        <f>IFERROR(VLOOKUP(DF96,源_6社保表_Sheet1!$C:$BZ,33,FALSE),0)</f>
        <v>0</v>
      </c>
      <c r="CI96">
        <f>IFERROR(VLOOKUP(DF96,源_6社保表_Sheet1!$C:$BZ,34,FALSE),0)</f>
        <v>0</v>
      </c>
      <c r="CJ96">
        <f>IFERROR(VLOOKUP(DF96,源_6社保表_Sheet1!$C:$BZ,38,FALSE),0)</f>
        <v>0</v>
      </c>
      <c r="CK96">
        <f>IFERROR(VLOOKUP(DF96,源_6社保表_Sheet1!$C:$BZ,35,FALSE),0)</f>
        <v>0</v>
      </c>
      <c r="CL96">
        <f>IFERROR(VLOOKUP(DF96,源_6社保表_Sheet1!$C:$BZ,36,FALSE),0)</f>
        <v>0</v>
      </c>
      <c r="CM96">
        <f>IFERROR(VLOOKUP(DF96,源_6社保表_Sheet1!$C:$BZ,37,FALSE),0)</f>
        <v>0</v>
      </c>
      <c r="CN96">
        <f t="shared" si="32"/>
        <v>1024.26</v>
      </c>
      <c r="CO96">
        <f t="shared" si="33"/>
        <v>7054.8034782608702</v>
      </c>
      <c r="CP96">
        <f>IF(IFERROR(VLOOKUP(K96,源_13残疾人信息_残疾人信息!$A:$M,1,FALSE),"")&lt;&gt;"",0,IF(OR(P96="门店全职",P96="门店管理组",P96="全职(非门店)"),(BI96-AT96)*IFERROR(VLOOKUP(D96,源_12计提残保金规则_Sheet1!$A:$E,4,FALSE),0)*IFERROR(VLOOKUP(D96,源_12计提残保金规则_Sheet1!$A:$E,5,FALSE),0),0))</f>
        <v>86.746226086956526</v>
      </c>
      <c r="CQ96">
        <f t="shared" si="34"/>
        <v>16.05</v>
      </c>
      <c r="CR96">
        <f t="shared" si="35"/>
        <v>20.67</v>
      </c>
      <c r="CS96">
        <f>IF(DATEVALUE(N96)&gt;DATE(参数!$B$2,9,30),0,IF(M96="行政",0,IF(O96="",R96/12,IF(MONTH(DATEVALUE(O96))=参数!$B$3,0,IF(DATEVALUE(O96)&lt;DATE(参数!$B$2,参数!$B$3,1),0,R96/12)))))</f>
        <v>358.33333333333331</v>
      </c>
      <c r="CT96">
        <f t="shared" si="36"/>
        <v>438.59999999999997</v>
      </c>
      <c r="CU96">
        <f>IFERROR(VLOOKUP(DF96,源_6社保表_Sheet1!$C:$I,2,FALSE),0)</f>
        <v>4300</v>
      </c>
      <c r="CV96">
        <f>IFERROR(VLOOKUP(DF96,源_6社保表_Sheet1!$C:$I,7,FALSE),0)</f>
        <v>4300</v>
      </c>
      <c r="CW96">
        <f>IFERROR(VLOOKUP(DF96,源_6社保表_Sheet1!$C:$I,3,FALSE),0)</f>
        <v>4300</v>
      </c>
      <c r="CX96">
        <f>IFERROR(VLOOKUP(DF96,源_6社保表_Sheet1!$C:$I,4,FALSE),0)</f>
        <v>4300</v>
      </c>
      <c r="CY96">
        <f>IFERROR(VLOOKUP(DF96,源_6社保表_Sheet1!$C:$I,5,FALSE),0)</f>
        <v>4300</v>
      </c>
      <c r="CZ96">
        <f>IFERROR(VLOOKUP(DF96,源_6社保表_Sheet1!$C:$I,6,FALSE),0)</f>
        <v>0</v>
      </c>
      <c r="DA96">
        <f t="shared" si="37"/>
        <v>5137.3034782608702</v>
      </c>
      <c r="DB96">
        <f t="shared" si="38"/>
        <v>6064.2030376811599</v>
      </c>
      <c r="DC96" t="str">
        <f>IFERROR(VLOOKUP(K96,源_7银行卡表_Sheet1!$A:$J,8,FALSE),"")</f>
        <v>农业银行</v>
      </c>
      <c r="DD96" t="str">
        <f>IFERROR(VLOOKUP(K96,源_7银行卡表_Sheet1!$A:$J,9,FALSE),"")</f>
        <v>6285307336844613882</v>
      </c>
      <c r="DE96" t="str">
        <f>IFERROR(VLOOKUP(K96,源_7银行卡表_Sheet1!$A:$J,10,FALSE),"")</f>
        <v>崇左扶绥</v>
      </c>
      <c r="DF96" t="s">
        <v>569</v>
      </c>
      <c r="DG96">
        <v>17366310950</v>
      </c>
      <c r="DH96" t="s">
        <v>527</v>
      </c>
      <c r="DI96">
        <v>0</v>
      </c>
      <c r="DJ96">
        <v>0</v>
      </c>
      <c r="DK96">
        <v>0</v>
      </c>
      <c r="DL96">
        <v>0</v>
      </c>
      <c r="DM96">
        <v>0</v>
      </c>
      <c r="DN96">
        <v>0</v>
      </c>
      <c r="DO96">
        <v>0</v>
      </c>
      <c r="DP96">
        <v>0</v>
      </c>
      <c r="DQ96">
        <v>0</v>
      </c>
      <c r="DR96">
        <f>IF(OR(IFERROR(VLOOKUP(K96,源_3考勤报表_考勤表!$F:$BG,39,FALSE),0)+IFERROR(VLOOKUP(K96,源_8补工时表_补当月工时!$A:$AC,24,FALSE),0)=0,IFERROR(VLOOKUP(K96,源_3考勤报表_考勤表!$F:$BG,43,FALSE),0)+IFERROR(VLOOKUP(K96,源_8补工时表_补当月工时!$A:$AC,26,FALSE),0)=0),IF(BI96+BG96-BT96&lt;0,BI96+BG96-BT96,0),0)</f>
        <v>0</v>
      </c>
    </row>
    <row r="97" spans="1:122" x14ac:dyDescent="0.15">
      <c r="A97">
        <f>参数!$B$2</f>
        <v>2025</v>
      </c>
      <c r="B97">
        <f>参数!$B$3</f>
        <v>12</v>
      </c>
      <c r="D97" t="s">
        <v>437</v>
      </c>
      <c r="E97" t="s">
        <v>123</v>
      </c>
      <c r="F97" t="str">
        <f>IFERROR(VLOOKUP(K97,源_7银行卡表_Sheet1!$A:$J,6,FALSE),"")</f>
        <v>华东营运</v>
      </c>
      <c r="G97" t="s">
        <v>570</v>
      </c>
      <c r="H97" t="s">
        <v>571</v>
      </c>
      <c r="I97" t="s">
        <v>440</v>
      </c>
      <c r="J97">
        <v>1</v>
      </c>
      <c r="K97">
        <v>26123096</v>
      </c>
      <c r="L97" t="s">
        <v>572</v>
      </c>
      <c r="M97" t="s">
        <v>152</v>
      </c>
      <c r="N97" t="s">
        <v>573</v>
      </c>
      <c r="P97" t="s">
        <v>154</v>
      </c>
      <c r="Q97">
        <f>IF(P97="门店全职",IFERROR(VLOOKUP(K97,源_3考勤报表_考勤表!$F:$BG,34,FALSE),0)+IFERROR(VLOOKUP(K97,源_8补工时表_补当月工时!$A:$AC,14,FALSE),0),IF(P97="门店管理组",IF(IFERROR(VLOOKUP(K97,源_3考勤报表_考勤表!$F:$BG,34,FALSE),0)+IFERROR(VLOOKUP(K97,源_8补工时表_补当月工时!$A:$AC,14,FALSE),0)+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44,FALSE),0)+IFERROR(VLOOKUP(K97,源_8补工时表_补当月工时!$A:$AC,16,FALSE),0)+IFERROR(VLOOKUP(K97,源_3考勤报表_考勤表!$F:$BG,45,FALSE),0)&gt;=参数!$B$4,参数!$B$4-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44,FALSE),0)-IFERROR(VLOOKUP(K97,源_8补工时表_补当月工时!$A:$AC,16,FALSE),0)-IFERROR(VLOOKUP(K97,源_3考勤报表_考勤表!$F:$BG,45,FALSE),0),IFERROR(VLOOKUP(K97,源_3考勤报表_考勤表!$F:$BG,34,FALSE),0)+IFERROR(VLOOKUP(K97,源_8补工时表_补当月工时!$A:$AC,14,FALSE),0)),0))</f>
        <v>160</v>
      </c>
      <c r="R97">
        <v>3185</v>
      </c>
      <c r="S97">
        <v>0</v>
      </c>
      <c r="T97">
        <f>IF(P97="门店全职",R97/参数!$B$4*(Q97-MAX(IFERROR(VLOOKUP(K97,源_3考勤报表_考勤表!$F:$BG,34,FALSE),0)+IFERROR(VLOOKUP(K97,源_8补工时表_补当月工时!$A:$AC,14,FALSE),0)+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参数!$B$4,0)),R97/参数!$B$4*Q97)</f>
        <v>2769.5652173913045</v>
      </c>
      <c r="U97">
        <v>0</v>
      </c>
      <c r="V97">
        <v>0</v>
      </c>
      <c r="W97">
        <f t="shared" si="26"/>
        <v>0</v>
      </c>
      <c r="X97">
        <f>IFERROR(VLOOKUP(K97,源_4奖金汇总表_拆分手工算!$A:$N,8,FALSE),0)</f>
        <v>0</v>
      </c>
      <c r="Y97">
        <f>IFERROR(VLOOKUP(K97,源_5薪资备忘录_工资调整项!$A:$AC,14,FALSE),0)</f>
        <v>0</v>
      </c>
      <c r="Z97">
        <f>IFERROR(VLOOKUP(K97,源_5薪资备忘录_工资调整项!$A:$AC,16,FALSE),0)</f>
        <v>0</v>
      </c>
      <c r="AA97">
        <f>IFERROR(VLOOKUP(K97,源_5薪资备忘录_工资调整项!$A:$AC,15,FALSE),0)</f>
        <v>0</v>
      </c>
      <c r="AB97">
        <f t="shared" si="27"/>
        <v>0</v>
      </c>
      <c r="AC97">
        <f>IF(P97="门店全职",R97/174*MAX(IFERROR(VLOOKUP(K97,源_3考勤报表_考勤表!$F:$BG,34,FALSE),0)+IFERROR(VLOOKUP(K97,源_8补工时表_补当月工时!$A:$AC,14,FALSE),0)+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参数!$B$4,0)*1.5,0)</f>
        <v>0</v>
      </c>
      <c r="AD97">
        <v>0</v>
      </c>
      <c r="AE97">
        <f>IFERROR(VLOOKUP(K97,源_3考勤报表_考勤表!$F:$BG,46,FALSE),0)+IFERROR(VLOOKUP(K97,源_8补工时表_补当月工时!$A:$AC,25,FALSE),0)</f>
        <v>0</v>
      </c>
      <c r="AF97">
        <f t="shared" si="28"/>
        <v>0</v>
      </c>
      <c r="AG97">
        <f>IFERROR(VLOOKUP(K97,源_4奖金汇总表_拆分手工算!$A:$N,10,FALSE),0)</f>
        <v>0</v>
      </c>
      <c r="AH97">
        <f>IFERROR(VLOOKUP(K97,源_4奖金汇总表_拆分手工算!$A:$N,5,FALSE),0)</f>
        <v>0</v>
      </c>
      <c r="AI97">
        <f>IFERROR(VLOOKUP(K97,源_4奖金汇总表_拆分手工算!$A:$N,11,FALSE),0)</f>
        <v>0</v>
      </c>
      <c r="AJ97">
        <f>IFERROR(VLOOKUP(K97,源_4奖金汇总表_拆分手工算!$A:$N,4,FALSE),0)</f>
        <v>0</v>
      </c>
      <c r="AK97">
        <f>IFERROR(VLOOKUP(K97,源_4奖金汇总表_拆分手工算!$A:$N,3,FALSE),0)</f>
        <v>0</v>
      </c>
      <c r="AL97">
        <f>IFERROR(VLOOKUP(K97,源_4奖金汇总表_拆分手工算!$A:$N,6,FALSE),0)</f>
        <v>0</v>
      </c>
      <c r="AM97">
        <f>IFERROR(VLOOKUP(K97,源_5薪资备忘录_工资调整项!$A:$AC,18,FALSE),0)+IFERROR(VLOOKUP(K97,源_4奖金汇总表_拆分手工算!$A:$N,7,FALSE),0)</f>
        <v>0</v>
      </c>
      <c r="AN97">
        <f>IFERROR(VLOOKUP(K97,源_5薪资备忘录_工资调整项!$A:$AC,17,FALSE),0)</f>
        <v>0</v>
      </c>
      <c r="AO97">
        <f>IF(OR(IFERROR(VLOOKUP(K97,源_3考勤报表_考勤表!$F:$BG,39,FALSE),0)+IFERROR(VLOOKUP(K97,源_8补工时表_补当月工时!$A:$AC,24,FALSE),0)&gt;0,IFERROR(VLOOKUP(K97,源_3考勤报表_考勤表!$F:$BG,43,FALSE),0)+IFERROR(VLOOKUP(K97,源_8补工时表_补当月工时!$A:$AC,26,FALSE),0)&gt;0),IF(IFERROR(VLOOKUP(DH97,源_11产假政策_Sheet1!$C:$F,4,FALSE),"")="是",R97/参数!$B$4*(IFERROR(VLOOKUP(K97,源_3考勤报表_考勤表!$F:$BG,39,FALSE),0)+IFERROR(VLOOKUP(K97,源_8补工时表_补当月工时!$A:$AC,24,FALSE),0)+IFERROR(VLOOKUP(K97,源_3考勤报表_考勤表!$F:$BG,43,FALSE),0)+IFERROR(VLOOKUP(K97,源_8补工时表_补当月工时!$A:$AC,26,FALSE),0)),IFERROR(VLOOKUP(K97,源_5薪资备忘录_工资调整项!$A:$AC,19,FALSE),0)),0)</f>
        <v>0</v>
      </c>
      <c r="AP97">
        <v>0</v>
      </c>
      <c r="AQ97">
        <f>IFERROR(VLOOKUP(K97,源_4奖金汇总表_拆分手工算!$A:$N,12,FALSE),0)+IFERROR(VLOOKUP(K97,源_9年终奖表_Sheet1!$A:$E,3,FALSE),0)</f>
        <v>0</v>
      </c>
      <c r="AR97">
        <f>IFERROR(VLOOKUP(K97,源_4奖金汇总表_拆分手工算!$A:$N,13,FALSE),0)+IFERROR(VLOOKUP(K97,源_9年终奖表_Sheet1!$A:$E,4,FALSE),0)</f>
        <v>0</v>
      </c>
      <c r="AS97">
        <f>IFERROR(VLOOKUP(K97,源_4奖金汇总表_拆分手工算!$A:$N,14,FALSE),0)+IFERROR(VLOOKUP(K97,源_9年终奖表_Sheet1!$A:$E,5,FALSE),0)</f>
        <v>0</v>
      </c>
      <c r="AT97">
        <f>IFERROR(VLOOKUP(K97,源_5薪资备忘录_工资调整项!$A:$AC,20,FALSE),0)</f>
        <v>0</v>
      </c>
      <c r="AU97">
        <f>IFERROR(VLOOKUP(K97,源_5薪资备忘录_工资调整项!$A:$AC,21,FALSE),0)+IFERROR(VLOOKUP(K97,源_4奖金汇总表_拆分手工算!$A:$N,9,FALSE),0)</f>
        <v>0</v>
      </c>
      <c r="AV97">
        <f>R97/参数!$B$4*(IFERROR(VLOOKUP(K97,源_3考勤报表_考勤表!$F:$BG,37,FALSE),0)+IFERROR(VLOOKUP(K97,源_8补工时表_补当月工时!$A:$AC,15,FALSE),0))</f>
        <v>0</v>
      </c>
      <c r="AW97">
        <f>R97/174*MIN(IFERROR(VLOOKUP(K97,源_3考勤报表_考勤表!$F:$BG,35,FALSE),0),174)*IF(DATEDIF(N97,DATE(参数!$B$2,参数!$B$3+1,0),"Y")&lt;2,0.6,IF(DATEDIF(N97,DATE(参数!$B$2,参数!$B$3+1,0),"Y")&lt;4,0.7,IF(DATEDIF(N97,DATE(参数!$B$2,参数!$B$3+1,0),"Y")&lt;6,0.8,IF(DATEDIF(N97,DATE(参数!$B$2,参数!$B$3+1,0),"Y")&lt;8,0.9,1))))</f>
        <v>0</v>
      </c>
      <c r="AX97">
        <f>IF(Q97+IFERROR(VLOOKUP(K97,源_3考勤报表_考勤表!$F:$BG,37,FALSE),0)+IFERROR(VLOOKUP(K97,源_8补工时表_补当月工时!$A:$AC,15,FALSE),0)&gt;=参数!$B$4,0,IF(Q97+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lt;=参数!$B$4,R97/参数!$B$4*(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0))</f>
        <v>0</v>
      </c>
      <c r="AY97">
        <v>0</v>
      </c>
      <c r="AZ97">
        <v>0</v>
      </c>
      <c r="BA97">
        <v>0</v>
      </c>
      <c r="BB97">
        <v>0</v>
      </c>
      <c r="BC97">
        <f>IFERROR(VLOOKUP(K97,源_5薪资备忘录_工资调整项!$A:$AC,25,FALSE),0)</f>
        <v>0</v>
      </c>
      <c r="BD97">
        <v>0</v>
      </c>
      <c r="BE97">
        <v>0</v>
      </c>
      <c r="BF97">
        <v>0</v>
      </c>
      <c r="BG97">
        <f>IFERROR(VLOOKUP(K97,源_5薪资备忘录_工资调整项!$A:$AC,22,FALSE),0)+IFERROR(VLOOKUP(K97,源_5薪资备忘录_工资调整项!$A:$AC,23,FALSE),0)+IFERROR(VLOOKUP(K97,源_5薪资备忘录_工资调整项!$A:$AC,24,FALSE),0)</f>
        <v>22.22</v>
      </c>
      <c r="BH97">
        <f>IFERROR(VLOOKUP(DF97,源_6社保表_Sheet1!$C:$CD,80,FALSE),0)+4.5</f>
        <v>6.5</v>
      </c>
      <c r="BI97">
        <f t="shared" si="29"/>
        <v>2769.5652173913045</v>
      </c>
      <c r="BJ97">
        <f>IFERROR(VLOOKUP(DF97,源_6社保表_Sheet1!$C:$BZ,26,FALSE),0)</f>
        <v>202.15</v>
      </c>
      <c r="BK97">
        <f>IFERROR(VLOOKUP(DF97,源_6社保表_Sheet1!$C:$BZ,27,FALSE),0)</f>
        <v>44.33</v>
      </c>
      <c r="BL97">
        <f>IFERROR(VLOOKUP(DF97,源_6社保表_Sheet1!$C:$BZ,28,FALSE),0)</f>
        <v>20.215</v>
      </c>
      <c r="BM97">
        <f>IFERROR(VLOOKUP(DF97,源_6社保表_Sheet1!$C:$BZ,30,FALSE),0)</f>
        <v>150.25</v>
      </c>
      <c r="BN97">
        <f>IFERROR(VLOOKUP(DF97,源_6社保表_Sheet1!$C:$BZ,29,FALSE),0)</f>
        <v>0</v>
      </c>
      <c r="BO97">
        <f>IFERROR(VLOOKUP(DF97,源_6社保表_Sheet1!$C:$BZ,40,FALSE),0)</f>
        <v>0</v>
      </c>
      <c r="BP97">
        <f>IFERROR(VLOOKUP(DF97,源_6社保表_Sheet1!$C:$BZ,41,FALSE),0)</f>
        <v>0</v>
      </c>
      <c r="BQ97">
        <f>IFERROR(VLOOKUP(DF97,源_6社保表_Sheet1!$C:$BZ,42,FALSE),0)</f>
        <v>0</v>
      </c>
      <c r="BR97">
        <f>IFERROR(VLOOKUP(DF97,源_6社保表_Sheet1!$C:$BZ,44,FALSE),0)</f>
        <v>0</v>
      </c>
      <c r="BS97">
        <f>IFERROR(VLOOKUP(DF97,源_6社保表_Sheet1!$C:$BZ,43,FALSE),0)</f>
        <v>0</v>
      </c>
      <c r="BT97">
        <f t="shared" si="30"/>
        <v>416.94499999999999</v>
      </c>
      <c r="BU97">
        <v>0</v>
      </c>
      <c r="BV97">
        <v>0</v>
      </c>
      <c r="BW97">
        <v>0</v>
      </c>
      <c r="BX97">
        <f t="shared" si="31"/>
        <v>0</v>
      </c>
      <c r="BY97">
        <v>0</v>
      </c>
      <c r="BZ97">
        <f>IFERROR(VLOOKUP(DF97,源_6社保表_Sheet1!$C:$BZ,18,FALSE),0)</f>
        <v>485.16</v>
      </c>
      <c r="CA97">
        <f>IFERROR(VLOOKUP(DF97,源_6社保表_Sheet1!$C:$BZ,19,FALSE),0)</f>
        <v>265.98</v>
      </c>
      <c r="CB97">
        <f>IFERROR(VLOOKUP(DF97,源_6社保表_Sheet1!$C:$BZ,24,FALSE),0)</f>
        <v>150.25</v>
      </c>
      <c r="CC97">
        <f>IFERROR(VLOOKUP(DF97,源_6社保表_Sheet1!$C:$BZ,20,FALSE),0)</f>
        <v>20.215</v>
      </c>
      <c r="CD97">
        <f>IFERROR(VLOOKUP(DF97,源_6社保表_Sheet1!$C:$BZ,21,FALSE),0)</f>
        <v>14.1248</v>
      </c>
      <c r="CE97">
        <f>IFERROR(VLOOKUP(DF97,源_6社保表_Sheet1!$C:$BZ,22,FALSE),0)</f>
        <v>0</v>
      </c>
      <c r="CF97">
        <f>IFERROR(VLOOKUP(DF97,源_6社保表_Sheet1!$C:$BZ,23,FALSE),0)</f>
        <v>0</v>
      </c>
      <c r="CG97">
        <f>IFERROR(VLOOKUP(DF97,源_6社保表_Sheet1!$C:$BZ,32,FALSE),0)</f>
        <v>0</v>
      </c>
      <c r="CH97">
        <f>IFERROR(VLOOKUP(DF97,源_6社保表_Sheet1!$C:$BZ,33,FALSE),0)</f>
        <v>0</v>
      </c>
      <c r="CI97">
        <f>IFERROR(VLOOKUP(DF97,源_6社保表_Sheet1!$C:$BZ,34,FALSE),0)</f>
        <v>0</v>
      </c>
      <c r="CJ97">
        <f>IFERROR(VLOOKUP(DF97,源_6社保表_Sheet1!$C:$BZ,38,FALSE),0)</f>
        <v>0</v>
      </c>
      <c r="CK97">
        <f>IFERROR(VLOOKUP(DF97,源_6社保表_Sheet1!$C:$BZ,35,FALSE),0)</f>
        <v>0</v>
      </c>
      <c r="CL97">
        <f>IFERROR(VLOOKUP(DF97,源_6社保表_Sheet1!$C:$BZ,36,FALSE),0)</f>
        <v>0</v>
      </c>
      <c r="CM97">
        <f>IFERROR(VLOOKUP(DF97,源_6社保表_Sheet1!$C:$BZ,37,FALSE),0)</f>
        <v>0</v>
      </c>
      <c r="CN97">
        <f t="shared" si="32"/>
        <v>935.72980000000018</v>
      </c>
      <c r="CO97">
        <f t="shared" si="33"/>
        <v>3734.0150173913044</v>
      </c>
      <c r="CP97">
        <f>IF(IFERROR(VLOOKUP(K97,源_13残疾人信息_残疾人信息!$A:$M,1,FALSE),"")&lt;&gt;"",0,IF(OR(P97="门店全职",P97="门店管理组",P97="全职(非门店)"),(BI97-AT97)*IFERROR(VLOOKUP(D97,源_12计提残保金规则_Sheet1!$A:$E,4,FALSE),0)*IFERROR(VLOOKUP(D97,源_12计提残保金规则_Sheet1!$A:$E,5,FALSE),0),0))</f>
        <v>37.389130434782608</v>
      </c>
      <c r="CQ97">
        <f t="shared" si="34"/>
        <v>16.05</v>
      </c>
      <c r="CR97">
        <f t="shared" si="35"/>
        <v>20.67</v>
      </c>
      <c r="CS97">
        <f>IF(DATEVALUE(N97)&gt;DATE(参数!$B$2,9,30),0,IF(M97="行政",0,IF(O97="",R97/12,IF(MONTH(DATEVALUE(O97))=参数!$B$3,0,IF(DATEVALUE(O97)&lt;DATE(参数!$B$2,参数!$B$3,1),0,R97/12)))))</f>
        <v>265.41666666666669</v>
      </c>
      <c r="CT97">
        <f t="shared" si="36"/>
        <v>0</v>
      </c>
      <c r="CU97">
        <f>IFERROR(VLOOKUP(DF97,源_6社保表_Sheet1!$C:$I,2,FALSE),0)</f>
        <v>4043</v>
      </c>
      <c r="CV97">
        <f>IFERROR(VLOOKUP(DF97,源_6社保表_Sheet1!$C:$I,7,FALSE),0)</f>
        <v>3005</v>
      </c>
      <c r="CW97">
        <f>IFERROR(VLOOKUP(DF97,源_6社保表_Sheet1!$C:$I,3,FALSE),0)</f>
        <v>4433</v>
      </c>
      <c r="CX97">
        <f>IFERROR(VLOOKUP(DF97,源_6社保表_Sheet1!$C:$I,4,FALSE),0)</f>
        <v>4043</v>
      </c>
      <c r="CY97">
        <f>IFERROR(VLOOKUP(DF97,源_6社保表_Sheet1!$C:$I,5,FALSE),0)</f>
        <v>4414</v>
      </c>
      <c r="CZ97">
        <f>IFERROR(VLOOKUP(DF97,源_6社保表_Sheet1!$C:$I,6,FALSE),0)</f>
        <v>0</v>
      </c>
      <c r="DA97">
        <f t="shared" si="37"/>
        <v>3705.2950173913046</v>
      </c>
      <c r="DB97">
        <f t="shared" si="38"/>
        <v>4051.3208144927539</v>
      </c>
      <c r="DC97" t="str">
        <f>IFERROR(VLOOKUP(K97,源_7银行卡表_Sheet1!$A:$J,8,FALSE),"")</f>
        <v>农业银行</v>
      </c>
      <c r="DD97" t="str">
        <f>IFERROR(VLOOKUP(K97,源_7银行卡表_Sheet1!$A:$J,9,FALSE),"")</f>
        <v>6282603334148018252</v>
      </c>
      <c r="DE97" t="str">
        <f>IFERROR(VLOOKUP(K97,源_7银行卡表_Sheet1!$A:$J,10,FALSE),"")</f>
        <v>右江支行</v>
      </c>
      <c r="DF97" t="s">
        <v>574</v>
      </c>
      <c r="DG97">
        <v>16532797809</v>
      </c>
      <c r="DH97" t="s">
        <v>570</v>
      </c>
      <c r="DI97">
        <v>0</v>
      </c>
      <c r="DJ97">
        <v>0</v>
      </c>
      <c r="DK97">
        <v>0</v>
      </c>
      <c r="DL97">
        <v>0</v>
      </c>
      <c r="DM97">
        <v>0</v>
      </c>
      <c r="DN97">
        <v>0</v>
      </c>
      <c r="DO97">
        <v>0</v>
      </c>
      <c r="DP97">
        <v>0</v>
      </c>
      <c r="DQ97">
        <v>0</v>
      </c>
      <c r="DR97">
        <f>IF(OR(IFERROR(VLOOKUP(K97,源_3考勤报表_考勤表!$F:$BG,39,FALSE),0)+IFERROR(VLOOKUP(K97,源_8补工时表_补当月工时!$A:$AC,24,FALSE),0)=0,IFERROR(VLOOKUP(K97,源_3考勤报表_考勤表!$F:$BG,43,FALSE),0)+IFERROR(VLOOKUP(K97,源_8补工时表_补当月工时!$A:$AC,26,FALSE),0)=0),IF(BI97+BG97-BT97&lt;0,BI97+BG97-BT97,0),0)</f>
        <v>0</v>
      </c>
    </row>
    <row r="98" spans="1:122" x14ac:dyDescent="0.15">
      <c r="A98">
        <f>参数!$B$2</f>
        <v>2025</v>
      </c>
      <c r="B98">
        <f>参数!$B$3</f>
        <v>12</v>
      </c>
      <c r="D98" t="s">
        <v>165</v>
      </c>
      <c r="E98" t="s">
        <v>123</v>
      </c>
      <c r="F98" t="str">
        <f>IFERROR(VLOOKUP(K98,源_7银行卡表_Sheet1!$A:$J,6,FALSE),"")</f>
        <v>华北营运</v>
      </c>
      <c r="G98" t="s">
        <v>166</v>
      </c>
      <c r="H98" t="s">
        <v>575</v>
      </c>
      <c r="I98" t="s">
        <v>168</v>
      </c>
      <c r="J98">
        <v>1</v>
      </c>
      <c r="K98">
        <v>26123097</v>
      </c>
      <c r="L98" t="s">
        <v>576</v>
      </c>
      <c r="M98" t="s">
        <v>170</v>
      </c>
      <c r="N98" t="s">
        <v>577</v>
      </c>
      <c r="P98" t="s">
        <v>154</v>
      </c>
      <c r="Q98">
        <f>IF(P98="门店全职",IFERROR(VLOOKUP(K98,源_3考勤报表_考勤表!$F:$BG,34,FALSE),0)+IFERROR(VLOOKUP(K98,源_8补工时表_补当月工时!$A:$AC,14,FALSE),0),IF(P98="门店管理组",IF(IFERROR(VLOOKUP(K98,源_3考勤报表_考勤表!$F:$BG,34,FALSE),0)+IFERROR(VLOOKUP(K98,源_8补工时表_补当月工时!$A:$AC,14,FALSE),0)+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44,FALSE),0)+IFERROR(VLOOKUP(K98,源_8补工时表_补当月工时!$A:$AC,16,FALSE),0)+IFERROR(VLOOKUP(K98,源_3考勤报表_考勤表!$F:$BG,45,FALSE),0)&gt;=参数!$B$4,参数!$B$4-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44,FALSE),0)-IFERROR(VLOOKUP(K98,源_8补工时表_补当月工时!$A:$AC,16,FALSE),0)-IFERROR(VLOOKUP(K98,源_3考勤报表_考勤表!$F:$BG,45,FALSE),0),IFERROR(VLOOKUP(K98,源_3考勤报表_考勤表!$F:$BG,34,FALSE),0)+IFERROR(VLOOKUP(K98,源_8补工时表_补当月工时!$A:$AC,14,FALSE),0)),0))</f>
        <v>56</v>
      </c>
      <c r="R98">
        <v>3130</v>
      </c>
      <c r="S98">
        <v>0</v>
      </c>
      <c r="T98">
        <f>IF(P98="门店全职",R98/参数!$B$4*(Q98-MAX(IFERROR(VLOOKUP(K98,源_3考勤报表_考勤表!$F:$BG,34,FALSE),0)+IFERROR(VLOOKUP(K98,源_8补工时表_补当月工时!$A:$AC,14,FALSE),0)+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参数!$B$4,0)),R98/参数!$B$4*Q98)</f>
        <v>952.60869565217388</v>
      </c>
      <c r="U98">
        <v>0</v>
      </c>
      <c r="V98">
        <v>0</v>
      </c>
      <c r="W98">
        <f t="shared" ref="W98:W129" si="39">X98+Y98+Z98+AA98</f>
        <v>0</v>
      </c>
      <c r="X98">
        <f>IFERROR(VLOOKUP(K98,源_4奖金汇总表_拆分手工算!$A:$N,8,FALSE),0)</f>
        <v>0</v>
      </c>
      <c r="Y98">
        <f>IFERROR(VLOOKUP(K98,源_5薪资备忘录_工资调整项!$A:$AC,14,FALSE),0)</f>
        <v>0</v>
      </c>
      <c r="Z98">
        <f>IFERROR(VLOOKUP(K98,源_5薪资备忘录_工资调整项!$A:$AC,16,FALSE),0)</f>
        <v>0</v>
      </c>
      <c r="AA98">
        <f>IFERROR(VLOOKUP(K98,源_5薪资备忘录_工资调整项!$A:$AC,15,FALSE),0)</f>
        <v>0</v>
      </c>
      <c r="AB98">
        <f t="shared" ref="AB98:AB129" si="40">AC98+AD98+AF98</f>
        <v>0</v>
      </c>
      <c r="AC98">
        <f>IF(P98="门店全职",R98/174*MAX(IFERROR(VLOOKUP(K98,源_3考勤报表_考勤表!$F:$BG,34,FALSE),0)+IFERROR(VLOOKUP(K98,源_8补工时表_补当月工时!$A:$AC,14,FALSE),0)+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参数!$B$4,0)*1.5,0)</f>
        <v>0</v>
      </c>
      <c r="AD98">
        <v>0</v>
      </c>
      <c r="AE98">
        <f>IFERROR(VLOOKUP(K98,源_3考勤报表_考勤表!$F:$BG,46,FALSE),0)+IFERROR(VLOOKUP(K98,源_8补工时表_补当月工时!$A:$AC,25,FALSE),0)</f>
        <v>0</v>
      </c>
      <c r="AF98">
        <f t="shared" ref="AF98:AF129" si="41">R98/174*AE98*3</f>
        <v>0</v>
      </c>
      <c r="AG98">
        <f>IFERROR(VLOOKUP(K98,源_4奖金汇总表_拆分手工算!$A:$N,10,FALSE),0)</f>
        <v>0</v>
      </c>
      <c r="AH98">
        <f>IFERROR(VLOOKUP(K98,源_4奖金汇总表_拆分手工算!$A:$N,5,FALSE),0)</f>
        <v>0</v>
      </c>
      <c r="AI98">
        <f>IFERROR(VLOOKUP(K98,源_4奖金汇总表_拆分手工算!$A:$N,11,FALSE),0)</f>
        <v>0</v>
      </c>
      <c r="AJ98">
        <f>IFERROR(VLOOKUP(K98,源_4奖金汇总表_拆分手工算!$A:$N,4,FALSE),0)</f>
        <v>0</v>
      </c>
      <c r="AK98">
        <f>IFERROR(VLOOKUP(K98,源_4奖金汇总表_拆分手工算!$A:$N,3,FALSE),0)</f>
        <v>0</v>
      </c>
      <c r="AL98">
        <f>IFERROR(VLOOKUP(K98,源_4奖金汇总表_拆分手工算!$A:$N,6,FALSE),0)</f>
        <v>0</v>
      </c>
      <c r="AM98">
        <f>IFERROR(VLOOKUP(K98,源_5薪资备忘录_工资调整项!$A:$AC,18,FALSE),0)+IFERROR(VLOOKUP(K98,源_4奖金汇总表_拆分手工算!$A:$N,7,FALSE),0)</f>
        <v>0</v>
      </c>
      <c r="AN98">
        <f>IFERROR(VLOOKUP(K98,源_5薪资备忘录_工资调整项!$A:$AC,17,FALSE),0)</f>
        <v>0</v>
      </c>
      <c r="AO98">
        <f>IF(OR(IFERROR(VLOOKUP(K98,源_3考勤报表_考勤表!$F:$BG,39,FALSE),0)+IFERROR(VLOOKUP(K98,源_8补工时表_补当月工时!$A:$AC,24,FALSE),0)&gt;0,IFERROR(VLOOKUP(K98,源_3考勤报表_考勤表!$F:$BG,43,FALSE),0)+IFERROR(VLOOKUP(K98,源_8补工时表_补当月工时!$A:$AC,26,FALSE),0)&gt;0),IF(IFERROR(VLOOKUP(DH98,源_11产假政策_Sheet1!$C:$F,4,FALSE),"")="是",R98/参数!$B$4*(IFERROR(VLOOKUP(K98,源_3考勤报表_考勤表!$F:$BG,39,FALSE),0)+IFERROR(VLOOKUP(K98,源_8补工时表_补当月工时!$A:$AC,24,FALSE),0)+IFERROR(VLOOKUP(K98,源_3考勤报表_考勤表!$F:$BG,43,FALSE),0)+IFERROR(VLOOKUP(K98,源_8补工时表_补当月工时!$A:$AC,26,FALSE),0)),IFERROR(VLOOKUP(K98,源_5薪资备忘录_工资调整项!$A:$AC,19,FALSE),0)),0)</f>
        <v>0</v>
      </c>
      <c r="AP98">
        <v>0</v>
      </c>
      <c r="AQ98">
        <f>IFERROR(VLOOKUP(K98,源_4奖金汇总表_拆分手工算!$A:$N,12,FALSE),0)+IFERROR(VLOOKUP(K98,源_9年终奖表_Sheet1!$A:$E,3,FALSE),0)</f>
        <v>0</v>
      </c>
      <c r="AR98">
        <f>IFERROR(VLOOKUP(K98,源_4奖金汇总表_拆分手工算!$A:$N,13,FALSE),0)+IFERROR(VLOOKUP(K98,源_9年终奖表_Sheet1!$A:$E,4,FALSE),0)</f>
        <v>0</v>
      </c>
      <c r="AS98">
        <f>IFERROR(VLOOKUP(K98,源_4奖金汇总表_拆分手工算!$A:$N,14,FALSE),0)+IFERROR(VLOOKUP(K98,源_9年终奖表_Sheet1!$A:$E,5,FALSE),0)</f>
        <v>0</v>
      </c>
      <c r="AT98">
        <f>IFERROR(VLOOKUP(K98,源_5薪资备忘录_工资调整项!$A:$AC,20,FALSE),0)</f>
        <v>0</v>
      </c>
      <c r="AU98">
        <f>IFERROR(VLOOKUP(K98,源_5薪资备忘录_工资调整项!$A:$AC,21,FALSE),0)+IFERROR(VLOOKUP(K98,源_4奖金汇总表_拆分手工算!$A:$N,9,FALSE),0)</f>
        <v>0</v>
      </c>
      <c r="AV98">
        <f>R98/参数!$B$4*(IFERROR(VLOOKUP(K98,源_3考勤报表_考勤表!$F:$BG,37,FALSE),0)+IFERROR(VLOOKUP(K98,源_8补工时表_补当月工时!$A:$AC,15,FALSE),0))</f>
        <v>272.17391304347825</v>
      </c>
      <c r="AW98">
        <f>R98/174*MIN(IFERROR(VLOOKUP(K98,源_3考勤报表_考勤表!$F:$BG,35,FALSE),0),174)*IF(DATEDIF(N98,DATE(参数!$B$2,参数!$B$3+1,0),"Y")&lt;2,0.6,IF(DATEDIF(N98,DATE(参数!$B$2,参数!$B$3+1,0),"Y")&lt;4,0.7,IF(DATEDIF(N98,DATE(参数!$B$2,参数!$B$3+1,0),"Y")&lt;6,0.8,IF(DATEDIF(N98,DATE(参数!$B$2,参数!$B$3+1,0),"Y")&lt;8,0.9,1))))</f>
        <v>1208.8275862068963</v>
      </c>
      <c r="AX98">
        <f>IF(Q98+IFERROR(VLOOKUP(K98,源_3考勤报表_考勤表!$F:$BG,37,FALSE),0)+IFERROR(VLOOKUP(K98,源_8补工时表_补当月工时!$A:$AC,15,FALSE),0)&gt;=参数!$B$4,0,IF(Q98+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lt;=参数!$B$4,R98/参数!$B$4*(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0))</f>
        <v>0</v>
      </c>
      <c r="AY98">
        <v>0</v>
      </c>
      <c r="AZ98">
        <v>0</v>
      </c>
      <c r="BA98">
        <v>0</v>
      </c>
      <c r="BB98">
        <v>0</v>
      </c>
      <c r="BC98">
        <f>IFERROR(VLOOKUP(K98,源_5薪资备忘录_工资调整项!$A:$AC,25,FALSE),0)</f>
        <v>0</v>
      </c>
      <c r="BD98">
        <v>0</v>
      </c>
      <c r="BE98">
        <v>0</v>
      </c>
      <c r="BF98">
        <v>0</v>
      </c>
      <c r="BG98">
        <f>IFERROR(VLOOKUP(K98,源_5薪资备忘录_工资调整项!$A:$AC,22,FALSE),0)+IFERROR(VLOOKUP(K98,源_5薪资备忘录_工资调整项!$A:$AC,23,FALSE),0)+IFERROR(VLOOKUP(K98,源_5薪资备忘录_工资调整项!$A:$AC,24,FALSE),0)</f>
        <v>0</v>
      </c>
      <c r="BH98">
        <f>IFERROR(VLOOKUP(DF98,源_6社保表_Sheet1!$C:$CD,80,FALSE),0)+4.5</f>
        <v>6.5</v>
      </c>
      <c r="BI98">
        <f t="shared" ref="BI98:BI104" si="42">T98+W98+AB98+AG98+AH98+AI98+AJ98+AK98+AL98+AM98+AN98+AO98+AP98+AQ98+AR98+AS98+AT98+AU98+AV98+AW98+AX98+BC98</f>
        <v>2433.6101949025483</v>
      </c>
      <c r="BJ98">
        <f>IFERROR(VLOOKUP(DF98,源_6社保表_Sheet1!$C:$BZ,26,FALSE),0)</f>
        <v>358.68</v>
      </c>
      <c r="BK98">
        <f>IFERROR(VLOOKUP(DF98,源_6社保表_Sheet1!$C:$BZ,27,FALSE),0)</f>
        <v>51.24</v>
      </c>
      <c r="BL98">
        <f>IFERROR(VLOOKUP(DF98,源_6社保表_Sheet1!$C:$BZ,28,FALSE),0)</f>
        <v>25.62</v>
      </c>
      <c r="BM98">
        <f>IFERROR(VLOOKUP(DF98,源_6社保表_Sheet1!$C:$BZ,30,FALSE),0)</f>
        <v>187.8</v>
      </c>
      <c r="BN98">
        <f>IFERROR(VLOOKUP(DF98,源_6社保表_Sheet1!$C:$BZ,29,FALSE),0)</f>
        <v>0</v>
      </c>
      <c r="BO98">
        <f>IFERROR(VLOOKUP(DF98,源_6社保表_Sheet1!$C:$BZ,40,FALSE),0)</f>
        <v>0</v>
      </c>
      <c r="BP98">
        <f>IFERROR(VLOOKUP(DF98,源_6社保表_Sheet1!$C:$BZ,41,FALSE),0)</f>
        <v>0</v>
      </c>
      <c r="BQ98">
        <f>IFERROR(VLOOKUP(DF98,源_6社保表_Sheet1!$C:$BZ,42,FALSE),0)</f>
        <v>0</v>
      </c>
      <c r="BR98">
        <f>IFERROR(VLOOKUP(DF98,源_6社保表_Sheet1!$C:$BZ,44,FALSE),0)</f>
        <v>0</v>
      </c>
      <c r="BS98">
        <f>IFERROR(VLOOKUP(DF98,源_6社保表_Sheet1!$C:$BZ,43,FALSE),0)</f>
        <v>0</v>
      </c>
      <c r="BT98">
        <f t="shared" ref="BT98:BT129" si="43">BJ98+BK98+BL98+BM98+BN98+BO98+BP98+BQ98+BR98+BS98</f>
        <v>623.34</v>
      </c>
      <c r="BU98">
        <v>0</v>
      </c>
      <c r="BV98">
        <v>0</v>
      </c>
      <c r="BW98">
        <v>0</v>
      </c>
      <c r="BX98">
        <f t="shared" ref="BX98:BX129" si="44">BU98+BV98+BW98</f>
        <v>0</v>
      </c>
      <c r="BY98">
        <v>0</v>
      </c>
      <c r="BZ98">
        <f>IFERROR(VLOOKUP(DF98,源_6社保表_Sheet1!$C:$BZ,18,FALSE),0)</f>
        <v>768.6</v>
      </c>
      <c r="CA98">
        <f>IFERROR(VLOOKUP(DF98,源_6社保表_Sheet1!$C:$BZ,19,FALSE),0)</f>
        <v>409.92</v>
      </c>
      <c r="CB98">
        <f>IFERROR(VLOOKUP(DF98,源_6社保表_Sheet1!$C:$BZ,24,FALSE),0)</f>
        <v>187.8</v>
      </c>
      <c r="CC98">
        <f>IFERROR(VLOOKUP(DF98,源_6社保表_Sheet1!$C:$BZ,20,FALSE),0)</f>
        <v>25.62</v>
      </c>
      <c r="CD98">
        <f>IFERROR(VLOOKUP(DF98,源_6社保表_Sheet1!$C:$BZ,21,FALSE),0)</f>
        <v>16.396799999999999</v>
      </c>
      <c r="CE98">
        <f>IFERROR(VLOOKUP(DF98,源_6社保表_Sheet1!$C:$BZ,22,FALSE),0)</f>
        <v>0</v>
      </c>
      <c r="CF98">
        <f>IFERROR(VLOOKUP(DF98,源_6社保表_Sheet1!$C:$BZ,23,FALSE),0)</f>
        <v>0</v>
      </c>
      <c r="CG98">
        <f>IFERROR(VLOOKUP(DF98,源_6社保表_Sheet1!$C:$BZ,32,FALSE),0)</f>
        <v>0</v>
      </c>
      <c r="CH98">
        <f>IFERROR(VLOOKUP(DF98,源_6社保表_Sheet1!$C:$BZ,33,FALSE),0)</f>
        <v>0</v>
      </c>
      <c r="CI98">
        <f>IFERROR(VLOOKUP(DF98,源_6社保表_Sheet1!$C:$BZ,34,FALSE),0)</f>
        <v>0</v>
      </c>
      <c r="CJ98">
        <f>IFERROR(VLOOKUP(DF98,源_6社保表_Sheet1!$C:$BZ,38,FALSE),0)</f>
        <v>0</v>
      </c>
      <c r="CK98">
        <f>IFERROR(VLOOKUP(DF98,源_6社保表_Sheet1!$C:$BZ,35,FALSE),0)</f>
        <v>0</v>
      </c>
      <c r="CL98">
        <f>IFERROR(VLOOKUP(DF98,源_6社保表_Sheet1!$C:$BZ,36,FALSE),0)</f>
        <v>0</v>
      </c>
      <c r="CM98">
        <f>IFERROR(VLOOKUP(DF98,源_6社保表_Sheet1!$C:$BZ,37,FALSE),0)</f>
        <v>0</v>
      </c>
      <c r="CN98">
        <f t="shared" ref="CN98:CN129" si="45">BZ98+CA98+CB98+CC98+CD98+CE98+CF98+CG98+CH98+CI98+CJ98+CK98+CL98+CM98</f>
        <v>1408.3367999999998</v>
      </c>
      <c r="CO98">
        <f t="shared" ref="CO98:CO129" si="46">BI98+BG98+CN98+BE98+BH98</f>
        <v>3848.4469949025479</v>
      </c>
      <c r="CP98">
        <f>IF(IFERROR(VLOOKUP(K98,源_13残疾人信息_残疾人信息!$A:$M,1,FALSE),"")&lt;&gt;"",0,IF(OR(P98="门店全职",P98="门店管理组",P98="全职(非门店)"),(BI98-AT98)*IFERROR(VLOOKUP(D98,源_12计提残保金规则_Sheet1!$A:$E,4,FALSE),0)*IFERROR(VLOOKUP(D98,源_12计提残保金规则_Sheet1!$A:$E,5,FALSE),0),0))</f>
        <v>32.853737631184401</v>
      </c>
      <c r="CQ98">
        <f t="shared" ref="CQ98:CQ104" si="47">IF(M98="行政",0,16.05)</f>
        <v>16.05</v>
      </c>
      <c r="CR98">
        <f t="shared" ref="CR98:CR104" si="48">IF(M98="门卫",0,20.67)</f>
        <v>20.67</v>
      </c>
      <c r="CS98">
        <f>IF(DATEVALUE(N98)&gt;DATE(参数!$B$2,9,30),0,IF(M98="行政",0,IF(O98="",R98/12,IF(MONTH(DATEVALUE(O98))=参数!$B$3,0,IF(DATEVALUE(O98)&lt;DATE(参数!$B$2,参数!$B$3,1),0,R98/12)))))</f>
        <v>260.83333333333331</v>
      </c>
      <c r="CT98">
        <f t="shared" ref="CT98:CT104" si="49">IF(P98="门店管理组",R98*0.12*0.85,0)</f>
        <v>0</v>
      </c>
      <c r="CU98">
        <f>IFERROR(VLOOKUP(DF98,源_6社保表_Sheet1!$C:$I,2,FALSE),0)</f>
        <v>5124</v>
      </c>
      <c r="CV98">
        <f>IFERROR(VLOOKUP(DF98,源_6社保表_Sheet1!$C:$I,7,FALSE),0)</f>
        <v>3130</v>
      </c>
      <c r="CW98">
        <f>IFERROR(VLOOKUP(DF98,源_6社保表_Sheet1!$C:$I,3,FALSE),0)</f>
        <v>5124</v>
      </c>
      <c r="CX98">
        <f>IFERROR(VLOOKUP(DF98,源_6社保表_Sheet1!$C:$I,4,FALSE),0)</f>
        <v>5124</v>
      </c>
      <c r="CY98">
        <f>IFERROR(VLOOKUP(DF98,源_6社保表_Sheet1!$C:$I,5,FALSE),0)</f>
        <v>5124</v>
      </c>
      <c r="CZ98">
        <f>IFERROR(VLOOKUP(DF98,源_6社保表_Sheet1!$C:$I,6,FALSE),0)</f>
        <v>0</v>
      </c>
      <c r="DA98">
        <f t="shared" ref="DA98:DA104" si="50">BI98+CN98-AG98-AH98-AI98-AJ98-AK98-AL98-AM98-AQ98-AR98-AS98-AT98</f>
        <v>3841.9469949025479</v>
      </c>
      <c r="DB98">
        <f t="shared" ref="DB98:DB129" si="51">DA98+CP98+CQ98+CR98+CS98+CT98+BH98</f>
        <v>4178.8540658670654</v>
      </c>
      <c r="DC98" t="str">
        <f>IFERROR(VLOOKUP(K98,源_7银行卡表_Sheet1!$A:$J,8,FALSE),"")</f>
        <v>农业银行</v>
      </c>
      <c r="DD98" t="str">
        <f>IFERROR(VLOOKUP(K98,源_7银行卡表_Sheet1!$A:$J,9,FALSE),"")</f>
        <v>6284119124288703228</v>
      </c>
      <c r="DE98" t="str">
        <f>IFERROR(VLOOKUP(K98,源_7银行卡表_Sheet1!$A:$J,10,FALSE),"")</f>
        <v>湛江金穗支行</v>
      </c>
      <c r="DF98" t="s">
        <v>578</v>
      </c>
      <c r="DG98">
        <v>15333583315</v>
      </c>
      <c r="DH98" t="s">
        <v>166</v>
      </c>
      <c r="DI98">
        <v>0</v>
      </c>
      <c r="DJ98">
        <v>0</v>
      </c>
      <c r="DK98">
        <v>0</v>
      </c>
      <c r="DL98">
        <v>0</v>
      </c>
      <c r="DM98">
        <v>0</v>
      </c>
      <c r="DN98">
        <v>0</v>
      </c>
      <c r="DO98">
        <v>0</v>
      </c>
      <c r="DP98">
        <v>0</v>
      </c>
      <c r="DQ98">
        <v>0</v>
      </c>
      <c r="DR98">
        <f>IF(OR(IFERROR(VLOOKUP(K98,源_3考勤报表_考勤表!$F:$BG,39,FALSE),0)+IFERROR(VLOOKUP(K98,源_8补工时表_补当月工时!$A:$AC,24,FALSE),0)=0,IFERROR(VLOOKUP(K98,源_3考勤报表_考勤表!$F:$BG,43,FALSE),0)+IFERROR(VLOOKUP(K98,源_8补工时表_补当月工时!$A:$AC,26,FALSE),0)=0),IF(BI98+BG98-BT98&lt;0,BI98+BG98-BT98,0),0)</f>
        <v>0</v>
      </c>
    </row>
    <row r="99" spans="1:122" x14ac:dyDescent="0.15">
      <c r="A99">
        <f>参数!$B$2</f>
        <v>2025</v>
      </c>
      <c r="B99">
        <f>参数!$B$3</f>
        <v>12</v>
      </c>
      <c r="D99" t="s">
        <v>579</v>
      </c>
      <c r="E99" t="s">
        <v>123</v>
      </c>
      <c r="F99" t="str">
        <f>IFERROR(VLOOKUP(K99,源_7银行卡表_Sheet1!$A:$J,6,FALSE),"")</f>
        <v>华东营运</v>
      </c>
      <c r="G99" t="s">
        <v>580</v>
      </c>
      <c r="H99" t="s">
        <v>581</v>
      </c>
      <c r="I99" t="s">
        <v>582</v>
      </c>
      <c r="J99">
        <v>1</v>
      </c>
      <c r="K99">
        <v>26123098</v>
      </c>
      <c r="L99" t="s">
        <v>583</v>
      </c>
      <c r="M99" t="s">
        <v>420</v>
      </c>
      <c r="N99" t="s">
        <v>584</v>
      </c>
      <c r="P99" t="s">
        <v>131</v>
      </c>
      <c r="Q99">
        <f>IF(P99="门店全职",IFERROR(VLOOKUP(K99,源_3考勤报表_考勤表!$F:$BG,34,FALSE),0)+IFERROR(VLOOKUP(K99,源_8补工时表_补当月工时!$A:$AC,14,FALSE),0),IF(P99="门店管理组",IF(IFERROR(VLOOKUP(K99,源_3考勤报表_考勤表!$F:$BG,34,FALSE),0)+IFERROR(VLOOKUP(K99,源_8补工时表_补当月工时!$A:$AC,14,FALSE),0)+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44,FALSE),0)+IFERROR(VLOOKUP(K99,源_8补工时表_补当月工时!$A:$AC,16,FALSE),0)+IFERROR(VLOOKUP(K99,源_3考勤报表_考勤表!$F:$BG,45,FALSE),0)&gt;=参数!$B$4,参数!$B$4-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44,FALSE),0)-IFERROR(VLOOKUP(K99,源_8补工时表_补当月工时!$A:$AC,16,FALSE),0)-IFERROR(VLOOKUP(K99,源_3考勤报表_考勤表!$F:$BG,45,FALSE),0),IFERROR(VLOOKUP(K99,源_3考勤报表_考勤表!$F:$BG,34,FALSE),0)+IFERROR(VLOOKUP(K99,源_8补工时表_补当月工时!$A:$AC,14,FALSE),0)),0))</f>
        <v>184</v>
      </c>
      <c r="R99">
        <v>4000</v>
      </c>
      <c r="S99">
        <v>0</v>
      </c>
      <c r="T99">
        <f>IF(P99="门店全职",R99/参数!$B$4*(Q99-MAX(IFERROR(VLOOKUP(K99,源_3考勤报表_考勤表!$F:$BG,34,FALSE),0)+IFERROR(VLOOKUP(K99,源_8补工时表_补当月工时!$A:$AC,14,FALSE),0)+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参数!$B$4,0)),R99/参数!$B$4*Q99)</f>
        <v>4000</v>
      </c>
      <c r="U99">
        <v>0</v>
      </c>
      <c r="V99">
        <v>0</v>
      </c>
      <c r="W99">
        <f t="shared" si="39"/>
        <v>200</v>
      </c>
      <c r="X99">
        <f>IFERROR(VLOOKUP(K99,源_4奖金汇总表_拆分手工算!$A:$N,8,FALSE),0)</f>
        <v>0</v>
      </c>
      <c r="Y99">
        <f>IFERROR(VLOOKUP(K99,源_5薪资备忘录_工资调整项!$A:$AC,14,FALSE),0)</f>
        <v>200</v>
      </c>
      <c r="Z99">
        <f>IFERROR(VLOOKUP(K99,源_5薪资备忘录_工资调整项!$A:$AC,16,FALSE),0)</f>
        <v>0</v>
      </c>
      <c r="AA99">
        <f>IFERROR(VLOOKUP(K99,源_5薪资备忘录_工资调整项!$A:$AC,15,FALSE),0)</f>
        <v>0</v>
      </c>
      <c r="AB99">
        <f t="shared" si="40"/>
        <v>0</v>
      </c>
      <c r="AC99">
        <f>IF(P99="门店全职",R99/174*MAX(IFERROR(VLOOKUP(K99,源_3考勤报表_考勤表!$F:$BG,34,FALSE),0)+IFERROR(VLOOKUP(K99,源_8补工时表_补当月工时!$A:$AC,14,FALSE),0)+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参数!$B$4,0)*1.5,0)</f>
        <v>0</v>
      </c>
      <c r="AD99">
        <v>0</v>
      </c>
      <c r="AE99">
        <f>IFERROR(VLOOKUP(K99,源_3考勤报表_考勤表!$F:$BG,46,FALSE),0)+IFERROR(VLOOKUP(K99,源_8补工时表_补当月工时!$A:$AC,25,FALSE),0)</f>
        <v>0</v>
      </c>
      <c r="AF99">
        <f t="shared" si="41"/>
        <v>0</v>
      </c>
      <c r="AG99">
        <f>IFERROR(VLOOKUP(K99,源_4奖金汇总表_拆分手工算!$A:$N,10,FALSE),0)</f>
        <v>0</v>
      </c>
      <c r="AH99">
        <f>IFERROR(VLOOKUP(K99,源_4奖金汇总表_拆分手工算!$A:$N,5,FALSE),0)</f>
        <v>0</v>
      </c>
      <c r="AI99">
        <f>IFERROR(VLOOKUP(K99,源_4奖金汇总表_拆分手工算!$A:$N,11,FALSE),0)</f>
        <v>0</v>
      </c>
      <c r="AJ99">
        <f>IFERROR(VLOOKUP(K99,源_4奖金汇总表_拆分手工算!$A:$N,4,FALSE),0)</f>
        <v>0</v>
      </c>
      <c r="AK99">
        <f>IFERROR(VLOOKUP(K99,源_4奖金汇总表_拆分手工算!$A:$N,3,FALSE),0)</f>
        <v>0</v>
      </c>
      <c r="AL99">
        <f>IFERROR(VLOOKUP(K99,源_4奖金汇总表_拆分手工算!$A:$N,6,FALSE),0)</f>
        <v>0</v>
      </c>
      <c r="AM99">
        <f>IFERROR(VLOOKUP(K99,源_5薪资备忘录_工资调整项!$A:$AC,18,FALSE),0)+IFERROR(VLOOKUP(K99,源_4奖金汇总表_拆分手工算!$A:$N,7,FALSE),0)</f>
        <v>0</v>
      </c>
      <c r="AN99">
        <f>IFERROR(VLOOKUP(K99,源_5薪资备忘录_工资调整项!$A:$AC,17,FALSE),0)</f>
        <v>0</v>
      </c>
      <c r="AO99">
        <f>IF(OR(IFERROR(VLOOKUP(K99,源_3考勤报表_考勤表!$F:$BG,39,FALSE),0)+IFERROR(VLOOKUP(K99,源_8补工时表_补当月工时!$A:$AC,24,FALSE),0)&gt;0,IFERROR(VLOOKUP(K99,源_3考勤报表_考勤表!$F:$BG,43,FALSE),0)+IFERROR(VLOOKUP(K99,源_8补工时表_补当月工时!$A:$AC,26,FALSE),0)&gt;0),IF(IFERROR(VLOOKUP(DH99,源_11产假政策_Sheet1!$C:$F,4,FALSE),"")="是",R99/参数!$B$4*(IFERROR(VLOOKUP(K99,源_3考勤报表_考勤表!$F:$BG,39,FALSE),0)+IFERROR(VLOOKUP(K99,源_8补工时表_补当月工时!$A:$AC,24,FALSE),0)+IFERROR(VLOOKUP(K99,源_3考勤报表_考勤表!$F:$BG,43,FALSE),0)+IFERROR(VLOOKUP(K99,源_8补工时表_补当月工时!$A:$AC,26,FALSE),0)),IFERROR(VLOOKUP(K99,源_5薪资备忘录_工资调整项!$A:$AC,19,FALSE),0)),0)</f>
        <v>0</v>
      </c>
      <c r="AP99">
        <v>0</v>
      </c>
      <c r="AQ99">
        <f>IFERROR(VLOOKUP(K99,源_4奖金汇总表_拆分手工算!$A:$N,12,FALSE),0)+IFERROR(VLOOKUP(K99,源_9年终奖表_Sheet1!$A:$E,3,FALSE),0)</f>
        <v>1200</v>
      </c>
      <c r="AR99">
        <f>IFERROR(VLOOKUP(K99,源_4奖金汇总表_拆分手工算!$A:$N,13,FALSE),0)+IFERROR(VLOOKUP(K99,源_9年终奖表_Sheet1!$A:$E,4,FALSE),0)</f>
        <v>600</v>
      </c>
      <c r="AS99">
        <f>IFERROR(VLOOKUP(K99,源_4奖金汇总表_拆分手工算!$A:$N,14,FALSE),0)+IFERROR(VLOOKUP(K99,源_9年终奖表_Sheet1!$A:$E,5,FALSE),0)</f>
        <v>222</v>
      </c>
      <c r="AT99">
        <f>IFERROR(VLOOKUP(K99,源_5薪资备忘录_工资调整项!$A:$AC,20,FALSE),0)</f>
        <v>0</v>
      </c>
      <c r="AU99">
        <f>IFERROR(VLOOKUP(K99,源_5薪资备忘录_工资调整项!$A:$AC,21,FALSE),0)+IFERROR(VLOOKUP(K99,源_4奖金汇总表_拆分手工算!$A:$N,9,FALSE),0)</f>
        <v>0</v>
      </c>
      <c r="AV99">
        <f>R99/参数!$B$4*(IFERROR(VLOOKUP(K99,源_3考勤报表_考勤表!$F:$BG,37,FALSE),0)+IFERROR(VLOOKUP(K99,源_8补工时表_补当月工时!$A:$AC,15,FALSE),0))</f>
        <v>0</v>
      </c>
      <c r="AW99">
        <f>R99/174*MIN(IFERROR(VLOOKUP(K99,源_3考勤报表_考勤表!$F:$BG,35,FALSE),0),174)*IF(DATEDIF(N99,DATE(参数!$B$2,参数!$B$3+1,0),"Y")&lt;2,0.6,IF(DATEDIF(N99,DATE(参数!$B$2,参数!$B$3+1,0),"Y")&lt;4,0.7,IF(DATEDIF(N99,DATE(参数!$B$2,参数!$B$3+1,0),"Y")&lt;6,0.8,IF(DATEDIF(N99,DATE(参数!$B$2,参数!$B$3+1,0),"Y")&lt;8,0.9,1))))</f>
        <v>0</v>
      </c>
      <c r="AX99">
        <f>IF(Q99+IFERROR(VLOOKUP(K99,源_3考勤报表_考勤表!$F:$BG,37,FALSE),0)+IFERROR(VLOOKUP(K99,源_8补工时表_补当月工时!$A:$AC,15,FALSE),0)&gt;=参数!$B$4,0,IF(Q99+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lt;=参数!$B$4,R99/参数!$B$4*(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0))</f>
        <v>0</v>
      </c>
      <c r="AY99">
        <v>0</v>
      </c>
      <c r="AZ99">
        <v>0</v>
      </c>
      <c r="BA99">
        <v>0</v>
      </c>
      <c r="BB99">
        <v>0</v>
      </c>
      <c r="BC99">
        <f>IFERROR(VLOOKUP(K99,源_5薪资备忘录_工资调整项!$A:$AC,25,FALSE),0)</f>
        <v>0</v>
      </c>
      <c r="BD99">
        <v>0</v>
      </c>
      <c r="BE99">
        <v>0</v>
      </c>
      <c r="BF99">
        <v>0</v>
      </c>
      <c r="BG99">
        <f>IFERROR(VLOOKUP(K99,源_5薪资备忘录_工资调整项!$A:$AC,22,FALSE),0)+IFERROR(VLOOKUP(K99,源_5薪资备忘录_工资调整项!$A:$AC,23,FALSE),0)+IFERROR(VLOOKUP(K99,源_5薪资备忘录_工资调整项!$A:$AC,24,FALSE),0)</f>
        <v>0</v>
      </c>
      <c r="BH99">
        <f>IFERROR(VLOOKUP(DF99,源_6社保表_Sheet1!$C:$CD,80,FALSE),0)+4.5</f>
        <v>6.5</v>
      </c>
      <c r="BI99">
        <f t="shared" si="42"/>
        <v>6222</v>
      </c>
      <c r="BJ99">
        <f>IFERROR(VLOOKUP(DF99,源_6社保表_Sheet1!$C:$BZ,26,FALSE),0)</f>
        <v>247.6</v>
      </c>
      <c r="BK99">
        <f>IFERROR(VLOOKUP(DF99,源_6社保表_Sheet1!$C:$BZ,27,FALSE),0)</f>
        <v>49.52</v>
      </c>
      <c r="BL99">
        <f>IFERROR(VLOOKUP(DF99,源_6社保表_Sheet1!$C:$BZ,28,FALSE),0)</f>
        <v>24.76</v>
      </c>
      <c r="BM99">
        <f>IFERROR(VLOOKUP(DF99,源_6社保表_Sheet1!$C:$BZ,30,FALSE),0)</f>
        <v>243.95</v>
      </c>
      <c r="BN99">
        <f>IFERROR(VLOOKUP(DF99,源_6社保表_Sheet1!$C:$BZ,29,FALSE),0)</f>
        <v>0</v>
      </c>
      <c r="BO99">
        <f>IFERROR(VLOOKUP(DF99,源_6社保表_Sheet1!$C:$BZ,40,FALSE),0)</f>
        <v>0</v>
      </c>
      <c r="BP99">
        <f>IFERROR(VLOOKUP(DF99,源_6社保表_Sheet1!$C:$BZ,41,FALSE),0)</f>
        <v>0</v>
      </c>
      <c r="BQ99">
        <f>IFERROR(VLOOKUP(DF99,源_6社保表_Sheet1!$C:$BZ,42,FALSE),0)</f>
        <v>0</v>
      </c>
      <c r="BR99">
        <f>IFERROR(VLOOKUP(DF99,源_6社保表_Sheet1!$C:$BZ,44,FALSE),0)</f>
        <v>0</v>
      </c>
      <c r="BS99">
        <f>IFERROR(VLOOKUP(DF99,源_6社保表_Sheet1!$C:$BZ,43,FALSE),0)</f>
        <v>0</v>
      </c>
      <c r="BT99">
        <f t="shared" si="43"/>
        <v>565.82999999999993</v>
      </c>
      <c r="BU99">
        <v>0</v>
      </c>
      <c r="BV99">
        <v>0</v>
      </c>
      <c r="BW99">
        <v>0</v>
      </c>
      <c r="BX99">
        <f t="shared" si="44"/>
        <v>0</v>
      </c>
      <c r="BY99">
        <v>0</v>
      </c>
      <c r="BZ99">
        <f>IFERROR(VLOOKUP(DF99,源_6社保表_Sheet1!$C:$BZ,18,FALSE),0)</f>
        <v>594.24</v>
      </c>
      <c r="CA99">
        <f>IFERROR(VLOOKUP(DF99,源_6社保表_Sheet1!$C:$BZ,19,FALSE),0)</f>
        <v>297.12</v>
      </c>
      <c r="CB99">
        <f>IFERROR(VLOOKUP(DF99,源_6社保表_Sheet1!$C:$BZ,24,FALSE),0)</f>
        <v>243.95</v>
      </c>
      <c r="CC99">
        <f>IFERROR(VLOOKUP(DF99,源_6社保表_Sheet1!$C:$BZ,20,FALSE),0)</f>
        <v>24.76</v>
      </c>
      <c r="CD99">
        <f>IFERROR(VLOOKUP(DF99,源_6社保表_Sheet1!$C:$BZ,21,FALSE),0)</f>
        <v>15.846399999999999</v>
      </c>
      <c r="CE99">
        <f>IFERROR(VLOOKUP(DF99,源_6社保表_Sheet1!$C:$BZ,22,FALSE),0)</f>
        <v>0</v>
      </c>
      <c r="CF99">
        <f>IFERROR(VLOOKUP(DF99,源_6社保表_Sheet1!$C:$BZ,23,FALSE),0)</f>
        <v>0</v>
      </c>
      <c r="CG99">
        <f>IFERROR(VLOOKUP(DF99,源_6社保表_Sheet1!$C:$BZ,32,FALSE),0)</f>
        <v>0</v>
      </c>
      <c r="CH99">
        <f>IFERROR(VLOOKUP(DF99,源_6社保表_Sheet1!$C:$BZ,33,FALSE),0)</f>
        <v>0</v>
      </c>
      <c r="CI99">
        <f>IFERROR(VLOOKUP(DF99,源_6社保表_Sheet1!$C:$BZ,34,FALSE),0)</f>
        <v>0</v>
      </c>
      <c r="CJ99">
        <f>IFERROR(VLOOKUP(DF99,源_6社保表_Sheet1!$C:$BZ,38,FALSE),0)</f>
        <v>0</v>
      </c>
      <c r="CK99">
        <f>IFERROR(VLOOKUP(DF99,源_6社保表_Sheet1!$C:$BZ,35,FALSE),0)</f>
        <v>0</v>
      </c>
      <c r="CL99">
        <f>IFERROR(VLOOKUP(DF99,源_6社保表_Sheet1!$C:$BZ,36,FALSE),0)</f>
        <v>0</v>
      </c>
      <c r="CM99">
        <f>IFERROR(VLOOKUP(DF99,源_6社保表_Sheet1!$C:$BZ,37,FALSE),0)</f>
        <v>0</v>
      </c>
      <c r="CN99">
        <f t="shared" si="45"/>
        <v>1175.9163999999998</v>
      </c>
      <c r="CO99">
        <f t="shared" si="46"/>
        <v>7404.4164000000001</v>
      </c>
      <c r="CP99">
        <f>IF(IFERROR(VLOOKUP(K99,源_13残疾人信息_残疾人信息!$A:$M,1,FALSE),"")&lt;&gt;"",0,IF(OR(P99="门店全职",P99="门店管理组",P99="全职(非门店)"),(BI99-AT99)*IFERROR(VLOOKUP(D99,源_12计提残保金规则_Sheet1!$A:$E,4,FALSE),0)*IFERROR(VLOOKUP(D99,源_12计提残保金规则_Sheet1!$A:$E,5,FALSE),0),0))</f>
        <v>83.997</v>
      </c>
      <c r="CQ99">
        <f t="shared" si="47"/>
        <v>16.05</v>
      </c>
      <c r="CR99">
        <f t="shared" si="48"/>
        <v>20.67</v>
      </c>
      <c r="CS99">
        <f>IF(DATEVALUE(N99)&gt;DATE(参数!$B$2,9,30),0,IF(M99="行政",0,IF(O99="",R99/12,IF(MONTH(DATEVALUE(O99))=参数!$B$3,0,IF(DATEVALUE(O99)&lt;DATE(参数!$B$2,参数!$B$3,1),0,R99/12)))))</f>
        <v>333.33333333333331</v>
      </c>
      <c r="CT99">
        <f t="shared" si="49"/>
        <v>408</v>
      </c>
      <c r="CU99">
        <f>IFERROR(VLOOKUP(DF99,源_6社保表_Sheet1!$C:$I,2,FALSE),0)</f>
        <v>4952</v>
      </c>
      <c r="CV99">
        <f>IFERROR(VLOOKUP(DF99,源_6社保表_Sheet1!$C:$I,7,FALSE),0)</f>
        <v>4879</v>
      </c>
      <c r="CW99">
        <f>IFERROR(VLOOKUP(DF99,源_6社保表_Sheet1!$C:$I,3,FALSE),0)</f>
        <v>4952</v>
      </c>
      <c r="CX99">
        <f>IFERROR(VLOOKUP(DF99,源_6社保表_Sheet1!$C:$I,4,FALSE),0)</f>
        <v>4952</v>
      </c>
      <c r="CY99">
        <f>IFERROR(VLOOKUP(DF99,源_6社保表_Sheet1!$C:$I,5,FALSE),0)</f>
        <v>4952</v>
      </c>
      <c r="CZ99">
        <f>IFERROR(VLOOKUP(DF99,源_6社保表_Sheet1!$C:$I,6,FALSE),0)</f>
        <v>0</v>
      </c>
      <c r="DA99">
        <f t="shared" si="50"/>
        <v>5375.9164000000001</v>
      </c>
      <c r="DB99">
        <f t="shared" si="51"/>
        <v>6244.4667333333337</v>
      </c>
      <c r="DC99" t="str">
        <f>IFERROR(VLOOKUP(K99,源_7银行卡表_Sheet1!$A:$J,8,FALSE),"")</f>
        <v>农业银行</v>
      </c>
      <c r="DD99" t="str">
        <f>IFERROR(VLOOKUP(K99,源_7银行卡表_Sheet1!$A:$J,9,FALSE),"")</f>
        <v>6286331854353015601</v>
      </c>
      <c r="DE99" t="str">
        <f>IFERROR(VLOOKUP(K99,源_7银行卡表_Sheet1!$A:$J,10,FALSE),"")</f>
        <v>湛江菉塘支行</v>
      </c>
      <c r="DF99" t="s">
        <v>585</v>
      </c>
      <c r="DG99">
        <v>17409246298</v>
      </c>
      <c r="DH99" t="s">
        <v>580</v>
      </c>
      <c r="DI99">
        <v>0</v>
      </c>
      <c r="DJ99">
        <v>0</v>
      </c>
      <c r="DK99">
        <v>0</v>
      </c>
      <c r="DL99">
        <v>0</v>
      </c>
      <c r="DM99">
        <v>0</v>
      </c>
      <c r="DN99">
        <v>0</v>
      </c>
      <c r="DO99">
        <v>0</v>
      </c>
      <c r="DP99">
        <v>0</v>
      </c>
      <c r="DQ99">
        <v>0</v>
      </c>
      <c r="DR99">
        <f>IF(OR(IFERROR(VLOOKUP(K99,源_3考勤报表_考勤表!$F:$BG,39,FALSE),0)+IFERROR(VLOOKUP(K99,源_8补工时表_补当月工时!$A:$AC,24,FALSE),0)=0,IFERROR(VLOOKUP(K99,源_3考勤报表_考勤表!$F:$BG,43,FALSE),0)+IFERROR(VLOOKUP(K99,源_8补工时表_补当月工时!$A:$AC,26,FALSE),0)=0),IF(BI99+BG99-BT99&lt;0,BI99+BG99-BT99,0),0)</f>
        <v>0</v>
      </c>
    </row>
    <row r="100" spans="1:122" x14ac:dyDescent="0.15">
      <c r="A100">
        <f>参数!$B$2</f>
        <v>2025</v>
      </c>
      <c r="B100">
        <f>参数!$B$3</f>
        <v>12</v>
      </c>
      <c r="D100" t="s">
        <v>586</v>
      </c>
      <c r="E100" t="s">
        <v>123</v>
      </c>
      <c r="F100" t="str">
        <f>IFERROR(VLOOKUP(K100,源_7银行卡表_Sheet1!$A:$J,6,FALSE),"")</f>
        <v>华东营运</v>
      </c>
      <c r="G100" t="s">
        <v>587</v>
      </c>
      <c r="H100" t="s">
        <v>588</v>
      </c>
      <c r="I100" t="s">
        <v>589</v>
      </c>
      <c r="J100">
        <v>1</v>
      </c>
      <c r="K100">
        <v>26123099</v>
      </c>
      <c r="L100" t="s">
        <v>590</v>
      </c>
      <c r="M100" t="s">
        <v>218</v>
      </c>
      <c r="N100" t="s">
        <v>591</v>
      </c>
      <c r="O100" t="s">
        <v>592</v>
      </c>
      <c r="P100" t="s">
        <v>131</v>
      </c>
      <c r="Q100">
        <f>IF(P100="门店全职",IFERROR(VLOOKUP(K100,源_3考勤报表_考勤表!$F:$BG,34,FALSE),0)+IFERROR(VLOOKUP(K100,源_8补工时表_补当月工时!$A:$AC,14,FALSE),0),IF(P100="门店管理组",IF(IFERROR(VLOOKUP(K100,源_3考勤报表_考勤表!$F:$BG,34,FALSE),0)+IFERROR(VLOOKUP(K100,源_8补工时表_补当月工时!$A:$AC,14,FALSE),0)+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44,FALSE),0)+IFERROR(VLOOKUP(K100,源_8补工时表_补当月工时!$A:$AC,16,FALSE),0)+IFERROR(VLOOKUP(K100,源_3考勤报表_考勤表!$F:$BG,45,FALSE),0)&gt;=参数!$B$4,参数!$B$4-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44,FALSE),0)-IFERROR(VLOOKUP(K100,源_8补工时表_补当月工时!$A:$AC,16,FALSE),0)-IFERROR(VLOOKUP(K100,源_3考勤报表_考勤表!$F:$BG,45,FALSE),0),IFERROR(VLOOKUP(K100,源_3考勤报表_考勤表!$F:$BG,34,FALSE),0)+IFERROR(VLOOKUP(K100,源_8补工时表_补当月工时!$A:$AC,14,FALSE),0)),0))</f>
        <v>0</v>
      </c>
      <c r="R100">
        <v>4000</v>
      </c>
      <c r="S100">
        <v>0</v>
      </c>
      <c r="T100">
        <f>IF(P100="门店全职",R100/参数!$B$4*(Q100-MAX(IFERROR(VLOOKUP(K100,源_3考勤报表_考勤表!$F:$BG,34,FALSE),0)+IFERROR(VLOOKUP(K100,源_8补工时表_补当月工时!$A:$AC,14,FALSE),0)+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参数!$B$4,0)),R100/参数!$B$4*Q100)</f>
        <v>0</v>
      </c>
      <c r="U100">
        <v>0</v>
      </c>
      <c r="V100">
        <v>0</v>
      </c>
      <c r="W100">
        <f t="shared" si="39"/>
        <v>0</v>
      </c>
      <c r="X100">
        <f>IFERROR(VLOOKUP(K100,源_4奖金汇总表_拆分手工算!$A:$N,8,FALSE),0)</f>
        <v>0</v>
      </c>
      <c r="Y100">
        <f>IFERROR(VLOOKUP(K100,源_5薪资备忘录_工资调整项!$A:$AC,14,FALSE),0)</f>
        <v>0</v>
      </c>
      <c r="Z100">
        <f>IFERROR(VLOOKUP(K100,源_5薪资备忘录_工资调整项!$A:$AC,16,FALSE),0)</f>
        <v>0</v>
      </c>
      <c r="AA100">
        <f>IFERROR(VLOOKUP(K100,源_5薪资备忘录_工资调整项!$A:$AC,15,FALSE),0)</f>
        <v>0</v>
      </c>
      <c r="AB100">
        <f t="shared" si="40"/>
        <v>0</v>
      </c>
      <c r="AC100">
        <f>IF(P100="门店全职",R100/174*MAX(IFERROR(VLOOKUP(K100,源_3考勤报表_考勤表!$F:$BG,34,FALSE),0)+IFERROR(VLOOKUP(K100,源_8补工时表_补当月工时!$A:$AC,14,FALSE),0)+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参数!$B$4,0)*1.5,0)</f>
        <v>0</v>
      </c>
      <c r="AD100">
        <v>0</v>
      </c>
      <c r="AE100">
        <f>IFERROR(VLOOKUP(K100,源_3考勤报表_考勤表!$F:$BG,46,FALSE),0)+IFERROR(VLOOKUP(K100,源_8补工时表_补当月工时!$A:$AC,25,FALSE),0)</f>
        <v>0</v>
      </c>
      <c r="AF100">
        <f t="shared" si="41"/>
        <v>0</v>
      </c>
      <c r="AG100">
        <f>IFERROR(VLOOKUP(K100,源_4奖金汇总表_拆分手工算!$A:$N,10,FALSE),0)</f>
        <v>0</v>
      </c>
      <c r="AH100">
        <f>IFERROR(VLOOKUP(K100,源_4奖金汇总表_拆分手工算!$A:$N,5,FALSE),0)</f>
        <v>0</v>
      </c>
      <c r="AI100">
        <f>IFERROR(VLOOKUP(K100,源_4奖金汇总表_拆分手工算!$A:$N,11,FALSE),0)</f>
        <v>0</v>
      </c>
      <c r="AJ100">
        <f>IFERROR(VLOOKUP(K100,源_4奖金汇总表_拆分手工算!$A:$N,4,FALSE),0)</f>
        <v>0</v>
      </c>
      <c r="AK100">
        <f>IFERROR(VLOOKUP(K100,源_4奖金汇总表_拆分手工算!$A:$N,3,FALSE),0)</f>
        <v>0</v>
      </c>
      <c r="AL100">
        <f>IFERROR(VLOOKUP(K100,源_4奖金汇总表_拆分手工算!$A:$N,6,FALSE),0)</f>
        <v>0</v>
      </c>
      <c r="AM100">
        <f>IFERROR(VLOOKUP(K100,源_5薪资备忘录_工资调整项!$A:$AC,18,FALSE),0)+IFERROR(VLOOKUP(K100,源_4奖金汇总表_拆分手工算!$A:$N,7,FALSE),0)</f>
        <v>0</v>
      </c>
      <c r="AN100">
        <f>IFERROR(VLOOKUP(K100,源_5薪资备忘录_工资调整项!$A:$AC,17,FALSE),0)</f>
        <v>0</v>
      </c>
      <c r="AO100">
        <f>IF(OR(IFERROR(VLOOKUP(K100,源_3考勤报表_考勤表!$F:$BG,39,FALSE),0)+IFERROR(VLOOKUP(K100,源_8补工时表_补当月工时!$A:$AC,24,FALSE),0)&gt;0,IFERROR(VLOOKUP(K100,源_3考勤报表_考勤表!$F:$BG,43,FALSE),0)+IFERROR(VLOOKUP(K100,源_8补工时表_补当月工时!$A:$AC,26,FALSE),0)&gt;0),IF(IFERROR(VLOOKUP(DH100,源_11产假政策_Sheet1!$C:$F,4,FALSE),"")="是",R100/参数!$B$4*(IFERROR(VLOOKUP(K100,源_3考勤报表_考勤表!$F:$BG,39,FALSE),0)+IFERROR(VLOOKUP(K100,源_8补工时表_补当月工时!$A:$AC,24,FALSE),0)+IFERROR(VLOOKUP(K100,源_3考勤报表_考勤表!$F:$BG,43,FALSE),0)+IFERROR(VLOOKUP(K100,源_8补工时表_补当月工时!$A:$AC,26,FALSE),0)),IFERROR(VLOOKUP(K100,源_5薪资备忘录_工资调整项!$A:$AC,19,FALSE),0)),0)</f>
        <v>0</v>
      </c>
      <c r="AP100">
        <v>0</v>
      </c>
      <c r="AQ100">
        <f>IFERROR(VLOOKUP(K100,源_4奖金汇总表_拆分手工算!$A:$N,12,FALSE),0)+IFERROR(VLOOKUP(K100,源_9年终奖表_Sheet1!$A:$E,3,FALSE),0)</f>
        <v>1200</v>
      </c>
      <c r="AR100">
        <f>IFERROR(VLOOKUP(K100,源_4奖金汇总表_拆分手工算!$A:$N,13,FALSE),0)+IFERROR(VLOOKUP(K100,源_9年终奖表_Sheet1!$A:$E,4,FALSE),0)</f>
        <v>600</v>
      </c>
      <c r="AS100">
        <f>IFERROR(VLOOKUP(K100,源_4奖金汇总表_拆分手工算!$A:$N,14,FALSE),0)+IFERROR(VLOOKUP(K100,源_9年终奖表_Sheet1!$A:$E,5,FALSE),0)</f>
        <v>111</v>
      </c>
      <c r="AT100">
        <f>IFERROR(VLOOKUP(K100,源_5薪资备忘录_工资调整项!$A:$AC,20,FALSE),0)</f>
        <v>200</v>
      </c>
      <c r="AU100">
        <f>IFERROR(VLOOKUP(K100,源_5薪资备忘录_工资调整项!$A:$AC,21,FALSE),0)+IFERROR(VLOOKUP(K100,源_4奖金汇总表_拆分手工算!$A:$N,9,FALSE),0)</f>
        <v>0</v>
      </c>
      <c r="AV100">
        <f>R100/参数!$B$4*(IFERROR(VLOOKUP(K100,源_3考勤报表_考勤表!$F:$BG,37,FALSE),0)+IFERROR(VLOOKUP(K100,源_8补工时表_补当月工时!$A:$AC,15,FALSE),0))</f>
        <v>0</v>
      </c>
      <c r="AW100">
        <f>R100/174*MIN(IFERROR(VLOOKUP(K100,源_3考勤报表_考勤表!$F:$BG,35,FALSE),0),174)*IF(DATEDIF(N100,DATE(参数!$B$2,参数!$B$3+1,0),"Y")&lt;2,0.6,IF(DATEDIF(N100,DATE(参数!$B$2,参数!$B$3+1,0),"Y")&lt;4,0.7,IF(DATEDIF(N100,DATE(参数!$B$2,参数!$B$3+1,0),"Y")&lt;6,0.8,IF(DATEDIF(N100,DATE(参数!$B$2,参数!$B$3+1,0),"Y")&lt;8,0.9,1))))</f>
        <v>0</v>
      </c>
      <c r="AX100">
        <f>IF(Q100+IFERROR(VLOOKUP(K100,源_3考勤报表_考勤表!$F:$BG,37,FALSE),0)+IFERROR(VLOOKUP(K100,源_8补工时表_补当月工时!$A:$AC,15,FALSE),0)&gt;=参数!$B$4,0,IF(Q100+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lt;=参数!$B$4,R100/参数!$B$4*(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0))</f>
        <v>0</v>
      </c>
      <c r="AY100">
        <v>0</v>
      </c>
      <c r="AZ100">
        <v>0</v>
      </c>
      <c r="BA100">
        <v>0</v>
      </c>
      <c r="BB100">
        <v>0</v>
      </c>
      <c r="BC100">
        <f>IFERROR(VLOOKUP(K100,源_5薪资备忘录_工资调整项!$A:$AC,25,FALSE),0)</f>
        <v>0</v>
      </c>
      <c r="BD100">
        <v>0</v>
      </c>
      <c r="BE100">
        <v>0</v>
      </c>
      <c r="BF100">
        <v>0</v>
      </c>
      <c r="BG100">
        <f>IFERROR(VLOOKUP(K100,源_5薪资备忘录_工资调整项!$A:$AC,22,FALSE),0)+IFERROR(VLOOKUP(K100,源_5薪资备忘录_工资调整项!$A:$AC,23,FALSE),0)+IFERROR(VLOOKUP(K100,源_5薪资备忘录_工资调整项!$A:$AC,24,FALSE),0)</f>
        <v>0</v>
      </c>
      <c r="BH100">
        <f>IFERROR(VLOOKUP(DF100,源_6社保表_Sheet1!$C:$CD,80,FALSE),0)+4.5</f>
        <v>6.5</v>
      </c>
      <c r="BI100">
        <f t="shared" si="42"/>
        <v>2111</v>
      </c>
      <c r="BJ100">
        <f>IFERROR(VLOOKUP(DF100,源_6社保表_Sheet1!$C:$BZ,26,FALSE),0)</f>
        <v>215.55</v>
      </c>
      <c r="BK100">
        <f>IFERROR(VLOOKUP(DF100,源_6社保表_Sheet1!$C:$BZ,27,FALSE),0)</f>
        <v>43.11</v>
      </c>
      <c r="BL100">
        <f>IFERROR(VLOOKUP(DF100,源_6社保表_Sheet1!$C:$BZ,28,FALSE),0)</f>
        <v>21.555</v>
      </c>
      <c r="BM100">
        <f>IFERROR(VLOOKUP(DF100,源_6社保表_Sheet1!$C:$BZ,30,FALSE),0)</f>
        <v>200</v>
      </c>
      <c r="BN100">
        <f>IFERROR(VLOOKUP(DF100,源_6社保表_Sheet1!$C:$BZ,29,FALSE),0)</f>
        <v>0</v>
      </c>
      <c r="BO100">
        <f>IFERROR(VLOOKUP(DF100,源_6社保表_Sheet1!$C:$BZ,40,FALSE),0)</f>
        <v>0</v>
      </c>
      <c r="BP100">
        <f>IFERROR(VLOOKUP(DF100,源_6社保表_Sheet1!$C:$BZ,41,FALSE),0)</f>
        <v>0</v>
      </c>
      <c r="BQ100">
        <f>IFERROR(VLOOKUP(DF100,源_6社保表_Sheet1!$C:$BZ,42,FALSE),0)</f>
        <v>0</v>
      </c>
      <c r="BR100">
        <f>IFERROR(VLOOKUP(DF100,源_6社保表_Sheet1!$C:$BZ,44,FALSE),0)</f>
        <v>0</v>
      </c>
      <c r="BS100">
        <f>IFERROR(VLOOKUP(DF100,源_6社保表_Sheet1!$C:$BZ,43,FALSE),0)</f>
        <v>0</v>
      </c>
      <c r="BT100">
        <f t="shared" si="43"/>
        <v>480.21500000000003</v>
      </c>
      <c r="BU100">
        <v>0</v>
      </c>
      <c r="BV100">
        <v>0</v>
      </c>
      <c r="BW100">
        <v>0</v>
      </c>
      <c r="BX100">
        <f t="shared" si="44"/>
        <v>0</v>
      </c>
      <c r="BY100">
        <v>0</v>
      </c>
      <c r="BZ100">
        <f>IFERROR(VLOOKUP(DF100,源_6社保表_Sheet1!$C:$BZ,18,FALSE),0)</f>
        <v>517.32000000000005</v>
      </c>
      <c r="CA100">
        <f>IFERROR(VLOOKUP(DF100,源_6社保表_Sheet1!$C:$BZ,19,FALSE),0)</f>
        <v>258.66000000000003</v>
      </c>
      <c r="CB100">
        <f>IFERROR(VLOOKUP(DF100,源_6社保表_Sheet1!$C:$BZ,24,FALSE),0)</f>
        <v>200</v>
      </c>
      <c r="CC100">
        <f>IFERROR(VLOOKUP(DF100,源_6社保表_Sheet1!$C:$BZ,20,FALSE),0)</f>
        <v>21.555</v>
      </c>
      <c r="CD100">
        <f>IFERROR(VLOOKUP(DF100,源_6社保表_Sheet1!$C:$BZ,21,FALSE),0)</f>
        <v>13.795199999999999</v>
      </c>
      <c r="CE100">
        <f>IFERROR(VLOOKUP(DF100,源_6社保表_Sheet1!$C:$BZ,22,FALSE),0)</f>
        <v>0</v>
      </c>
      <c r="CF100">
        <f>IFERROR(VLOOKUP(DF100,源_6社保表_Sheet1!$C:$BZ,23,FALSE),0)</f>
        <v>0</v>
      </c>
      <c r="CG100">
        <f>IFERROR(VLOOKUP(DF100,源_6社保表_Sheet1!$C:$BZ,32,FALSE),0)</f>
        <v>0</v>
      </c>
      <c r="CH100">
        <f>IFERROR(VLOOKUP(DF100,源_6社保表_Sheet1!$C:$BZ,33,FALSE),0)</f>
        <v>0</v>
      </c>
      <c r="CI100">
        <f>IFERROR(VLOOKUP(DF100,源_6社保表_Sheet1!$C:$BZ,34,FALSE),0)</f>
        <v>0</v>
      </c>
      <c r="CJ100">
        <f>IFERROR(VLOOKUP(DF100,源_6社保表_Sheet1!$C:$BZ,38,FALSE),0)</f>
        <v>0</v>
      </c>
      <c r="CK100">
        <f>IFERROR(VLOOKUP(DF100,源_6社保表_Sheet1!$C:$BZ,35,FALSE),0)</f>
        <v>0</v>
      </c>
      <c r="CL100">
        <f>IFERROR(VLOOKUP(DF100,源_6社保表_Sheet1!$C:$BZ,36,FALSE),0)</f>
        <v>0</v>
      </c>
      <c r="CM100">
        <f>IFERROR(VLOOKUP(DF100,源_6社保表_Sheet1!$C:$BZ,37,FALSE),0)</f>
        <v>0</v>
      </c>
      <c r="CN100">
        <f t="shared" si="45"/>
        <v>1011.3302</v>
      </c>
      <c r="CO100">
        <f t="shared" si="46"/>
        <v>3128.8301999999999</v>
      </c>
      <c r="CP100">
        <f>IF(IFERROR(VLOOKUP(K100,源_13残疾人信息_残疾人信息!$A:$M,1,FALSE),"")&lt;&gt;"",0,IF(OR(P100="门店全职",P100="门店管理组",P100="全职(非门店)"),(BI100-AT100)*IFERROR(VLOOKUP(D100,源_12计提残保金规则_Sheet1!$A:$E,4,FALSE),0)*IFERROR(VLOOKUP(D100,源_12计提残保金规则_Sheet1!$A:$E,5,FALSE),0),0))</f>
        <v>25.798500000000001</v>
      </c>
      <c r="CQ100">
        <f t="shared" si="47"/>
        <v>16.05</v>
      </c>
      <c r="CR100">
        <f t="shared" si="48"/>
        <v>20.67</v>
      </c>
      <c r="CS100">
        <f>IF(DATEVALUE(N100)&gt;DATE(参数!$B$2,9,30),0,IF(M100="行政",0,IF(O100="",R100/12,IF(MONTH(DATEVALUE(O100))=参数!$B$3,0,IF(DATEVALUE(O100)&lt;DATE(参数!$B$2,参数!$B$3,1),0,R100/12)))))</f>
        <v>0</v>
      </c>
      <c r="CT100">
        <f t="shared" si="49"/>
        <v>408</v>
      </c>
      <c r="CU100">
        <f>IFERROR(VLOOKUP(DF100,源_6社保表_Sheet1!$C:$I,2,FALSE),0)</f>
        <v>4311</v>
      </c>
      <c r="CV100">
        <f>IFERROR(VLOOKUP(DF100,源_6社保表_Sheet1!$C:$I,7,FALSE),0)</f>
        <v>4000</v>
      </c>
      <c r="CW100">
        <f>IFERROR(VLOOKUP(DF100,源_6社保表_Sheet1!$C:$I,3,FALSE),0)</f>
        <v>4311</v>
      </c>
      <c r="CX100">
        <f>IFERROR(VLOOKUP(DF100,源_6社保表_Sheet1!$C:$I,4,FALSE),0)</f>
        <v>4311</v>
      </c>
      <c r="CY100">
        <f>IFERROR(VLOOKUP(DF100,源_6社保表_Sheet1!$C:$I,5,FALSE),0)</f>
        <v>4311</v>
      </c>
      <c r="CZ100">
        <f>IFERROR(VLOOKUP(DF100,源_6社保表_Sheet1!$C:$I,6,FALSE),0)</f>
        <v>0</v>
      </c>
      <c r="DA100">
        <f t="shared" si="50"/>
        <v>1011.3301999999999</v>
      </c>
      <c r="DB100">
        <f t="shared" si="51"/>
        <v>1488.3487</v>
      </c>
      <c r="DC100" t="str">
        <f>IFERROR(VLOOKUP(K100,源_7银行卡表_Sheet1!$A:$J,8,FALSE),"")</f>
        <v>农业银行</v>
      </c>
      <c r="DD100" t="str">
        <f>IFERROR(VLOOKUP(K100,源_7银行卡表_Sheet1!$A:$J,9,FALSE),"")</f>
        <v>6282535503498901848</v>
      </c>
      <c r="DE100" t="str">
        <f>IFERROR(VLOOKUP(K100,源_7银行卡表_Sheet1!$A:$J,10,FALSE),"")</f>
        <v>湛江港城支行</v>
      </c>
      <c r="DF100" t="s">
        <v>593</v>
      </c>
      <c r="DG100">
        <v>16875193126</v>
      </c>
      <c r="DH100" t="s">
        <v>587</v>
      </c>
      <c r="DI100">
        <v>0</v>
      </c>
      <c r="DJ100">
        <v>0</v>
      </c>
      <c r="DK100">
        <v>0</v>
      </c>
      <c r="DL100">
        <v>0</v>
      </c>
      <c r="DM100">
        <v>0</v>
      </c>
      <c r="DN100">
        <v>0</v>
      </c>
      <c r="DO100">
        <v>0</v>
      </c>
      <c r="DP100">
        <v>0</v>
      </c>
      <c r="DQ100">
        <v>0</v>
      </c>
      <c r="DR100">
        <f>IF(OR(IFERROR(VLOOKUP(K100,源_3考勤报表_考勤表!$F:$BG,39,FALSE),0)+IFERROR(VLOOKUP(K100,源_8补工时表_补当月工时!$A:$AC,24,FALSE),0)=0,IFERROR(VLOOKUP(K100,源_3考勤报表_考勤表!$F:$BG,43,FALSE),0)+IFERROR(VLOOKUP(K100,源_8补工时表_补当月工时!$A:$AC,26,FALSE),0)=0),IF(BI100+BG100-BT100&lt;0,BI100+BG100-BT100,0),0)</f>
        <v>0</v>
      </c>
    </row>
    <row r="101" spans="1:122" x14ac:dyDescent="0.15">
      <c r="A101">
        <f>参数!$B$2</f>
        <v>2025</v>
      </c>
      <c r="B101">
        <f>参数!$B$3</f>
        <v>12</v>
      </c>
      <c r="D101" t="s">
        <v>147</v>
      </c>
      <c r="E101" t="s">
        <v>123</v>
      </c>
      <c r="F101" t="str">
        <f>IFERROR(VLOOKUP(K101,源_7银行卡表_Sheet1!$A:$J,6,FALSE),"")</f>
        <v>华北营运</v>
      </c>
      <c r="G101" t="s">
        <v>148</v>
      </c>
      <c r="H101" t="s">
        <v>594</v>
      </c>
      <c r="I101" t="s">
        <v>150</v>
      </c>
      <c r="J101">
        <v>1</v>
      </c>
      <c r="K101">
        <v>26123100</v>
      </c>
      <c r="L101" t="s">
        <v>595</v>
      </c>
      <c r="M101" t="s">
        <v>170</v>
      </c>
      <c r="N101" t="s">
        <v>596</v>
      </c>
      <c r="P101" t="s">
        <v>154</v>
      </c>
      <c r="Q101">
        <f>IF(P101="门店全职",IFERROR(VLOOKUP(K101,源_3考勤报表_考勤表!$F:$BG,34,FALSE),0)+IFERROR(VLOOKUP(K101,源_8补工时表_补当月工时!$A:$AC,14,FALSE),0),IF(P101="门店管理组",IF(IFERROR(VLOOKUP(K101,源_3考勤报表_考勤表!$F:$BG,34,FALSE),0)+IFERROR(VLOOKUP(K101,源_8补工时表_补当月工时!$A:$AC,14,FALSE),0)+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44,FALSE),0)+IFERROR(VLOOKUP(K101,源_8补工时表_补当月工时!$A:$AC,16,FALSE),0)+IFERROR(VLOOKUP(K101,源_3考勤报表_考勤表!$F:$BG,45,FALSE),0)&gt;=参数!$B$4,参数!$B$4-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44,FALSE),0)-IFERROR(VLOOKUP(K101,源_8补工时表_补当月工时!$A:$AC,16,FALSE),0)-IFERROR(VLOOKUP(K101,源_3考勤报表_考勤表!$F:$BG,45,FALSE),0),IFERROR(VLOOKUP(K101,源_3考勤报表_考勤表!$F:$BG,34,FALSE),0)+IFERROR(VLOOKUP(K101,源_8补工时表_补当月工时!$A:$AC,14,FALSE),0)),0))</f>
        <v>184</v>
      </c>
      <c r="R101">
        <v>3640</v>
      </c>
      <c r="S101">
        <v>0</v>
      </c>
      <c r="T101">
        <f>IF(P101="门店全职",R101/参数!$B$4*(Q101-MAX(IFERROR(VLOOKUP(K101,源_3考勤报表_考勤表!$F:$BG,34,FALSE),0)+IFERROR(VLOOKUP(K101,源_8补工时表_补当月工时!$A:$AC,14,FALSE),0)+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参数!$B$4,0)),R101/参数!$B$4*Q101)</f>
        <v>3640.0000000000005</v>
      </c>
      <c r="U101">
        <v>0</v>
      </c>
      <c r="V101">
        <v>0</v>
      </c>
      <c r="W101">
        <f t="shared" si="39"/>
        <v>0</v>
      </c>
      <c r="X101">
        <f>IFERROR(VLOOKUP(K101,源_4奖金汇总表_拆分手工算!$A:$N,8,FALSE),0)</f>
        <v>0</v>
      </c>
      <c r="Y101">
        <f>IFERROR(VLOOKUP(K101,源_5薪资备忘录_工资调整项!$A:$AC,14,FALSE),0)</f>
        <v>0</v>
      </c>
      <c r="Z101">
        <f>IFERROR(VLOOKUP(K101,源_5薪资备忘录_工资调整项!$A:$AC,16,FALSE),0)</f>
        <v>0</v>
      </c>
      <c r="AA101">
        <f>IFERROR(VLOOKUP(K101,源_5薪资备忘录_工资调整项!$A:$AC,15,FALSE),0)</f>
        <v>0</v>
      </c>
      <c r="AB101">
        <f t="shared" si="40"/>
        <v>0</v>
      </c>
      <c r="AC101">
        <f>IF(P101="门店全职",R101/174*MAX(IFERROR(VLOOKUP(K101,源_3考勤报表_考勤表!$F:$BG,34,FALSE),0)+IFERROR(VLOOKUP(K101,源_8补工时表_补当月工时!$A:$AC,14,FALSE),0)+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参数!$B$4,0)*1.5,0)</f>
        <v>0</v>
      </c>
      <c r="AD101">
        <v>0</v>
      </c>
      <c r="AE101">
        <f>IFERROR(VLOOKUP(K101,源_3考勤报表_考勤表!$F:$BG,46,FALSE),0)+IFERROR(VLOOKUP(K101,源_8补工时表_补当月工时!$A:$AC,25,FALSE),0)</f>
        <v>0</v>
      </c>
      <c r="AF101">
        <f t="shared" si="41"/>
        <v>0</v>
      </c>
      <c r="AG101">
        <f>IFERROR(VLOOKUP(K101,源_4奖金汇总表_拆分手工算!$A:$N,10,FALSE),0)</f>
        <v>0</v>
      </c>
      <c r="AH101">
        <f>IFERROR(VLOOKUP(K101,源_4奖金汇总表_拆分手工算!$A:$N,5,FALSE),0)</f>
        <v>0</v>
      </c>
      <c r="AI101">
        <f>IFERROR(VLOOKUP(K101,源_4奖金汇总表_拆分手工算!$A:$N,11,FALSE),0)</f>
        <v>0</v>
      </c>
      <c r="AJ101">
        <f>IFERROR(VLOOKUP(K101,源_4奖金汇总表_拆分手工算!$A:$N,4,FALSE),0)</f>
        <v>0</v>
      </c>
      <c r="AK101">
        <f>IFERROR(VLOOKUP(K101,源_4奖金汇总表_拆分手工算!$A:$N,3,FALSE),0)</f>
        <v>0</v>
      </c>
      <c r="AL101">
        <f>IFERROR(VLOOKUP(K101,源_4奖金汇总表_拆分手工算!$A:$N,6,FALSE),0)</f>
        <v>0</v>
      </c>
      <c r="AM101">
        <f>IFERROR(VLOOKUP(K101,源_5薪资备忘录_工资调整项!$A:$AC,18,FALSE),0)+IFERROR(VLOOKUP(K101,源_4奖金汇总表_拆分手工算!$A:$N,7,FALSE),0)</f>
        <v>0</v>
      </c>
      <c r="AN101">
        <f>IFERROR(VLOOKUP(K101,源_5薪资备忘录_工资调整项!$A:$AC,17,FALSE),0)</f>
        <v>0</v>
      </c>
      <c r="AO101">
        <f>IF(OR(IFERROR(VLOOKUP(K101,源_3考勤报表_考勤表!$F:$BG,39,FALSE),0)+IFERROR(VLOOKUP(K101,源_8补工时表_补当月工时!$A:$AC,24,FALSE),0)&gt;0,IFERROR(VLOOKUP(K101,源_3考勤报表_考勤表!$F:$BG,43,FALSE),0)+IFERROR(VLOOKUP(K101,源_8补工时表_补当月工时!$A:$AC,26,FALSE),0)&gt;0),IF(IFERROR(VLOOKUP(DH101,源_11产假政策_Sheet1!$C:$F,4,FALSE),"")="是",R101/参数!$B$4*(IFERROR(VLOOKUP(K101,源_3考勤报表_考勤表!$F:$BG,39,FALSE),0)+IFERROR(VLOOKUP(K101,源_8补工时表_补当月工时!$A:$AC,24,FALSE),0)+IFERROR(VLOOKUP(K101,源_3考勤报表_考勤表!$F:$BG,43,FALSE),0)+IFERROR(VLOOKUP(K101,源_8补工时表_补当月工时!$A:$AC,26,FALSE),0)),IFERROR(VLOOKUP(K101,源_5薪资备忘录_工资调整项!$A:$AC,19,FALSE),0)),0)</f>
        <v>0</v>
      </c>
      <c r="AP101">
        <v>0</v>
      </c>
      <c r="AQ101">
        <f>IFERROR(VLOOKUP(K101,源_4奖金汇总表_拆分手工算!$A:$N,12,FALSE),0)+IFERROR(VLOOKUP(K101,源_9年终奖表_Sheet1!$A:$E,3,FALSE),0)</f>
        <v>0</v>
      </c>
      <c r="AR101">
        <f>IFERROR(VLOOKUP(K101,源_4奖金汇总表_拆分手工算!$A:$N,13,FALSE),0)+IFERROR(VLOOKUP(K101,源_9年终奖表_Sheet1!$A:$E,4,FALSE),0)</f>
        <v>0</v>
      </c>
      <c r="AS101">
        <f>IFERROR(VLOOKUP(K101,源_4奖金汇总表_拆分手工算!$A:$N,14,FALSE),0)+IFERROR(VLOOKUP(K101,源_9年终奖表_Sheet1!$A:$E,5,FALSE),0)</f>
        <v>0</v>
      </c>
      <c r="AT101">
        <f>IFERROR(VLOOKUP(K101,源_5薪资备忘录_工资调整项!$A:$AC,20,FALSE),0)</f>
        <v>0</v>
      </c>
      <c r="AU101">
        <f>IFERROR(VLOOKUP(K101,源_5薪资备忘录_工资调整项!$A:$AC,21,FALSE),0)+IFERROR(VLOOKUP(K101,源_4奖金汇总表_拆分手工算!$A:$N,9,FALSE),0)</f>
        <v>0</v>
      </c>
      <c r="AV101">
        <f>R101/参数!$B$4*(IFERROR(VLOOKUP(K101,源_3考勤报表_考勤表!$F:$BG,37,FALSE),0)+IFERROR(VLOOKUP(K101,源_8补工时表_补当月工时!$A:$AC,15,FALSE),0))</f>
        <v>0</v>
      </c>
      <c r="AW101">
        <f>R101/174*MIN(IFERROR(VLOOKUP(K101,源_3考勤报表_考勤表!$F:$BG,35,FALSE),0),174)*IF(DATEDIF(N101,DATE(参数!$B$2,参数!$B$3+1,0),"Y")&lt;2,0.6,IF(DATEDIF(N101,DATE(参数!$B$2,参数!$B$3+1,0),"Y")&lt;4,0.7,IF(DATEDIF(N101,DATE(参数!$B$2,参数!$B$3+1,0),"Y")&lt;6,0.8,IF(DATEDIF(N101,DATE(参数!$B$2,参数!$B$3+1,0),"Y")&lt;8,0.9,1))))</f>
        <v>0</v>
      </c>
      <c r="AX101">
        <f>IF(Q101+IFERROR(VLOOKUP(K101,源_3考勤报表_考勤表!$F:$BG,37,FALSE),0)+IFERROR(VLOOKUP(K101,源_8补工时表_补当月工时!$A:$AC,15,FALSE),0)&gt;=参数!$B$4,0,IF(Q101+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lt;=参数!$B$4,R101/参数!$B$4*(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0))</f>
        <v>0</v>
      </c>
      <c r="AY101">
        <v>0</v>
      </c>
      <c r="AZ101">
        <v>0</v>
      </c>
      <c r="BA101">
        <v>0</v>
      </c>
      <c r="BB101">
        <v>0</v>
      </c>
      <c r="BC101">
        <f>IFERROR(VLOOKUP(K101,源_5薪资备忘录_工资调整项!$A:$AC,25,FALSE),0)</f>
        <v>230</v>
      </c>
      <c r="BD101">
        <v>0</v>
      </c>
      <c r="BE101">
        <f>(T101+W101+AB101+AG101+AH101+AI101+AJ101+AK101+AL101+AM101+AN101+AO101+AP101+AU101+AV101+AW101+AX101+BC101-IFERROR(VLOOKUP(DF101,源_6社保表_Sheet1!$C:$BZ,76,FALSE),0))*0.02</f>
        <v>60.856600000000007</v>
      </c>
      <c r="BF101">
        <v>0</v>
      </c>
      <c r="BG101">
        <f>IFERROR(VLOOKUP(K101,源_5薪资备忘录_工资调整项!$A:$AC,22,FALSE),0)+IFERROR(VLOOKUP(K101,源_5薪资备忘录_工资调整项!$A:$AC,23,FALSE),0)+IFERROR(VLOOKUP(K101,源_5薪资备忘录_工资调整项!$A:$AC,24,FALSE),0)</f>
        <v>0</v>
      </c>
      <c r="BH101">
        <f>IFERROR(VLOOKUP(DF101,源_6社保表_Sheet1!$C:$CD,80,FALSE),0)+4.5</f>
        <v>6.5</v>
      </c>
      <c r="BI101">
        <f t="shared" si="42"/>
        <v>3870.0000000000005</v>
      </c>
      <c r="BJ101">
        <f>IFERROR(VLOOKUP(DF101,源_6社保表_Sheet1!$C:$BZ,26,FALSE),0)</f>
        <v>501.34</v>
      </c>
      <c r="BK101">
        <f>IFERROR(VLOOKUP(DF101,源_6社保表_Sheet1!$C:$BZ,27,FALSE),0)</f>
        <v>71.62</v>
      </c>
      <c r="BL101">
        <f>IFERROR(VLOOKUP(DF101,源_6社保表_Sheet1!$C:$BZ,28,FALSE),0)</f>
        <v>35.81</v>
      </c>
      <c r="BM101">
        <f>IFERROR(VLOOKUP(DF101,源_6社保表_Sheet1!$C:$BZ,30,FALSE),0)</f>
        <v>218.4</v>
      </c>
      <c r="BN101">
        <f>IFERROR(VLOOKUP(DF101,源_6社保表_Sheet1!$C:$BZ,29,FALSE),0)</f>
        <v>0</v>
      </c>
      <c r="BO101">
        <f>IFERROR(VLOOKUP(DF101,源_6社保表_Sheet1!$C:$BZ,40,FALSE),0)</f>
        <v>0</v>
      </c>
      <c r="BP101">
        <f>IFERROR(VLOOKUP(DF101,源_6社保表_Sheet1!$C:$BZ,41,FALSE),0)</f>
        <v>0</v>
      </c>
      <c r="BQ101">
        <f>IFERROR(VLOOKUP(DF101,源_6社保表_Sheet1!$C:$BZ,42,FALSE),0)</f>
        <v>0</v>
      </c>
      <c r="BR101">
        <f>IFERROR(VLOOKUP(DF101,源_6社保表_Sheet1!$C:$BZ,44,FALSE),0)</f>
        <v>0</v>
      </c>
      <c r="BS101">
        <f>IFERROR(VLOOKUP(DF101,源_6社保表_Sheet1!$C:$BZ,43,FALSE),0)</f>
        <v>0</v>
      </c>
      <c r="BT101">
        <f t="shared" si="43"/>
        <v>827.17</v>
      </c>
      <c r="BU101">
        <v>0</v>
      </c>
      <c r="BV101">
        <v>0</v>
      </c>
      <c r="BW101">
        <v>0</v>
      </c>
      <c r="BX101">
        <f t="shared" si="44"/>
        <v>0</v>
      </c>
      <c r="BY101">
        <v>0</v>
      </c>
      <c r="BZ101">
        <f>IFERROR(VLOOKUP(DF101,源_6社保表_Sheet1!$C:$BZ,18,FALSE),0)</f>
        <v>1074.3</v>
      </c>
      <c r="CA101">
        <f>IFERROR(VLOOKUP(DF101,源_6社保表_Sheet1!$C:$BZ,19,FALSE),0)</f>
        <v>572.96</v>
      </c>
      <c r="CB101">
        <f>IFERROR(VLOOKUP(DF101,源_6社保表_Sheet1!$C:$BZ,24,FALSE),0)</f>
        <v>218.4</v>
      </c>
      <c r="CC101">
        <f>IFERROR(VLOOKUP(DF101,源_6社保表_Sheet1!$C:$BZ,20,FALSE),0)</f>
        <v>35.81</v>
      </c>
      <c r="CD101">
        <f>IFERROR(VLOOKUP(DF101,源_6社保表_Sheet1!$C:$BZ,21,FALSE),0)</f>
        <v>22.918399999999998</v>
      </c>
      <c r="CE101">
        <f>IFERROR(VLOOKUP(DF101,源_6社保表_Sheet1!$C:$BZ,22,FALSE),0)</f>
        <v>0</v>
      </c>
      <c r="CF101">
        <f>IFERROR(VLOOKUP(DF101,源_6社保表_Sheet1!$C:$BZ,23,FALSE),0)</f>
        <v>0</v>
      </c>
      <c r="CG101">
        <f>IFERROR(VLOOKUP(DF101,源_6社保表_Sheet1!$C:$BZ,32,FALSE),0)</f>
        <v>0</v>
      </c>
      <c r="CH101">
        <f>IFERROR(VLOOKUP(DF101,源_6社保表_Sheet1!$C:$BZ,33,FALSE),0)</f>
        <v>0</v>
      </c>
      <c r="CI101">
        <f>IFERROR(VLOOKUP(DF101,源_6社保表_Sheet1!$C:$BZ,34,FALSE),0)</f>
        <v>0</v>
      </c>
      <c r="CJ101">
        <f>IFERROR(VLOOKUP(DF101,源_6社保表_Sheet1!$C:$BZ,38,FALSE),0)</f>
        <v>0</v>
      </c>
      <c r="CK101">
        <f>IFERROR(VLOOKUP(DF101,源_6社保表_Sheet1!$C:$BZ,35,FALSE),0)</f>
        <v>0</v>
      </c>
      <c r="CL101">
        <f>IFERROR(VLOOKUP(DF101,源_6社保表_Sheet1!$C:$BZ,36,FALSE),0)</f>
        <v>0</v>
      </c>
      <c r="CM101">
        <f>IFERROR(VLOOKUP(DF101,源_6社保表_Sheet1!$C:$BZ,37,FALSE),0)</f>
        <v>0</v>
      </c>
      <c r="CN101">
        <f t="shared" si="45"/>
        <v>1924.3884</v>
      </c>
      <c r="CO101">
        <f t="shared" si="46"/>
        <v>5861.7450000000008</v>
      </c>
      <c r="CP101">
        <f>IF(IFERROR(VLOOKUP(K101,源_13残疾人信息_残疾人信息!$A:$M,1,FALSE),"")&lt;&gt;"",0,IF(OR(P101="门店全职",P101="门店管理组",P101="全职(非门店)"),(BI101-AT101)*IFERROR(VLOOKUP(D101,源_12计提残保金规则_Sheet1!$A:$E,4,FALSE),0)*IFERROR(VLOOKUP(D101,源_12计提残保金规则_Sheet1!$A:$E,5,FALSE),0),0))</f>
        <v>52.245000000000005</v>
      </c>
      <c r="CQ101">
        <f t="shared" si="47"/>
        <v>16.05</v>
      </c>
      <c r="CR101">
        <f t="shared" si="48"/>
        <v>20.67</v>
      </c>
      <c r="CS101">
        <f>IF(DATEVALUE(N101)&gt;DATE(参数!$B$2,9,30),0,IF(M101="行政",0,IF(O101="",R101/12,IF(MONTH(DATEVALUE(O101))=参数!$B$3,0,IF(DATEVALUE(O101)&lt;DATE(参数!$B$2,参数!$B$3,1),0,R101/12)))))</f>
        <v>0</v>
      </c>
      <c r="CT101">
        <f t="shared" si="49"/>
        <v>0</v>
      </c>
      <c r="CU101">
        <f>IFERROR(VLOOKUP(DF101,源_6社保表_Sheet1!$C:$I,2,FALSE),0)</f>
        <v>7162</v>
      </c>
      <c r="CV101">
        <f>IFERROR(VLOOKUP(DF101,源_6社保表_Sheet1!$C:$I,7,FALSE),0)</f>
        <v>3640</v>
      </c>
      <c r="CW101">
        <f>IFERROR(VLOOKUP(DF101,源_6社保表_Sheet1!$C:$I,3,FALSE),0)</f>
        <v>7162</v>
      </c>
      <c r="CX101">
        <f>IFERROR(VLOOKUP(DF101,源_6社保表_Sheet1!$C:$I,4,FALSE),0)</f>
        <v>7162</v>
      </c>
      <c r="CY101">
        <f>IFERROR(VLOOKUP(DF101,源_6社保表_Sheet1!$C:$I,5,FALSE),0)</f>
        <v>7162</v>
      </c>
      <c r="CZ101">
        <f>IFERROR(VLOOKUP(DF101,源_6社保表_Sheet1!$C:$I,6,FALSE),0)</f>
        <v>0</v>
      </c>
      <c r="DA101">
        <f t="shared" si="50"/>
        <v>5794.3884000000007</v>
      </c>
      <c r="DB101">
        <f t="shared" si="51"/>
        <v>5889.8534000000009</v>
      </c>
      <c r="DC101" t="str">
        <f>IFERROR(VLOOKUP(K101,源_7银行卡表_Sheet1!$A:$J,8,FALSE),"")</f>
        <v>农业银行</v>
      </c>
      <c r="DD101" t="str">
        <f>IFERROR(VLOOKUP(K101,源_7银行卡表_Sheet1!$A:$J,9,FALSE),"")</f>
        <v>6280001784946491473</v>
      </c>
      <c r="DE101" t="str">
        <f>IFERROR(VLOOKUP(K101,源_7银行卡表_Sheet1!$A:$J,10,FALSE),"")</f>
        <v>杭州枫华支行</v>
      </c>
      <c r="DF101" t="s">
        <v>597</v>
      </c>
      <c r="DG101">
        <v>16330957304</v>
      </c>
      <c r="DH101" t="s">
        <v>148</v>
      </c>
      <c r="DI101">
        <v>0</v>
      </c>
      <c r="DJ101">
        <v>0</v>
      </c>
      <c r="DK101">
        <v>0</v>
      </c>
      <c r="DL101">
        <v>0</v>
      </c>
      <c r="DM101">
        <v>0</v>
      </c>
      <c r="DN101">
        <v>0</v>
      </c>
      <c r="DO101">
        <v>0</v>
      </c>
      <c r="DP101">
        <v>0</v>
      </c>
      <c r="DQ101">
        <v>0</v>
      </c>
      <c r="DR101">
        <f>IF(OR(IFERROR(VLOOKUP(K101,源_3考勤报表_考勤表!$F:$BG,39,FALSE),0)+IFERROR(VLOOKUP(K101,源_8补工时表_补当月工时!$A:$AC,24,FALSE),0)=0,IFERROR(VLOOKUP(K101,源_3考勤报表_考勤表!$F:$BG,43,FALSE),0)+IFERROR(VLOOKUP(K101,源_8补工时表_补当月工时!$A:$AC,26,FALSE),0)=0),IF(BI101+BG101-BT101&lt;0,BI101+BG101-BT101,0),0)</f>
        <v>0</v>
      </c>
    </row>
    <row r="102" spans="1:122" x14ac:dyDescent="0.15">
      <c r="A102">
        <f>参数!$B$2</f>
        <v>2025</v>
      </c>
      <c r="B102">
        <f>参数!$B$3</f>
        <v>12</v>
      </c>
      <c r="D102" t="s">
        <v>147</v>
      </c>
      <c r="E102" t="s">
        <v>123</v>
      </c>
      <c r="F102" t="str">
        <f>IFERROR(VLOOKUP(K102,源_7银行卡表_Sheet1!$A:$J,6,FALSE),"")</f>
        <v>华北营运</v>
      </c>
      <c r="G102" t="s">
        <v>148</v>
      </c>
      <c r="H102" t="s">
        <v>598</v>
      </c>
      <c r="I102" t="s">
        <v>150</v>
      </c>
      <c r="J102">
        <v>1</v>
      </c>
      <c r="K102">
        <v>26123101</v>
      </c>
      <c r="L102" t="s">
        <v>599</v>
      </c>
      <c r="M102" t="s">
        <v>170</v>
      </c>
      <c r="N102" t="s">
        <v>600</v>
      </c>
      <c r="P102" t="s">
        <v>154</v>
      </c>
      <c r="Q102">
        <f>IF(P102="门店全职",IFERROR(VLOOKUP(K102,源_3考勤报表_考勤表!$F:$BG,34,FALSE),0)+IFERROR(VLOOKUP(K102,源_8补工时表_补当月工时!$A:$AC,14,FALSE),0),IF(P102="门店管理组",IF(IFERROR(VLOOKUP(K102,源_3考勤报表_考勤表!$F:$BG,34,FALSE),0)+IFERROR(VLOOKUP(K102,源_8补工时表_补当月工时!$A:$AC,14,FALSE),0)+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44,FALSE),0)+IFERROR(VLOOKUP(K102,源_8补工时表_补当月工时!$A:$AC,16,FALSE),0)+IFERROR(VLOOKUP(K102,源_3考勤报表_考勤表!$F:$BG,45,FALSE),0)&gt;=参数!$B$4,参数!$B$4-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44,FALSE),0)-IFERROR(VLOOKUP(K102,源_8补工时表_补当月工时!$A:$AC,16,FALSE),0)-IFERROR(VLOOKUP(K102,源_3考勤报表_考勤表!$F:$BG,45,FALSE),0),IFERROR(VLOOKUP(K102,源_3考勤报表_考勤表!$F:$BG,34,FALSE),0)+IFERROR(VLOOKUP(K102,源_8补工时表_补当月工时!$A:$AC,14,FALSE),0)),0))</f>
        <v>102.5</v>
      </c>
      <c r="R102">
        <v>3640</v>
      </c>
      <c r="S102">
        <v>0</v>
      </c>
      <c r="T102">
        <f>IF(P102="门店全职",R102/参数!$B$4*(Q102-MAX(IFERROR(VLOOKUP(K102,源_3考勤报表_考勤表!$F:$BG,34,FALSE),0)+IFERROR(VLOOKUP(K102,源_8补工时表_补当月工时!$A:$AC,14,FALSE),0)+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参数!$B$4,0)),R102/参数!$B$4*Q102)</f>
        <v>2027.717391304348</v>
      </c>
      <c r="U102">
        <v>0</v>
      </c>
      <c r="V102">
        <v>0</v>
      </c>
      <c r="W102">
        <f t="shared" si="39"/>
        <v>0</v>
      </c>
      <c r="X102">
        <f>IFERROR(VLOOKUP(K102,源_4奖金汇总表_拆分手工算!$A:$N,8,FALSE),0)</f>
        <v>0</v>
      </c>
      <c r="Y102">
        <f>IFERROR(VLOOKUP(K102,源_5薪资备忘录_工资调整项!$A:$AC,14,FALSE),0)</f>
        <v>0</v>
      </c>
      <c r="Z102">
        <f>IFERROR(VLOOKUP(K102,源_5薪资备忘录_工资调整项!$A:$AC,16,FALSE),0)</f>
        <v>0</v>
      </c>
      <c r="AA102">
        <f>IFERROR(VLOOKUP(K102,源_5薪资备忘录_工资调整项!$A:$AC,15,FALSE),0)</f>
        <v>0</v>
      </c>
      <c r="AB102">
        <f t="shared" si="40"/>
        <v>0</v>
      </c>
      <c r="AC102">
        <f>IF(P102="门店全职",R102/174*MAX(IFERROR(VLOOKUP(K102,源_3考勤报表_考勤表!$F:$BG,34,FALSE),0)+IFERROR(VLOOKUP(K102,源_8补工时表_补当月工时!$A:$AC,14,FALSE),0)+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参数!$B$4,0)*1.5,0)</f>
        <v>0</v>
      </c>
      <c r="AD102">
        <v>0</v>
      </c>
      <c r="AE102">
        <f>IFERROR(VLOOKUP(K102,源_3考勤报表_考勤表!$F:$BG,46,FALSE),0)+IFERROR(VLOOKUP(K102,源_8补工时表_补当月工时!$A:$AC,25,FALSE),0)</f>
        <v>0</v>
      </c>
      <c r="AF102">
        <f t="shared" si="41"/>
        <v>0</v>
      </c>
      <c r="AG102">
        <f>IFERROR(VLOOKUP(K102,源_4奖金汇总表_拆分手工算!$A:$N,10,FALSE),0)</f>
        <v>0</v>
      </c>
      <c r="AH102">
        <f>IFERROR(VLOOKUP(K102,源_4奖金汇总表_拆分手工算!$A:$N,5,FALSE),0)</f>
        <v>0</v>
      </c>
      <c r="AI102">
        <f>IFERROR(VLOOKUP(K102,源_4奖金汇总表_拆分手工算!$A:$N,11,FALSE),0)</f>
        <v>0</v>
      </c>
      <c r="AJ102">
        <f>IFERROR(VLOOKUP(K102,源_4奖金汇总表_拆分手工算!$A:$N,4,FALSE),0)</f>
        <v>0</v>
      </c>
      <c r="AK102">
        <f>IFERROR(VLOOKUP(K102,源_4奖金汇总表_拆分手工算!$A:$N,3,FALSE),0)</f>
        <v>0</v>
      </c>
      <c r="AL102">
        <f>IFERROR(VLOOKUP(K102,源_4奖金汇总表_拆分手工算!$A:$N,6,FALSE),0)</f>
        <v>0</v>
      </c>
      <c r="AM102">
        <f>IFERROR(VLOOKUP(K102,源_5薪资备忘录_工资调整项!$A:$AC,18,FALSE),0)+IFERROR(VLOOKUP(K102,源_4奖金汇总表_拆分手工算!$A:$N,7,FALSE),0)</f>
        <v>0</v>
      </c>
      <c r="AN102">
        <f>IFERROR(VLOOKUP(K102,源_5薪资备忘录_工资调整项!$A:$AC,17,FALSE),0)</f>
        <v>100</v>
      </c>
      <c r="AO102">
        <f>IF(OR(IFERROR(VLOOKUP(K102,源_3考勤报表_考勤表!$F:$BG,39,FALSE),0)+IFERROR(VLOOKUP(K102,源_8补工时表_补当月工时!$A:$AC,24,FALSE),0)&gt;0,IFERROR(VLOOKUP(K102,源_3考勤报表_考勤表!$F:$BG,43,FALSE),0)+IFERROR(VLOOKUP(K102,源_8补工时表_补当月工时!$A:$AC,26,FALSE),0)&gt;0),IF(IFERROR(VLOOKUP(DH102,源_11产假政策_Sheet1!$C:$F,4,FALSE),"")="是",R102/参数!$B$4*(IFERROR(VLOOKUP(K102,源_3考勤报表_考勤表!$F:$BG,39,FALSE),0)+IFERROR(VLOOKUP(K102,源_8补工时表_补当月工时!$A:$AC,24,FALSE),0)+IFERROR(VLOOKUP(K102,源_3考勤报表_考勤表!$F:$BG,43,FALSE),0)+IFERROR(VLOOKUP(K102,源_8补工时表_补当月工时!$A:$AC,26,FALSE),0)),IFERROR(VLOOKUP(K102,源_5薪资备忘录_工资调整项!$A:$AC,19,FALSE),0)),0)</f>
        <v>0</v>
      </c>
      <c r="AP102">
        <v>0</v>
      </c>
      <c r="AQ102">
        <f>IFERROR(VLOOKUP(K102,源_4奖金汇总表_拆分手工算!$A:$N,12,FALSE),0)+IFERROR(VLOOKUP(K102,源_9年终奖表_Sheet1!$A:$E,3,FALSE),0)</f>
        <v>0</v>
      </c>
      <c r="AR102">
        <f>IFERROR(VLOOKUP(K102,源_4奖金汇总表_拆分手工算!$A:$N,13,FALSE),0)+IFERROR(VLOOKUP(K102,源_9年终奖表_Sheet1!$A:$E,4,FALSE),0)</f>
        <v>0</v>
      </c>
      <c r="AS102">
        <f>IFERROR(VLOOKUP(K102,源_4奖金汇总表_拆分手工算!$A:$N,14,FALSE),0)+IFERROR(VLOOKUP(K102,源_9年终奖表_Sheet1!$A:$E,5,FALSE),0)</f>
        <v>0</v>
      </c>
      <c r="AT102">
        <f>IFERROR(VLOOKUP(K102,源_5薪资备忘录_工资调整项!$A:$AC,20,FALSE),0)</f>
        <v>0</v>
      </c>
      <c r="AU102">
        <f>IFERROR(VLOOKUP(K102,源_5薪资备忘录_工资调整项!$A:$AC,21,FALSE),0)+IFERROR(VLOOKUP(K102,源_4奖金汇总表_拆分手工算!$A:$N,9,FALSE),0)</f>
        <v>0</v>
      </c>
      <c r="AV102">
        <f>R102/参数!$B$4*(IFERROR(VLOOKUP(K102,源_3考勤报表_考勤表!$F:$BG,37,FALSE),0)+IFERROR(VLOOKUP(K102,源_8补工时表_补当月工时!$A:$AC,15,FALSE),0))</f>
        <v>158.2608695652174</v>
      </c>
      <c r="AW102">
        <f>R102/174*MIN(IFERROR(VLOOKUP(K102,源_3考勤报表_考勤表!$F:$BG,35,FALSE),0),174)*IF(DATEDIF(N102,DATE(参数!$B$2,参数!$B$3+1,0),"Y")&lt;2,0.6,IF(DATEDIF(N102,DATE(参数!$B$2,参数!$B$3+1,0),"Y")&lt;4,0.7,IF(DATEDIF(N102,DATE(参数!$B$2,参数!$B$3+1,0),"Y")&lt;6,0.8,IF(DATEDIF(N102,DATE(参数!$B$2,参数!$B$3+1,0),"Y")&lt;8,0.9,1))))</f>
        <v>502.06896551724139</v>
      </c>
      <c r="AX102">
        <f>IF(Q102+IFERROR(VLOOKUP(K102,源_3考勤报表_考勤表!$F:$BG,37,FALSE),0)+IFERROR(VLOOKUP(K102,源_8补工时表_补当月工时!$A:$AC,15,FALSE),0)&gt;=参数!$B$4,0,IF(Q102+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lt;=参数!$B$4,R102/参数!$B$4*(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0))</f>
        <v>0</v>
      </c>
      <c r="AY102">
        <v>0</v>
      </c>
      <c r="AZ102">
        <v>0</v>
      </c>
      <c r="BA102">
        <v>0</v>
      </c>
      <c r="BB102">
        <v>0</v>
      </c>
      <c r="BC102">
        <f>IFERROR(VLOOKUP(K102,源_5薪资备忘录_工资调整项!$A:$AC,25,FALSE),0)</f>
        <v>0</v>
      </c>
      <c r="BD102">
        <v>0</v>
      </c>
      <c r="BE102">
        <f>(T102+W102+AB102+AG102+AH102+AI102+AJ102+AK102+AL102+AM102+AN102+AO102+AP102+AU102+AV102+AW102+AX102+BC102-IFERROR(VLOOKUP(DF102,源_6社保表_Sheet1!$C:$BZ,76,FALSE),0))*0.02</f>
        <v>39.217544527736138</v>
      </c>
      <c r="BF102">
        <v>0</v>
      </c>
      <c r="BG102">
        <f>IFERROR(VLOOKUP(K102,源_5薪资备忘录_工资调整项!$A:$AC,22,FALSE),0)+IFERROR(VLOOKUP(K102,源_5薪资备忘录_工资调整项!$A:$AC,23,FALSE),0)+IFERROR(VLOOKUP(K102,源_5薪资备忘录_工资调整项!$A:$AC,24,FALSE),0)</f>
        <v>0</v>
      </c>
      <c r="BH102">
        <f>IFERROR(VLOOKUP(DF102,源_6社保表_Sheet1!$C:$CD,80,FALSE),0)+4.5</f>
        <v>6.5</v>
      </c>
      <c r="BI102">
        <f t="shared" si="42"/>
        <v>2788.0472263868069</v>
      </c>
      <c r="BJ102">
        <f>IFERROR(VLOOKUP(DF102,源_6社保表_Sheet1!$C:$BZ,26,FALSE),0)</f>
        <v>501.34</v>
      </c>
      <c r="BK102">
        <f>IFERROR(VLOOKUP(DF102,源_6社保表_Sheet1!$C:$BZ,27,FALSE),0)</f>
        <v>71.62</v>
      </c>
      <c r="BL102">
        <f>IFERROR(VLOOKUP(DF102,源_6社保表_Sheet1!$C:$BZ,28,FALSE),0)</f>
        <v>35.81</v>
      </c>
      <c r="BM102">
        <f>IFERROR(VLOOKUP(DF102,源_6社保表_Sheet1!$C:$BZ,30,FALSE),0)</f>
        <v>218.4</v>
      </c>
      <c r="BN102">
        <f>IFERROR(VLOOKUP(DF102,源_6社保表_Sheet1!$C:$BZ,29,FALSE),0)</f>
        <v>0</v>
      </c>
      <c r="BO102">
        <f>IFERROR(VLOOKUP(DF102,源_6社保表_Sheet1!$C:$BZ,40,FALSE),0)</f>
        <v>0</v>
      </c>
      <c r="BP102">
        <f>IFERROR(VLOOKUP(DF102,源_6社保表_Sheet1!$C:$BZ,41,FALSE),0)</f>
        <v>0</v>
      </c>
      <c r="BQ102">
        <f>IFERROR(VLOOKUP(DF102,源_6社保表_Sheet1!$C:$BZ,42,FALSE),0)</f>
        <v>0</v>
      </c>
      <c r="BR102">
        <f>IFERROR(VLOOKUP(DF102,源_6社保表_Sheet1!$C:$BZ,44,FALSE),0)</f>
        <v>0</v>
      </c>
      <c r="BS102">
        <f>IFERROR(VLOOKUP(DF102,源_6社保表_Sheet1!$C:$BZ,43,FALSE),0)</f>
        <v>0</v>
      </c>
      <c r="BT102">
        <f t="shared" si="43"/>
        <v>827.17</v>
      </c>
      <c r="BU102">
        <v>0</v>
      </c>
      <c r="BV102">
        <v>0</v>
      </c>
      <c r="BW102">
        <v>0</v>
      </c>
      <c r="BX102">
        <f t="shared" si="44"/>
        <v>0</v>
      </c>
      <c r="BY102">
        <v>0</v>
      </c>
      <c r="BZ102">
        <f>IFERROR(VLOOKUP(DF102,源_6社保表_Sheet1!$C:$BZ,18,FALSE),0)</f>
        <v>1074.3</v>
      </c>
      <c r="CA102">
        <f>IFERROR(VLOOKUP(DF102,源_6社保表_Sheet1!$C:$BZ,19,FALSE),0)</f>
        <v>572.96</v>
      </c>
      <c r="CB102">
        <f>IFERROR(VLOOKUP(DF102,源_6社保表_Sheet1!$C:$BZ,24,FALSE),0)</f>
        <v>218.4</v>
      </c>
      <c r="CC102">
        <f>IFERROR(VLOOKUP(DF102,源_6社保表_Sheet1!$C:$BZ,20,FALSE),0)</f>
        <v>35.81</v>
      </c>
      <c r="CD102">
        <f>IFERROR(VLOOKUP(DF102,源_6社保表_Sheet1!$C:$BZ,21,FALSE),0)</f>
        <v>22.918399999999998</v>
      </c>
      <c r="CE102">
        <f>IFERROR(VLOOKUP(DF102,源_6社保表_Sheet1!$C:$BZ,22,FALSE),0)</f>
        <v>0</v>
      </c>
      <c r="CF102">
        <f>IFERROR(VLOOKUP(DF102,源_6社保表_Sheet1!$C:$BZ,23,FALSE),0)</f>
        <v>0</v>
      </c>
      <c r="CG102">
        <f>IFERROR(VLOOKUP(DF102,源_6社保表_Sheet1!$C:$BZ,32,FALSE),0)</f>
        <v>0</v>
      </c>
      <c r="CH102">
        <f>IFERROR(VLOOKUP(DF102,源_6社保表_Sheet1!$C:$BZ,33,FALSE),0)</f>
        <v>0</v>
      </c>
      <c r="CI102">
        <f>IFERROR(VLOOKUP(DF102,源_6社保表_Sheet1!$C:$BZ,34,FALSE),0)</f>
        <v>0</v>
      </c>
      <c r="CJ102">
        <f>IFERROR(VLOOKUP(DF102,源_6社保表_Sheet1!$C:$BZ,38,FALSE),0)</f>
        <v>0</v>
      </c>
      <c r="CK102">
        <f>IFERROR(VLOOKUP(DF102,源_6社保表_Sheet1!$C:$BZ,35,FALSE),0)</f>
        <v>0</v>
      </c>
      <c r="CL102">
        <f>IFERROR(VLOOKUP(DF102,源_6社保表_Sheet1!$C:$BZ,36,FALSE),0)</f>
        <v>0</v>
      </c>
      <c r="CM102">
        <f>IFERROR(VLOOKUP(DF102,源_6社保表_Sheet1!$C:$BZ,37,FALSE),0)</f>
        <v>0</v>
      </c>
      <c r="CN102">
        <f t="shared" si="45"/>
        <v>1924.3884</v>
      </c>
      <c r="CO102">
        <f t="shared" si="46"/>
        <v>4758.1531709145429</v>
      </c>
      <c r="CP102">
        <f>IF(IFERROR(VLOOKUP(K102,源_13残疾人信息_残疾人信息!$A:$M,1,FALSE),"")&lt;&gt;"",0,IF(OR(P102="门店全职",P102="门店管理组",P102="全职(非门店)"),(BI102-AT102)*IFERROR(VLOOKUP(D102,源_12计提残保金规则_Sheet1!$A:$E,4,FALSE),0)*IFERROR(VLOOKUP(D102,源_12计提残保金规则_Sheet1!$A:$E,5,FALSE),0),0))</f>
        <v>37.638637556221894</v>
      </c>
      <c r="CQ102">
        <f t="shared" si="47"/>
        <v>16.05</v>
      </c>
      <c r="CR102">
        <f t="shared" si="48"/>
        <v>20.67</v>
      </c>
      <c r="CS102">
        <f>IF(DATEVALUE(N102)&gt;DATE(参数!$B$2,9,30),0,IF(M102="行政",0,IF(O102="",R102/12,IF(MONTH(DATEVALUE(O102))=参数!$B$3,0,IF(DATEVALUE(O102)&lt;DATE(参数!$B$2,参数!$B$3,1),0,R102/12)))))</f>
        <v>0</v>
      </c>
      <c r="CT102">
        <f t="shared" si="49"/>
        <v>0</v>
      </c>
      <c r="CU102">
        <f>IFERROR(VLOOKUP(DF102,源_6社保表_Sheet1!$C:$I,2,FALSE),0)</f>
        <v>7162</v>
      </c>
      <c r="CV102">
        <f>IFERROR(VLOOKUP(DF102,源_6社保表_Sheet1!$C:$I,7,FALSE),0)</f>
        <v>3640</v>
      </c>
      <c r="CW102">
        <f>IFERROR(VLOOKUP(DF102,源_6社保表_Sheet1!$C:$I,3,FALSE),0)</f>
        <v>7162</v>
      </c>
      <c r="CX102">
        <f>IFERROR(VLOOKUP(DF102,源_6社保表_Sheet1!$C:$I,4,FALSE),0)</f>
        <v>7162</v>
      </c>
      <c r="CY102">
        <f>IFERROR(VLOOKUP(DF102,源_6社保表_Sheet1!$C:$I,5,FALSE),0)</f>
        <v>7162</v>
      </c>
      <c r="CZ102">
        <f>IFERROR(VLOOKUP(DF102,源_6社保表_Sheet1!$C:$I,6,FALSE),0)</f>
        <v>0</v>
      </c>
      <c r="DA102">
        <f t="shared" si="50"/>
        <v>4712.4356263868067</v>
      </c>
      <c r="DB102">
        <f t="shared" si="51"/>
        <v>4793.2942639430285</v>
      </c>
      <c r="DC102" t="str">
        <f>IFERROR(VLOOKUP(K102,源_7银行卡表_Sheet1!$A:$J,8,FALSE),"")</f>
        <v>招商银行</v>
      </c>
      <c r="DD102" t="str">
        <f>IFERROR(VLOOKUP(K102,源_7银行卡表_Sheet1!$A:$J,9,FALSE),"")</f>
        <v>6288788772857207812</v>
      </c>
      <c r="DE102" t="str">
        <f>IFERROR(VLOOKUP(K102,源_7银行卡表_Sheet1!$A:$J,10,FALSE),"")</f>
        <v>上海市普陀支行</v>
      </c>
      <c r="DF102" t="s">
        <v>601</v>
      </c>
      <c r="DG102">
        <v>17780342302</v>
      </c>
      <c r="DH102" t="s">
        <v>148</v>
      </c>
      <c r="DI102">
        <v>0</v>
      </c>
      <c r="DJ102">
        <v>0</v>
      </c>
      <c r="DK102">
        <v>0</v>
      </c>
      <c r="DL102">
        <v>0</v>
      </c>
      <c r="DM102">
        <v>0</v>
      </c>
      <c r="DN102">
        <v>0</v>
      </c>
      <c r="DO102">
        <v>0</v>
      </c>
      <c r="DP102">
        <v>0</v>
      </c>
      <c r="DQ102">
        <v>0</v>
      </c>
      <c r="DR102">
        <f>IF(OR(IFERROR(VLOOKUP(K102,源_3考勤报表_考勤表!$F:$BG,39,FALSE),0)+IFERROR(VLOOKUP(K102,源_8补工时表_补当月工时!$A:$AC,24,FALSE),0)=0,IFERROR(VLOOKUP(K102,源_3考勤报表_考勤表!$F:$BG,43,FALSE),0)+IFERROR(VLOOKUP(K102,源_8补工时表_补当月工时!$A:$AC,26,FALSE),0)=0),IF(BI102+BG102-BT102&lt;0,BI102+BG102-BT102,0),0)</f>
        <v>0</v>
      </c>
    </row>
    <row r="103" spans="1:122" x14ac:dyDescent="0.15">
      <c r="A103">
        <f>参数!$B$2</f>
        <v>2025</v>
      </c>
      <c r="B103">
        <f>参数!$B$3</f>
        <v>12</v>
      </c>
      <c r="D103" t="s">
        <v>602</v>
      </c>
      <c r="E103" t="s">
        <v>123</v>
      </c>
      <c r="F103" t="str">
        <f>IFERROR(VLOOKUP(K103,源_7银行卡表_Sheet1!$A:$J,6,FALSE),"")</f>
        <v>华东营运</v>
      </c>
      <c r="G103" t="s">
        <v>174</v>
      </c>
      <c r="H103" t="s">
        <v>603</v>
      </c>
      <c r="I103" t="s">
        <v>604</v>
      </c>
      <c r="J103">
        <v>1</v>
      </c>
      <c r="K103">
        <v>26123102</v>
      </c>
      <c r="L103" t="s">
        <v>605</v>
      </c>
      <c r="M103" t="s">
        <v>128</v>
      </c>
      <c r="N103" t="s">
        <v>606</v>
      </c>
      <c r="P103" t="s">
        <v>131</v>
      </c>
      <c r="Q103">
        <f>IF(P103="门店全职",IFERROR(VLOOKUP(K103,源_3考勤报表_考勤表!$F:$BG,34,FALSE),0)+IFERROR(VLOOKUP(K103,源_8补工时表_补当月工时!$A:$AC,14,FALSE),0),IF(P103="门店管理组",IF(IFERROR(VLOOKUP(K103,源_3考勤报表_考勤表!$F:$BG,34,FALSE),0)+IFERROR(VLOOKUP(K103,源_8补工时表_补当月工时!$A:$AC,14,FALSE),0)+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44,FALSE),0)+IFERROR(VLOOKUP(K103,源_8补工时表_补当月工时!$A:$AC,16,FALSE),0)+IFERROR(VLOOKUP(K103,源_3考勤报表_考勤表!$F:$BG,45,FALSE),0)&gt;=参数!$B$4,参数!$B$4-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44,FALSE),0)-IFERROR(VLOOKUP(K103,源_8补工时表_补当月工时!$A:$AC,16,FALSE),0)-IFERROR(VLOOKUP(K103,源_3考勤报表_考勤表!$F:$BG,45,FALSE),0),IFERROR(VLOOKUP(K103,源_3考勤报表_考勤表!$F:$BG,34,FALSE),0)+IFERROR(VLOOKUP(K103,源_8补工时表_补当月工时!$A:$AC,14,FALSE),0)),0))</f>
        <v>152</v>
      </c>
      <c r="R103">
        <v>6100</v>
      </c>
      <c r="S103">
        <v>0</v>
      </c>
      <c r="T103">
        <f>IF(P103="门店全职",R103/参数!$B$4*(Q103-MAX(IFERROR(VLOOKUP(K103,源_3考勤报表_考勤表!$F:$BG,34,FALSE),0)+IFERROR(VLOOKUP(K103,源_8补工时表_补当月工时!$A:$AC,14,FALSE),0)+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参数!$B$4,0)),R103/参数!$B$4*Q103)</f>
        <v>5039.1304347826081</v>
      </c>
      <c r="U103">
        <v>0</v>
      </c>
      <c r="V103">
        <v>0</v>
      </c>
      <c r="W103">
        <f t="shared" si="39"/>
        <v>0</v>
      </c>
      <c r="X103">
        <f>IFERROR(VLOOKUP(K103,源_4奖金汇总表_拆分手工算!$A:$N,8,FALSE),0)</f>
        <v>0</v>
      </c>
      <c r="Y103">
        <f>IFERROR(VLOOKUP(K103,源_5薪资备忘录_工资调整项!$A:$AC,14,FALSE),0)</f>
        <v>0</v>
      </c>
      <c r="Z103">
        <f>IFERROR(VLOOKUP(K103,源_5薪资备忘录_工资调整项!$A:$AC,16,FALSE),0)</f>
        <v>0</v>
      </c>
      <c r="AA103">
        <f>IFERROR(VLOOKUP(K103,源_5薪资备忘录_工资调整项!$A:$AC,15,FALSE),0)</f>
        <v>0</v>
      </c>
      <c r="AB103">
        <f t="shared" si="40"/>
        <v>0</v>
      </c>
      <c r="AC103">
        <f>IF(P103="门店全职",R103/174*MAX(IFERROR(VLOOKUP(K103,源_3考勤报表_考勤表!$F:$BG,34,FALSE),0)+IFERROR(VLOOKUP(K103,源_8补工时表_补当月工时!$A:$AC,14,FALSE),0)+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参数!$B$4,0)*1.5,0)</f>
        <v>0</v>
      </c>
      <c r="AD103">
        <v>0</v>
      </c>
      <c r="AE103">
        <f>IFERROR(VLOOKUP(K103,源_3考勤报表_考勤表!$F:$BG,46,FALSE),0)+IFERROR(VLOOKUP(K103,源_8补工时表_补当月工时!$A:$AC,25,FALSE),0)</f>
        <v>0</v>
      </c>
      <c r="AF103">
        <f t="shared" si="41"/>
        <v>0</v>
      </c>
      <c r="AG103">
        <f>IFERROR(VLOOKUP(K103,源_4奖金汇总表_拆分手工算!$A:$N,10,FALSE),0)</f>
        <v>0</v>
      </c>
      <c r="AH103">
        <f>IFERROR(VLOOKUP(K103,源_4奖金汇总表_拆分手工算!$A:$N,5,FALSE),0)</f>
        <v>0</v>
      </c>
      <c r="AI103">
        <f>IFERROR(VLOOKUP(K103,源_4奖金汇总表_拆分手工算!$A:$N,11,FALSE),0)</f>
        <v>0</v>
      </c>
      <c r="AJ103">
        <f>IFERROR(VLOOKUP(K103,源_4奖金汇总表_拆分手工算!$A:$N,4,FALSE),0)</f>
        <v>0</v>
      </c>
      <c r="AK103">
        <f>IFERROR(VLOOKUP(K103,源_4奖金汇总表_拆分手工算!$A:$N,3,FALSE),0)</f>
        <v>0</v>
      </c>
      <c r="AL103">
        <f>IFERROR(VLOOKUP(K103,源_4奖金汇总表_拆分手工算!$A:$N,6,FALSE),0)</f>
        <v>0</v>
      </c>
      <c r="AM103">
        <f>IFERROR(VLOOKUP(K103,源_5薪资备忘录_工资调整项!$A:$AC,18,FALSE),0)+IFERROR(VLOOKUP(K103,源_4奖金汇总表_拆分手工算!$A:$N,7,FALSE),0)</f>
        <v>0</v>
      </c>
      <c r="AN103">
        <f>IFERROR(VLOOKUP(K103,源_5薪资备忘录_工资调整项!$A:$AC,17,FALSE),0)</f>
        <v>0</v>
      </c>
      <c r="AO103">
        <f>IF(OR(IFERROR(VLOOKUP(K103,源_3考勤报表_考勤表!$F:$BG,39,FALSE),0)+IFERROR(VLOOKUP(K103,源_8补工时表_补当月工时!$A:$AC,24,FALSE),0)&gt;0,IFERROR(VLOOKUP(K103,源_3考勤报表_考勤表!$F:$BG,43,FALSE),0)+IFERROR(VLOOKUP(K103,源_8补工时表_补当月工时!$A:$AC,26,FALSE),0)&gt;0),IF(IFERROR(VLOOKUP(DH103,源_11产假政策_Sheet1!$C:$F,4,FALSE),"")="是",R103/参数!$B$4*(IFERROR(VLOOKUP(K103,源_3考勤报表_考勤表!$F:$BG,39,FALSE),0)+IFERROR(VLOOKUP(K103,源_8补工时表_补当月工时!$A:$AC,24,FALSE),0)+IFERROR(VLOOKUP(K103,源_3考勤报表_考勤表!$F:$BG,43,FALSE),0)+IFERROR(VLOOKUP(K103,源_8补工时表_补当月工时!$A:$AC,26,FALSE),0)),IFERROR(VLOOKUP(K103,源_5薪资备忘录_工资调整项!$A:$AC,19,FALSE),0)),0)</f>
        <v>0</v>
      </c>
      <c r="AP103">
        <v>0</v>
      </c>
      <c r="AQ103">
        <f>IFERROR(VLOOKUP(K103,源_4奖金汇总表_拆分手工算!$A:$N,12,FALSE),0)+IFERROR(VLOOKUP(K103,源_9年终奖表_Sheet1!$A:$E,3,FALSE),0)</f>
        <v>1200</v>
      </c>
      <c r="AR103">
        <f>IFERROR(VLOOKUP(K103,源_4奖金汇总表_拆分手工算!$A:$N,13,FALSE),0)+IFERROR(VLOOKUP(K103,源_9年终奖表_Sheet1!$A:$E,4,FALSE),0)</f>
        <v>600</v>
      </c>
      <c r="AS103">
        <f>IFERROR(VLOOKUP(K103,源_4奖金汇总表_拆分手工算!$A:$N,14,FALSE),0)+IFERROR(VLOOKUP(K103,源_9年终奖表_Sheet1!$A:$E,5,FALSE),0)</f>
        <v>222.77</v>
      </c>
      <c r="AT103">
        <f>IFERROR(VLOOKUP(K103,源_5薪资备忘录_工资调整项!$A:$AC,20,FALSE),0)</f>
        <v>0</v>
      </c>
      <c r="AU103">
        <f>IFERROR(VLOOKUP(K103,源_5薪资备忘录_工资调整项!$A:$AC,21,FALSE),0)+IFERROR(VLOOKUP(K103,源_4奖金汇总表_拆分手工算!$A:$N,9,FALSE),0)</f>
        <v>0</v>
      </c>
      <c r="AV103">
        <f>R103/参数!$B$4*(IFERROR(VLOOKUP(K103,源_3考勤报表_考勤表!$F:$BG,37,FALSE),0)+IFERROR(VLOOKUP(K103,源_8补工时表_补当月工时!$A:$AC,15,FALSE),0))</f>
        <v>265.21739130434781</v>
      </c>
      <c r="AW103">
        <f>R103/174*MIN(IFERROR(VLOOKUP(K103,源_3考勤报表_考勤表!$F:$BG,35,FALSE),0),174)*IF(DATEDIF(N103,DATE(参数!$B$2,参数!$B$3+1,0),"Y")&lt;2,0.6,IF(DATEDIF(N103,DATE(参数!$B$2,参数!$B$3+1,0),"Y")&lt;4,0.7,IF(DATEDIF(N103,DATE(参数!$B$2,参数!$B$3+1,0),"Y")&lt;6,0.8,IF(DATEDIF(N103,DATE(参数!$B$2,参数!$B$3+1,0),"Y")&lt;8,0.9,1))))</f>
        <v>0</v>
      </c>
      <c r="AX103">
        <f>IF(Q103+IFERROR(VLOOKUP(K103,源_3考勤报表_考勤表!$F:$BG,37,FALSE),0)+IFERROR(VLOOKUP(K103,源_8补工时表_补当月工时!$A:$AC,15,FALSE),0)&gt;=参数!$B$4,0,IF(Q103+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lt;=参数!$B$4,R103/参数!$B$4*(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0))</f>
        <v>795.6521739130435</v>
      </c>
      <c r="AY103">
        <v>0</v>
      </c>
      <c r="AZ103">
        <v>0</v>
      </c>
      <c r="BA103">
        <v>0</v>
      </c>
      <c r="BB103">
        <v>0</v>
      </c>
      <c r="BC103">
        <f>IFERROR(VLOOKUP(K103,源_5薪资备忘录_工资调整项!$A:$AC,25,FALSE),0)</f>
        <v>0</v>
      </c>
      <c r="BD103">
        <v>0</v>
      </c>
      <c r="BE103">
        <v>0</v>
      </c>
      <c r="BF103">
        <v>0</v>
      </c>
      <c r="BG103">
        <f>IFERROR(VLOOKUP(K103,源_5薪资备忘录_工资调整项!$A:$AC,22,FALSE),0)+IFERROR(VLOOKUP(K103,源_5薪资备忘录_工资调整项!$A:$AC,23,FALSE),0)+IFERROR(VLOOKUP(K103,源_5薪资备忘录_工资调整项!$A:$AC,24,FALSE),0)</f>
        <v>100</v>
      </c>
      <c r="BH103">
        <f>IFERROR(VLOOKUP(DF103,源_6社保表_Sheet1!$C:$CD,80,FALSE),0)+4.5</f>
        <v>6.5</v>
      </c>
      <c r="BI103">
        <f t="shared" si="42"/>
        <v>8122.77</v>
      </c>
      <c r="BJ103">
        <f>IFERROR(VLOOKUP(DF103,源_6社保表_Sheet1!$C:$BZ,26,FALSE),0)</f>
        <v>427</v>
      </c>
      <c r="BK103">
        <f>IFERROR(VLOOKUP(DF103,源_6社保表_Sheet1!$C:$BZ,27,FALSE),0)</f>
        <v>61</v>
      </c>
      <c r="BL103">
        <f>IFERROR(VLOOKUP(DF103,源_6社保表_Sheet1!$C:$BZ,28,FALSE),0)</f>
        <v>30.5</v>
      </c>
      <c r="BM103">
        <f>IFERROR(VLOOKUP(DF103,源_6社保表_Sheet1!$C:$BZ,30,FALSE),0)</f>
        <v>366</v>
      </c>
      <c r="BN103">
        <f>IFERROR(VLOOKUP(DF103,源_6社保表_Sheet1!$C:$BZ,29,FALSE),0)</f>
        <v>0</v>
      </c>
      <c r="BO103">
        <f>IFERROR(VLOOKUP(DF103,源_6社保表_Sheet1!$C:$BZ,40,FALSE),0)</f>
        <v>0</v>
      </c>
      <c r="BP103">
        <f>IFERROR(VLOOKUP(DF103,源_6社保表_Sheet1!$C:$BZ,41,FALSE),0)</f>
        <v>0</v>
      </c>
      <c r="BQ103">
        <f>IFERROR(VLOOKUP(DF103,源_6社保表_Sheet1!$C:$BZ,42,FALSE),0)</f>
        <v>0</v>
      </c>
      <c r="BR103">
        <f>IFERROR(VLOOKUP(DF103,源_6社保表_Sheet1!$C:$BZ,44,FALSE),0)</f>
        <v>0</v>
      </c>
      <c r="BS103">
        <f>IFERROR(VLOOKUP(DF103,源_6社保表_Sheet1!$C:$BZ,43,FALSE),0)</f>
        <v>0</v>
      </c>
      <c r="BT103">
        <f t="shared" si="43"/>
        <v>884.5</v>
      </c>
      <c r="BU103">
        <v>0</v>
      </c>
      <c r="BV103">
        <v>0</v>
      </c>
      <c r="BW103">
        <v>0</v>
      </c>
      <c r="BX103">
        <f t="shared" si="44"/>
        <v>0</v>
      </c>
      <c r="BY103">
        <v>0</v>
      </c>
      <c r="BZ103">
        <f>IFERROR(VLOOKUP(DF103,源_6社保表_Sheet1!$C:$BZ,18,FALSE),0)</f>
        <v>915</v>
      </c>
      <c r="CA103">
        <f>IFERROR(VLOOKUP(DF103,源_6社保表_Sheet1!$C:$BZ,19,FALSE),0)</f>
        <v>488</v>
      </c>
      <c r="CB103">
        <f>IFERROR(VLOOKUP(DF103,源_6社保表_Sheet1!$C:$BZ,24,FALSE),0)</f>
        <v>366</v>
      </c>
      <c r="CC103">
        <f>IFERROR(VLOOKUP(DF103,源_6社保表_Sheet1!$C:$BZ,20,FALSE),0)</f>
        <v>30.5</v>
      </c>
      <c r="CD103">
        <f>IFERROR(VLOOKUP(DF103,源_6社保表_Sheet1!$C:$BZ,21,FALSE),0)</f>
        <v>19.52</v>
      </c>
      <c r="CE103">
        <f>IFERROR(VLOOKUP(DF103,源_6社保表_Sheet1!$C:$BZ,22,FALSE),0)</f>
        <v>0</v>
      </c>
      <c r="CF103">
        <f>IFERROR(VLOOKUP(DF103,源_6社保表_Sheet1!$C:$BZ,23,FALSE),0)</f>
        <v>0</v>
      </c>
      <c r="CG103">
        <f>IFERROR(VLOOKUP(DF103,源_6社保表_Sheet1!$C:$BZ,32,FALSE),0)</f>
        <v>0</v>
      </c>
      <c r="CH103">
        <f>IFERROR(VLOOKUP(DF103,源_6社保表_Sheet1!$C:$BZ,33,FALSE),0)</f>
        <v>0</v>
      </c>
      <c r="CI103">
        <f>IFERROR(VLOOKUP(DF103,源_6社保表_Sheet1!$C:$BZ,34,FALSE),0)</f>
        <v>0</v>
      </c>
      <c r="CJ103">
        <f>IFERROR(VLOOKUP(DF103,源_6社保表_Sheet1!$C:$BZ,38,FALSE),0)</f>
        <v>0</v>
      </c>
      <c r="CK103">
        <f>IFERROR(VLOOKUP(DF103,源_6社保表_Sheet1!$C:$BZ,35,FALSE),0)</f>
        <v>0</v>
      </c>
      <c r="CL103">
        <f>IFERROR(VLOOKUP(DF103,源_6社保表_Sheet1!$C:$BZ,36,FALSE),0)</f>
        <v>0</v>
      </c>
      <c r="CM103">
        <f>IFERROR(VLOOKUP(DF103,源_6社保表_Sheet1!$C:$BZ,37,FALSE),0)</f>
        <v>0</v>
      </c>
      <c r="CN103">
        <f t="shared" si="45"/>
        <v>1819.02</v>
      </c>
      <c r="CO103">
        <f t="shared" si="46"/>
        <v>10048.290000000001</v>
      </c>
      <c r="CP103">
        <f>IF(IFERROR(VLOOKUP(K103,源_13残疾人信息_残疾人信息!$A:$M,1,FALSE),"")&lt;&gt;"",0,IF(OR(P103="门店全职",P103="门店管理组",P103="全职(非门店)"),(BI103-AT103)*IFERROR(VLOOKUP(D103,源_12计提残保金规则_Sheet1!$A:$E,4,FALSE),0)*IFERROR(VLOOKUP(D103,源_12计提残保金规则_Sheet1!$A:$E,5,FALSE),0),0))</f>
        <v>109.65739499999999</v>
      </c>
      <c r="CQ103">
        <f t="shared" si="47"/>
        <v>16.05</v>
      </c>
      <c r="CR103">
        <f t="shared" si="48"/>
        <v>20.67</v>
      </c>
      <c r="CS103">
        <f>IF(DATEVALUE(N103)&gt;DATE(参数!$B$2,9,30),0,IF(M103="行政",0,IF(O103="",R103/12,IF(MONTH(DATEVALUE(O103))=参数!$B$3,0,IF(DATEVALUE(O103)&lt;DATE(参数!$B$2,参数!$B$3,1),0,R103/12)))))</f>
        <v>0</v>
      </c>
      <c r="CT103">
        <f t="shared" si="49"/>
        <v>622.19999999999993</v>
      </c>
      <c r="CU103">
        <f>IFERROR(VLOOKUP(DF103,源_6社保表_Sheet1!$C:$I,2,FALSE),0)</f>
        <v>6100</v>
      </c>
      <c r="CV103">
        <f>IFERROR(VLOOKUP(DF103,源_6社保表_Sheet1!$C:$I,7,FALSE),0)</f>
        <v>6100</v>
      </c>
      <c r="CW103">
        <f>IFERROR(VLOOKUP(DF103,源_6社保表_Sheet1!$C:$I,3,FALSE),0)</f>
        <v>6100</v>
      </c>
      <c r="CX103">
        <f>IFERROR(VLOOKUP(DF103,源_6社保表_Sheet1!$C:$I,4,FALSE),0)</f>
        <v>6100</v>
      </c>
      <c r="CY103">
        <f>IFERROR(VLOOKUP(DF103,源_6社保表_Sheet1!$C:$I,5,FALSE),0)</f>
        <v>6100</v>
      </c>
      <c r="CZ103">
        <f>IFERROR(VLOOKUP(DF103,源_6社保表_Sheet1!$C:$I,6,FALSE),0)</f>
        <v>0</v>
      </c>
      <c r="DA103">
        <f t="shared" si="50"/>
        <v>7919.02</v>
      </c>
      <c r="DB103">
        <f t="shared" si="51"/>
        <v>8694.0973950000007</v>
      </c>
      <c r="DC103" t="str">
        <f>IFERROR(VLOOKUP(K103,源_7银行卡表_Sheet1!$A:$J,8,FALSE),"")</f>
        <v>招商银行</v>
      </c>
      <c r="DD103" t="str">
        <f>IFERROR(VLOOKUP(K103,源_7银行卡表_Sheet1!$A:$J,9,FALSE),"")</f>
        <v>6285117760980063850</v>
      </c>
      <c r="DE103" t="str">
        <f>IFERROR(VLOOKUP(K103,源_7银行卡表_Sheet1!$A:$J,10,FALSE),"")</f>
        <v>上海天钥桥支行</v>
      </c>
      <c r="DF103" t="s">
        <v>607</v>
      </c>
      <c r="DG103">
        <v>14591333716</v>
      </c>
      <c r="DH103" t="s">
        <v>174</v>
      </c>
      <c r="DI103">
        <v>0</v>
      </c>
      <c r="DJ103">
        <v>0</v>
      </c>
      <c r="DK103">
        <v>0</v>
      </c>
      <c r="DL103">
        <v>0</v>
      </c>
      <c r="DM103">
        <v>0</v>
      </c>
      <c r="DN103">
        <v>0</v>
      </c>
      <c r="DO103">
        <v>0</v>
      </c>
      <c r="DP103">
        <v>0</v>
      </c>
      <c r="DQ103">
        <v>0</v>
      </c>
      <c r="DR103">
        <f>IF(OR(IFERROR(VLOOKUP(K103,源_3考勤报表_考勤表!$F:$BG,39,FALSE),0)+IFERROR(VLOOKUP(K103,源_8补工时表_补当月工时!$A:$AC,24,FALSE),0)=0,IFERROR(VLOOKUP(K103,源_3考勤报表_考勤表!$F:$BG,43,FALSE),0)+IFERROR(VLOOKUP(K103,源_8补工时表_补当月工时!$A:$AC,26,FALSE),0)=0),IF(BI103+BG103-BT103&lt;0,BI103+BG103-BT103,0),0)</f>
        <v>0</v>
      </c>
    </row>
    <row r="104" spans="1:122" x14ac:dyDescent="0.15">
      <c r="A104">
        <f>参数!$B$2</f>
        <v>2025</v>
      </c>
      <c r="B104">
        <f>参数!$B$3</f>
        <v>12</v>
      </c>
      <c r="D104" t="s">
        <v>608</v>
      </c>
      <c r="E104" t="s">
        <v>123</v>
      </c>
      <c r="F104" t="str">
        <f>IFERROR(VLOOKUP(K104,源_7银行卡表_Sheet1!$A:$J,6,FALSE),"")</f>
        <v>华东营运</v>
      </c>
      <c r="G104" t="s">
        <v>609</v>
      </c>
      <c r="H104" t="s">
        <v>610</v>
      </c>
      <c r="I104" t="s">
        <v>611</v>
      </c>
      <c r="J104">
        <v>1</v>
      </c>
      <c r="K104">
        <v>26123103</v>
      </c>
      <c r="L104" t="s">
        <v>612</v>
      </c>
      <c r="M104" t="s">
        <v>170</v>
      </c>
      <c r="N104" t="s">
        <v>613</v>
      </c>
      <c r="P104" t="s">
        <v>154</v>
      </c>
      <c r="Q104">
        <f>IF(P104="门店全职",IFERROR(VLOOKUP(K104,源_3考勤报表_考勤表!$F:$BG,34,FALSE),0)+IFERROR(VLOOKUP(K104,源_8补工时表_补当月工时!$A:$AC,14,FALSE),0),IF(P104="门店管理组",IF(IFERROR(VLOOKUP(K104,源_3考勤报表_考勤表!$F:$BG,34,FALSE),0)+IFERROR(VLOOKUP(K104,源_8补工时表_补当月工时!$A:$AC,14,FALSE),0)+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44,FALSE),0)+IFERROR(VLOOKUP(K104,源_8补工时表_补当月工时!$A:$AC,16,FALSE),0)+IFERROR(VLOOKUP(K104,源_3考勤报表_考勤表!$F:$BG,45,FALSE),0)&gt;=参数!$B$4,参数!$B$4-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44,FALSE),0)-IFERROR(VLOOKUP(K104,源_8补工时表_补当月工时!$A:$AC,16,FALSE),0)-IFERROR(VLOOKUP(K104,源_3考勤报表_考勤表!$F:$BG,45,FALSE),0),IFERROR(VLOOKUP(K104,源_3考勤报表_考勤表!$F:$BG,34,FALSE),0)+IFERROR(VLOOKUP(K104,源_8补工时表_补当月工时!$A:$AC,14,FALSE),0)),0))</f>
        <v>160</v>
      </c>
      <c r="R104">
        <v>3030</v>
      </c>
      <c r="S104">
        <v>0</v>
      </c>
      <c r="T104">
        <f>IF(P104="门店全职",R104/参数!$B$4*(Q104-MAX(IFERROR(VLOOKUP(K104,源_3考勤报表_考勤表!$F:$BG,34,FALSE),0)+IFERROR(VLOOKUP(K104,源_8补工时表_补当月工时!$A:$AC,14,FALSE),0)+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参数!$B$4,0)),R104/参数!$B$4*Q104)</f>
        <v>2634.782608695652</v>
      </c>
      <c r="U104">
        <v>0</v>
      </c>
      <c r="V104">
        <v>0</v>
      </c>
      <c r="W104">
        <f t="shared" si="39"/>
        <v>0</v>
      </c>
      <c r="X104">
        <f>IFERROR(VLOOKUP(K104,源_4奖金汇总表_拆分手工算!$A:$N,8,FALSE),0)</f>
        <v>0</v>
      </c>
      <c r="Y104">
        <f>IFERROR(VLOOKUP(K104,源_5薪资备忘录_工资调整项!$A:$AC,14,FALSE),0)</f>
        <v>0</v>
      </c>
      <c r="Z104">
        <f>IFERROR(VLOOKUP(K104,源_5薪资备忘录_工资调整项!$A:$AC,16,FALSE),0)</f>
        <v>0</v>
      </c>
      <c r="AA104">
        <f>IFERROR(VLOOKUP(K104,源_5薪资备忘录_工资调整项!$A:$AC,15,FALSE),0)</f>
        <v>0</v>
      </c>
      <c r="AB104">
        <f t="shared" si="40"/>
        <v>626.89655172413802</v>
      </c>
      <c r="AC104">
        <f>IF(P104="门店全职",R104/174*MAX(IFERROR(VLOOKUP(K104,源_3考勤报表_考勤表!$F:$BG,34,FALSE),0)+IFERROR(VLOOKUP(K104,源_8补工时表_补当月工时!$A:$AC,14,FALSE),0)+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参数!$B$4,0)*1.5,0)</f>
        <v>0</v>
      </c>
      <c r="AD104">
        <v>0</v>
      </c>
      <c r="AE104">
        <f>IFERROR(VLOOKUP(K104,源_3考勤报表_考勤表!$F:$BG,46,FALSE),0)+IFERROR(VLOOKUP(K104,源_8补工时表_补当月工时!$A:$AC,25,FALSE),0)</f>
        <v>12</v>
      </c>
      <c r="AF104">
        <f t="shared" si="41"/>
        <v>626.89655172413802</v>
      </c>
      <c r="AG104">
        <f>IFERROR(VLOOKUP(K104,源_4奖金汇总表_拆分手工算!$A:$N,10,FALSE),0)</f>
        <v>0</v>
      </c>
      <c r="AH104">
        <f>IFERROR(VLOOKUP(K104,源_4奖金汇总表_拆分手工算!$A:$N,5,FALSE),0)</f>
        <v>0</v>
      </c>
      <c r="AI104">
        <f>IFERROR(VLOOKUP(K104,源_4奖金汇总表_拆分手工算!$A:$N,11,FALSE),0)</f>
        <v>0</v>
      </c>
      <c r="AJ104">
        <f>IFERROR(VLOOKUP(K104,源_4奖金汇总表_拆分手工算!$A:$N,4,FALSE),0)</f>
        <v>0</v>
      </c>
      <c r="AK104">
        <f>IFERROR(VLOOKUP(K104,源_4奖金汇总表_拆分手工算!$A:$N,3,FALSE),0)</f>
        <v>0</v>
      </c>
      <c r="AL104">
        <f>IFERROR(VLOOKUP(K104,源_4奖金汇总表_拆分手工算!$A:$N,6,FALSE),0)</f>
        <v>0</v>
      </c>
      <c r="AM104">
        <f>IFERROR(VLOOKUP(K104,源_5薪资备忘录_工资调整项!$A:$AC,18,FALSE),0)+IFERROR(VLOOKUP(K104,源_4奖金汇总表_拆分手工算!$A:$N,7,FALSE),0)</f>
        <v>0</v>
      </c>
      <c r="AN104">
        <f>IFERROR(VLOOKUP(K104,源_5薪资备忘录_工资调整项!$A:$AC,17,FALSE),0)</f>
        <v>100</v>
      </c>
      <c r="AO104">
        <f>IF(OR(IFERROR(VLOOKUP(K104,源_3考勤报表_考勤表!$F:$BG,39,FALSE),0)+IFERROR(VLOOKUP(K104,源_8补工时表_补当月工时!$A:$AC,24,FALSE),0)&gt;0,IFERROR(VLOOKUP(K104,源_3考勤报表_考勤表!$F:$BG,43,FALSE),0)+IFERROR(VLOOKUP(K104,源_8补工时表_补当月工时!$A:$AC,26,FALSE),0)&gt;0),IF(IFERROR(VLOOKUP(DH104,源_11产假政策_Sheet1!$C:$F,4,FALSE),"")="是",R104/参数!$B$4*(IFERROR(VLOOKUP(K104,源_3考勤报表_考勤表!$F:$BG,39,FALSE),0)+IFERROR(VLOOKUP(K104,源_8补工时表_补当月工时!$A:$AC,24,FALSE),0)+IFERROR(VLOOKUP(K104,源_3考勤报表_考勤表!$F:$BG,43,FALSE),0)+IFERROR(VLOOKUP(K104,源_8补工时表_补当月工时!$A:$AC,26,FALSE),0)),IFERROR(VLOOKUP(K104,源_5薪资备忘录_工资调整项!$A:$AC,19,FALSE),0)),0)</f>
        <v>0</v>
      </c>
      <c r="AP104">
        <v>0</v>
      </c>
      <c r="AQ104">
        <f>IFERROR(VLOOKUP(K104,源_4奖金汇总表_拆分手工算!$A:$N,12,FALSE),0)+IFERROR(VLOOKUP(K104,源_9年终奖表_Sheet1!$A:$E,3,FALSE),0)</f>
        <v>0</v>
      </c>
      <c r="AR104">
        <f>IFERROR(VLOOKUP(K104,源_4奖金汇总表_拆分手工算!$A:$N,13,FALSE),0)+IFERROR(VLOOKUP(K104,源_9年终奖表_Sheet1!$A:$E,4,FALSE),0)</f>
        <v>0</v>
      </c>
      <c r="AS104">
        <f>IFERROR(VLOOKUP(K104,源_4奖金汇总表_拆分手工算!$A:$N,14,FALSE),0)+IFERROR(VLOOKUP(K104,源_9年终奖表_Sheet1!$A:$E,5,FALSE),0)</f>
        <v>0</v>
      </c>
      <c r="AT104">
        <f>IFERROR(VLOOKUP(K104,源_5薪资备忘录_工资调整项!$A:$AC,20,FALSE),0)</f>
        <v>0</v>
      </c>
      <c r="AU104">
        <f>IFERROR(VLOOKUP(K104,源_5薪资备忘录_工资调整项!$A:$AC,21,FALSE),0)+IFERROR(VLOOKUP(K104,源_4奖金汇总表_拆分手工算!$A:$N,9,FALSE),0)</f>
        <v>0</v>
      </c>
      <c r="AV104">
        <f>R104/参数!$B$4*(IFERROR(VLOOKUP(K104,源_3考勤报表_考勤表!$F:$BG,37,FALSE),0)+IFERROR(VLOOKUP(K104,源_8补工时表_补当月工时!$A:$AC,15,FALSE),0))</f>
        <v>0</v>
      </c>
      <c r="AW104">
        <f>R104/174*MIN(IFERROR(VLOOKUP(K104,源_3考勤报表_考勤表!$F:$BG,35,FALSE),0),174)*IF(DATEDIF(N104,DATE(参数!$B$2,参数!$B$3+1,0),"Y")&lt;2,0.6,IF(DATEDIF(N104,DATE(参数!$B$2,参数!$B$3+1,0),"Y")&lt;4,0.7,IF(DATEDIF(N104,DATE(参数!$B$2,参数!$B$3+1,0),"Y")&lt;6,0.8,IF(DATEDIF(N104,DATE(参数!$B$2,参数!$B$3+1,0),"Y")&lt;8,0.9,1))))</f>
        <v>0</v>
      </c>
      <c r="AX104">
        <f>IF(Q104+IFERROR(VLOOKUP(K104,源_3考勤报表_考勤表!$F:$BG,37,FALSE),0)+IFERROR(VLOOKUP(K104,源_8补工时表_补当月工时!$A:$AC,15,FALSE),0)&gt;=参数!$B$4,0,IF(Q104+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lt;=参数!$B$4,R104/参数!$B$4*(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0))</f>
        <v>32.934782608695649</v>
      </c>
      <c r="AY104">
        <v>0</v>
      </c>
      <c r="AZ104">
        <v>0</v>
      </c>
      <c r="BA104">
        <v>0</v>
      </c>
      <c r="BB104">
        <v>0</v>
      </c>
      <c r="BC104">
        <f>IFERROR(VLOOKUP(K104,源_5薪资备忘录_工资调整项!$A:$AC,25,FALSE),0)</f>
        <v>0</v>
      </c>
      <c r="BD104">
        <v>0</v>
      </c>
      <c r="BE104">
        <v>0</v>
      </c>
      <c r="BF104">
        <v>0</v>
      </c>
      <c r="BG104">
        <f>IFERROR(VLOOKUP(K104,源_5薪资备忘录_工资调整项!$A:$AC,22,FALSE),0)+IFERROR(VLOOKUP(K104,源_5薪资备忘录_工资调整项!$A:$AC,23,FALSE),0)+IFERROR(VLOOKUP(K104,源_5薪资备忘录_工资调整项!$A:$AC,24,FALSE),0)</f>
        <v>0</v>
      </c>
      <c r="BH104">
        <f>IFERROR(VLOOKUP(DF104,源_6社保表_Sheet1!$C:$CD,80,FALSE),0)+4.5</f>
        <v>6.5</v>
      </c>
      <c r="BI104">
        <f t="shared" si="42"/>
        <v>3394.6139430284857</v>
      </c>
      <c r="BJ104">
        <f>IFERROR(VLOOKUP(DF104,源_6社保表_Sheet1!$C:$BZ,26,FALSE),0)</f>
        <v>247.6</v>
      </c>
      <c r="BK104">
        <f>IFERROR(VLOOKUP(DF104,源_6社保表_Sheet1!$C:$BZ,27,FALSE),0)</f>
        <v>49.52</v>
      </c>
      <c r="BL104">
        <f>IFERROR(VLOOKUP(DF104,源_6社保表_Sheet1!$C:$BZ,28,FALSE),0)</f>
        <v>24.76</v>
      </c>
      <c r="BM104">
        <f>IFERROR(VLOOKUP(DF104,源_6社保表_Sheet1!$C:$BZ,30,FALSE),0)</f>
        <v>151.5</v>
      </c>
      <c r="BN104">
        <f>IFERROR(VLOOKUP(DF104,源_6社保表_Sheet1!$C:$BZ,29,FALSE),0)</f>
        <v>0</v>
      </c>
      <c r="BO104">
        <f>IFERROR(VLOOKUP(DF104,源_6社保表_Sheet1!$C:$BZ,40,FALSE),0)</f>
        <v>0</v>
      </c>
      <c r="BP104">
        <f>IFERROR(VLOOKUP(DF104,源_6社保表_Sheet1!$C:$BZ,41,FALSE),0)</f>
        <v>0</v>
      </c>
      <c r="BQ104">
        <f>IFERROR(VLOOKUP(DF104,源_6社保表_Sheet1!$C:$BZ,42,FALSE),0)</f>
        <v>0</v>
      </c>
      <c r="BR104">
        <f>IFERROR(VLOOKUP(DF104,源_6社保表_Sheet1!$C:$BZ,44,FALSE),0)</f>
        <v>0</v>
      </c>
      <c r="BS104">
        <f>IFERROR(VLOOKUP(DF104,源_6社保表_Sheet1!$C:$BZ,43,FALSE),0)</f>
        <v>0</v>
      </c>
      <c r="BT104">
        <f t="shared" si="43"/>
        <v>473.38</v>
      </c>
      <c r="BU104">
        <v>0</v>
      </c>
      <c r="BV104">
        <v>0</v>
      </c>
      <c r="BW104">
        <v>0</v>
      </c>
      <c r="BX104">
        <f t="shared" si="44"/>
        <v>0</v>
      </c>
      <c r="BY104">
        <v>0</v>
      </c>
      <c r="BZ104">
        <f>IFERROR(VLOOKUP(DF104,源_6社保表_Sheet1!$C:$BZ,18,FALSE),0)</f>
        <v>594.24</v>
      </c>
      <c r="CA104">
        <f>IFERROR(VLOOKUP(DF104,源_6社保表_Sheet1!$C:$BZ,19,FALSE),0)</f>
        <v>297.12</v>
      </c>
      <c r="CB104">
        <f>IFERROR(VLOOKUP(DF104,源_6社保表_Sheet1!$C:$BZ,24,FALSE),0)</f>
        <v>151.5</v>
      </c>
      <c r="CC104">
        <f>IFERROR(VLOOKUP(DF104,源_6社保表_Sheet1!$C:$BZ,20,FALSE),0)</f>
        <v>24.76</v>
      </c>
      <c r="CD104">
        <f>IFERROR(VLOOKUP(DF104,源_6社保表_Sheet1!$C:$BZ,21,FALSE),0)</f>
        <v>15.846399999999999</v>
      </c>
      <c r="CE104">
        <f>IFERROR(VLOOKUP(DF104,源_6社保表_Sheet1!$C:$BZ,22,FALSE),0)</f>
        <v>0</v>
      </c>
      <c r="CF104">
        <f>IFERROR(VLOOKUP(DF104,源_6社保表_Sheet1!$C:$BZ,23,FALSE),0)</f>
        <v>0</v>
      </c>
      <c r="CG104">
        <f>IFERROR(VLOOKUP(DF104,源_6社保表_Sheet1!$C:$BZ,32,FALSE),0)</f>
        <v>0</v>
      </c>
      <c r="CH104">
        <f>IFERROR(VLOOKUP(DF104,源_6社保表_Sheet1!$C:$BZ,33,FALSE),0)</f>
        <v>0</v>
      </c>
      <c r="CI104">
        <f>IFERROR(VLOOKUP(DF104,源_6社保表_Sheet1!$C:$BZ,34,FALSE),0)</f>
        <v>0</v>
      </c>
      <c r="CJ104">
        <f>IFERROR(VLOOKUP(DF104,源_6社保表_Sheet1!$C:$BZ,38,FALSE),0)</f>
        <v>0</v>
      </c>
      <c r="CK104">
        <f>IFERROR(VLOOKUP(DF104,源_6社保表_Sheet1!$C:$BZ,35,FALSE),0)</f>
        <v>0</v>
      </c>
      <c r="CL104">
        <f>IFERROR(VLOOKUP(DF104,源_6社保表_Sheet1!$C:$BZ,36,FALSE),0)</f>
        <v>0</v>
      </c>
      <c r="CM104">
        <f>IFERROR(VLOOKUP(DF104,源_6社保表_Sheet1!$C:$BZ,37,FALSE),0)</f>
        <v>0</v>
      </c>
      <c r="CN104">
        <f t="shared" si="45"/>
        <v>1083.4664</v>
      </c>
      <c r="CO104">
        <f t="shared" si="46"/>
        <v>4484.5803430284859</v>
      </c>
      <c r="CP104">
        <f>IF(IFERROR(VLOOKUP(K104,源_13残疾人信息_残疾人信息!$A:$M,1,FALSE),"")&lt;&gt;"",0,IF(OR(P104="门店全职",P104="门店管理组",P104="全职(非门店)"),(BI104-AT104)*IFERROR(VLOOKUP(D104,源_12计提残保金规则_Sheet1!$A:$E,4,FALSE),0)*IFERROR(VLOOKUP(D104,源_12计提残保金规则_Sheet1!$A:$E,5,FALSE),0),0))</f>
        <v>45.827288230884555</v>
      </c>
      <c r="CQ104">
        <f t="shared" si="47"/>
        <v>16.05</v>
      </c>
      <c r="CR104">
        <f t="shared" si="48"/>
        <v>20.67</v>
      </c>
      <c r="CS104">
        <f>IF(DATEVALUE(N104)&gt;DATE(参数!$B$2,9,30),0,IF(M104="行政",0,IF(O104="",R104/12,IF(MONTH(DATEVALUE(O104))=参数!$B$3,0,IF(DATEVALUE(O104)&lt;DATE(参数!$B$2,参数!$B$3,1),0,R104/12)))))</f>
        <v>0</v>
      </c>
      <c r="CT104">
        <f t="shared" si="49"/>
        <v>0</v>
      </c>
      <c r="CU104">
        <f>IFERROR(VLOOKUP(DF104,源_6社保表_Sheet1!$C:$I,2,FALSE),0)</f>
        <v>4952</v>
      </c>
      <c r="CV104">
        <f>IFERROR(VLOOKUP(DF104,源_6社保表_Sheet1!$C:$I,7,FALSE),0)</f>
        <v>3030</v>
      </c>
      <c r="CW104">
        <f>IFERROR(VLOOKUP(DF104,源_6社保表_Sheet1!$C:$I,3,FALSE),0)</f>
        <v>4952</v>
      </c>
      <c r="CX104">
        <f>IFERROR(VLOOKUP(DF104,源_6社保表_Sheet1!$C:$I,4,FALSE),0)</f>
        <v>4952</v>
      </c>
      <c r="CY104">
        <f>IFERROR(VLOOKUP(DF104,源_6社保表_Sheet1!$C:$I,5,FALSE),0)</f>
        <v>4952</v>
      </c>
      <c r="CZ104">
        <f>IFERROR(VLOOKUP(DF104,源_6社保表_Sheet1!$C:$I,6,FALSE),0)</f>
        <v>0</v>
      </c>
      <c r="DA104">
        <f t="shared" si="50"/>
        <v>4478.0803430284859</v>
      </c>
      <c r="DB104">
        <f t="shared" si="51"/>
        <v>4567.1276312593709</v>
      </c>
      <c r="DC104" t="str">
        <f>IFERROR(VLOOKUP(K104,源_7银行卡表_Sheet1!$A:$J,8,FALSE),"")</f>
        <v>招商银行</v>
      </c>
      <c r="DD104" t="str">
        <f>IFERROR(VLOOKUP(K104,源_7银行卡表_Sheet1!$A:$J,9,FALSE),"")</f>
        <v>6283512762747449039</v>
      </c>
      <c r="DE104" t="str">
        <f>IFERROR(VLOOKUP(K104,源_7银行卡表_Sheet1!$A:$J,10,FALSE),"")</f>
        <v>上海普陀支行</v>
      </c>
      <c r="DF104" t="s">
        <v>614</v>
      </c>
      <c r="DG104">
        <v>16404868006</v>
      </c>
      <c r="DH104" t="s">
        <v>609</v>
      </c>
      <c r="DI104">
        <v>0</v>
      </c>
      <c r="DJ104">
        <v>0</v>
      </c>
      <c r="DK104">
        <v>0</v>
      </c>
      <c r="DL104">
        <v>0</v>
      </c>
      <c r="DM104">
        <v>0</v>
      </c>
      <c r="DN104">
        <v>0</v>
      </c>
      <c r="DO104">
        <v>0</v>
      </c>
      <c r="DP104">
        <v>0</v>
      </c>
      <c r="DQ104">
        <v>0</v>
      </c>
      <c r="DR104">
        <f>IF(OR(IFERROR(VLOOKUP(K104,源_3考勤报表_考勤表!$F:$BG,39,FALSE),0)+IFERROR(VLOOKUP(K104,源_8补工时表_补当月工时!$A:$AC,24,FALSE),0)=0,IFERROR(VLOOKUP(K104,源_3考勤报表_考勤表!$F:$BG,43,FALSE),0)+IFERROR(VLOOKUP(K104,源_8补工时表_补当月工时!$A:$AC,26,FALSE),0)=0),IF(BI104+BG104-BT104&lt;0,BI104+BG104-BT104,0),0)</f>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3.5" x14ac:dyDescent="0.15"/>
  <sheetData>
    <row r="1" spans="1:2" x14ac:dyDescent="0.15">
      <c r="A1" s="1" t="s">
        <v>10</v>
      </c>
      <c r="B1" s="1" t="s">
        <v>615</v>
      </c>
    </row>
    <row r="2" spans="1:2" x14ac:dyDescent="0.15">
      <c r="A2">
        <v>26123104</v>
      </c>
      <c r="B2" t="s">
        <v>616</v>
      </c>
    </row>
    <row r="3" spans="1:2" x14ac:dyDescent="0.15">
      <c r="A3">
        <v>26123105</v>
      </c>
      <c r="B3" t="s">
        <v>617</v>
      </c>
    </row>
    <row r="4" spans="1:2" x14ac:dyDescent="0.15">
      <c r="A4">
        <v>26123106</v>
      </c>
      <c r="B4" t="s">
        <v>618</v>
      </c>
    </row>
    <row r="5" spans="1:2" x14ac:dyDescent="0.15">
      <c r="A5">
        <v>26123107</v>
      </c>
      <c r="B5" t="s">
        <v>619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
  <sheetViews>
    <sheetView workbookViewId="0"/>
  </sheetViews>
  <sheetFormatPr defaultRowHeight="13.5" x14ac:dyDescent="0.15"/>
  <sheetData>
    <row r="1" spans="1:13" x14ac:dyDescent="0.15">
      <c r="A1" s="1" t="s">
        <v>620</v>
      </c>
      <c r="B1" s="1" t="s">
        <v>621</v>
      </c>
      <c r="C1" s="1" t="s">
        <v>622</v>
      </c>
      <c r="D1" s="1" t="s">
        <v>623</v>
      </c>
      <c r="E1" s="1" t="s">
        <v>624</v>
      </c>
      <c r="F1" s="1" t="s">
        <v>625</v>
      </c>
      <c r="G1" s="1" t="s">
        <v>626</v>
      </c>
      <c r="H1" s="1" t="s">
        <v>627</v>
      </c>
      <c r="I1" s="1" t="s">
        <v>628</v>
      </c>
      <c r="J1" s="1" t="s">
        <v>629</v>
      </c>
      <c r="K1" s="1" t="s">
        <v>630</v>
      </c>
      <c r="L1" s="1" t="s">
        <v>631</v>
      </c>
      <c r="M1" s="1" t="s">
        <v>632</v>
      </c>
    </row>
    <row r="2" spans="1:13" x14ac:dyDescent="0.15">
      <c r="A2" t="s">
        <v>633</v>
      </c>
      <c r="B2" t="s">
        <v>133</v>
      </c>
      <c r="C2" t="s">
        <v>133</v>
      </c>
      <c r="D2" t="s">
        <v>275</v>
      </c>
      <c r="E2" t="s">
        <v>634</v>
      </c>
      <c r="F2" t="s">
        <v>635</v>
      </c>
      <c r="G2" t="s">
        <v>636</v>
      </c>
      <c r="H2" t="s">
        <v>637</v>
      </c>
      <c r="I2" t="s">
        <v>638</v>
      </c>
      <c r="J2" t="s">
        <v>639</v>
      </c>
      <c r="K2" t="s">
        <v>640</v>
      </c>
      <c r="L2" t="s">
        <v>641</v>
      </c>
      <c r="M2" t="s">
        <v>642</v>
      </c>
    </row>
    <row r="3" spans="1:13" x14ac:dyDescent="0.15">
      <c r="B3" t="s">
        <v>643</v>
      </c>
      <c r="C3" t="s">
        <v>644</v>
      </c>
      <c r="D3" t="s">
        <v>645</v>
      </c>
      <c r="E3" t="s">
        <v>634</v>
      </c>
      <c r="F3" t="s">
        <v>646</v>
      </c>
      <c r="G3" t="s">
        <v>647</v>
      </c>
      <c r="H3" t="s">
        <v>648</v>
      </c>
      <c r="I3" t="s">
        <v>649</v>
      </c>
      <c r="J3" t="s">
        <v>650</v>
      </c>
      <c r="K3" t="s">
        <v>651</v>
      </c>
      <c r="L3" t="s">
        <v>651</v>
      </c>
      <c r="M3" t="s">
        <v>652</v>
      </c>
    </row>
    <row r="4" spans="1:13" x14ac:dyDescent="0.15">
      <c r="B4" t="s">
        <v>643</v>
      </c>
      <c r="C4" t="s">
        <v>587</v>
      </c>
      <c r="D4" t="s">
        <v>653</v>
      </c>
      <c r="E4" t="s">
        <v>634</v>
      </c>
      <c r="F4" t="s">
        <v>646</v>
      </c>
      <c r="G4" t="s">
        <v>647</v>
      </c>
      <c r="H4" t="s">
        <v>654</v>
      </c>
      <c r="I4" t="s">
        <v>655</v>
      </c>
      <c r="J4" t="s">
        <v>639</v>
      </c>
      <c r="K4" t="s">
        <v>651</v>
      </c>
      <c r="L4" t="s">
        <v>651</v>
      </c>
      <c r="M4" t="s">
        <v>652</v>
      </c>
    </row>
    <row r="5" spans="1:13" x14ac:dyDescent="0.15">
      <c r="B5" t="s">
        <v>656</v>
      </c>
      <c r="C5" t="s">
        <v>657</v>
      </c>
      <c r="D5" t="s">
        <v>658</v>
      </c>
      <c r="E5" t="s">
        <v>634</v>
      </c>
      <c r="F5" t="s">
        <v>635</v>
      </c>
      <c r="G5" t="s">
        <v>659</v>
      </c>
      <c r="H5" t="s">
        <v>660</v>
      </c>
      <c r="I5" t="s">
        <v>661</v>
      </c>
      <c r="J5" t="s">
        <v>662</v>
      </c>
      <c r="K5" t="s">
        <v>662</v>
      </c>
      <c r="L5" t="s">
        <v>662</v>
      </c>
      <c r="M5" t="s">
        <v>663</v>
      </c>
    </row>
    <row r="6" spans="1:13" x14ac:dyDescent="0.15">
      <c r="B6" t="s">
        <v>656</v>
      </c>
      <c r="C6" t="s">
        <v>609</v>
      </c>
      <c r="D6" t="s">
        <v>664</v>
      </c>
      <c r="E6" t="s">
        <v>634</v>
      </c>
      <c r="F6" t="s">
        <v>635</v>
      </c>
      <c r="G6" t="s">
        <v>659</v>
      </c>
      <c r="H6" t="s">
        <v>665</v>
      </c>
      <c r="I6" t="s">
        <v>661</v>
      </c>
      <c r="J6" t="s">
        <v>662</v>
      </c>
      <c r="K6" t="s">
        <v>662</v>
      </c>
      <c r="L6" t="s">
        <v>662</v>
      </c>
      <c r="M6" t="s">
        <v>663</v>
      </c>
    </row>
    <row r="7" spans="1:13" x14ac:dyDescent="0.15">
      <c r="B7" t="s">
        <v>656</v>
      </c>
      <c r="C7" t="s">
        <v>666</v>
      </c>
      <c r="D7" t="s">
        <v>664</v>
      </c>
      <c r="E7" t="s">
        <v>634</v>
      </c>
      <c r="F7" t="s">
        <v>635</v>
      </c>
      <c r="G7" t="s">
        <v>659</v>
      </c>
      <c r="H7" t="s">
        <v>667</v>
      </c>
      <c r="I7" t="s">
        <v>661</v>
      </c>
      <c r="J7" t="s">
        <v>662</v>
      </c>
      <c r="K7" t="s">
        <v>662</v>
      </c>
      <c r="L7" t="s">
        <v>662</v>
      </c>
      <c r="M7" t="s">
        <v>663</v>
      </c>
    </row>
    <row r="8" spans="1:13" x14ac:dyDescent="0.15">
      <c r="B8" t="s">
        <v>656</v>
      </c>
      <c r="C8" t="s">
        <v>668</v>
      </c>
      <c r="D8" t="s">
        <v>669</v>
      </c>
      <c r="E8" t="s">
        <v>634</v>
      </c>
      <c r="F8" t="s">
        <v>635</v>
      </c>
      <c r="G8" t="s">
        <v>670</v>
      </c>
      <c r="H8" t="s">
        <v>671</v>
      </c>
      <c r="I8" t="s">
        <v>661</v>
      </c>
      <c r="J8" t="s">
        <v>662</v>
      </c>
      <c r="K8" t="s">
        <v>662</v>
      </c>
      <c r="L8" t="s">
        <v>662</v>
      </c>
      <c r="M8" t="s">
        <v>663</v>
      </c>
    </row>
    <row r="9" spans="1:13" x14ac:dyDescent="0.15">
      <c r="B9" t="s">
        <v>656</v>
      </c>
      <c r="C9" t="s">
        <v>672</v>
      </c>
      <c r="D9" t="s">
        <v>673</v>
      </c>
      <c r="E9" t="s">
        <v>634</v>
      </c>
      <c r="F9" t="s">
        <v>635</v>
      </c>
      <c r="G9" t="s">
        <v>670</v>
      </c>
      <c r="H9" t="s">
        <v>674</v>
      </c>
      <c r="I9" t="s">
        <v>661</v>
      </c>
      <c r="J9" t="s">
        <v>662</v>
      </c>
      <c r="K9" t="s">
        <v>662</v>
      </c>
      <c r="L9" t="s">
        <v>662</v>
      </c>
      <c r="M9" t="s">
        <v>663</v>
      </c>
    </row>
    <row r="10" spans="1:13" x14ac:dyDescent="0.15">
      <c r="B10" t="s">
        <v>656</v>
      </c>
      <c r="C10" t="s">
        <v>210</v>
      </c>
      <c r="D10" t="s">
        <v>675</v>
      </c>
      <c r="E10" t="s">
        <v>634</v>
      </c>
      <c r="F10" t="s">
        <v>635</v>
      </c>
      <c r="G10" t="s">
        <v>676</v>
      </c>
      <c r="H10" t="s">
        <v>677</v>
      </c>
      <c r="I10" t="s">
        <v>661</v>
      </c>
      <c r="J10" t="s">
        <v>662</v>
      </c>
      <c r="K10" t="s">
        <v>662</v>
      </c>
      <c r="L10" t="s">
        <v>662</v>
      </c>
      <c r="M10" t="s">
        <v>663</v>
      </c>
    </row>
    <row r="11" spans="1:13" x14ac:dyDescent="0.15">
      <c r="B11" t="s">
        <v>656</v>
      </c>
      <c r="C11" t="s">
        <v>230</v>
      </c>
      <c r="D11" t="s">
        <v>678</v>
      </c>
      <c r="E11" t="s">
        <v>634</v>
      </c>
      <c r="F11" t="s">
        <v>635</v>
      </c>
      <c r="G11" t="s">
        <v>679</v>
      </c>
      <c r="H11" t="s">
        <v>680</v>
      </c>
      <c r="I11" t="s">
        <v>661</v>
      </c>
      <c r="J11" t="s">
        <v>662</v>
      </c>
      <c r="K11" t="s">
        <v>662</v>
      </c>
      <c r="L11" t="s">
        <v>662</v>
      </c>
      <c r="M11" t="s">
        <v>663</v>
      </c>
    </row>
    <row r="12" spans="1:13" x14ac:dyDescent="0.15">
      <c r="B12" t="s">
        <v>656</v>
      </c>
      <c r="C12" t="s">
        <v>681</v>
      </c>
      <c r="D12" t="s">
        <v>664</v>
      </c>
      <c r="E12" t="s">
        <v>634</v>
      </c>
      <c r="F12" t="s">
        <v>635</v>
      </c>
      <c r="G12" t="s">
        <v>679</v>
      </c>
      <c r="H12" t="s">
        <v>682</v>
      </c>
      <c r="I12" t="s">
        <v>661</v>
      </c>
      <c r="J12" t="s">
        <v>662</v>
      </c>
      <c r="K12" t="s">
        <v>662</v>
      </c>
      <c r="L12" t="s">
        <v>662</v>
      </c>
      <c r="M12" t="s">
        <v>663</v>
      </c>
    </row>
    <row r="13" spans="1:13" x14ac:dyDescent="0.15">
      <c r="B13" t="s">
        <v>656</v>
      </c>
      <c r="C13" t="s">
        <v>683</v>
      </c>
      <c r="D13" t="s">
        <v>673</v>
      </c>
      <c r="E13" t="s">
        <v>634</v>
      </c>
      <c r="F13" t="s">
        <v>635</v>
      </c>
      <c r="G13" t="s">
        <v>676</v>
      </c>
      <c r="H13" t="s">
        <v>674</v>
      </c>
      <c r="I13" t="s">
        <v>661</v>
      </c>
      <c r="J13" t="s">
        <v>662</v>
      </c>
      <c r="K13" t="s">
        <v>662</v>
      </c>
      <c r="L13" t="s">
        <v>662</v>
      </c>
      <c r="M13" t="s">
        <v>663</v>
      </c>
    </row>
    <row r="14" spans="1:13" x14ac:dyDescent="0.15">
      <c r="B14" t="s">
        <v>656</v>
      </c>
      <c r="C14" t="s">
        <v>684</v>
      </c>
      <c r="D14" t="s">
        <v>673</v>
      </c>
      <c r="E14" t="s">
        <v>634</v>
      </c>
      <c r="F14" t="s">
        <v>635</v>
      </c>
      <c r="G14" t="s">
        <v>670</v>
      </c>
      <c r="H14" t="s">
        <v>674</v>
      </c>
      <c r="I14" t="s">
        <v>661</v>
      </c>
      <c r="J14" t="s">
        <v>662</v>
      </c>
      <c r="K14" t="s">
        <v>662</v>
      </c>
      <c r="L14" t="s">
        <v>662</v>
      </c>
      <c r="M14" t="s">
        <v>663</v>
      </c>
    </row>
    <row r="15" spans="1:13" x14ac:dyDescent="0.15">
      <c r="B15" t="s">
        <v>656</v>
      </c>
      <c r="C15" t="s">
        <v>405</v>
      </c>
      <c r="D15" t="s">
        <v>664</v>
      </c>
      <c r="E15" t="s">
        <v>634</v>
      </c>
      <c r="F15" t="s">
        <v>635</v>
      </c>
      <c r="G15" t="s">
        <v>685</v>
      </c>
      <c r="H15" t="s">
        <v>665</v>
      </c>
      <c r="I15" t="s">
        <v>661</v>
      </c>
      <c r="J15" t="s">
        <v>662</v>
      </c>
      <c r="K15" t="s">
        <v>662</v>
      </c>
      <c r="L15" t="s">
        <v>662</v>
      </c>
      <c r="M15" t="s">
        <v>663</v>
      </c>
    </row>
    <row r="16" spans="1:13" x14ac:dyDescent="0.15">
      <c r="B16" t="s">
        <v>656</v>
      </c>
      <c r="C16" t="s">
        <v>334</v>
      </c>
      <c r="D16" t="s">
        <v>664</v>
      </c>
      <c r="E16" t="s">
        <v>634</v>
      </c>
      <c r="F16" t="s">
        <v>635</v>
      </c>
      <c r="G16" t="s">
        <v>686</v>
      </c>
      <c r="H16" t="s">
        <v>687</v>
      </c>
      <c r="I16" t="s">
        <v>661</v>
      </c>
      <c r="J16" t="s">
        <v>662</v>
      </c>
      <c r="K16" t="s">
        <v>662</v>
      </c>
      <c r="L16" t="s">
        <v>662</v>
      </c>
      <c r="M16" t="s">
        <v>663</v>
      </c>
    </row>
    <row r="17" spans="2:13" x14ac:dyDescent="0.15">
      <c r="B17" t="s">
        <v>656</v>
      </c>
      <c r="C17" t="s">
        <v>340</v>
      </c>
      <c r="D17" t="s">
        <v>664</v>
      </c>
      <c r="E17" t="s">
        <v>634</v>
      </c>
      <c r="F17" t="s">
        <v>635</v>
      </c>
      <c r="G17" t="s">
        <v>685</v>
      </c>
      <c r="H17" t="s">
        <v>665</v>
      </c>
      <c r="I17" t="s">
        <v>661</v>
      </c>
      <c r="J17" t="s">
        <v>662</v>
      </c>
      <c r="K17" t="s">
        <v>688</v>
      </c>
      <c r="L17" t="s">
        <v>689</v>
      </c>
      <c r="M17" t="s">
        <v>690</v>
      </c>
    </row>
    <row r="18" spans="2:13" x14ac:dyDescent="0.15">
      <c r="B18" t="s">
        <v>656</v>
      </c>
      <c r="C18" t="s">
        <v>691</v>
      </c>
      <c r="D18" t="s">
        <v>664</v>
      </c>
      <c r="E18" t="s">
        <v>634</v>
      </c>
      <c r="F18" t="s">
        <v>635</v>
      </c>
      <c r="G18" t="s">
        <v>686</v>
      </c>
      <c r="H18" t="s">
        <v>687</v>
      </c>
      <c r="I18" t="s">
        <v>661</v>
      </c>
      <c r="J18" t="s">
        <v>662</v>
      </c>
      <c r="K18" t="s">
        <v>662</v>
      </c>
      <c r="L18" t="s">
        <v>662</v>
      </c>
      <c r="M18" t="s">
        <v>663</v>
      </c>
    </row>
    <row r="19" spans="2:13" x14ac:dyDescent="0.15">
      <c r="B19" t="s">
        <v>656</v>
      </c>
      <c r="C19" t="s">
        <v>549</v>
      </c>
      <c r="D19" t="s">
        <v>664</v>
      </c>
      <c r="E19" t="s">
        <v>634</v>
      </c>
      <c r="F19" t="s">
        <v>635</v>
      </c>
      <c r="G19" t="s">
        <v>676</v>
      </c>
      <c r="H19" t="s">
        <v>665</v>
      </c>
      <c r="I19" t="s">
        <v>661</v>
      </c>
      <c r="J19" t="s">
        <v>662</v>
      </c>
      <c r="K19" t="s">
        <v>662</v>
      </c>
      <c r="L19" t="s">
        <v>662</v>
      </c>
      <c r="M19" t="s">
        <v>663</v>
      </c>
    </row>
    <row r="20" spans="2:13" x14ac:dyDescent="0.15">
      <c r="B20" t="s">
        <v>656</v>
      </c>
      <c r="C20" t="s">
        <v>580</v>
      </c>
      <c r="D20" t="s">
        <v>664</v>
      </c>
      <c r="E20" t="s">
        <v>634</v>
      </c>
      <c r="F20" t="s">
        <v>635</v>
      </c>
      <c r="G20" t="s">
        <v>676</v>
      </c>
      <c r="H20" t="s">
        <v>665</v>
      </c>
      <c r="I20" t="s">
        <v>661</v>
      </c>
      <c r="J20" t="s">
        <v>662</v>
      </c>
      <c r="K20" t="s">
        <v>662</v>
      </c>
      <c r="L20" t="s">
        <v>662</v>
      </c>
      <c r="M20" t="s">
        <v>663</v>
      </c>
    </row>
    <row r="21" spans="2:13" x14ac:dyDescent="0.15">
      <c r="B21" t="s">
        <v>692</v>
      </c>
      <c r="C21" t="s">
        <v>693</v>
      </c>
      <c r="D21" t="s">
        <v>694</v>
      </c>
      <c r="E21" t="s">
        <v>634</v>
      </c>
      <c r="F21" t="s">
        <v>695</v>
      </c>
      <c r="G21" t="s">
        <v>696</v>
      </c>
      <c r="H21" t="s">
        <v>697</v>
      </c>
      <c r="I21" t="s">
        <v>698</v>
      </c>
      <c r="J21" t="s">
        <v>699</v>
      </c>
      <c r="K21" t="s">
        <v>698</v>
      </c>
      <c r="L21" t="s">
        <v>698</v>
      </c>
      <c r="M21" t="s">
        <v>700</v>
      </c>
    </row>
    <row r="22" spans="2:13" x14ac:dyDescent="0.15">
      <c r="B22" t="s">
        <v>701</v>
      </c>
      <c r="C22" t="s">
        <v>174</v>
      </c>
      <c r="D22" t="s">
        <v>702</v>
      </c>
      <c r="E22" t="s">
        <v>634</v>
      </c>
      <c r="F22" t="s">
        <v>695</v>
      </c>
      <c r="G22" t="s">
        <v>703</v>
      </c>
      <c r="H22" t="s">
        <v>704</v>
      </c>
      <c r="I22" t="s">
        <v>705</v>
      </c>
      <c r="J22" t="s">
        <v>706</v>
      </c>
      <c r="K22" t="s">
        <v>705</v>
      </c>
      <c r="L22" t="s">
        <v>705</v>
      </c>
      <c r="M22" t="s">
        <v>707</v>
      </c>
    </row>
    <row r="23" spans="2:13" x14ac:dyDescent="0.15">
      <c r="B23" t="s">
        <v>701</v>
      </c>
      <c r="C23" t="s">
        <v>323</v>
      </c>
      <c r="D23" t="s">
        <v>708</v>
      </c>
      <c r="E23" t="s">
        <v>634</v>
      </c>
      <c r="F23" t="s">
        <v>695</v>
      </c>
      <c r="G23" t="s">
        <v>709</v>
      </c>
      <c r="H23" t="s">
        <v>710</v>
      </c>
      <c r="I23" t="s">
        <v>705</v>
      </c>
      <c r="J23" t="s">
        <v>706</v>
      </c>
      <c r="K23" t="s">
        <v>705</v>
      </c>
      <c r="L23" t="s">
        <v>705</v>
      </c>
      <c r="M23" t="s">
        <v>711</v>
      </c>
    </row>
    <row r="24" spans="2:13" x14ac:dyDescent="0.15">
      <c r="B24" t="s">
        <v>701</v>
      </c>
      <c r="C24" t="s">
        <v>180</v>
      </c>
      <c r="D24" t="s">
        <v>702</v>
      </c>
      <c r="E24" t="s">
        <v>634</v>
      </c>
      <c r="F24" t="s">
        <v>695</v>
      </c>
      <c r="G24" t="s">
        <v>703</v>
      </c>
      <c r="H24" t="s">
        <v>704</v>
      </c>
      <c r="I24" t="s">
        <v>705</v>
      </c>
      <c r="J24" t="s">
        <v>706</v>
      </c>
      <c r="K24" t="s">
        <v>705</v>
      </c>
      <c r="L24" t="s">
        <v>705</v>
      </c>
      <c r="M24" t="s">
        <v>707</v>
      </c>
    </row>
    <row r="25" spans="2:13" x14ac:dyDescent="0.15">
      <c r="B25" t="s">
        <v>701</v>
      </c>
      <c r="C25" t="s">
        <v>712</v>
      </c>
      <c r="D25" t="s">
        <v>702</v>
      </c>
      <c r="E25" t="s">
        <v>634</v>
      </c>
      <c r="F25" t="s">
        <v>695</v>
      </c>
      <c r="G25" t="s">
        <v>703</v>
      </c>
      <c r="H25" t="s">
        <v>704</v>
      </c>
      <c r="I25" t="s">
        <v>705</v>
      </c>
      <c r="J25" t="s">
        <v>706</v>
      </c>
      <c r="K25" t="s">
        <v>705</v>
      </c>
      <c r="L25" t="s">
        <v>705</v>
      </c>
      <c r="M25" t="s">
        <v>707</v>
      </c>
    </row>
    <row r="26" spans="2:13" x14ac:dyDescent="0.15">
      <c r="B26" t="s">
        <v>701</v>
      </c>
      <c r="C26" t="s">
        <v>412</v>
      </c>
      <c r="D26" t="s">
        <v>702</v>
      </c>
      <c r="E26" t="s">
        <v>634</v>
      </c>
      <c r="F26" t="s">
        <v>695</v>
      </c>
      <c r="G26" t="s">
        <v>703</v>
      </c>
      <c r="H26" t="s">
        <v>704</v>
      </c>
      <c r="I26" t="s">
        <v>705</v>
      </c>
      <c r="J26" t="s">
        <v>706</v>
      </c>
      <c r="K26" t="s">
        <v>705</v>
      </c>
      <c r="L26" t="s">
        <v>705</v>
      </c>
      <c r="M26" t="s">
        <v>707</v>
      </c>
    </row>
    <row r="27" spans="2:13" x14ac:dyDescent="0.15">
      <c r="B27" t="s">
        <v>701</v>
      </c>
      <c r="C27" t="s">
        <v>713</v>
      </c>
      <c r="D27" t="s">
        <v>702</v>
      </c>
      <c r="E27" t="s">
        <v>634</v>
      </c>
      <c r="F27" t="s">
        <v>695</v>
      </c>
      <c r="G27" t="s">
        <v>703</v>
      </c>
      <c r="H27" t="s">
        <v>704</v>
      </c>
      <c r="I27" t="s">
        <v>705</v>
      </c>
      <c r="J27" t="s">
        <v>706</v>
      </c>
      <c r="K27" t="s">
        <v>705</v>
      </c>
      <c r="L27" t="s">
        <v>705</v>
      </c>
      <c r="M27" t="s">
        <v>707</v>
      </c>
    </row>
    <row r="28" spans="2:13" x14ac:dyDescent="0.15">
      <c r="B28" t="s">
        <v>701</v>
      </c>
      <c r="C28" t="s">
        <v>714</v>
      </c>
      <c r="D28" t="s">
        <v>702</v>
      </c>
      <c r="E28" t="s">
        <v>634</v>
      </c>
      <c r="F28" t="s">
        <v>695</v>
      </c>
      <c r="G28" t="s">
        <v>703</v>
      </c>
      <c r="H28" t="s">
        <v>704</v>
      </c>
      <c r="I28" t="s">
        <v>705</v>
      </c>
      <c r="J28" t="s">
        <v>706</v>
      </c>
      <c r="K28" t="s">
        <v>705</v>
      </c>
      <c r="L28" t="s">
        <v>705</v>
      </c>
      <c r="M28" t="s">
        <v>707</v>
      </c>
    </row>
    <row r="29" spans="2:13" x14ac:dyDescent="0.15">
      <c r="B29" t="s">
        <v>701</v>
      </c>
      <c r="C29" t="s">
        <v>463</v>
      </c>
      <c r="D29" t="s">
        <v>702</v>
      </c>
      <c r="E29" t="s">
        <v>634</v>
      </c>
      <c r="F29" t="s">
        <v>695</v>
      </c>
      <c r="G29" t="s">
        <v>703</v>
      </c>
      <c r="H29" t="s">
        <v>704</v>
      </c>
      <c r="I29" t="s">
        <v>705</v>
      </c>
      <c r="J29" t="s">
        <v>706</v>
      </c>
      <c r="K29" t="s">
        <v>705</v>
      </c>
      <c r="L29" t="s">
        <v>705</v>
      </c>
      <c r="M29" t="s">
        <v>707</v>
      </c>
    </row>
    <row r="30" spans="2:13" x14ac:dyDescent="0.15">
      <c r="B30" t="s">
        <v>701</v>
      </c>
      <c r="C30" t="s">
        <v>346</v>
      </c>
      <c r="D30" t="s">
        <v>702</v>
      </c>
      <c r="E30" t="s">
        <v>634</v>
      </c>
      <c r="F30" t="s">
        <v>695</v>
      </c>
      <c r="G30" t="s">
        <v>703</v>
      </c>
      <c r="H30" t="s">
        <v>704</v>
      </c>
      <c r="I30" t="s">
        <v>705</v>
      </c>
      <c r="J30" t="s">
        <v>706</v>
      </c>
      <c r="K30" t="s">
        <v>705</v>
      </c>
      <c r="L30" t="s">
        <v>705</v>
      </c>
      <c r="M30" t="s">
        <v>707</v>
      </c>
    </row>
    <row r="31" spans="2:13" x14ac:dyDescent="0.15">
      <c r="B31" t="s">
        <v>701</v>
      </c>
      <c r="C31" t="s">
        <v>715</v>
      </c>
      <c r="D31" t="s">
        <v>716</v>
      </c>
      <c r="E31" t="s">
        <v>634</v>
      </c>
      <c r="F31" t="s">
        <v>695</v>
      </c>
      <c r="G31" t="s">
        <v>717</v>
      </c>
      <c r="H31" t="s">
        <v>718</v>
      </c>
      <c r="I31" t="s">
        <v>705</v>
      </c>
      <c r="J31" t="s">
        <v>706</v>
      </c>
      <c r="K31" t="s">
        <v>705</v>
      </c>
      <c r="L31" t="s">
        <v>705</v>
      </c>
      <c r="M31" t="s">
        <v>719</v>
      </c>
    </row>
    <row r="32" spans="2:13" x14ac:dyDescent="0.15">
      <c r="B32" t="s">
        <v>701</v>
      </c>
      <c r="C32" t="s">
        <v>720</v>
      </c>
      <c r="D32" t="s">
        <v>702</v>
      </c>
      <c r="E32" t="s">
        <v>634</v>
      </c>
      <c r="F32" t="s">
        <v>695</v>
      </c>
      <c r="G32" t="s">
        <v>703</v>
      </c>
      <c r="H32" t="s">
        <v>704</v>
      </c>
      <c r="I32" t="s">
        <v>705</v>
      </c>
      <c r="J32" t="s">
        <v>706</v>
      </c>
      <c r="K32" t="s">
        <v>705</v>
      </c>
      <c r="L32" t="s">
        <v>705</v>
      </c>
      <c r="M32" t="s">
        <v>719</v>
      </c>
    </row>
    <row r="33" spans="1:13" x14ac:dyDescent="0.15">
      <c r="B33" t="s">
        <v>701</v>
      </c>
      <c r="C33" t="s">
        <v>721</v>
      </c>
      <c r="D33" t="s">
        <v>702</v>
      </c>
      <c r="E33" t="s">
        <v>634</v>
      </c>
      <c r="F33" t="s">
        <v>695</v>
      </c>
      <c r="G33" t="s">
        <v>703</v>
      </c>
      <c r="H33" t="s">
        <v>704</v>
      </c>
      <c r="I33" t="s">
        <v>705</v>
      </c>
      <c r="J33" t="s">
        <v>706</v>
      </c>
      <c r="K33" t="s">
        <v>705</v>
      </c>
      <c r="L33" t="s">
        <v>705</v>
      </c>
      <c r="M33" t="s">
        <v>719</v>
      </c>
    </row>
    <row r="34" spans="1:13" x14ac:dyDescent="0.15">
      <c r="B34" t="s">
        <v>701</v>
      </c>
      <c r="C34" t="s">
        <v>722</v>
      </c>
      <c r="D34" t="s">
        <v>702</v>
      </c>
      <c r="E34" t="s">
        <v>634</v>
      </c>
      <c r="F34" t="s">
        <v>695</v>
      </c>
      <c r="G34" t="s">
        <v>703</v>
      </c>
      <c r="H34" t="s">
        <v>704</v>
      </c>
      <c r="I34" t="s">
        <v>705</v>
      </c>
      <c r="J34" t="s">
        <v>706</v>
      </c>
      <c r="K34" t="s">
        <v>705</v>
      </c>
      <c r="L34" t="s">
        <v>705</v>
      </c>
      <c r="M34" t="s">
        <v>707</v>
      </c>
    </row>
    <row r="35" spans="1:13" x14ac:dyDescent="0.15">
      <c r="B35" t="s">
        <v>723</v>
      </c>
      <c r="C35" t="s">
        <v>438</v>
      </c>
      <c r="D35" t="s">
        <v>724</v>
      </c>
      <c r="E35" t="s">
        <v>634</v>
      </c>
      <c r="F35" t="s">
        <v>635</v>
      </c>
      <c r="G35" t="s">
        <v>725</v>
      </c>
      <c r="H35" t="s">
        <v>726</v>
      </c>
      <c r="I35" t="s">
        <v>727</v>
      </c>
      <c r="J35" t="s">
        <v>728</v>
      </c>
      <c r="K35" t="s">
        <v>640</v>
      </c>
      <c r="L35" t="s">
        <v>641</v>
      </c>
      <c r="M35" t="s">
        <v>729</v>
      </c>
    </row>
    <row r="36" spans="1:13" x14ac:dyDescent="0.15">
      <c r="B36" t="s">
        <v>723</v>
      </c>
      <c r="C36" t="s">
        <v>730</v>
      </c>
      <c r="D36" t="s">
        <v>724</v>
      </c>
      <c r="E36" t="s">
        <v>634</v>
      </c>
      <c r="F36" t="s">
        <v>635</v>
      </c>
      <c r="G36" t="s">
        <v>725</v>
      </c>
      <c r="H36" t="s">
        <v>731</v>
      </c>
      <c r="I36" t="s">
        <v>732</v>
      </c>
      <c r="J36" t="s">
        <v>732</v>
      </c>
      <c r="K36" t="s">
        <v>732</v>
      </c>
      <c r="L36" t="s">
        <v>732</v>
      </c>
      <c r="M36" t="s">
        <v>733</v>
      </c>
    </row>
    <row r="37" spans="1:13" x14ac:dyDescent="0.15">
      <c r="B37" t="s">
        <v>723</v>
      </c>
      <c r="C37" t="s">
        <v>734</v>
      </c>
      <c r="D37" t="s">
        <v>724</v>
      </c>
      <c r="E37" t="s">
        <v>634</v>
      </c>
      <c r="F37" t="s">
        <v>635</v>
      </c>
      <c r="G37" t="s">
        <v>735</v>
      </c>
      <c r="H37" t="s">
        <v>736</v>
      </c>
      <c r="I37" t="s">
        <v>727</v>
      </c>
      <c r="J37" t="s">
        <v>728</v>
      </c>
      <c r="K37" t="s">
        <v>640</v>
      </c>
      <c r="L37" t="s">
        <v>641</v>
      </c>
      <c r="M37" t="s">
        <v>729</v>
      </c>
    </row>
    <row r="38" spans="1:13" x14ac:dyDescent="0.15">
      <c r="B38" t="s">
        <v>723</v>
      </c>
      <c r="C38" t="s">
        <v>737</v>
      </c>
      <c r="D38" t="s">
        <v>724</v>
      </c>
      <c r="E38" t="s">
        <v>634</v>
      </c>
      <c r="F38" t="s">
        <v>635</v>
      </c>
      <c r="G38" t="s">
        <v>735</v>
      </c>
      <c r="H38" t="s">
        <v>736</v>
      </c>
      <c r="I38" t="s">
        <v>727</v>
      </c>
      <c r="J38" t="s">
        <v>728</v>
      </c>
      <c r="K38" t="s">
        <v>640</v>
      </c>
      <c r="L38" t="s">
        <v>641</v>
      </c>
      <c r="M38" t="s">
        <v>729</v>
      </c>
    </row>
    <row r="39" spans="1:13" x14ac:dyDescent="0.15">
      <c r="B39" t="s">
        <v>723</v>
      </c>
      <c r="C39" t="s">
        <v>738</v>
      </c>
      <c r="D39" t="s">
        <v>724</v>
      </c>
      <c r="E39" t="s">
        <v>634</v>
      </c>
      <c r="F39" t="s">
        <v>635</v>
      </c>
      <c r="G39" t="s">
        <v>735</v>
      </c>
      <c r="H39" t="s">
        <v>736</v>
      </c>
      <c r="I39" t="s">
        <v>727</v>
      </c>
      <c r="J39" t="s">
        <v>728</v>
      </c>
      <c r="K39" t="s">
        <v>640</v>
      </c>
      <c r="L39" t="s">
        <v>641</v>
      </c>
      <c r="M39" t="s">
        <v>729</v>
      </c>
    </row>
    <row r="40" spans="1:13" x14ac:dyDescent="0.15">
      <c r="A40" t="s">
        <v>739</v>
      </c>
      <c r="B40" t="s">
        <v>148</v>
      </c>
      <c r="C40" t="s">
        <v>148</v>
      </c>
      <c r="D40" t="s">
        <v>343</v>
      </c>
      <c r="E40" t="s">
        <v>740</v>
      </c>
      <c r="F40" t="s">
        <v>741</v>
      </c>
      <c r="G40" t="s">
        <v>742</v>
      </c>
      <c r="H40" t="s">
        <v>743</v>
      </c>
      <c r="I40" t="s">
        <v>744</v>
      </c>
      <c r="J40" t="s">
        <v>639</v>
      </c>
      <c r="K40" t="s">
        <v>639</v>
      </c>
      <c r="L40" t="s">
        <v>639</v>
      </c>
      <c r="M40" t="s">
        <v>745</v>
      </c>
    </row>
    <row r="41" spans="1:13" x14ac:dyDescent="0.15">
      <c r="B41" t="s">
        <v>746</v>
      </c>
      <c r="C41" t="s">
        <v>506</v>
      </c>
      <c r="D41" t="s">
        <v>374</v>
      </c>
      <c r="E41" t="s">
        <v>634</v>
      </c>
      <c r="F41" t="s">
        <v>695</v>
      </c>
      <c r="G41" t="s">
        <v>747</v>
      </c>
      <c r="H41" t="s">
        <v>748</v>
      </c>
      <c r="I41" t="s">
        <v>749</v>
      </c>
      <c r="J41" t="s">
        <v>750</v>
      </c>
      <c r="M41" t="s">
        <v>751</v>
      </c>
    </row>
    <row r="42" spans="1:13" x14ac:dyDescent="0.15">
      <c r="B42" t="s">
        <v>746</v>
      </c>
      <c r="C42" t="s">
        <v>752</v>
      </c>
      <c r="D42" t="s">
        <v>753</v>
      </c>
      <c r="E42" t="s">
        <v>634</v>
      </c>
      <c r="F42" t="s">
        <v>695</v>
      </c>
      <c r="G42" t="s">
        <v>754</v>
      </c>
      <c r="H42" t="s">
        <v>755</v>
      </c>
      <c r="I42" t="s">
        <v>756</v>
      </c>
      <c r="J42" t="s">
        <v>757</v>
      </c>
      <c r="K42" t="s">
        <v>757</v>
      </c>
      <c r="L42" t="s">
        <v>757</v>
      </c>
      <c r="M42" t="s">
        <v>758</v>
      </c>
    </row>
    <row r="43" spans="1:13" x14ac:dyDescent="0.15">
      <c r="B43" t="s">
        <v>759</v>
      </c>
      <c r="C43" t="s">
        <v>760</v>
      </c>
      <c r="D43" t="s">
        <v>761</v>
      </c>
      <c r="E43" t="s">
        <v>634</v>
      </c>
      <c r="F43" t="s">
        <v>762</v>
      </c>
      <c r="G43" t="s">
        <v>763</v>
      </c>
      <c r="H43" t="s">
        <v>764</v>
      </c>
      <c r="I43" t="s">
        <v>765</v>
      </c>
      <c r="J43" t="s">
        <v>765</v>
      </c>
      <c r="K43" t="s">
        <v>765</v>
      </c>
      <c r="L43" t="s">
        <v>765</v>
      </c>
      <c r="M43" t="s">
        <v>766</v>
      </c>
    </row>
    <row r="44" spans="1:13" x14ac:dyDescent="0.15">
      <c r="B44" t="s">
        <v>767</v>
      </c>
      <c r="C44" t="s">
        <v>768</v>
      </c>
      <c r="E44" t="s">
        <v>634</v>
      </c>
      <c r="F44" t="s">
        <v>695</v>
      </c>
      <c r="G44" t="s">
        <v>769</v>
      </c>
      <c r="H44" t="s">
        <v>770</v>
      </c>
      <c r="I44" t="s">
        <v>771</v>
      </c>
      <c r="J44" t="s">
        <v>771</v>
      </c>
      <c r="K44" t="s">
        <v>772</v>
      </c>
      <c r="L44" t="s">
        <v>773</v>
      </c>
      <c r="M44" t="s">
        <v>774</v>
      </c>
    </row>
    <row r="45" spans="1:13" x14ac:dyDescent="0.15">
      <c r="B45" t="s">
        <v>775</v>
      </c>
      <c r="C45" t="s">
        <v>776</v>
      </c>
      <c r="D45" t="s">
        <v>777</v>
      </c>
      <c r="E45" t="s">
        <v>634</v>
      </c>
      <c r="F45" t="s">
        <v>635</v>
      </c>
      <c r="G45" t="s">
        <v>778</v>
      </c>
      <c r="H45" t="s">
        <v>779</v>
      </c>
      <c r="I45" t="s">
        <v>780</v>
      </c>
      <c r="J45" t="s">
        <v>781</v>
      </c>
      <c r="K45" t="s">
        <v>780</v>
      </c>
      <c r="L45" t="s">
        <v>780</v>
      </c>
      <c r="M45" t="s">
        <v>782</v>
      </c>
    </row>
    <row r="46" spans="1:13" x14ac:dyDescent="0.15">
      <c r="B46" t="s">
        <v>783</v>
      </c>
      <c r="C46" t="s">
        <v>527</v>
      </c>
      <c r="D46" t="s">
        <v>784</v>
      </c>
      <c r="E46" t="s">
        <v>634</v>
      </c>
      <c r="F46" t="s">
        <v>695</v>
      </c>
      <c r="G46" t="s">
        <v>785</v>
      </c>
      <c r="H46" t="s">
        <v>786</v>
      </c>
      <c r="I46" t="s">
        <v>787</v>
      </c>
      <c r="J46" t="s">
        <v>788</v>
      </c>
      <c r="K46" t="s">
        <v>789</v>
      </c>
      <c r="L46" t="s">
        <v>789</v>
      </c>
      <c r="M46" t="s">
        <v>790</v>
      </c>
    </row>
    <row r="47" spans="1:13" x14ac:dyDescent="0.15">
      <c r="B47" t="s">
        <v>783</v>
      </c>
      <c r="C47" t="s">
        <v>565</v>
      </c>
      <c r="D47" t="s">
        <v>207</v>
      </c>
      <c r="E47" t="s">
        <v>634</v>
      </c>
      <c r="F47" t="s">
        <v>695</v>
      </c>
      <c r="G47" t="s">
        <v>785</v>
      </c>
      <c r="H47" t="s">
        <v>786</v>
      </c>
      <c r="I47" t="s">
        <v>787</v>
      </c>
      <c r="J47" t="s">
        <v>788</v>
      </c>
      <c r="K47" t="s">
        <v>789</v>
      </c>
      <c r="L47" t="s">
        <v>789</v>
      </c>
      <c r="M47" t="s">
        <v>790</v>
      </c>
    </row>
    <row r="48" spans="1:13" x14ac:dyDescent="0.15">
      <c r="B48" t="s">
        <v>791</v>
      </c>
      <c r="C48" t="s">
        <v>290</v>
      </c>
      <c r="D48" t="s">
        <v>792</v>
      </c>
      <c r="E48" t="s">
        <v>634</v>
      </c>
      <c r="F48" t="s">
        <v>793</v>
      </c>
      <c r="G48" t="s">
        <v>794</v>
      </c>
      <c r="H48" t="s">
        <v>795</v>
      </c>
      <c r="I48" t="s">
        <v>796</v>
      </c>
      <c r="J48" t="s">
        <v>797</v>
      </c>
      <c r="K48" t="s">
        <v>798</v>
      </c>
      <c r="L48" t="s">
        <v>799</v>
      </c>
      <c r="M48" t="s">
        <v>800</v>
      </c>
    </row>
    <row r="49" spans="2:13" x14ac:dyDescent="0.15">
      <c r="B49" t="s">
        <v>791</v>
      </c>
      <c r="C49" t="s">
        <v>499</v>
      </c>
      <c r="D49" t="s">
        <v>792</v>
      </c>
      <c r="E49" t="s">
        <v>634</v>
      </c>
      <c r="F49" t="s">
        <v>801</v>
      </c>
      <c r="G49" t="s">
        <v>794</v>
      </c>
      <c r="H49" t="s">
        <v>802</v>
      </c>
      <c r="I49" t="s">
        <v>796</v>
      </c>
      <c r="J49" t="s">
        <v>803</v>
      </c>
      <c r="K49" t="s">
        <v>798</v>
      </c>
      <c r="L49" t="s">
        <v>799</v>
      </c>
      <c r="M49" t="s">
        <v>800</v>
      </c>
    </row>
    <row r="50" spans="2:13" x14ac:dyDescent="0.15">
      <c r="B50" t="s">
        <v>791</v>
      </c>
      <c r="C50" t="s">
        <v>312</v>
      </c>
      <c r="D50" t="s">
        <v>188</v>
      </c>
      <c r="E50" t="s">
        <v>634</v>
      </c>
      <c r="F50" t="s">
        <v>635</v>
      </c>
      <c r="G50" t="s">
        <v>804</v>
      </c>
      <c r="H50" t="s">
        <v>805</v>
      </c>
      <c r="I50" t="s">
        <v>806</v>
      </c>
      <c r="J50" t="s">
        <v>807</v>
      </c>
      <c r="K50" t="s">
        <v>798</v>
      </c>
      <c r="L50" t="s">
        <v>799</v>
      </c>
      <c r="M50" t="s">
        <v>800</v>
      </c>
    </row>
    <row r="51" spans="2:13" x14ac:dyDescent="0.15">
      <c r="B51" t="s">
        <v>791</v>
      </c>
      <c r="C51" t="s">
        <v>808</v>
      </c>
      <c r="D51" t="s">
        <v>792</v>
      </c>
      <c r="E51" t="s">
        <v>634</v>
      </c>
      <c r="F51" t="s">
        <v>801</v>
      </c>
      <c r="G51" t="s">
        <v>794</v>
      </c>
      <c r="H51" t="s">
        <v>809</v>
      </c>
      <c r="I51" t="s">
        <v>796</v>
      </c>
      <c r="J51" t="s">
        <v>810</v>
      </c>
      <c r="K51" t="s">
        <v>798</v>
      </c>
      <c r="L51" t="s">
        <v>799</v>
      </c>
      <c r="M51" t="s">
        <v>800</v>
      </c>
    </row>
    <row r="52" spans="2:13" x14ac:dyDescent="0.15">
      <c r="B52" t="s">
        <v>791</v>
      </c>
      <c r="C52" t="s">
        <v>811</v>
      </c>
      <c r="D52" t="s">
        <v>792</v>
      </c>
      <c r="E52" t="s">
        <v>634</v>
      </c>
      <c r="F52" t="s">
        <v>801</v>
      </c>
      <c r="G52" t="s">
        <v>794</v>
      </c>
      <c r="H52" t="s">
        <v>812</v>
      </c>
      <c r="I52" t="s">
        <v>796</v>
      </c>
      <c r="J52" t="s">
        <v>813</v>
      </c>
      <c r="K52" t="s">
        <v>798</v>
      </c>
      <c r="L52" t="s">
        <v>799</v>
      </c>
      <c r="M52" t="s">
        <v>800</v>
      </c>
    </row>
    <row r="53" spans="2:13" x14ac:dyDescent="0.15">
      <c r="B53" t="s">
        <v>814</v>
      </c>
      <c r="C53" t="s">
        <v>815</v>
      </c>
      <c r="D53" t="s">
        <v>816</v>
      </c>
      <c r="E53" t="s">
        <v>634</v>
      </c>
      <c r="F53" t="s">
        <v>817</v>
      </c>
      <c r="G53" t="s">
        <v>818</v>
      </c>
      <c r="H53" t="s">
        <v>819</v>
      </c>
      <c r="I53" t="s">
        <v>727</v>
      </c>
      <c r="J53" t="s">
        <v>728</v>
      </c>
      <c r="K53" t="s">
        <v>640</v>
      </c>
      <c r="L53" t="s">
        <v>641</v>
      </c>
      <c r="M53" t="s">
        <v>729</v>
      </c>
    </row>
    <row r="54" spans="2:13" x14ac:dyDescent="0.15">
      <c r="B54" t="s">
        <v>166</v>
      </c>
      <c r="C54" t="s">
        <v>166</v>
      </c>
      <c r="D54" t="s">
        <v>820</v>
      </c>
      <c r="E54" t="s">
        <v>634</v>
      </c>
      <c r="F54" t="s">
        <v>695</v>
      </c>
      <c r="G54" t="s">
        <v>821</v>
      </c>
      <c r="H54" t="s">
        <v>822</v>
      </c>
      <c r="I54" t="s">
        <v>744</v>
      </c>
      <c r="J54" t="s">
        <v>639</v>
      </c>
      <c r="K54" t="s">
        <v>823</v>
      </c>
      <c r="L54" t="s">
        <v>823</v>
      </c>
      <c r="M54" t="s">
        <v>824</v>
      </c>
    </row>
    <row r="55" spans="2:13" x14ac:dyDescent="0.15">
      <c r="B55" t="s">
        <v>825</v>
      </c>
      <c r="C55" t="s">
        <v>826</v>
      </c>
      <c r="D55" t="s">
        <v>827</v>
      </c>
      <c r="E55" t="s">
        <v>634</v>
      </c>
      <c r="F55" t="s">
        <v>828</v>
      </c>
      <c r="G55" t="s">
        <v>829</v>
      </c>
      <c r="H55" t="s">
        <v>830</v>
      </c>
      <c r="I55" t="s">
        <v>831</v>
      </c>
      <c r="J55" t="s">
        <v>832</v>
      </c>
      <c r="K55" t="s">
        <v>833</v>
      </c>
      <c r="L55" t="s">
        <v>834</v>
      </c>
      <c r="M55" t="s">
        <v>835</v>
      </c>
    </row>
    <row r="56" spans="2:13" x14ac:dyDescent="0.15">
      <c r="B56" t="s">
        <v>825</v>
      </c>
      <c r="C56" t="s">
        <v>836</v>
      </c>
      <c r="D56" t="s">
        <v>837</v>
      </c>
      <c r="E56" t="s">
        <v>634</v>
      </c>
      <c r="F56" t="s">
        <v>828</v>
      </c>
      <c r="G56" t="s">
        <v>829</v>
      </c>
      <c r="H56" t="s">
        <v>838</v>
      </c>
      <c r="I56" t="s">
        <v>831</v>
      </c>
      <c r="J56" t="s">
        <v>832</v>
      </c>
      <c r="K56" t="s">
        <v>833</v>
      </c>
      <c r="L56" t="s">
        <v>834</v>
      </c>
      <c r="M56" t="s">
        <v>835</v>
      </c>
    </row>
    <row r="57" spans="2:13" x14ac:dyDescent="0.15">
      <c r="B57" t="s">
        <v>825</v>
      </c>
      <c r="C57" t="s">
        <v>839</v>
      </c>
      <c r="D57" t="s">
        <v>837</v>
      </c>
      <c r="E57" t="s">
        <v>634</v>
      </c>
      <c r="F57" t="s">
        <v>695</v>
      </c>
      <c r="G57" t="s">
        <v>829</v>
      </c>
      <c r="H57" t="s">
        <v>830</v>
      </c>
      <c r="I57" t="s">
        <v>831</v>
      </c>
      <c r="J57" t="s">
        <v>832</v>
      </c>
      <c r="K57" t="s">
        <v>833</v>
      </c>
      <c r="L57" t="s">
        <v>834</v>
      </c>
      <c r="M57" t="s">
        <v>835</v>
      </c>
    </row>
    <row r="58" spans="2:13" x14ac:dyDescent="0.15">
      <c r="B58" t="s">
        <v>825</v>
      </c>
      <c r="C58" t="s">
        <v>448</v>
      </c>
      <c r="D58" t="s">
        <v>840</v>
      </c>
      <c r="E58" t="s">
        <v>634</v>
      </c>
      <c r="F58" t="s">
        <v>695</v>
      </c>
      <c r="G58" t="s">
        <v>829</v>
      </c>
      <c r="H58" t="s">
        <v>841</v>
      </c>
      <c r="I58" t="s">
        <v>831</v>
      </c>
      <c r="J58" t="s">
        <v>750</v>
      </c>
      <c r="K58" t="s">
        <v>833</v>
      </c>
      <c r="L58" t="s">
        <v>834</v>
      </c>
      <c r="M58" t="s">
        <v>842</v>
      </c>
    </row>
    <row r="59" spans="2:13" x14ac:dyDescent="0.15">
      <c r="B59" t="s">
        <v>825</v>
      </c>
      <c r="C59" t="s">
        <v>516</v>
      </c>
      <c r="D59" t="s">
        <v>837</v>
      </c>
      <c r="E59" t="s">
        <v>634</v>
      </c>
      <c r="F59" t="s">
        <v>828</v>
      </c>
      <c r="G59" t="s">
        <v>829</v>
      </c>
      <c r="H59" t="s">
        <v>843</v>
      </c>
      <c r="I59" t="s">
        <v>831</v>
      </c>
      <c r="J59" t="s">
        <v>832</v>
      </c>
      <c r="K59" t="s">
        <v>833</v>
      </c>
      <c r="L59" t="s">
        <v>834</v>
      </c>
      <c r="M59" t="s">
        <v>835</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7"/>
  <sheetViews>
    <sheetView workbookViewId="0"/>
  </sheetViews>
  <sheetFormatPr defaultRowHeight="13.5" x14ac:dyDescent="0.15"/>
  <sheetData>
    <row r="1" spans="1:12" x14ac:dyDescent="0.15">
      <c r="A1" s="1" t="s">
        <v>3</v>
      </c>
      <c r="B1" s="1" t="s">
        <v>620</v>
      </c>
      <c r="C1" s="1" t="s">
        <v>111</v>
      </c>
      <c r="D1" s="1" t="s">
        <v>844</v>
      </c>
      <c r="E1" s="1" t="s">
        <v>845</v>
      </c>
      <c r="F1" s="1" t="s">
        <v>846</v>
      </c>
      <c r="G1" s="1" t="s">
        <v>847</v>
      </c>
      <c r="H1" s="1" t="s">
        <v>848</v>
      </c>
      <c r="I1" s="1" t="s">
        <v>849</v>
      </c>
      <c r="J1" s="1" t="s">
        <v>850</v>
      </c>
      <c r="K1" s="1" t="s">
        <v>851</v>
      </c>
      <c r="L1" s="1" t="s">
        <v>852</v>
      </c>
    </row>
    <row r="2" spans="1:12" x14ac:dyDescent="0.15">
      <c r="A2" t="s">
        <v>147</v>
      </c>
      <c r="B2" t="s">
        <v>853</v>
      </c>
      <c r="C2" t="s">
        <v>148</v>
      </c>
      <c r="D2">
        <v>1.4999999999999999E-2</v>
      </c>
      <c r="E2">
        <v>0.9</v>
      </c>
      <c r="F2" t="s">
        <v>854</v>
      </c>
    </row>
    <row r="3" spans="1:12" x14ac:dyDescent="0.15">
      <c r="A3" t="s">
        <v>333</v>
      </c>
      <c r="B3" t="s">
        <v>855</v>
      </c>
      <c r="C3" t="s">
        <v>334</v>
      </c>
      <c r="D3">
        <v>1.4999999999999999E-2</v>
      </c>
      <c r="E3">
        <v>0.38</v>
      </c>
      <c r="F3" t="s">
        <v>856</v>
      </c>
    </row>
    <row r="4" spans="1:12" x14ac:dyDescent="0.15">
      <c r="A4" t="s">
        <v>857</v>
      </c>
      <c r="B4" t="s">
        <v>858</v>
      </c>
      <c r="C4" t="s">
        <v>859</v>
      </c>
      <c r="D4">
        <v>1.6E-2</v>
      </c>
      <c r="E4">
        <v>0.9</v>
      </c>
      <c r="F4" t="s">
        <v>860</v>
      </c>
    </row>
    <row r="5" spans="1:12" x14ac:dyDescent="0.15">
      <c r="A5" t="s">
        <v>861</v>
      </c>
      <c r="B5" t="s">
        <v>855</v>
      </c>
      <c r="C5" t="s">
        <v>180</v>
      </c>
      <c r="D5">
        <v>1.4999999999999999E-2</v>
      </c>
      <c r="E5">
        <v>0.9</v>
      </c>
      <c r="F5" t="s">
        <v>862</v>
      </c>
    </row>
    <row r="6" spans="1:12" x14ac:dyDescent="0.15">
      <c r="A6" t="s">
        <v>491</v>
      </c>
      <c r="B6" t="s">
        <v>855</v>
      </c>
      <c r="C6" t="s">
        <v>644</v>
      </c>
      <c r="D6">
        <v>1.4999999999999999E-2</v>
      </c>
      <c r="E6">
        <v>0.9</v>
      </c>
      <c r="F6" t="s">
        <v>863</v>
      </c>
    </row>
    <row r="7" spans="1:12" x14ac:dyDescent="0.15">
      <c r="A7" t="s">
        <v>289</v>
      </c>
      <c r="B7" t="s">
        <v>853</v>
      </c>
      <c r="C7" t="s">
        <v>290</v>
      </c>
      <c r="D7">
        <v>1.4999999999999999E-2</v>
      </c>
      <c r="E7">
        <v>0.9</v>
      </c>
      <c r="F7" t="s">
        <v>864</v>
      </c>
    </row>
    <row r="8" spans="1:12" x14ac:dyDescent="0.15">
      <c r="A8" t="s">
        <v>311</v>
      </c>
      <c r="B8" t="s">
        <v>853</v>
      </c>
      <c r="C8" t="s">
        <v>312</v>
      </c>
      <c r="D8">
        <v>1.4999999999999999E-2</v>
      </c>
      <c r="E8">
        <v>0.9</v>
      </c>
      <c r="F8" t="s">
        <v>865</v>
      </c>
    </row>
    <row r="9" spans="1:12" x14ac:dyDescent="0.15">
      <c r="A9" t="s">
        <v>866</v>
      </c>
      <c r="B9" t="s">
        <v>853</v>
      </c>
      <c r="C9" t="s">
        <v>839</v>
      </c>
      <c r="D9">
        <v>1.4999999999999999E-2</v>
      </c>
      <c r="E9">
        <v>0.9</v>
      </c>
      <c r="F9" t="s">
        <v>867</v>
      </c>
    </row>
    <row r="10" spans="1:12" x14ac:dyDescent="0.15">
      <c r="A10" t="s">
        <v>868</v>
      </c>
      <c r="B10" t="s">
        <v>855</v>
      </c>
      <c r="C10" t="s">
        <v>133</v>
      </c>
      <c r="D10">
        <v>1.4999999999999999E-2</v>
      </c>
      <c r="E10">
        <v>0.9</v>
      </c>
      <c r="F10" t="s">
        <v>868</v>
      </c>
    </row>
    <row r="11" spans="1:12" x14ac:dyDescent="0.15">
      <c r="A11" t="s">
        <v>869</v>
      </c>
      <c r="B11" t="s">
        <v>855</v>
      </c>
      <c r="C11" t="s">
        <v>133</v>
      </c>
      <c r="D11">
        <v>1.4999999999999999E-2</v>
      </c>
      <c r="E11">
        <v>0.9</v>
      </c>
      <c r="F11" t="s">
        <v>869</v>
      </c>
    </row>
    <row r="12" spans="1:12" x14ac:dyDescent="0.15">
      <c r="A12" t="s">
        <v>870</v>
      </c>
      <c r="B12" t="s">
        <v>855</v>
      </c>
      <c r="C12" t="s">
        <v>133</v>
      </c>
      <c r="D12">
        <v>1.4999999999999999E-2</v>
      </c>
      <c r="E12">
        <v>0.9</v>
      </c>
      <c r="F12" t="s">
        <v>870</v>
      </c>
    </row>
    <row r="13" spans="1:12" x14ac:dyDescent="0.15">
      <c r="A13" t="s">
        <v>122</v>
      </c>
      <c r="B13" t="s">
        <v>855</v>
      </c>
      <c r="C13" t="s">
        <v>133</v>
      </c>
      <c r="D13">
        <v>1.4999999999999999E-2</v>
      </c>
      <c r="E13">
        <v>0.9</v>
      </c>
      <c r="F13" t="s">
        <v>871</v>
      </c>
    </row>
    <row r="14" spans="1:12" x14ac:dyDescent="0.15">
      <c r="A14" t="s">
        <v>872</v>
      </c>
      <c r="B14" t="s">
        <v>855</v>
      </c>
      <c r="C14" t="s">
        <v>133</v>
      </c>
      <c r="D14">
        <v>1.4999999999999999E-2</v>
      </c>
      <c r="E14">
        <v>0.9</v>
      </c>
      <c r="F14" t="s">
        <v>873</v>
      </c>
    </row>
    <row r="15" spans="1:12" x14ac:dyDescent="0.15">
      <c r="A15" t="s">
        <v>165</v>
      </c>
      <c r="B15" t="s">
        <v>853</v>
      </c>
      <c r="C15" t="s">
        <v>166</v>
      </c>
      <c r="D15">
        <v>1.4999999999999999E-2</v>
      </c>
      <c r="E15">
        <v>0.9</v>
      </c>
      <c r="F15" t="s">
        <v>874</v>
      </c>
    </row>
    <row r="16" spans="1:12" x14ac:dyDescent="0.15">
      <c r="A16" t="s">
        <v>875</v>
      </c>
      <c r="B16" t="s">
        <v>858</v>
      </c>
      <c r="C16" t="s">
        <v>876</v>
      </c>
      <c r="D16">
        <v>1.4999999999999999E-2</v>
      </c>
      <c r="E16">
        <v>0.9</v>
      </c>
      <c r="F16" t="s">
        <v>877</v>
      </c>
    </row>
    <row r="17" spans="1:6" x14ac:dyDescent="0.15">
      <c r="A17" t="s">
        <v>878</v>
      </c>
      <c r="B17" t="s">
        <v>853</v>
      </c>
      <c r="C17" t="s">
        <v>776</v>
      </c>
      <c r="D17">
        <v>1.4999999999999999E-2</v>
      </c>
      <c r="E17">
        <v>0.9</v>
      </c>
      <c r="F17" t="s">
        <v>879</v>
      </c>
    </row>
    <row r="18" spans="1:6" x14ac:dyDescent="0.15">
      <c r="A18" t="s">
        <v>880</v>
      </c>
      <c r="B18" t="s">
        <v>858</v>
      </c>
      <c r="C18" t="s">
        <v>881</v>
      </c>
      <c r="D18">
        <v>1.4999999999999999E-2</v>
      </c>
      <c r="E18">
        <v>0.9</v>
      </c>
      <c r="F18" t="s">
        <v>882</v>
      </c>
    </row>
    <row r="19" spans="1:6" x14ac:dyDescent="0.15">
      <c r="A19" t="s">
        <v>883</v>
      </c>
      <c r="B19" t="s">
        <v>855</v>
      </c>
      <c r="C19" t="s">
        <v>884</v>
      </c>
      <c r="D19">
        <v>1.4999999999999999E-2</v>
      </c>
      <c r="E19">
        <v>0.9</v>
      </c>
      <c r="F19" t="s">
        <v>885</v>
      </c>
    </row>
    <row r="20" spans="1:6" x14ac:dyDescent="0.15">
      <c r="A20" t="s">
        <v>345</v>
      </c>
      <c r="B20" t="s">
        <v>855</v>
      </c>
      <c r="C20" t="s">
        <v>346</v>
      </c>
      <c r="D20">
        <v>1.4999999999999999E-2</v>
      </c>
      <c r="E20">
        <v>0.9</v>
      </c>
      <c r="F20" t="s">
        <v>886</v>
      </c>
    </row>
    <row r="21" spans="1:6" x14ac:dyDescent="0.15">
      <c r="A21" t="s">
        <v>887</v>
      </c>
      <c r="B21" t="s">
        <v>855</v>
      </c>
      <c r="C21" t="s">
        <v>722</v>
      </c>
      <c r="D21">
        <v>1.4999999999999999E-2</v>
      </c>
      <c r="E21">
        <v>0.9</v>
      </c>
      <c r="F21" t="s">
        <v>888</v>
      </c>
    </row>
    <row r="22" spans="1:6" x14ac:dyDescent="0.15">
      <c r="A22" t="s">
        <v>322</v>
      </c>
      <c r="B22" t="s">
        <v>855</v>
      </c>
      <c r="C22" t="s">
        <v>323</v>
      </c>
      <c r="D22">
        <v>1.4999999999999999E-2</v>
      </c>
      <c r="E22">
        <v>0.9</v>
      </c>
      <c r="F22" t="s">
        <v>889</v>
      </c>
    </row>
    <row r="23" spans="1:6" x14ac:dyDescent="0.15">
      <c r="A23" t="s">
        <v>890</v>
      </c>
      <c r="B23" t="s">
        <v>855</v>
      </c>
      <c r="C23" t="s">
        <v>683</v>
      </c>
      <c r="D23">
        <v>1.4999999999999999E-2</v>
      </c>
      <c r="E23">
        <v>0.2</v>
      </c>
      <c r="F23" t="s">
        <v>891</v>
      </c>
    </row>
    <row r="24" spans="1:6" x14ac:dyDescent="0.15">
      <c r="A24" t="s">
        <v>209</v>
      </c>
      <c r="B24" t="s">
        <v>855</v>
      </c>
      <c r="C24" t="s">
        <v>210</v>
      </c>
      <c r="D24">
        <v>1.4999999999999999E-2</v>
      </c>
      <c r="E24">
        <v>0.4</v>
      </c>
      <c r="F24" t="s">
        <v>892</v>
      </c>
    </row>
    <row r="25" spans="1:6" x14ac:dyDescent="0.15">
      <c r="A25" t="s">
        <v>893</v>
      </c>
      <c r="B25" t="s">
        <v>855</v>
      </c>
      <c r="C25" t="s">
        <v>668</v>
      </c>
      <c r="D25">
        <v>1.4999999999999999E-2</v>
      </c>
      <c r="E25">
        <v>0.6</v>
      </c>
      <c r="F25" t="s">
        <v>894</v>
      </c>
    </row>
    <row r="26" spans="1:6" x14ac:dyDescent="0.15">
      <c r="A26" t="s">
        <v>229</v>
      </c>
      <c r="B26" t="s">
        <v>855</v>
      </c>
      <c r="C26" t="s">
        <v>230</v>
      </c>
      <c r="D26">
        <v>1.4999999999999999E-2</v>
      </c>
      <c r="E26">
        <v>0.4</v>
      </c>
      <c r="F26" t="s">
        <v>895</v>
      </c>
    </row>
    <row r="27" spans="1:6" x14ac:dyDescent="0.15">
      <c r="A27" t="s">
        <v>404</v>
      </c>
      <c r="B27" t="s">
        <v>855</v>
      </c>
      <c r="C27" t="s">
        <v>405</v>
      </c>
      <c r="D27">
        <v>1.4999999999999999E-2</v>
      </c>
      <c r="E27">
        <v>0.7</v>
      </c>
      <c r="F27" t="s">
        <v>896</v>
      </c>
    </row>
    <row r="28" spans="1:6" x14ac:dyDescent="0.15">
      <c r="A28" t="s">
        <v>897</v>
      </c>
      <c r="B28" t="s">
        <v>898</v>
      </c>
      <c r="C28" t="s">
        <v>899</v>
      </c>
      <c r="D28">
        <v>1.4999999999999999E-2</v>
      </c>
      <c r="E28">
        <v>0.9</v>
      </c>
      <c r="F28" t="s">
        <v>897</v>
      </c>
    </row>
    <row r="29" spans="1:6" x14ac:dyDescent="0.15">
      <c r="A29" t="s">
        <v>900</v>
      </c>
      <c r="B29" t="s">
        <v>898</v>
      </c>
      <c r="C29" t="s">
        <v>901</v>
      </c>
      <c r="D29">
        <v>1.4999999999999999E-2</v>
      </c>
      <c r="E29">
        <v>0.9</v>
      </c>
      <c r="F29" t="s">
        <v>902</v>
      </c>
    </row>
    <row r="30" spans="1:6" x14ac:dyDescent="0.15">
      <c r="A30" t="s">
        <v>903</v>
      </c>
      <c r="B30" t="s">
        <v>898</v>
      </c>
      <c r="C30" t="s">
        <v>904</v>
      </c>
      <c r="D30">
        <v>1.4999999999999999E-2</v>
      </c>
      <c r="E30">
        <v>0.9</v>
      </c>
      <c r="F30" t="s">
        <v>905</v>
      </c>
    </row>
    <row r="31" spans="1:6" x14ac:dyDescent="0.15">
      <c r="A31" t="s">
        <v>906</v>
      </c>
      <c r="B31" t="s">
        <v>898</v>
      </c>
      <c r="C31" t="s">
        <v>907</v>
      </c>
      <c r="D31">
        <v>1.4999999999999999E-2</v>
      </c>
      <c r="E31">
        <v>0.9</v>
      </c>
      <c r="F31" t="s">
        <v>908</v>
      </c>
    </row>
    <row r="32" spans="1:6" x14ac:dyDescent="0.15">
      <c r="A32" t="s">
        <v>909</v>
      </c>
      <c r="B32" t="s">
        <v>898</v>
      </c>
      <c r="C32" t="s">
        <v>910</v>
      </c>
      <c r="D32">
        <v>5.0000000000000001E-3</v>
      </c>
      <c r="E32">
        <v>0.6</v>
      </c>
      <c r="F32" t="s">
        <v>911</v>
      </c>
    </row>
    <row r="33" spans="1:6" x14ac:dyDescent="0.15">
      <c r="A33" t="s">
        <v>912</v>
      </c>
      <c r="B33" t="s">
        <v>898</v>
      </c>
      <c r="C33" t="s">
        <v>913</v>
      </c>
      <c r="D33">
        <v>1.4999999999999999E-2</v>
      </c>
      <c r="E33">
        <v>0.9</v>
      </c>
      <c r="F33" t="s">
        <v>914</v>
      </c>
    </row>
    <row r="34" spans="1:6" x14ac:dyDescent="0.15">
      <c r="A34" t="s">
        <v>915</v>
      </c>
      <c r="B34" t="s">
        <v>898</v>
      </c>
      <c r="C34" t="s">
        <v>438</v>
      </c>
      <c r="D34">
        <v>1.4999999999999999E-2</v>
      </c>
      <c r="E34">
        <v>0.9</v>
      </c>
      <c r="F34" t="s">
        <v>916</v>
      </c>
    </row>
    <row r="35" spans="1:6" x14ac:dyDescent="0.15">
      <c r="A35" t="s">
        <v>917</v>
      </c>
      <c r="B35" t="s">
        <v>898</v>
      </c>
      <c r="C35" t="s">
        <v>730</v>
      </c>
      <c r="D35">
        <v>8.0000000000000002E-3</v>
      </c>
      <c r="E35">
        <v>0.6</v>
      </c>
      <c r="F35" t="s">
        <v>918</v>
      </c>
    </row>
    <row r="36" spans="1:6" x14ac:dyDescent="0.15">
      <c r="A36" t="s">
        <v>919</v>
      </c>
      <c r="B36" t="s">
        <v>853</v>
      </c>
      <c r="C36" t="s">
        <v>148</v>
      </c>
      <c r="D36">
        <v>1.4999999999999999E-2</v>
      </c>
      <c r="E36">
        <v>0.9</v>
      </c>
      <c r="F36" t="s">
        <v>920</v>
      </c>
    </row>
    <row r="37" spans="1:6" x14ac:dyDescent="0.15">
      <c r="A37" t="s">
        <v>921</v>
      </c>
      <c r="B37" t="s">
        <v>858</v>
      </c>
      <c r="C37" t="s">
        <v>922</v>
      </c>
      <c r="D37">
        <v>1.4999999999999999E-2</v>
      </c>
      <c r="E37">
        <v>0.9</v>
      </c>
      <c r="F37" t="s">
        <v>923</v>
      </c>
    </row>
    <row r="38" spans="1:6" x14ac:dyDescent="0.15">
      <c r="A38" t="s">
        <v>924</v>
      </c>
      <c r="B38" t="s">
        <v>855</v>
      </c>
      <c r="C38" t="s">
        <v>133</v>
      </c>
      <c r="D38">
        <v>1.4999999999999999E-2</v>
      </c>
      <c r="E38">
        <v>0.9</v>
      </c>
      <c r="F38" t="s">
        <v>925</v>
      </c>
    </row>
    <row r="39" spans="1:6" x14ac:dyDescent="0.15">
      <c r="A39" t="s">
        <v>926</v>
      </c>
      <c r="B39" t="s">
        <v>855</v>
      </c>
      <c r="C39" t="s">
        <v>691</v>
      </c>
      <c r="D39">
        <v>1.4999999999999999E-2</v>
      </c>
      <c r="E39">
        <v>0.38</v>
      </c>
      <c r="F39" t="s">
        <v>927</v>
      </c>
    </row>
    <row r="40" spans="1:6" x14ac:dyDescent="0.15">
      <c r="A40" t="s">
        <v>928</v>
      </c>
      <c r="B40" t="s">
        <v>898</v>
      </c>
      <c r="C40" t="s">
        <v>929</v>
      </c>
      <c r="D40">
        <v>1.4999999999999999E-2</v>
      </c>
      <c r="E40">
        <v>0.9</v>
      </c>
      <c r="F40" t="s">
        <v>930</v>
      </c>
    </row>
    <row r="41" spans="1:6" x14ac:dyDescent="0.15">
      <c r="A41" t="s">
        <v>931</v>
      </c>
      <c r="B41" t="s">
        <v>855</v>
      </c>
      <c r="C41" t="s">
        <v>721</v>
      </c>
      <c r="D41">
        <v>1.4999999999999999E-2</v>
      </c>
      <c r="E41">
        <v>0.9</v>
      </c>
      <c r="F41" t="s">
        <v>886</v>
      </c>
    </row>
    <row r="42" spans="1:6" x14ac:dyDescent="0.15">
      <c r="A42" t="s">
        <v>932</v>
      </c>
      <c r="B42" t="s">
        <v>855</v>
      </c>
      <c r="C42" t="s">
        <v>715</v>
      </c>
      <c r="D42">
        <v>1.4999999999999999E-2</v>
      </c>
      <c r="E42">
        <v>0.9</v>
      </c>
      <c r="F42" t="s">
        <v>933</v>
      </c>
    </row>
    <row r="43" spans="1:6" x14ac:dyDescent="0.15">
      <c r="A43" t="s">
        <v>934</v>
      </c>
      <c r="B43" t="s">
        <v>898</v>
      </c>
      <c r="C43" t="s">
        <v>907</v>
      </c>
      <c r="D43">
        <v>1.4999999999999999E-2</v>
      </c>
      <c r="E43">
        <v>0.9</v>
      </c>
      <c r="F43" t="s">
        <v>935</v>
      </c>
    </row>
    <row r="44" spans="1:6" x14ac:dyDescent="0.15">
      <c r="A44" t="s">
        <v>936</v>
      </c>
      <c r="B44" t="s">
        <v>898</v>
      </c>
      <c r="C44" t="s">
        <v>899</v>
      </c>
      <c r="D44">
        <v>1.4999999999999999E-2</v>
      </c>
      <c r="E44">
        <v>0.9</v>
      </c>
      <c r="F44" t="s">
        <v>937</v>
      </c>
    </row>
    <row r="45" spans="1:6" x14ac:dyDescent="0.15">
      <c r="A45" t="s">
        <v>938</v>
      </c>
      <c r="B45" t="s">
        <v>855</v>
      </c>
      <c r="C45" t="s">
        <v>684</v>
      </c>
      <c r="D45">
        <v>1.4999999999999999E-2</v>
      </c>
      <c r="E45">
        <v>0.3</v>
      </c>
      <c r="F45" t="s">
        <v>939</v>
      </c>
    </row>
    <row r="46" spans="1:6" x14ac:dyDescent="0.15">
      <c r="A46" t="s">
        <v>940</v>
      </c>
      <c r="B46" t="s">
        <v>855</v>
      </c>
      <c r="C46" t="s">
        <v>340</v>
      </c>
      <c r="D46">
        <v>0.01</v>
      </c>
      <c r="E46">
        <v>0.4</v>
      </c>
      <c r="F46" t="s">
        <v>941</v>
      </c>
    </row>
    <row r="47" spans="1:6" x14ac:dyDescent="0.15">
      <c r="A47" t="s">
        <v>942</v>
      </c>
      <c r="B47" t="s">
        <v>855</v>
      </c>
      <c r="C47" t="s">
        <v>681</v>
      </c>
      <c r="D47">
        <v>1.4999999999999999E-2</v>
      </c>
      <c r="E47">
        <v>0.9</v>
      </c>
      <c r="F47" t="s">
        <v>943</v>
      </c>
    </row>
    <row r="48" spans="1:6" x14ac:dyDescent="0.15">
      <c r="A48" t="s">
        <v>944</v>
      </c>
      <c r="B48" t="s">
        <v>898</v>
      </c>
      <c r="C48" t="s">
        <v>945</v>
      </c>
      <c r="D48">
        <v>1.4999999999999999E-2</v>
      </c>
      <c r="E48">
        <v>0.9</v>
      </c>
      <c r="F48" t="s">
        <v>946</v>
      </c>
    </row>
    <row r="49" spans="1:6" x14ac:dyDescent="0.15">
      <c r="A49" t="s">
        <v>947</v>
      </c>
      <c r="B49" t="s">
        <v>855</v>
      </c>
      <c r="C49" t="s">
        <v>948</v>
      </c>
      <c r="D49">
        <v>1.4999999999999999E-2</v>
      </c>
      <c r="E49">
        <v>0.7</v>
      </c>
      <c r="F49" t="s">
        <v>896</v>
      </c>
    </row>
    <row r="50" spans="1:6" x14ac:dyDescent="0.15">
      <c r="A50" t="s">
        <v>949</v>
      </c>
      <c r="B50" t="s">
        <v>853</v>
      </c>
      <c r="C50" t="s">
        <v>839</v>
      </c>
      <c r="D50">
        <v>1.4999999999999999E-2</v>
      </c>
      <c r="E50">
        <v>0.9</v>
      </c>
      <c r="F50" t="s">
        <v>854</v>
      </c>
    </row>
    <row r="51" spans="1:6" x14ac:dyDescent="0.15">
      <c r="A51" t="s">
        <v>447</v>
      </c>
      <c r="B51" t="s">
        <v>853</v>
      </c>
      <c r="C51" t="s">
        <v>448</v>
      </c>
      <c r="D51">
        <v>1.4999999999999999E-2</v>
      </c>
      <c r="E51">
        <v>0.9</v>
      </c>
      <c r="F51" t="s">
        <v>950</v>
      </c>
    </row>
    <row r="52" spans="1:6" x14ac:dyDescent="0.15">
      <c r="A52" t="s">
        <v>951</v>
      </c>
      <c r="B52" t="s">
        <v>898</v>
      </c>
      <c r="C52" t="s">
        <v>901</v>
      </c>
      <c r="D52">
        <v>1.4999999999999999E-2</v>
      </c>
      <c r="E52">
        <v>0.9</v>
      </c>
      <c r="F52" t="s">
        <v>951</v>
      </c>
    </row>
    <row r="53" spans="1:6" x14ac:dyDescent="0.15">
      <c r="A53" t="s">
        <v>952</v>
      </c>
      <c r="B53" t="s">
        <v>898</v>
      </c>
      <c r="C53" t="s">
        <v>904</v>
      </c>
      <c r="D53">
        <v>1.4999999999999999E-2</v>
      </c>
      <c r="E53">
        <v>0.9</v>
      </c>
      <c r="F53" t="s">
        <v>952</v>
      </c>
    </row>
    <row r="54" spans="1:6" x14ac:dyDescent="0.15">
      <c r="A54" t="s">
        <v>953</v>
      </c>
      <c r="B54" t="s">
        <v>855</v>
      </c>
      <c r="C54" t="s">
        <v>954</v>
      </c>
      <c r="D54">
        <v>1.4999999999999999E-2</v>
      </c>
      <c r="E54">
        <v>0.9</v>
      </c>
      <c r="F54" t="s">
        <v>886</v>
      </c>
    </row>
    <row r="55" spans="1:6" x14ac:dyDescent="0.15">
      <c r="A55" t="s">
        <v>173</v>
      </c>
      <c r="B55" t="s">
        <v>855</v>
      </c>
      <c r="C55" t="s">
        <v>180</v>
      </c>
      <c r="D55">
        <v>1.4999999999999999E-2</v>
      </c>
      <c r="E55">
        <v>0.9</v>
      </c>
      <c r="F55" t="s">
        <v>955</v>
      </c>
    </row>
    <row r="56" spans="1:6" x14ac:dyDescent="0.15">
      <c r="A56" t="s">
        <v>351</v>
      </c>
      <c r="B56" t="s">
        <v>855</v>
      </c>
      <c r="C56" t="s">
        <v>180</v>
      </c>
      <c r="D56">
        <v>1.4999999999999999E-2</v>
      </c>
      <c r="E56">
        <v>0.9</v>
      </c>
      <c r="F56" t="s">
        <v>956</v>
      </c>
    </row>
    <row r="57" spans="1:6" x14ac:dyDescent="0.15">
      <c r="A57" t="s">
        <v>957</v>
      </c>
      <c r="B57" t="s">
        <v>855</v>
      </c>
      <c r="C57" t="s">
        <v>714</v>
      </c>
      <c r="D57">
        <v>1.4999999999999999E-2</v>
      </c>
      <c r="E57">
        <v>0.9</v>
      </c>
      <c r="F57" t="s">
        <v>957</v>
      </c>
    </row>
    <row r="58" spans="1:6" x14ac:dyDescent="0.15">
      <c r="A58" t="s">
        <v>958</v>
      </c>
      <c r="B58" t="s">
        <v>855</v>
      </c>
      <c r="C58" t="s">
        <v>959</v>
      </c>
      <c r="D58">
        <v>1.4999999999999999E-2</v>
      </c>
      <c r="E58">
        <v>0.7</v>
      </c>
      <c r="F58" t="s">
        <v>960</v>
      </c>
    </row>
    <row r="59" spans="1:6" x14ac:dyDescent="0.15">
      <c r="A59" t="s">
        <v>961</v>
      </c>
      <c r="B59" t="s">
        <v>855</v>
      </c>
      <c r="C59" t="s">
        <v>693</v>
      </c>
      <c r="D59">
        <v>1.4999999999999999E-2</v>
      </c>
      <c r="E59">
        <v>0.9</v>
      </c>
      <c r="F59" t="s">
        <v>962</v>
      </c>
    </row>
    <row r="60" spans="1:6" x14ac:dyDescent="0.15">
      <c r="A60" t="s">
        <v>963</v>
      </c>
      <c r="B60" t="s">
        <v>855</v>
      </c>
      <c r="C60" t="s">
        <v>693</v>
      </c>
      <c r="D60">
        <v>1.4999999999999999E-2</v>
      </c>
      <c r="E60">
        <v>0.9</v>
      </c>
      <c r="F60" t="s">
        <v>963</v>
      </c>
    </row>
    <row r="61" spans="1:6" x14ac:dyDescent="0.15">
      <c r="A61" t="s">
        <v>964</v>
      </c>
      <c r="B61" t="s">
        <v>898</v>
      </c>
      <c r="C61" t="s">
        <v>965</v>
      </c>
      <c r="D61">
        <v>1.4999999999999999E-2</v>
      </c>
      <c r="E61">
        <v>0.9</v>
      </c>
      <c r="F61" t="s">
        <v>966</v>
      </c>
    </row>
    <row r="62" spans="1:6" x14ac:dyDescent="0.15">
      <c r="A62" t="s">
        <v>967</v>
      </c>
      <c r="B62" t="s">
        <v>898</v>
      </c>
      <c r="C62" t="s">
        <v>734</v>
      </c>
      <c r="D62">
        <v>1.6E-2</v>
      </c>
      <c r="E62">
        <v>0.9</v>
      </c>
      <c r="F62" t="s">
        <v>968</v>
      </c>
    </row>
    <row r="63" spans="1:6" x14ac:dyDescent="0.15">
      <c r="A63" t="s">
        <v>969</v>
      </c>
      <c r="B63" t="s">
        <v>898</v>
      </c>
      <c r="C63" t="s">
        <v>970</v>
      </c>
      <c r="D63">
        <v>1.4999999999999999E-2</v>
      </c>
      <c r="E63">
        <v>0.9</v>
      </c>
      <c r="F63" t="s">
        <v>971</v>
      </c>
    </row>
    <row r="64" spans="1:6" x14ac:dyDescent="0.15">
      <c r="A64" t="s">
        <v>972</v>
      </c>
      <c r="B64" t="s">
        <v>898</v>
      </c>
      <c r="C64" t="s">
        <v>970</v>
      </c>
      <c r="D64">
        <v>1.4999999999999999E-2</v>
      </c>
      <c r="E64">
        <v>0.9</v>
      </c>
      <c r="F64" t="s">
        <v>972</v>
      </c>
    </row>
    <row r="65" spans="1:6" x14ac:dyDescent="0.15">
      <c r="A65" t="s">
        <v>973</v>
      </c>
      <c r="B65" t="s">
        <v>855</v>
      </c>
      <c r="C65" t="s">
        <v>133</v>
      </c>
      <c r="D65">
        <v>1.4999999999999999E-2</v>
      </c>
      <c r="E65">
        <v>0.9</v>
      </c>
      <c r="F65" t="s">
        <v>973</v>
      </c>
    </row>
    <row r="66" spans="1:6" x14ac:dyDescent="0.15">
      <c r="A66" t="s">
        <v>974</v>
      </c>
      <c r="B66" t="s">
        <v>855</v>
      </c>
      <c r="C66" t="s">
        <v>714</v>
      </c>
      <c r="D66">
        <v>1.4999999999999999E-2</v>
      </c>
      <c r="E66">
        <v>0.9</v>
      </c>
      <c r="F66" t="s">
        <v>975</v>
      </c>
    </row>
    <row r="67" spans="1:6" x14ac:dyDescent="0.15">
      <c r="A67" t="s">
        <v>976</v>
      </c>
      <c r="B67" t="s">
        <v>855</v>
      </c>
      <c r="C67" t="s">
        <v>133</v>
      </c>
      <c r="D67">
        <v>1.4999999999999999E-2</v>
      </c>
      <c r="E67">
        <v>0.9</v>
      </c>
      <c r="F67" t="s">
        <v>976</v>
      </c>
    </row>
    <row r="68" spans="1:6" x14ac:dyDescent="0.15">
      <c r="A68" t="s">
        <v>977</v>
      </c>
      <c r="B68" t="s">
        <v>855</v>
      </c>
      <c r="C68" t="s">
        <v>133</v>
      </c>
      <c r="D68">
        <v>1.4999999999999999E-2</v>
      </c>
      <c r="E68">
        <v>0.9</v>
      </c>
      <c r="F68" t="s">
        <v>977</v>
      </c>
    </row>
    <row r="69" spans="1:6" x14ac:dyDescent="0.15">
      <c r="A69" t="s">
        <v>978</v>
      </c>
      <c r="B69" t="s">
        <v>855</v>
      </c>
      <c r="C69" t="s">
        <v>203</v>
      </c>
      <c r="D69">
        <v>1.4999999999999999E-2</v>
      </c>
      <c r="E69">
        <v>0.14000000000000001</v>
      </c>
      <c r="F69" t="s">
        <v>871</v>
      </c>
    </row>
    <row r="70" spans="1:6" x14ac:dyDescent="0.15">
      <c r="A70" t="s">
        <v>979</v>
      </c>
      <c r="B70" t="s">
        <v>855</v>
      </c>
      <c r="C70" t="s">
        <v>720</v>
      </c>
      <c r="D70">
        <v>1.4999999999999999E-2</v>
      </c>
      <c r="E70">
        <v>0.9</v>
      </c>
      <c r="F70" t="s">
        <v>980</v>
      </c>
    </row>
    <row r="71" spans="1:6" x14ac:dyDescent="0.15">
      <c r="A71" t="s">
        <v>981</v>
      </c>
      <c r="B71" t="s">
        <v>855</v>
      </c>
      <c r="C71" t="s">
        <v>463</v>
      </c>
      <c r="D71">
        <v>1.4999999999999999E-2</v>
      </c>
      <c r="E71">
        <v>0.9</v>
      </c>
      <c r="F71" t="s">
        <v>886</v>
      </c>
    </row>
    <row r="72" spans="1:6" x14ac:dyDescent="0.15">
      <c r="A72" t="s">
        <v>411</v>
      </c>
      <c r="B72" t="s">
        <v>855</v>
      </c>
      <c r="C72" t="s">
        <v>412</v>
      </c>
      <c r="D72">
        <v>1.4999999999999999E-2</v>
      </c>
      <c r="E72">
        <v>0.9</v>
      </c>
      <c r="F72" t="s">
        <v>885</v>
      </c>
    </row>
    <row r="73" spans="1:6" x14ac:dyDescent="0.15">
      <c r="A73" t="s">
        <v>982</v>
      </c>
      <c r="B73" t="s">
        <v>855</v>
      </c>
      <c r="C73" t="s">
        <v>713</v>
      </c>
      <c r="D73">
        <v>1.4999999999999999E-2</v>
      </c>
      <c r="E73">
        <v>0.9</v>
      </c>
      <c r="F73" t="s">
        <v>975</v>
      </c>
    </row>
    <row r="74" spans="1:6" x14ac:dyDescent="0.15">
      <c r="A74" t="s">
        <v>602</v>
      </c>
      <c r="B74" t="s">
        <v>855</v>
      </c>
      <c r="C74" t="s">
        <v>174</v>
      </c>
      <c r="D74">
        <v>1.4999999999999999E-2</v>
      </c>
      <c r="E74">
        <v>0.9</v>
      </c>
      <c r="F74" t="s">
        <v>983</v>
      </c>
    </row>
    <row r="75" spans="1:6" x14ac:dyDescent="0.15">
      <c r="A75" t="s">
        <v>984</v>
      </c>
      <c r="B75" t="s">
        <v>855</v>
      </c>
      <c r="C75" t="s">
        <v>174</v>
      </c>
      <c r="D75">
        <v>1.4999999999999999E-2</v>
      </c>
      <c r="E75">
        <v>0.9</v>
      </c>
      <c r="F75" t="s">
        <v>984</v>
      </c>
    </row>
    <row r="76" spans="1:6" x14ac:dyDescent="0.15">
      <c r="A76" t="s">
        <v>505</v>
      </c>
      <c r="B76" t="s">
        <v>853</v>
      </c>
      <c r="C76" t="s">
        <v>506</v>
      </c>
      <c r="D76">
        <v>1.4999999999999999E-2</v>
      </c>
      <c r="E76">
        <v>0.9</v>
      </c>
      <c r="F76" t="s">
        <v>985</v>
      </c>
    </row>
    <row r="77" spans="1:6" x14ac:dyDescent="0.15">
      <c r="A77" t="s">
        <v>986</v>
      </c>
      <c r="B77" t="s">
        <v>853</v>
      </c>
      <c r="C77" t="s">
        <v>506</v>
      </c>
      <c r="D77">
        <v>1.4999999999999999E-2</v>
      </c>
      <c r="E77">
        <v>0.9</v>
      </c>
      <c r="F77" t="s">
        <v>986</v>
      </c>
    </row>
    <row r="78" spans="1:6" x14ac:dyDescent="0.15">
      <c r="A78" t="s">
        <v>987</v>
      </c>
      <c r="B78" t="s">
        <v>853</v>
      </c>
      <c r="C78" t="s">
        <v>516</v>
      </c>
      <c r="D78">
        <v>1.4999999999999999E-2</v>
      </c>
      <c r="E78">
        <v>0.9</v>
      </c>
      <c r="F78" t="s">
        <v>988</v>
      </c>
    </row>
    <row r="79" spans="1:6" x14ac:dyDescent="0.15">
      <c r="A79" t="s">
        <v>515</v>
      </c>
      <c r="B79" t="s">
        <v>853</v>
      </c>
      <c r="C79" t="s">
        <v>516</v>
      </c>
      <c r="D79">
        <v>1.4999999999999999E-2</v>
      </c>
      <c r="E79">
        <v>0.9</v>
      </c>
      <c r="F79" t="s">
        <v>515</v>
      </c>
    </row>
    <row r="80" spans="1:6" x14ac:dyDescent="0.15">
      <c r="A80" t="s">
        <v>202</v>
      </c>
      <c r="B80" t="s">
        <v>855</v>
      </c>
      <c r="C80" t="s">
        <v>203</v>
      </c>
      <c r="D80">
        <v>1.4999999999999999E-2</v>
      </c>
      <c r="E80">
        <v>0.14000000000000001</v>
      </c>
      <c r="F80" t="s">
        <v>202</v>
      </c>
    </row>
    <row r="81" spans="1:6" x14ac:dyDescent="0.15">
      <c r="A81" t="s">
        <v>533</v>
      </c>
      <c r="B81" t="s">
        <v>855</v>
      </c>
      <c r="C81" t="s">
        <v>720</v>
      </c>
      <c r="D81">
        <v>1.4999999999999999E-2</v>
      </c>
      <c r="E81">
        <v>0.9</v>
      </c>
      <c r="F81" t="s">
        <v>533</v>
      </c>
    </row>
    <row r="82" spans="1:6" x14ac:dyDescent="0.15">
      <c r="A82" t="s">
        <v>989</v>
      </c>
      <c r="B82" t="s">
        <v>855</v>
      </c>
      <c r="C82" t="s">
        <v>657</v>
      </c>
      <c r="D82">
        <v>1.4999999999999999E-2</v>
      </c>
      <c r="E82">
        <v>0.7</v>
      </c>
      <c r="F82" t="s">
        <v>960</v>
      </c>
    </row>
    <row r="83" spans="1:6" x14ac:dyDescent="0.15">
      <c r="A83" t="s">
        <v>990</v>
      </c>
      <c r="B83" t="s">
        <v>853</v>
      </c>
      <c r="C83" t="s">
        <v>448</v>
      </c>
      <c r="D83">
        <v>1.4999999999999999E-2</v>
      </c>
      <c r="E83">
        <v>0.9</v>
      </c>
      <c r="F83" t="s">
        <v>990</v>
      </c>
    </row>
    <row r="84" spans="1:6" x14ac:dyDescent="0.15">
      <c r="A84" t="s">
        <v>991</v>
      </c>
      <c r="B84" t="s">
        <v>853</v>
      </c>
      <c r="C84" t="s">
        <v>166</v>
      </c>
      <c r="D84">
        <v>1.4999999999999999E-2</v>
      </c>
      <c r="E84">
        <v>0.9</v>
      </c>
      <c r="F84" t="s">
        <v>991</v>
      </c>
    </row>
    <row r="85" spans="1:6" x14ac:dyDescent="0.15">
      <c r="A85" t="s">
        <v>992</v>
      </c>
      <c r="B85" t="s">
        <v>855</v>
      </c>
      <c r="C85" t="s">
        <v>463</v>
      </c>
      <c r="D85">
        <v>1.4999999999999999E-2</v>
      </c>
      <c r="E85">
        <v>0.9</v>
      </c>
      <c r="F85" t="s">
        <v>992</v>
      </c>
    </row>
    <row r="86" spans="1:6" x14ac:dyDescent="0.15">
      <c r="A86" t="s">
        <v>993</v>
      </c>
      <c r="B86" t="s">
        <v>855</v>
      </c>
      <c r="C86" t="s">
        <v>534</v>
      </c>
      <c r="D86">
        <v>1.4999999999999999E-2</v>
      </c>
      <c r="E86">
        <v>0.9</v>
      </c>
      <c r="F86" t="s">
        <v>980</v>
      </c>
    </row>
    <row r="87" spans="1:6" x14ac:dyDescent="0.15">
      <c r="A87" t="s">
        <v>994</v>
      </c>
      <c r="B87" t="s">
        <v>853</v>
      </c>
      <c r="C87" t="s">
        <v>499</v>
      </c>
      <c r="D87">
        <v>1.4999999999999999E-2</v>
      </c>
      <c r="E87">
        <v>0.9</v>
      </c>
      <c r="F87" t="s">
        <v>995</v>
      </c>
    </row>
    <row r="88" spans="1:6" x14ac:dyDescent="0.15">
      <c r="A88" t="s">
        <v>498</v>
      </c>
      <c r="B88" t="s">
        <v>853</v>
      </c>
      <c r="C88" t="s">
        <v>499</v>
      </c>
      <c r="D88">
        <v>1.4999999999999999E-2</v>
      </c>
      <c r="E88">
        <v>0.9</v>
      </c>
      <c r="F88" t="s">
        <v>498</v>
      </c>
    </row>
    <row r="89" spans="1:6" x14ac:dyDescent="0.15">
      <c r="A89" t="s">
        <v>996</v>
      </c>
      <c r="B89" t="s">
        <v>855</v>
      </c>
      <c r="C89" t="s">
        <v>713</v>
      </c>
      <c r="D89">
        <v>1.4999999999999999E-2</v>
      </c>
      <c r="E89">
        <v>0.9</v>
      </c>
      <c r="F89" t="s">
        <v>997</v>
      </c>
    </row>
    <row r="90" spans="1:6" x14ac:dyDescent="0.15">
      <c r="A90" t="s">
        <v>998</v>
      </c>
      <c r="B90" t="s">
        <v>898</v>
      </c>
      <c r="C90" t="s">
        <v>999</v>
      </c>
      <c r="D90">
        <v>1.4999999999999999E-2</v>
      </c>
      <c r="E90">
        <v>0.9</v>
      </c>
      <c r="F90" t="s">
        <v>1000</v>
      </c>
    </row>
    <row r="91" spans="1:6" x14ac:dyDescent="0.15">
      <c r="A91" t="s">
        <v>1001</v>
      </c>
      <c r="B91" t="s">
        <v>855</v>
      </c>
      <c r="C91" t="s">
        <v>1002</v>
      </c>
      <c r="D91">
        <v>1.4999999999999999E-2</v>
      </c>
      <c r="E91">
        <v>0.14000000000000001</v>
      </c>
      <c r="F91" t="s">
        <v>871</v>
      </c>
    </row>
    <row r="92" spans="1:6" x14ac:dyDescent="0.15">
      <c r="A92" t="s">
        <v>1003</v>
      </c>
      <c r="B92" t="s">
        <v>898</v>
      </c>
      <c r="C92" t="s">
        <v>737</v>
      </c>
      <c r="D92">
        <v>1.6E-2</v>
      </c>
      <c r="E92">
        <v>0.9</v>
      </c>
      <c r="F92" t="s">
        <v>1004</v>
      </c>
    </row>
    <row r="93" spans="1:6" x14ac:dyDescent="0.15">
      <c r="A93" t="s">
        <v>1005</v>
      </c>
      <c r="B93" t="s">
        <v>855</v>
      </c>
      <c r="C93" t="s">
        <v>1006</v>
      </c>
      <c r="D93">
        <v>1.4999999999999999E-2</v>
      </c>
      <c r="E93">
        <v>0.9</v>
      </c>
      <c r="F93" t="s">
        <v>1005</v>
      </c>
    </row>
    <row r="94" spans="1:6" x14ac:dyDescent="0.15">
      <c r="A94" t="s">
        <v>526</v>
      </c>
      <c r="B94" t="s">
        <v>853</v>
      </c>
      <c r="C94" t="s">
        <v>527</v>
      </c>
      <c r="D94">
        <v>1.6E-2</v>
      </c>
      <c r="E94">
        <v>0.9</v>
      </c>
      <c r="F94" t="s">
        <v>1007</v>
      </c>
    </row>
    <row r="95" spans="1:6" x14ac:dyDescent="0.15">
      <c r="A95" t="s">
        <v>1008</v>
      </c>
      <c r="B95" t="s">
        <v>853</v>
      </c>
      <c r="C95" t="s">
        <v>527</v>
      </c>
      <c r="D95">
        <v>1.6E-2</v>
      </c>
      <c r="E95">
        <v>0.9</v>
      </c>
      <c r="F95" t="s">
        <v>1008</v>
      </c>
    </row>
    <row r="96" spans="1:6" x14ac:dyDescent="0.15">
      <c r="A96" t="s">
        <v>1009</v>
      </c>
      <c r="C96" t="s">
        <v>836</v>
      </c>
      <c r="D96">
        <v>1.4999999999999999E-2</v>
      </c>
      <c r="E96">
        <v>0.9</v>
      </c>
    </row>
    <row r="97" spans="1:5" x14ac:dyDescent="0.15">
      <c r="A97" t="s">
        <v>1010</v>
      </c>
      <c r="C97" t="s">
        <v>826</v>
      </c>
      <c r="D97">
        <v>1.4999999999999999E-2</v>
      </c>
      <c r="E97">
        <v>0.9</v>
      </c>
    </row>
    <row r="98" spans="1:5" x14ac:dyDescent="0.15">
      <c r="A98" t="s">
        <v>1011</v>
      </c>
      <c r="C98" t="s">
        <v>580</v>
      </c>
      <c r="D98">
        <v>1.4999999999999999E-2</v>
      </c>
      <c r="E98">
        <v>0.9</v>
      </c>
    </row>
    <row r="99" spans="1:5" x14ac:dyDescent="0.15">
      <c r="A99" t="s">
        <v>586</v>
      </c>
      <c r="C99" t="s">
        <v>587</v>
      </c>
      <c r="D99">
        <v>1.4999999999999999E-2</v>
      </c>
      <c r="E99">
        <v>0.9</v>
      </c>
    </row>
    <row r="100" spans="1:5" x14ac:dyDescent="0.15">
      <c r="A100" t="s">
        <v>608</v>
      </c>
      <c r="C100" t="s">
        <v>609</v>
      </c>
      <c r="D100">
        <v>1.4999999999999999E-2</v>
      </c>
      <c r="E100">
        <v>0.9</v>
      </c>
    </row>
    <row r="101" spans="1:5" x14ac:dyDescent="0.15">
      <c r="A101" t="s">
        <v>1012</v>
      </c>
      <c r="C101" t="s">
        <v>666</v>
      </c>
      <c r="D101">
        <v>1.4999999999999999E-2</v>
      </c>
      <c r="E101">
        <v>0.9</v>
      </c>
    </row>
    <row r="102" spans="1:5" x14ac:dyDescent="0.15">
      <c r="A102" t="s">
        <v>1013</v>
      </c>
      <c r="C102" t="s">
        <v>712</v>
      </c>
      <c r="D102">
        <v>1.4999999999999999E-2</v>
      </c>
      <c r="E102">
        <v>0.9</v>
      </c>
    </row>
    <row r="103" spans="1:5" x14ac:dyDescent="0.15">
      <c r="A103" t="s">
        <v>579</v>
      </c>
      <c r="C103" t="s">
        <v>580</v>
      </c>
      <c r="D103">
        <v>1.4999999999999999E-2</v>
      </c>
      <c r="E103">
        <v>0.9</v>
      </c>
    </row>
    <row r="104" spans="1:5" x14ac:dyDescent="0.15">
      <c r="A104" t="s">
        <v>1014</v>
      </c>
      <c r="C104" t="s">
        <v>609</v>
      </c>
      <c r="D104">
        <v>1.4999999999999999E-2</v>
      </c>
      <c r="E104">
        <v>0.9</v>
      </c>
    </row>
    <row r="105" spans="1:5" x14ac:dyDescent="0.15">
      <c r="A105" t="s">
        <v>1015</v>
      </c>
      <c r="C105" t="s">
        <v>346</v>
      </c>
      <c r="D105">
        <v>1.4999999999999999E-2</v>
      </c>
      <c r="E105">
        <v>0.9</v>
      </c>
    </row>
    <row r="106" spans="1:5" x14ac:dyDescent="0.15">
      <c r="A106" t="s">
        <v>1015</v>
      </c>
      <c r="C106" t="s">
        <v>463</v>
      </c>
      <c r="D106">
        <v>1.4999999999999999E-2</v>
      </c>
      <c r="E106">
        <v>0.9</v>
      </c>
    </row>
    <row r="107" spans="1:5" x14ac:dyDescent="0.15">
      <c r="A107" t="s">
        <v>1016</v>
      </c>
      <c r="C107" t="s">
        <v>534</v>
      </c>
      <c r="D107">
        <v>1.4999999999999999E-2</v>
      </c>
      <c r="E107">
        <v>0.9</v>
      </c>
    </row>
    <row r="108" spans="1:5" x14ac:dyDescent="0.15">
      <c r="A108" t="s">
        <v>1017</v>
      </c>
      <c r="C108" t="s">
        <v>1018</v>
      </c>
      <c r="D108">
        <v>1.4999999999999999E-2</v>
      </c>
      <c r="E108">
        <v>0.9</v>
      </c>
    </row>
    <row r="109" spans="1:5" x14ac:dyDescent="0.15">
      <c r="A109" t="s">
        <v>1017</v>
      </c>
      <c r="C109" t="s">
        <v>714</v>
      </c>
      <c r="D109">
        <v>1.4999999999999999E-2</v>
      </c>
      <c r="E109">
        <v>0.9</v>
      </c>
    </row>
    <row r="110" spans="1:5" x14ac:dyDescent="0.15">
      <c r="A110" t="s">
        <v>1017</v>
      </c>
      <c r="C110" t="s">
        <v>713</v>
      </c>
      <c r="D110">
        <v>1.4999999999999999E-2</v>
      </c>
      <c r="E110">
        <v>0.9</v>
      </c>
    </row>
    <row r="111" spans="1:5" x14ac:dyDescent="0.15">
      <c r="A111" t="s">
        <v>1017</v>
      </c>
      <c r="C111" t="s">
        <v>1019</v>
      </c>
      <c r="D111">
        <v>1.4999999999999999E-2</v>
      </c>
      <c r="E111">
        <v>0.9</v>
      </c>
    </row>
    <row r="112" spans="1:5" x14ac:dyDescent="0.15">
      <c r="A112" t="s">
        <v>1020</v>
      </c>
      <c r="C112" t="s">
        <v>203</v>
      </c>
      <c r="D112">
        <v>1.4999999999999999E-2</v>
      </c>
      <c r="E112">
        <v>0.14000000000000001</v>
      </c>
    </row>
    <row r="113" spans="1:5" x14ac:dyDescent="0.15">
      <c r="A113" t="s">
        <v>1016</v>
      </c>
      <c r="C113" t="s">
        <v>1021</v>
      </c>
      <c r="D113">
        <v>1.4999999999999999E-2</v>
      </c>
      <c r="E113">
        <v>0.9</v>
      </c>
    </row>
    <row r="114" spans="1:5" x14ac:dyDescent="0.15">
      <c r="A114" t="s">
        <v>1016</v>
      </c>
      <c r="C114" t="s">
        <v>720</v>
      </c>
      <c r="D114">
        <v>1.4999999999999999E-2</v>
      </c>
      <c r="E114">
        <v>0.9</v>
      </c>
    </row>
    <row r="115" spans="1:5" x14ac:dyDescent="0.15">
      <c r="A115" t="s">
        <v>1011</v>
      </c>
      <c r="C115" t="s">
        <v>580</v>
      </c>
      <c r="D115">
        <v>1.4999999999999999E-2</v>
      </c>
      <c r="E115">
        <v>0.9</v>
      </c>
    </row>
    <row r="116" spans="1:5" x14ac:dyDescent="0.15">
      <c r="A116" t="s">
        <v>586</v>
      </c>
      <c r="C116" t="s">
        <v>587</v>
      </c>
      <c r="D116">
        <v>1.4999999999999999E-2</v>
      </c>
      <c r="E116">
        <v>0.9</v>
      </c>
    </row>
    <row r="117" spans="1:5" x14ac:dyDescent="0.15">
      <c r="A117" t="s">
        <v>608</v>
      </c>
      <c r="C117" t="s">
        <v>609</v>
      </c>
      <c r="D117">
        <v>1.4999999999999999E-2</v>
      </c>
      <c r="E117">
        <v>0.9</v>
      </c>
    </row>
    <row r="118" spans="1:5" x14ac:dyDescent="0.15">
      <c r="A118" t="s">
        <v>1012</v>
      </c>
      <c r="C118" t="s">
        <v>666</v>
      </c>
      <c r="D118">
        <v>1.4999999999999999E-2</v>
      </c>
      <c r="E118">
        <v>0.9</v>
      </c>
    </row>
    <row r="119" spans="1:5" x14ac:dyDescent="0.15">
      <c r="A119" t="s">
        <v>1013</v>
      </c>
      <c r="C119" t="s">
        <v>712</v>
      </c>
      <c r="D119">
        <v>1.4999999999999999E-2</v>
      </c>
      <c r="E119">
        <v>0.9</v>
      </c>
    </row>
    <row r="120" spans="1:5" x14ac:dyDescent="0.15">
      <c r="A120" t="s">
        <v>579</v>
      </c>
      <c r="C120" t="s">
        <v>580</v>
      </c>
      <c r="D120">
        <v>1.4999999999999999E-2</v>
      </c>
      <c r="E120">
        <v>0.9</v>
      </c>
    </row>
    <row r="121" spans="1:5" x14ac:dyDescent="0.15">
      <c r="A121" t="s">
        <v>1014</v>
      </c>
      <c r="C121" t="s">
        <v>609</v>
      </c>
      <c r="D121">
        <v>1.4999999999999999E-2</v>
      </c>
      <c r="E121">
        <v>0.9</v>
      </c>
    </row>
    <row r="122" spans="1:5" x14ac:dyDescent="0.15">
      <c r="A122" t="s">
        <v>1009</v>
      </c>
      <c r="C122" t="s">
        <v>836</v>
      </c>
      <c r="D122">
        <v>1.4999999999999999E-2</v>
      </c>
      <c r="E122">
        <v>0.9</v>
      </c>
    </row>
    <row r="123" spans="1:5" x14ac:dyDescent="0.15">
      <c r="A123" t="s">
        <v>1010</v>
      </c>
      <c r="C123" t="s">
        <v>826</v>
      </c>
      <c r="D123">
        <v>1.4999999999999999E-2</v>
      </c>
      <c r="E123">
        <v>0.9</v>
      </c>
    </row>
    <row r="124" spans="1:5" x14ac:dyDescent="0.15">
      <c r="A124" t="s">
        <v>1022</v>
      </c>
      <c r="C124" t="s">
        <v>730</v>
      </c>
      <c r="D124">
        <v>8.0000000000000002E-3</v>
      </c>
      <c r="E124">
        <v>0.6</v>
      </c>
    </row>
    <row r="125" spans="1:5" x14ac:dyDescent="0.15">
      <c r="A125" t="s">
        <v>437</v>
      </c>
      <c r="C125" t="s">
        <v>438</v>
      </c>
      <c r="D125">
        <v>1.4999999999999999E-2</v>
      </c>
      <c r="E125">
        <v>0.9</v>
      </c>
    </row>
    <row r="126" spans="1:5" x14ac:dyDescent="0.15">
      <c r="A126" t="s">
        <v>1023</v>
      </c>
      <c r="C126" t="s">
        <v>587</v>
      </c>
      <c r="D126">
        <v>1.4999999999999999E-2</v>
      </c>
      <c r="E126">
        <v>0.9</v>
      </c>
    </row>
    <row r="127" spans="1:5" x14ac:dyDescent="0.15">
      <c r="A127" t="s">
        <v>548</v>
      </c>
      <c r="C127" t="s">
        <v>549</v>
      </c>
      <c r="D127">
        <v>1.4999999999999999E-2</v>
      </c>
      <c r="E127">
        <v>0.9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workbookViewId="0"/>
  </sheetViews>
  <sheetFormatPr defaultRowHeight="13.5" x14ac:dyDescent="0.15"/>
  <sheetData>
    <row r="1" spans="1:13" x14ac:dyDescent="0.15">
      <c r="A1" s="1" t="s">
        <v>1024</v>
      </c>
      <c r="B1" s="1" t="s">
        <v>1025</v>
      </c>
      <c r="C1" s="1" t="s">
        <v>1026</v>
      </c>
      <c r="D1" s="1" t="s">
        <v>15</v>
      </c>
      <c r="E1" s="1" t="s">
        <v>1027</v>
      </c>
      <c r="F1" s="1" t="s">
        <v>1028</v>
      </c>
      <c r="G1" s="1" t="s">
        <v>620</v>
      </c>
      <c r="H1" s="1" t="s">
        <v>1029</v>
      </c>
      <c r="I1" s="1" t="s">
        <v>7</v>
      </c>
      <c r="J1" s="1" t="s">
        <v>12</v>
      </c>
      <c r="K1" s="1" t="s">
        <v>1030</v>
      </c>
      <c r="L1" s="1" t="s">
        <v>1031</v>
      </c>
      <c r="M1" s="1" t="s">
        <v>1032</v>
      </c>
    </row>
    <row r="2" spans="1:13" x14ac:dyDescent="0.15">
      <c r="A2">
        <v>26123064</v>
      </c>
      <c r="B2" t="s">
        <v>419</v>
      </c>
      <c r="D2" t="s">
        <v>131</v>
      </c>
      <c r="E2" t="s">
        <v>1033</v>
      </c>
      <c r="F2" t="s">
        <v>123</v>
      </c>
      <c r="G2" t="s">
        <v>1034</v>
      </c>
      <c r="H2" t="s">
        <v>156</v>
      </c>
      <c r="I2" t="s">
        <v>1035</v>
      </c>
      <c r="J2" t="s">
        <v>377</v>
      </c>
      <c r="K2" t="s">
        <v>1036</v>
      </c>
      <c r="L2" t="s">
        <v>1037</v>
      </c>
      <c r="M2" t="s">
        <v>421</v>
      </c>
    </row>
    <row r="3" spans="1:13" x14ac:dyDescent="0.15">
      <c r="A3">
        <v>26123070</v>
      </c>
      <c r="B3" t="s">
        <v>445</v>
      </c>
      <c r="D3" t="s">
        <v>131</v>
      </c>
      <c r="E3" t="s">
        <v>1033</v>
      </c>
      <c r="F3" t="s">
        <v>123</v>
      </c>
      <c r="G3" t="s">
        <v>1034</v>
      </c>
      <c r="H3" t="s">
        <v>156</v>
      </c>
      <c r="I3" t="s">
        <v>1035</v>
      </c>
      <c r="J3" t="s">
        <v>377</v>
      </c>
      <c r="K3" t="s">
        <v>1036</v>
      </c>
      <c r="L3" t="s">
        <v>1038</v>
      </c>
      <c r="M3" t="s">
        <v>446</v>
      </c>
    </row>
    <row r="4" spans="1:13" x14ac:dyDescent="0.15">
      <c r="A4">
        <v>26123010</v>
      </c>
      <c r="B4" t="s">
        <v>182</v>
      </c>
      <c r="D4" t="s">
        <v>154</v>
      </c>
      <c r="E4" t="s">
        <v>1033</v>
      </c>
      <c r="F4" t="s">
        <v>123</v>
      </c>
      <c r="G4" t="s">
        <v>1034</v>
      </c>
      <c r="H4" t="s">
        <v>156</v>
      </c>
      <c r="I4" t="s">
        <v>1035</v>
      </c>
      <c r="J4" t="s">
        <v>377</v>
      </c>
      <c r="K4" t="s">
        <v>1036</v>
      </c>
      <c r="L4" t="s">
        <v>1037</v>
      </c>
      <c r="M4" t="s">
        <v>184</v>
      </c>
    </row>
    <row r="5" spans="1:13" x14ac:dyDescent="0.15">
      <c r="A5">
        <v>26123011</v>
      </c>
      <c r="B5" t="s">
        <v>186</v>
      </c>
      <c r="D5" t="s">
        <v>154</v>
      </c>
      <c r="E5" t="s">
        <v>1033</v>
      </c>
      <c r="F5" t="s">
        <v>123</v>
      </c>
      <c r="G5" t="s">
        <v>1034</v>
      </c>
      <c r="H5" t="s">
        <v>156</v>
      </c>
      <c r="I5" t="s">
        <v>1035</v>
      </c>
      <c r="J5" t="s">
        <v>377</v>
      </c>
      <c r="K5" t="s">
        <v>1036</v>
      </c>
      <c r="L5" t="s">
        <v>1037</v>
      </c>
      <c r="M5" t="s">
        <v>189</v>
      </c>
    </row>
    <row r="6" spans="1:13" x14ac:dyDescent="0.15">
      <c r="A6">
        <v>26123033</v>
      </c>
      <c r="B6" t="s">
        <v>286</v>
      </c>
      <c r="D6" t="s">
        <v>154</v>
      </c>
      <c r="E6" t="s">
        <v>1033</v>
      </c>
      <c r="F6" t="s">
        <v>123</v>
      </c>
      <c r="G6" t="s">
        <v>1034</v>
      </c>
      <c r="H6" t="s">
        <v>156</v>
      </c>
      <c r="I6" t="s">
        <v>1035</v>
      </c>
      <c r="J6" t="s">
        <v>377</v>
      </c>
      <c r="K6" t="s">
        <v>1036</v>
      </c>
      <c r="L6" t="s">
        <v>1037</v>
      </c>
      <c r="M6" t="s">
        <v>288</v>
      </c>
    </row>
    <row r="7" spans="1:13" x14ac:dyDescent="0.15">
      <c r="A7">
        <v>26123036</v>
      </c>
      <c r="B7" t="s">
        <v>301</v>
      </c>
      <c r="D7" t="s">
        <v>154</v>
      </c>
      <c r="E7" t="s">
        <v>1033</v>
      </c>
      <c r="F7" t="s">
        <v>123</v>
      </c>
      <c r="G7" t="s">
        <v>1034</v>
      </c>
      <c r="H7" t="s">
        <v>156</v>
      </c>
      <c r="I7" t="s">
        <v>1035</v>
      </c>
      <c r="J7" t="s">
        <v>377</v>
      </c>
      <c r="K7" t="s">
        <v>1036</v>
      </c>
      <c r="L7" t="s">
        <v>1038</v>
      </c>
      <c r="M7" t="s">
        <v>303</v>
      </c>
    </row>
    <row r="8" spans="1:13" x14ac:dyDescent="0.15">
      <c r="A8">
        <v>26123052</v>
      </c>
      <c r="B8" t="s">
        <v>376</v>
      </c>
      <c r="D8" t="s">
        <v>154</v>
      </c>
      <c r="E8" t="s">
        <v>1033</v>
      </c>
      <c r="F8" t="s">
        <v>123</v>
      </c>
      <c r="G8" t="s">
        <v>1034</v>
      </c>
      <c r="H8" t="s">
        <v>156</v>
      </c>
      <c r="I8" t="s">
        <v>1035</v>
      </c>
      <c r="J8" t="s">
        <v>377</v>
      </c>
      <c r="K8" t="s">
        <v>1036</v>
      </c>
      <c r="L8" t="s">
        <v>1037</v>
      </c>
      <c r="M8" t="s">
        <v>379</v>
      </c>
    </row>
    <row r="9" spans="1:13" x14ac:dyDescent="0.15">
      <c r="A9">
        <v>26123053</v>
      </c>
      <c r="B9" t="s">
        <v>380</v>
      </c>
      <c r="D9" t="s">
        <v>154</v>
      </c>
      <c r="E9" t="s">
        <v>1033</v>
      </c>
      <c r="F9" t="s">
        <v>123</v>
      </c>
      <c r="G9" t="s">
        <v>1034</v>
      </c>
      <c r="H9" t="s">
        <v>156</v>
      </c>
      <c r="I9" t="s">
        <v>1035</v>
      </c>
      <c r="J9" t="s">
        <v>377</v>
      </c>
      <c r="K9" t="s">
        <v>1036</v>
      </c>
      <c r="L9" t="s">
        <v>1037</v>
      </c>
      <c r="M9" t="s">
        <v>381</v>
      </c>
    </row>
    <row r="10" spans="1:13" x14ac:dyDescent="0.15">
      <c r="A10">
        <v>26123072</v>
      </c>
      <c r="B10" t="s">
        <v>455</v>
      </c>
      <c r="D10" t="s">
        <v>154</v>
      </c>
      <c r="E10" t="s">
        <v>1033</v>
      </c>
      <c r="F10" t="s">
        <v>123</v>
      </c>
      <c r="G10" t="s">
        <v>1034</v>
      </c>
      <c r="H10" t="s">
        <v>156</v>
      </c>
      <c r="I10" t="s">
        <v>1035</v>
      </c>
      <c r="J10" t="s">
        <v>377</v>
      </c>
      <c r="K10" t="s">
        <v>1036</v>
      </c>
      <c r="L10" t="s">
        <v>1037</v>
      </c>
      <c r="M10" t="s">
        <v>457</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0"/>
  <sheetViews>
    <sheetView workbookViewId="0"/>
  </sheetViews>
  <sheetFormatPr defaultRowHeight="13.5" x14ac:dyDescent="0.15"/>
  <sheetData>
    <row r="1" spans="1:32" x14ac:dyDescent="0.15">
      <c r="A1" s="1" t="s">
        <v>1039</v>
      </c>
      <c r="B1" s="1" t="s">
        <v>1040</v>
      </c>
      <c r="C1" s="1" t="s">
        <v>1041</v>
      </c>
      <c r="D1" s="1" t="s">
        <v>1027</v>
      </c>
      <c r="E1" s="1" t="s">
        <v>15</v>
      </c>
      <c r="F1" s="1" t="s">
        <v>1042</v>
      </c>
      <c r="G1" s="1" t="s">
        <v>1043</v>
      </c>
      <c r="H1" s="1" t="s">
        <v>17</v>
      </c>
      <c r="I1" s="1" t="s">
        <v>18</v>
      </c>
      <c r="J1" s="1" t="s">
        <v>850</v>
      </c>
      <c r="K1" s="1" t="s">
        <v>1044</v>
      </c>
      <c r="L1" s="1" t="s">
        <v>1045</v>
      </c>
      <c r="M1" s="1" t="s">
        <v>1046</v>
      </c>
      <c r="N1" s="1" t="s">
        <v>99</v>
      </c>
      <c r="O1" s="1" t="s">
        <v>1047</v>
      </c>
      <c r="P1" s="1" t="s">
        <v>100</v>
      </c>
      <c r="Q1" s="1" t="s">
        <v>101</v>
      </c>
      <c r="R1" s="1" t="s">
        <v>102</v>
      </c>
      <c r="S1" s="1" t="s">
        <v>103</v>
      </c>
      <c r="T1" s="1" t="s">
        <v>1048</v>
      </c>
      <c r="U1" s="1" t="s">
        <v>1049</v>
      </c>
      <c r="V1" s="1" t="s">
        <v>8</v>
      </c>
      <c r="W1" s="1" t="s">
        <v>12</v>
      </c>
      <c r="X1" s="1" t="s">
        <v>1050</v>
      </c>
      <c r="Y1" s="1" t="s">
        <v>1051</v>
      </c>
      <c r="Z1" s="1" t="s">
        <v>14</v>
      </c>
      <c r="AA1" s="1" t="s">
        <v>1052</v>
      </c>
      <c r="AB1" s="1" t="s">
        <v>1053</v>
      </c>
      <c r="AC1" s="1" t="s">
        <v>3</v>
      </c>
      <c r="AD1" s="1" t="s">
        <v>1054</v>
      </c>
      <c r="AE1" s="1" t="s">
        <v>1055</v>
      </c>
      <c r="AF1" s="1" t="s">
        <v>1056</v>
      </c>
    </row>
    <row r="2" spans="1:32" x14ac:dyDescent="0.15">
      <c r="A2">
        <v>26123064</v>
      </c>
      <c r="B2" t="s">
        <v>419</v>
      </c>
      <c r="C2" t="s">
        <v>421</v>
      </c>
      <c r="D2" t="s">
        <v>1033</v>
      </c>
      <c r="E2" t="s">
        <v>131</v>
      </c>
      <c r="F2" t="s">
        <v>1057</v>
      </c>
      <c r="G2" t="s">
        <v>416</v>
      </c>
      <c r="H2">
        <v>4300</v>
      </c>
      <c r="I2">
        <v>0</v>
      </c>
      <c r="K2" t="s">
        <v>1058</v>
      </c>
      <c r="L2" t="s">
        <v>122</v>
      </c>
      <c r="M2" t="s">
        <v>1059</v>
      </c>
      <c r="N2">
        <v>4235</v>
      </c>
      <c r="O2">
        <v>7460</v>
      </c>
      <c r="P2">
        <v>7460</v>
      </c>
      <c r="Q2">
        <v>7460</v>
      </c>
      <c r="R2">
        <v>7460</v>
      </c>
      <c r="T2" t="s">
        <v>1060</v>
      </c>
      <c r="U2" t="s">
        <v>1060</v>
      </c>
      <c r="V2" t="s">
        <v>126</v>
      </c>
      <c r="W2" t="s">
        <v>420</v>
      </c>
      <c r="X2" t="s">
        <v>124</v>
      </c>
      <c r="Y2" t="s">
        <v>418</v>
      </c>
      <c r="Z2" t="s">
        <v>239</v>
      </c>
      <c r="AB2" t="s">
        <v>133</v>
      </c>
      <c r="AC2" t="s">
        <v>122</v>
      </c>
      <c r="AD2">
        <v>14823490974</v>
      </c>
      <c r="AE2" t="s">
        <v>1061</v>
      </c>
    </row>
    <row r="3" spans="1:32" x14ac:dyDescent="0.15">
      <c r="A3">
        <v>26123070</v>
      </c>
      <c r="B3" t="s">
        <v>445</v>
      </c>
      <c r="C3" t="s">
        <v>446</v>
      </c>
      <c r="D3" t="s">
        <v>1033</v>
      </c>
      <c r="E3" t="s">
        <v>131</v>
      </c>
      <c r="F3" t="s">
        <v>1057</v>
      </c>
      <c r="G3" t="s">
        <v>442</v>
      </c>
      <c r="H3">
        <v>5200</v>
      </c>
      <c r="I3">
        <v>0</v>
      </c>
      <c r="K3" t="s">
        <v>1058</v>
      </c>
      <c r="L3" t="s">
        <v>323</v>
      </c>
      <c r="M3" t="s">
        <v>1059</v>
      </c>
      <c r="N3">
        <v>4932</v>
      </c>
      <c r="O3">
        <v>4986</v>
      </c>
      <c r="P3">
        <v>4986</v>
      </c>
      <c r="Q3">
        <v>4986</v>
      </c>
      <c r="R3">
        <v>4986</v>
      </c>
      <c r="T3" t="s">
        <v>1060</v>
      </c>
      <c r="U3" t="s">
        <v>1060</v>
      </c>
      <c r="V3" t="s">
        <v>325</v>
      </c>
      <c r="W3" t="s">
        <v>140</v>
      </c>
      <c r="X3" t="s">
        <v>323</v>
      </c>
      <c r="Y3" t="s">
        <v>444</v>
      </c>
      <c r="AB3" t="s">
        <v>323</v>
      </c>
      <c r="AC3" t="s">
        <v>322</v>
      </c>
      <c r="AD3">
        <v>16849351014</v>
      </c>
      <c r="AE3" t="s">
        <v>1062</v>
      </c>
    </row>
    <row r="4" spans="1:32" x14ac:dyDescent="0.15">
      <c r="A4">
        <v>26123010</v>
      </c>
      <c r="B4" t="s">
        <v>182</v>
      </c>
      <c r="C4" t="s">
        <v>184</v>
      </c>
      <c r="D4" t="s">
        <v>1033</v>
      </c>
      <c r="E4" t="s">
        <v>154</v>
      </c>
      <c r="F4" t="s">
        <v>1057</v>
      </c>
      <c r="G4" t="s">
        <v>183</v>
      </c>
      <c r="H4">
        <v>3730</v>
      </c>
      <c r="I4">
        <v>0</v>
      </c>
      <c r="K4" t="s">
        <v>1063</v>
      </c>
      <c r="L4" t="s">
        <v>1064</v>
      </c>
      <c r="M4" t="s">
        <v>1059</v>
      </c>
      <c r="N4">
        <v>4488</v>
      </c>
      <c r="O4">
        <v>7162</v>
      </c>
      <c r="P4">
        <v>7162</v>
      </c>
      <c r="Q4">
        <v>7162</v>
      </c>
      <c r="R4">
        <v>7162</v>
      </c>
      <c r="T4" t="s">
        <v>1060</v>
      </c>
      <c r="U4" t="s">
        <v>1065</v>
      </c>
      <c r="V4" t="s">
        <v>150</v>
      </c>
      <c r="W4" t="s">
        <v>152</v>
      </c>
      <c r="X4" t="s">
        <v>148</v>
      </c>
      <c r="Y4" t="s">
        <v>181</v>
      </c>
      <c r="AB4" t="s">
        <v>148</v>
      </c>
      <c r="AC4" t="s">
        <v>147</v>
      </c>
      <c r="AD4">
        <v>13802615927</v>
      </c>
      <c r="AE4" t="s">
        <v>1066</v>
      </c>
    </row>
    <row r="5" spans="1:32" x14ac:dyDescent="0.15">
      <c r="A5">
        <v>26123011</v>
      </c>
      <c r="B5" t="s">
        <v>186</v>
      </c>
      <c r="C5" t="s">
        <v>189</v>
      </c>
      <c r="D5" t="s">
        <v>1033</v>
      </c>
      <c r="E5" t="s">
        <v>154</v>
      </c>
      <c r="F5" t="s">
        <v>1057</v>
      </c>
      <c r="G5" t="s">
        <v>188</v>
      </c>
      <c r="H5">
        <v>4190</v>
      </c>
      <c r="I5">
        <v>21</v>
      </c>
      <c r="K5" t="s">
        <v>1058</v>
      </c>
      <c r="L5" t="s">
        <v>122</v>
      </c>
      <c r="M5" t="s">
        <v>1059</v>
      </c>
      <c r="N5">
        <v>4685</v>
      </c>
      <c r="O5">
        <v>7460</v>
      </c>
      <c r="P5">
        <v>7460</v>
      </c>
      <c r="Q5">
        <v>7460</v>
      </c>
      <c r="R5">
        <v>7460</v>
      </c>
      <c r="T5" t="s">
        <v>1060</v>
      </c>
      <c r="U5" t="s">
        <v>1060</v>
      </c>
      <c r="V5" t="s">
        <v>126</v>
      </c>
      <c r="W5" t="s">
        <v>187</v>
      </c>
      <c r="X5" t="s">
        <v>156</v>
      </c>
      <c r="Y5" t="s">
        <v>185</v>
      </c>
      <c r="AB5" t="s">
        <v>133</v>
      </c>
      <c r="AC5" t="s">
        <v>122</v>
      </c>
      <c r="AD5">
        <v>15355302246</v>
      </c>
      <c r="AE5" t="s">
        <v>1067</v>
      </c>
    </row>
    <row r="6" spans="1:32" x14ac:dyDescent="0.15">
      <c r="A6">
        <v>26123033</v>
      </c>
      <c r="B6" t="s">
        <v>286</v>
      </c>
      <c r="C6" t="s">
        <v>288</v>
      </c>
      <c r="D6" t="s">
        <v>1033</v>
      </c>
      <c r="E6" t="s">
        <v>154</v>
      </c>
      <c r="F6" t="s">
        <v>1057</v>
      </c>
      <c r="G6" t="s">
        <v>287</v>
      </c>
      <c r="H6">
        <v>3640</v>
      </c>
      <c r="I6">
        <v>0</v>
      </c>
      <c r="K6" t="s">
        <v>1063</v>
      </c>
      <c r="L6" t="s">
        <v>1064</v>
      </c>
      <c r="M6" t="s">
        <v>1059</v>
      </c>
      <c r="N6">
        <v>4196</v>
      </c>
      <c r="O6">
        <v>7162</v>
      </c>
      <c r="P6">
        <v>7162</v>
      </c>
      <c r="Q6">
        <v>7162</v>
      </c>
      <c r="R6">
        <v>7162</v>
      </c>
      <c r="T6" t="s">
        <v>1060</v>
      </c>
      <c r="U6" t="s">
        <v>1065</v>
      </c>
      <c r="V6" t="s">
        <v>150</v>
      </c>
      <c r="W6" t="s">
        <v>170</v>
      </c>
      <c r="X6" t="s">
        <v>148</v>
      </c>
      <c r="Y6" t="s">
        <v>285</v>
      </c>
      <c r="AB6" t="s">
        <v>148</v>
      </c>
      <c r="AC6" t="s">
        <v>147</v>
      </c>
      <c r="AD6">
        <v>18620310791</v>
      </c>
      <c r="AE6" t="s">
        <v>1068</v>
      </c>
    </row>
    <row r="7" spans="1:32" x14ac:dyDescent="0.15">
      <c r="A7">
        <v>26123036</v>
      </c>
      <c r="B7" t="s">
        <v>301</v>
      </c>
      <c r="C7" t="s">
        <v>303</v>
      </c>
      <c r="D7" t="s">
        <v>1033</v>
      </c>
      <c r="E7" t="s">
        <v>154</v>
      </c>
      <c r="F7" t="s">
        <v>1057</v>
      </c>
      <c r="G7" t="s">
        <v>302</v>
      </c>
      <c r="H7">
        <v>3190</v>
      </c>
      <c r="I7">
        <v>0</v>
      </c>
      <c r="K7" t="s">
        <v>1063</v>
      </c>
      <c r="L7" t="s">
        <v>290</v>
      </c>
      <c r="M7" t="s">
        <v>1059</v>
      </c>
      <c r="N7">
        <v>3069</v>
      </c>
      <c r="O7">
        <v>4504</v>
      </c>
      <c r="P7">
        <v>4504</v>
      </c>
      <c r="Q7">
        <v>4504</v>
      </c>
      <c r="R7">
        <v>4504</v>
      </c>
      <c r="T7" t="s">
        <v>1060</v>
      </c>
      <c r="U7" t="s">
        <v>1060</v>
      </c>
      <c r="V7" t="s">
        <v>292</v>
      </c>
      <c r="W7" t="s">
        <v>152</v>
      </c>
      <c r="X7" t="s">
        <v>290</v>
      </c>
      <c r="Y7" t="s">
        <v>300</v>
      </c>
      <c r="AB7" t="s">
        <v>290</v>
      </c>
      <c r="AC7" t="s">
        <v>289</v>
      </c>
      <c r="AD7">
        <v>17774757820</v>
      </c>
      <c r="AE7" t="s">
        <v>1069</v>
      </c>
    </row>
    <row r="8" spans="1:32" x14ac:dyDescent="0.15">
      <c r="A8">
        <v>26123052</v>
      </c>
      <c r="B8" t="s">
        <v>376</v>
      </c>
      <c r="C8" t="s">
        <v>379</v>
      </c>
      <c r="D8" t="s">
        <v>1033</v>
      </c>
      <c r="E8" t="s">
        <v>154</v>
      </c>
      <c r="G8" t="s">
        <v>378</v>
      </c>
      <c r="H8">
        <v>2904</v>
      </c>
      <c r="I8">
        <v>0</v>
      </c>
      <c r="K8" t="s">
        <v>1063</v>
      </c>
      <c r="L8" t="s">
        <v>148</v>
      </c>
      <c r="M8" t="s">
        <v>1059</v>
      </c>
      <c r="N8">
        <v>2540</v>
      </c>
      <c r="O8">
        <v>7162</v>
      </c>
      <c r="P8">
        <v>7162</v>
      </c>
      <c r="Q8">
        <v>7162</v>
      </c>
      <c r="R8">
        <v>7162</v>
      </c>
      <c r="T8" t="s">
        <v>1060</v>
      </c>
      <c r="U8" t="s">
        <v>1065</v>
      </c>
      <c r="V8" t="s">
        <v>150</v>
      </c>
      <c r="W8" t="s">
        <v>377</v>
      </c>
      <c r="X8" t="s">
        <v>148</v>
      </c>
      <c r="Y8" t="s">
        <v>296</v>
      </c>
      <c r="AB8" t="s">
        <v>148</v>
      </c>
      <c r="AC8" t="s">
        <v>147</v>
      </c>
      <c r="AD8">
        <v>13467192268</v>
      </c>
      <c r="AE8" t="s">
        <v>1070</v>
      </c>
    </row>
    <row r="9" spans="1:32" x14ac:dyDescent="0.15">
      <c r="A9">
        <v>26123053</v>
      </c>
      <c r="B9" t="s">
        <v>380</v>
      </c>
      <c r="C9" t="s">
        <v>381</v>
      </c>
      <c r="D9" t="s">
        <v>1033</v>
      </c>
      <c r="E9" t="s">
        <v>154</v>
      </c>
      <c r="G9" t="s">
        <v>378</v>
      </c>
      <c r="H9">
        <v>2904</v>
      </c>
      <c r="I9">
        <v>0</v>
      </c>
      <c r="K9" t="s">
        <v>1063</v>
      </c>
      <c r="L9" t="s">
        <v>148</v>
      </c>
      <c r="M9" t="s">
        <v>1059</v>
      </c>
      <c r="N9">
        <v>2540</v>
      </c>
      <c r="O9">
        <v>7162</v>
      </c>
      <c r="P9">
        <v>7162</v>
      </c>
      <c r="Q9">
        <v>7162</v>
      </c>
      <c r="R9">
        <v>7162</v>
      </c>
      <c r="T9" t="s">
        <v>1060</v>
      </c>
      <c r="U9" t="s">
        <v>1065</v>
      </c>
      <c r="V9" t="s">
        <v>150</v>
      </c>
      <c r="W9" t="s">
        <v>377</v>
      </c>
      <c r="X9" t="s">
        <v>148</v>
      </c>
      <c r="Y9" t="s">
        <v>296</v>
      </c>
      <c r="AB9" t="s">
        <v>148</v>
      </c>
      <c r="AC9" t="s">
        <v>147</v>
      </c>
      <c r="AD9">
        <v>15322620225</v>
      </c>
      <c r="AE9" t="s">
        <v>1070</v>
      </c>
    </row>
    <row r="10" spans="1:32" x14ac:dyDescent="0.15">
      <c r="A10">
        <v>26123072</v>
      </c>
      <c r="B10" t="s">
        <v>455</v>
      </c>
      <c r="C10" t="s">
        <v>457</v>
      </c>
      <c r="D10" t="s">
        <v>1033</v>
      </c>
      <c r="E10" t="s">
        <v>154</v>
      </c>
      <c r="F10" t="s">
        <v>1057</v>
      </c>
      <c r="G10" t="s">
        <v>456</v>
      </c>
      <c r="H10">
        <v>3640</v>
      </c>
      <c r="I10">
        <v>0</v>
      </c>
      <c r="K10" t="s">
        <v>1063</v>
      </c>
      <c r="L10" t="s">
        <v>148</v>
      </c>
      <c r="M10" t="s">
        <v>1059</v>
      </c>
      <c r="N10">
        <v>4012</v>
      </c>
      <c r="O10">
        <v>7162</v>
      </c>
      <c r="P10">
        <v>7162</v>
      </c>
      <c r="Q10">
        <v>7162</v>
      </c>
      <c r="R10">
        <v>7162</v>
      </c>
      <c r="T10" t="s">
        <v>1060</v>
      </c>
      <c r="U10" t="s">
        <v>1065</v>
      </c>
      <c r="V10" t="s">
        <v>150</v>
      </c>
      <c r="W10" t="s">
        <v>170</v>
      </c>
      <c r="X10" t="s">
        <v>148</v>
      </c>
      <c r="Y10" t="s">
        <v>454</v>
      </c>
      <c r="AB10" t="s">
        <v>148</v>
      </c>
      <c r="AC10" t="s">
        <v>147</v>
      </c>
      <c r="AD10">
        <v>14339664257</v>
      </c>
      <c r="AE10" t="s">
        <v>1071</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55"/>
  <sheetViews>
    <sheetView workbookViewId="0"/>
  </sheetViews>
  <sheetFormatPr defaultRowHeight="13.5" x14ac:dyDescent="0.15"/>
  <sheetData>
    <row r="1" spans="1:48" x14ac:dyDescent="0.15">
      <c r="A1" s="1" t="s">
        <v>853</v>
      </c>
      <c r="B1" s="1" t="s">
        <v>1072</v>
      </c>
      <c r="C1" s="1" t="s">
        <v>1073</v>
      </c>
      <c r="D1" s="1" t="s">
        <v>1074</v>
      </c>
      <c r="E1" s="1" t="s">
        <v>1075</v>
      </c>
      <c r="F1" s="1" t="s">
        <v>1076</v>
      </c>
      <c r="G1" s="1" t="s">
        <v>1077</v>
      </c>
      <c r="H1" s="1" t="s">
        <v>1078</v>
      </c>
      <c r="I1" s="1" t="s">
        <v>849</v>
      </c>
      <c r="J1" s="1" t="s">
        <v>1079</v>
      </c>
      <c r="K1" s="1" t="s">
        <v>1080</v>
      </c>
      <c r="L1" s="1" t="s">
        <v>1081</v>
      </c>
      <c r="M1" s="1" t="s">
        <v>1082</v>
      </c>
      <c r="N1" s="1" t="s">
        <v>1083</v>
      </c>
      <c r="O1" s="1" t="s">
        <v>1084</v>
      </c>
      <c r="P1" s="1" t="s">
        <v>1085</v>
      </c>
      <c r="Q1" s="1" t="s">
        <v>1086</v>
      </c>
      <c r="R1" s="1" t="s">
        <v>1087</v>
      </c>
      <c r="S1" s="1" t="s">
        <v>1088</v>
      </c>
      <c r="T1" s="1" t="s">
        <v>1089</v>
      </c>
      <c r="U1" s="1" t="s">
        <v>1090</v>
      </c>
      <c r="V1" s="1" t="s">
        <v>1091</v>
      </c>
      <c r="W1" s="1" t="s">
        <v>1092</v>
      </c>
      <c r="X1" s="1" t="s">
        <v>1093</v>
      </c>
      <c r="Y1" s="1" t="s">
        <v>1094</v>
      </c>
      <c r="Z1" s="1" t="s">
        <v>1095</v>
      </c>
      <c r="AA1" s="1" t="s">
        <v>1096</v>
      </c>
      <c r="AB1" s="1" t="s">
        <v>1097</v>
      </c>
      <c r="AC1" s="1" t="s">
        <v>1098</v>
      </c>
      <c r="AD1" s="1" t="s">
        <v>1099</v>
      </c>
      <c r="AE1" s="1" t="s">
        <v>1100</v>
      </c>
      <c r="AF1" s="1" t="s">
        <v>1101</v>
      </c>
      <c r="AG1" s="1" t="s">
        <v>1102</v>
      </c>
      <c r="AH1" s="1" t="s">
        <v>1103</v>
      </c>
      <c r="AI1" s="1" t="s">
        <v>1104</v>
      </c>
      <c r="AJ1" s="1" t="s">
        <v>1105</v>
      </c>
      <c r="AK1" s="1" t="s">
        <v>1106</v>
      </c>
      <c r="AL1" s="1" t="s">
        <v>1107</v>
      </c>
      <c r="AM1" s="1" t="s">
        <v>1108</v>
      </c>
      <c r="AN1" s="1" t="s">
        <v>1109</v>
      </c>
      <c r="AO1" s="1" t="s">
        <v>1110</v>
      </c>
      <c r="AP1" s="1" t="s">
        <v>1111</v>
      </c>
      <c r="AQ1" s="1" t="s">
        <v>1112</v>
      </c>
      <c r="AR1" s="1" t="s">
        <v>1113</v>
      </c>
      <c r="AS1" s="1" t="s">
        <v>1114</v>
      </c>
      <c r="AT1" s="1" t="s">
        <v>1115</v>
      </c>
      <c r="AU1" s="1" t="s">
        <v>1116</v>
      </c>
      <c r="AV1" s="1" t="s">
        <v>1117</v>
      </c>
    </row>
    <row r="2" spans="1:48" x14ac:dyDescent="0.15">
      <c r="A2" t="s">
        <v>853</v>
      </c>
      <c r="B2" t="s">
        <v>1118</v>
      </c>
      <c r="C2">
        <v>202510</v>
      </c>
      <c r="D2">
        <v>2210</v>
      </c>
      <c r="E2">
        <v>22</v>
      </c>
      <c r="F2" t="s">
        <v>1076</v>
      </c>
      <c r="G2" t="s">
        <v>1076</v>
      </c>
      <c r="H2" t="s">
        <v>1078</v>
      </c>
      <c r="J2">
        <v>22518</v>
      </c>
      <c r="K2">
        <v>4504</v>
      </c>
      <c r="L2">
        <v>0.16</v>
      </c>
      <c r="M2">
        <v>0.08</v>
      </c>
      <c r="N2" t="s">
        <v>1083</v>
      </c>
      <c r="O2" t="s">
        <v>1084</v>
      </c>
      <c r="P2">
        <v>22518</v>
      </c>
      <c r="Q2">
        <v>4504</v>
      </c>
      <c r="R2">
        <v>0.08</v>
      </c>
      <c r="S2">
        <v>0.02</v>
      </c>
      <c r="T2" t="s">
        <v>1083</v>
      </c>
      <c r="U2" t="s">
        <v>1084</v>
      </c>
      <c r="V2">
        <v>22518</v>
      </c>
      <c r="W2">
        <v>4504</v>
      </c>
      <c r="X2">
        <v>3.2000000000000002E-3</v>
      </c>
      <c r="Y2" t="s">
        <v>1083</v>
      </c>
      <c r="Z2" t="s">
        <v>1084</v>
      </c>
      <c r="AA2" t="s">
        <v>1096</v>
      </c>
      <c r="AF2">
        <v>22518</v>
      </c>
      <c r="AG2">
        <v>4504</v>
      </c>
      <c r="AH2">
        <v>7.0000000000000001E-3</v>
      </c>
      <c r="AI2">
        <v>3.0000000000000001E-3</v>
      </c>
      <c r="AJ2" t="s">
        <v>1083</v>
      </c>
      <c r="AK2" t="s">
        <v>1084</v>
      </c>
      <c r="AL2">
        <v>24410</v>
      </c>
      <c r="AM2">
        <v>2210</v>
      </c>
      <c r="AN2" t="s">
        <v>1119</v>
      </c>
      <c r="AO2" t="s">
        <v>1119</v>
      </c>
      <c r="AP2" t="s">
        <v>1083</v>
      </c>
      <c r="AQ2" t="s">
        <v>1083</v>
      </c>
      <c r="AR2" t="s">
        <v>1120</v>
      </c>
      <c r="AS2" t="s">
        <v>1121</v>
      </c>
    </row>
    <row r="3" spans="1:48" x14ac:dyDescent="0.15">
      <c r="A3" t="s">
        <v>853</v>
      </c>
      <c r="B3" t="s">
        <v>1122</v>
      </c>
      <c r="C3">
        <v>202301</v>
      </c>
      <c r="D3">
        <v>2200</v>
      </c>
      <c r="E3">
        <v>22</v>
      </c>
      <c r="F3" t="s">
        <v>1076</v>
      </c>
      <c r="G3" t="s">
        <v>1076</v>
      </c>
      <c r="H3" t="s">
        <v>1123</v>
      </c>
      <c r="J3">
        <v>20034</v>
      </c>
      <c r="K3">
        <v>4007</v>
      </c>
      <c r="L3">
        <v>0.16</v>
      </c>
      <c r="M3">
        <v>0.08</v>
      </c>
      <c r="N3" t="s">
        <v>1084</v>
      </c>
      <c r="O3" t="s">
        <v>1084</v>
      </c>
      <c r="P3" t="s">
        <v>1124</v>
      </c>
      <c r="Q3">
        <v>6738</v>
      </c>
      <c r="R3">
        <v>7.8E-2</v>
      </c>
      <c r="S3">
        <v>0.02</v>
      </c>
      <c r="T3" t="s">
        <v>1084</v>
      </c>
      <c r="U3" t="s">
        <v>1084</v>
      </c>
      <c r="V3">
        <v>20034</v>
      </c>
      <c r="W3">
        <v>4007</v>
      </c>
      <c r="X3">
        <v>0.01</v>
      </c>
      <c r="Y3" t="s">
        <v>1084</v>
      </c>
      <c r="Z3" t="s">
        <v>1084</v>
      </c>
      <c r="AA3" t="s">
        <v>1096</v>
      </c>
      <c r="AF3">
        <v>20034</v>
      </c>
      <c r="AG3">
        <v>4007</v>
      </c>
      <c r="AH3">
        <v>7.0000000000000001E-3</v>
      </c>
      <c r="AI3">
        <v>3.0000000000000001E-3</v>
      </c>
      <c r="AJ3" t="s">
        <v>1084</v>
      </c>
      <c r="AK3" t="s">
        <v>1084</v>
      </c>
      <c r="AL3">
        <v>24612</v>
      </c>
      <c r="AM3">
        <v>2200</v>
      </c>
      <c r="AN3">
        <v>0.05</v>
      </c>
      <c r="AO3">
        <v>0.05</v>
      </c>
      <c r="AP3" t="s">
        <v>1083</v>
      </c>
      <c r="AQ3" t="s">
        <v>1083</v>
      </c>
      <c r="AS3" t="s">
        <v>1125</v>
      </c>
    </row>
    <row r="4" spans="1:48" x14ac:dyDescent="0.15">
      <c r="A4" t="s">
        <v>853</v>
      </c>
      <c r="B4" t="s">
        <v>1126</v>
      </c>
      <c r="C4">
        <v>202301</v>
      </c>
      <c r="D4">
        <v>2200</v>
      </c>
      <c r="E4">
        <v>22</v>
      </c>
      <c r="F4" t="s">
        <v>1076</v>
      </c>
      <c r="G4" t="s">
        <v>1076</v>
      </c>
      <c r="H4" t="s">
        <v>1123</v>
      </c>
      <c r="J4">
        <v>20034</v>
      </c>
      <c r="K4">
        <v>4007</v>
      </c>
      <c r="L4">
        <v>0.16</v>
      </c>
      <c r="M4">
        <v>0.08</v>
      </c>
      <c r="N4" t="s">
        <v>1084</v>
      </c>
      <c r="O4" t="s">
        <v>1084</v>
      </c>
      <c r="P4" t="s">
        <v>1124</v>
      </c>
      <c r="Q4">
        <v>6681</v>
      </c>
      <c r="R4">
        <v>7.0000000000000007E-2</v>
      </c>
      <c r="S4">
        <v>0.02</v>
      </c>
      <c r="T4" t="s">
        <v>1083</v>
      </c>
      <c r="U4" t="s">
        <v>1084</v>
      </c>
      <c r="V4">
        <v>20034</v>
      </c>
      <c r="W4">
        <v>4007</v>
      </c>
      <c r="X4">
        <v>7.0000000000000001E-3</v>
      </c>
      <c r="Y4" t="s">
        <v>1084</v>
      </c>
      <c r="Z4" t="s">
        <v>1084</v>
      </c>
      <c r="AA4" t="s">
        <v>1096</v>
      </c>
      <c r="AF4">
        <v>20034</v>
      </c>
      <c r="AG4">
        <v>4007</v>
      </c>
      <c r="AH4">
        <v>7.0000000000000001E-3</v>
      </c>
      <c r="AI4">
        <v>3.0000000000000001E-3</v>
      </c>
      <c r="AJ4" t="s">
        <v>1084</v>
      </c>
      <c r="AK4" t="s">
        <v>1084</v>
      </c>
      <c r="AL4">
        <v>28968</v>
      </c>
      <c r="AM4">
        <v>2200</v>
      </c>
      <c r="AN4">
        <v>0.05</v>
      </c>
      <c r="AO4">
        <v>0.05</v>
      </c>
      <c r="AP4" t="s">
        <v>1083</v>
      </c>
      <c r="AQ4" t="s">
        <v>1084</v>
      </c>
      <c r="AR4" t="s">
        <v>1127</v>
      </c>
      <c r="AS4" t="s">
        <v>1127</v>
      </c>
    </row>
    <row r="5" spans="1:48" x14ac:dyDescent="0.15">
      <c r="A5" t="s">
        <v>853</v>
      </c>
      <c r="B5" t="s">
        <v>1128</v>
      </c>
      <c r="C5">
        <v>202301</v>
      </c>
      <c r="D5">
        <v>2200</v>
      </c>
      <c r="E5">
        <v>22</v>
      </c>
      <c r="F5" t="s">
        <v>1076</v>
      </c>
      <c r="G5" t="s">
        <v>1076</v>
      </c>
      <c r="H5" t="s">
        <v>1123</v>
      </c>
      <c r="J5">
        <v>20034</v>
      </c>
      <c r="K5">
        <v>4007</v>
      </c>
      <c r="L5">
        <v>0.16</v>
      </c>
      <c r="M5">
        <v>0.08</v>
      </c>
      <c r="N5" t="s">
        <v>1084</v>
      </c>
      <c r="O5" t="s">
        <v>1084</v>
      </c>
      <c r="P5" t="s">
        <v>1124</v>
      </c>
      <c r="Q5">
        <v>5955.25</v>
      </c>
      <c r="R5">
        <v>7.4999999999999997E-2</v>
      </c>
      <c r="S5">
        <v>0.02</v>
      </c>
      <c r="T5" t="s">
        <v>1084</v>
      </c>
      <c r="U5" t="s">
        <v>1084</v>
      </c>
      <c r="V5">
        <v>20034</v>
      </c>
      <c r="W5">
        <v>4007</v>
      </c>
      <c r="X5">
        <v>7.0000000000000001E-3</v>
      </c>
      <c r="Y5" t="s">
        <v>1084</v>
      </c>
      <c r="Z5" t="s">
        <v>1084</v>
      </c>
      <c r="AA5" t="s">
        <v>1096</v>
      </c>
      <c r="AF5">
        <v>20034</v>
      </c>
      <c r="AG5">
        <v>4007</v>
      </c>
      <c r="AH5">
        <v>7.0000000000000001E-3</v>
      </c>
      <c r="AI5">
        <v>3.0000000000000001E-3</v>
      </c>
      <c r="AJ5" t="s">
        <v>1084</v>
      </c>
      <c r="AK5" t="s">
        <v>1084</v>
      </c>
      <c r="AL5">
        <v>26420</v>
      </c>
      <c r="AM5">
        <v>5284</v>
      </c>
      <c r="AN5">
        <v>0.05</v>
      </c>
      <c r="AO5">
        <v>0.05</v>
      </c>
      <c r="AP5" t="s">
        <v>1083</v>
      </c>
      <c r="AQ5" t="s">
        <v>1083</v>
      </c>
    </row>
    <row r="6" spans="1:48" x14ac:dyDescent="0.15">
      <c r="A6" t="s">
        <v>853</v>
      </c>
      <c r="B6" t="s">
        <v>1129</v>
      </c>
      <c r="C6">
        <v>202301</v>
      </c>
      <c r="D6">
        <v>2200</v>
      </c>
      <c r="E6">
        <v>22</v>
      </c>
      <c r="F6" t="s">
        <v>1076</v>
      </c>
      <c r="G6" t="s">
        <v>1076</v>
      </c>
      <c r="H6" t="s">
        <v>1123</v>
      </c>
      <c r="J6">
        <v>20034</v>
      </c>
      <c r="K6">
        <v>4007</v>
      </c>
      <c r="L6">
        <v>0.16</v>
      </c>
      <c r="M6">
        <v>0.08</v>
      </c>
      <c r="N6" t="s">
        <v>1084</v>
      </c>
      <c r="O6" t="s">
        <v>1084</v>
      </c>
      <c r="P6" t="s">
        <v>1124</v>
      </c>
      <c r="Q6">
        <v>6070.87</v>
      </c>
      <c r="R6">
        <v>0.08</v>
      </c>
      <c r="S6">
        <v>0.02</v>
      </c>
      <c r="T6" t="s">
        <v>1084</v>
      </c>
      <c r="U6" t="s">
        <v>1084</v>
      </c>
      <c r="V6">
        <v>20034</v>
      </c>
      <c r="W6">
        <v>4007</v>
      </c>
      <c r="X6">
        <v>7.0000000000000001E-3</v>
      </c>
      <c r="Y6" t="s">
        <v>1084</v>
      </c>
      <c r="Z6" t="s">
        <v>1084</v>
      </c>
      <c r="AA6" t="s">
        <v>1096</v>
      </c>
      <c r="AF6">
        <v>20034</v>
      </c>
      <c r="AG6">
        <v>4007</v>
      </c>
      <c r="AH6">
        <v>7.0000000000000001E-3</v>
      </c>
      <c r="AI6">
        <v>3.0000000000000001E-3</v>
      </c>
      <c r="AJ6" t="s">
        <v>1084</v>
      </c>
      <c r="AK6" t="s">
        <v>1084</v>
      </c>
      <c r="AL6">
        <v>23229</v>
      </c>
      <c r="AM6">
        <v>2200</v>
      </c>
      <c r="AN6">
        <v>0.05</v>
      </c>
      <c r="AO6">
        <v>0.05</v>
      </c>
      <c r="AP6" t="s">
        <v>1083</v>
      </c>
      <c r="AQ6" t="s">
        <v>1083</v>
      </c>
      <c r="AR6" t="s">
        <v>1127</v>
      </c>
      <c r="AS6" t="s">
        <v>1127</v>
      </c>
      <c r="AT6" t="s">
        <v>1130</v>
      </c>
      <c r="AU6" t="s">
        <v>1084</v>
      </c>
    </row>
    <row r="7" spans="1:48" x14ac:dyDescent="0.15">
      <c r="A7" t="s">
        <v>853</v>
      </c>
      <c r="B7" t="s">
        <v>1131</v>
      </c>
      <c r="C7">
        <v>202305</v>
      </c>
      <c r="D7">
        <v>2160</v>
      </c>
      <c r="E7">
        <v>21</v>
      </c>
      <c r="F7" t="s">
        <v>1076</v>
      </c>
      <c r="G7" t="s">
        <v>1076</v>
      </c>
      <c r="H7" t="s">
        <v>1132</v>
      </c>
      <c r="J7">
        <v>23250</v>
      </c>
      <c r="K7">
        <v>4650</v>
      </c>
      <c r="L7">
        <v>0.16</v>
      </c>
      <c r="M7">
        <v>0.08</v>
      </c>
      <c r="N7" t="s">
        <v>1083</v>
      </c>
      <c r="O7" t="s">
        <v>1084</v>
      </c>
      <c r="P7">
        <v>24948</v>
      </c>
      <c r="Q7">
        <v>4990</v>
      </c>
      <c r="R7">
        <v>0.08</v>
      </c>
      <c r="S7">
        <v>0.02</v>
      </c>
      <c r="T7" t="s">
        <v>1083</v>
      </c>
      <c r="U7" t="s">
        <v>1084</v>
      </c>
      <c r="V7">
        <v>23250</v>
      </c>
      <c r="W7">
        <v>4650</v>
      </c>
      <c r="X7">
        <v>8.8000000000000005E-3</v>
      </c>
      <c r="Y7" t="s">
        <v>1083</v>
      </c>
      <c r="Z7" t="s">
        <v>1084</v>
      </c>
      <c r="AA7" t="s">
        <v>1096</v>
      </c>
      <c r="AF7">
        <v>23250</v>
      </c>
      <c r="AG7">
        <v>4650</v>
      </c>
      <c r="AH7">
        <v>7.0000000000000001E-3</v>
      </c>
      <c r="AI7">
        <v>3.0000000000000001E-3</v>
      </c>
      <c r="AJ7" t="s">
        <v>1083</v>
      </c>
      <c r="AK7" t="s">
        <v>1084</v>
      </c>
      <c r="AL7">
        <v>31761</v>
      </c>
      <c r="AM7">
        <v>2160</v>
      </c>
      <c r="AN7">
        <v>0.08</v>
      </c>
      <c r="AO7">
        <v>0.08</v>
      </c>
      <c r="AP7" t="s">
        <v>1083</v>
      </c>
      <c r="AQ7" t="s">
        <v>1083</v>
      </c>
      <c r="AR7" t="s">
        <v>1133</v>
      </c>
      <c r="AS7" t="s">
        <v>1134</v>
      </c>
    </row>
    <row r="8" spans="1:48" x14ac:dyDescent="0.15">
      <c r="A8" t="s">
        <v>853</v>
      </c>
      <c r="B8" t="s">
        <v>1135</v>
      </c>
      <c r="C8">
        <v>202501</v>
      </c>
      <c r="D8">
        <v>2150</v>
      </c>
      <c r="E8">
        <v>23.2</v>
      </c>
      <c r="F8" t="s">
        <v>1076</v>
      </c>
      <c r="G8" t="s">
        <v>1076</v>
      </c>
      <c r="H8" t="s">
        <v>1136</v>
      </c>
      <c r="J8">
        <v>20991</v>
      </c>
      <c r="K8">
        <v>4198</v>
      </c>
      <c r="L8">
        <v>0.16</v>
      </c>
      <c r="M8">
        <v>0.08</v>
      </c>
      <c r="N8" t="s">
        <v>1084</v>
      </c>
      <c r="O8" t="s">
        <v>1084</v>
      </c>
      <c r="P8">
        <v>20991</v>
      </c>
      <c r="Q8">
        <v>4198</v>
      </c>
      <c r="R8">
        <v>0.08</v>
      </c>
      <c r="S8">
        <v>0.02</v>
      </c>
      <c r="T8" t="s">
        <v>1084</v>
      </c>
      <c r="U8" t="s">
        <v>1084</v>
      </c>
      <c r="V8">
        <v>20991</v>
      </c>
      <c r="W8">
        <v>4198</v>
      </c>
      <c r="X8" t="s">
        <v>1137</v>
      </c>
      <c r="Y8" t="s">
        <v>1084</v>
      </c>
      <c r="Z8" t="s">
        <v>1084</v>
      </c>
      <c r="AA8" t="s">
        <v>1096</v>
      </c>
      <c r="AF8">
        <v>20991</v>
      </c>
      <c r="AG8">
        <v>4198</v>
      </c>
      <c r="AH8">
        <v>7.0000000000000001E-3</v>
      </c>
      <c r="AI8">
        <v>3.0000000000000001E-3</v>
      </c>
      <c r="AJ8" t="s">
        <v>1084</v>
      </c>
      <c r="AK8" t="s">
        <v>1084</v>
      </c>
      <c r="AL8">
        <v>28251</v>
      </c>
      <c r="AM8">
        <v>2150</v>
      </c>
      <c r="AN8">
        <v>0.05</v>
      </c>
      <c r="AO8">
        <v>0.05</v>
      </c>
      <c r="AP8" t="s">
        <v>1083</v>
      </c>
      <c r="AQ8" t="s">
        <v>1083</v>
      </c>
      <c r="AS8" t="s">
        <v>1138</v>
      </c>
    </row>
    <row r="9" spans="1:48" x14ac:dyDescent="0.15">
      <c r="A9" t="s">
        <v>853</v>
      </c>
      <c r="B9" t="s">
        <v>1139</v>
      </c>
      <c r="C9">
        <v>202405</v>
      </c>
      <c r="D9">
        <v>2100</v>
      </c>
      <c r="E9">
        <v>21</v>
      </c>
      <c r="F9" t="s">
        <v>1076</v>
      </c>
      <c r="G9" t="s">
        <v>1076</v>
      </c>
      <c r="H9" t="s">
        <v>1140</v>
      </c>
      <c r="J9">
        <v>21792</v>
      </c>
      <c r="K9">
        <v>4359</v>
      </c>
      <c r="L9">
        <v>0.16</v>
      </c>
      <c r="M9">
        <v>0.08</v>
      </c>
      <c r="N9" t="s">
        <v>1084</v>
      </c>
      <c r="O9" t="s">
        <v>1084</v>
      </c>
      <c r="P9">
        <v>24219</v>
      </c>
      <c r="Q9">
        <v>4844</v>
      </c>
      <c r="R9">
        <v>8.5999999999999993E-2</v>
      </c>
      <c r="S9">
        <v>0.02</v>
      </c>
      <c r="T9" t="s">
        <v>1083</v>
      </c>
      <c r="U9" t="s">
        <v>1084</v>
      </c>
      <c r="V9">
        <v>21792</v>
      </c>
      <c r="W9">
        <v>4359</v>
      </c>
      <c r="X9">
        <v>1.0999999999999999E-2</v>
      </c>
      <c r="Y9" t="s">
        <v>1084</v>
      </c>
      <c r="Z9" t="s">
        <v>1084</v>
      </c>
      <c r="AA9" t="s">
        <v>1096</v>
      </c>
      <c r="AF9">
        <v>21792</v>
      </c>
      <c r="AG9">
        <v>4359</v>
      </c>
      <c r="AH9">
        <v>5.0000000000000001E-3</v>
      </c>
      <c r="AI9">
        <v>5.0000000000000001E-3</v>
      </c>
      <c r="AJ9" t="s">
        <v>1084</v>
      </c>
      <c r="AK9" t="s">
        <v>1084</v>
      </c>
      <c r="AL9">
        <v>29523</v>
      </c>
      <c r="AM9">
        <v>2100</v>
      </c>
      <c r="AN9">
        <v>0.05</v>
      </c>
      <c r="AO9">
        <v>0.05</v>
      </c>
      <c r="AP9" t="s">
        <v>1084</v>
      </c>
      <c r="AQ9" t="s">
        <v>1084</v>
      </c>
      <c r="AR9" t="s">
        <v>1141</v>
      </c>
      <c r="AS9" t="s">
        <v>1141</v>
      </c>
    </row>
    <row r="10" spans="1:48" x14ac:dyDescent="0.15">
      <c r="A10" t="s">
        <v>853</v>
      </c>
      <c r="B10" t="s">
        <v>1142</v>
      </c>
      <c r="C10">
        <v>202405</v>
      </c>
      <c r="D10">
        <v>2100</v>
      </c>
      <c r="E10">
        <v>21</v>
      </c>
      <c r="F10" t="s">
        <v>1143</v>
      </c>
      <c r="G10" t="s">
        <v>1143</v>
      </c>
      <c r="H10" t="s">
        <v>1144</v>
      </c>
      <c r="J10">
        <v>21792</v>
      </c>
      <c r="K10">
        <v>4359</v>
      </c>
      <c r="L10">
        <v>0.16</v>
      </c>
      <c r="M10">
        <v>0.08</v>
      </c>
      <c r="N10" t="s">
        <v>1083</v>
      </c>
      <c r="O10" t="s">
        <v>1084</v>
      </c>
      <c r="P10">
        <v>24570</v>
      </c>
      <c r="Q10">
        <v>4914</v>
      </c>
      <c r="R10">
        <v>0.09</v>
      </c>
      <c r="S10">
        <v>0.02</v>
      </c>
      <c r="T10" t="s">
        <v>1083</v>
      </c>
      <c r="U10" t="s">
        <v>1084</v>
      </c>
      <c r="V10">
        <v>21792</v>
      </c>
      <c r="W10">
        <v>4359</v>
      </c>
      <c r="X10" t="s">
        <v>1145</v>
      </c>
      <c r="Y10" t="s">
        <v>1083</v>
      </c>
      <c r="Z10" t="s">
        <v>1084</v>
      </c>
      <c r="AA10" t="s">
        <v>1096</v>
      </c>
      <c r="AF10">
        <v>21792</v>
      </c>
      <c r="AG10">
        <v>4359</v>
      </c>
      <c r="AH10">
        <v>5.0000000000000001E-3</v>
      </c>
      <c r="AI10">
        <v>5.0000000000000001E-3</v>
      </c>
      <c r="AJ10" t="s">
        <v>1083</v>
      </c>
      <c r="AK10" t="s">
        <v>1084</v>
      </c>
      <c r="AL10">
        <v>30669</v>
      </c>
      <c r="AM10">
        <v>2100</v>
      </c>
      <c r="AN10" t="s">
        <v>1146</v>
      </c>
      <c r="AO10" t="s">
        <v>1146</v>
      </c>
      <c r="AP10" t="s">
        <v>1083</v>
      </c>
      <c r="AQ10" t="s">
        <v>1084</v>
      </c>
      <c r="AR10" t="s">
        <v>1147</v>
      </c>
      <c r="AS10" t="s">
        <v>1148</v>
      </c>
      <c r="AT10" t="s">
        <v>1149</v>
      </c>
      <c r="AV10" t="s">
        <v>1150</v>
      </c>
    </row>
    <row r="11" spans="1:48" x14ac:dyDescent="0.15">
      <c r="A11" t="s">
        <v>853</v>
      </c>
      <c r="B11" t="s">
        <v>1151</v>
      </c>
      <c r="C11">
        <v>202410</v>
      </c>
      <c r="D11">
        <v>2120</v>
      </c>
      <c r="E11">
        <v>21</v>
      </c>
      <c r="F11" t="s">
        <v>1076</v>
      </c>
      <c r="G11" t="s">
        <v>1076</v>
      </c>
      <c r="H11" t="s">
        <v>1152</v>
      </c>
      <c r="J11">
        <v>21966</v>
      </c>
      <c r="K11">
        <v>4393.2</v>
      </c>
      <c r="L11">
        <v>0.16</v>
      </c>
      <c r="M11">
        <v>0.08</v>
      </c>
      <c r="N11" t="s">
        <v>1084</v>
      </c>
      <c r="O11" t="s">
        <v>1084</v>
      </c>
      <c r="P11">
        <v>21966</v>
      </c>
      <c r="Q11">
        <v>4393.2</v>
      </c>
      <c r="R11">
        <v>7.6999999999999999E-2</v>
      </c>
      <c r="S11">
        <v>0.02</v>
      </c>
      <c r="T11" t="s">
        <v>1084</v>
      </c>
      <c r="U11" t="s">
        <v>1084</v>
      </c>
      <c r="V11">
        <v>21966</v>
      </c>
      <c r="W11">
        <v>4393.2</v>
      </c>
      <c r="X11">
        <v>3.2000000000000002E-3</v>
      </c>
      <c r="Y11" t="s">
        <v>1084</v>
      </c>
      <c r="Z11" t="s">
        <v>1084</v>
      </c>
      <c r="AA11" t="s">
        <v>1096</v>
      </c>
      <c r="AF11">
        <v>21966</v>
      </c>
      <c r="AG11">
        <v>4393.2</v>
      </c>
      <c r="AH11">
        <v>7.0000000000000001E-3</v>
      </c>
      <c r="AI11">
        <v>3.0000000000000001E-3</v>
      </c>
      <c r="AJ11" t="s">
        <v>1084</v>
      </c>
      <c r="AK11" t="s">
        <v>1084</v>
      </c>
      <c r="AL11">
        <v>28949</v>
      </c>
      <c r="AM11">
        <v>2120</v>
      </c>
      <c r="AN11" t="s">
        <v>1153</v>
      </c>
      <c r="AO11" t="s">
        <v>1153</v>
      </c>
      <c r="AP11" t="s">
        <v>1084</v>
      </c>
      <c r="AQ11" t="s">
        <v>1083</v>
      </c>
      <c r="AR11" t="s">
        <v>1154</v>
      </c>
    </row>
    <row r="12" spans="1:48" x14ac:dyDescent="0.15">
      <c r="A12" t="s">
        <v>853</v>
      </c>
      <c r="B12" t="s">
        <v>1155</v>
      </c>
      <c r="C12">
        <v>202412</v>
      </c>
      <c r="D12">
        <v>2270</v>
      </c>
      <c r="E12">
        <v>22.4</v>
      </c>
      <c r="F12" t="s">
        <v>1076</v>
      </c>
      <c r="G12" t="s">
        <v>1076</v>
      </c>
      <c r="H12" t="s">
        <v>1156</v>
      </c>
      <c r="J12">
        <v>24537</v>
      </c>
      <c r="K12">
        <v>4907</v>
      </c>
      <c r="L12">
        <v>0.16</v>
      </c>
      <c r="M12">
        <v>0.08</v>
      </c>
      <c r="N12" t="s">
        <v>1084</v>
      </c>
      <c r="O12" t="s">
        <v>1084</v>
      </c>
      <c r="P12">
        <v>24537</v>
      </c>
      <c r="Q12">
        <v>6543</v>
      </c>
      <c r="R12">
        <v>6.7000000000000004E-2</v>
      </c>
      <c r="S12">
        <v>0.02</v>
      </c>
      <c r="T12" t="s">
        <v>1084</v>
      </c>
      <c r="U12" t="s">
        <v>1084</v>
      </c>
      <c r="V12">
        <v>24537</v>
      </c>
      <c r="W12">
        <v>4907</v>
      </c>
      <c r="X12">
        <v>3.2000000000000002E-3</v>
      </c>
      <c r="Y12" t="s">
        <v>1084</v>
      </c>
      <c r="Z12" t="s">
        <v>1084</v>
      </c>
      <c r="AA12" t="s">
        <v>1096</v>
      </c>
      <c r="AF12">
        <v>24537</v>
      </c>
      <c r="AG12">
        <v>4907</v>
      </c>
      <c r="AH12">
        <v>5.0000000000000001E-3</v>
      </c>
      <c r="AI12">
        <v>5.0000000000000001E-3</v>
      </c>
      <c r="AJ12" t="s">
        <v>1084</v>
      </c>
      <c r="AK12" t="s">
        <v>1084</v>
      </c>
      <c r="AL12">
        <v>29721</v>
      </c>
      <c r="AM12">
        <v>2270</v>
      </c>
      <c r="AN12" t="s">
        <v>1157</v>
      </c>
      <c r="AO12" t="s">
        <v>1157</v>
      </c>
      <c r="AP12" t="s">
        <v>1083</v>
      </c>
      <c r="AQ12" t="s">
        <v>1083</v>
      </c>
      <c r="AR12" t="s">
        <v>1158</v>
      </c>
      <c r="AS12" t="s">
        <v>1158</v>
      </c>
      <c r="AT12" t="s">
        <v>1159</v>
      </c>
    </row>
    <row r="13" spans="1:48" x14ac:dyDescent="0.15">
      <c r="A13" t="s">
        <v>855</v>
      </c>
      <c r="B13" t="s">
        <v>1160</v>
      </c>
      <c r="C13">
        <v>202401</v>
      </c>
      <c r="D13">
        <v>2100</v>
      </c>
      <c r="E13">
        <v>20.6</v>
      </c>
      <c r="F13" t="s">
        <v>1076</v>
      </c>
      <c r="G13" t="s">
        <v>1076</v>
      </c>
      <c r="H13" t="s">
        <v>1161</v>
      </c>
      <c r="J13">
        <v>19155</v>
      </c>
      <c r="K13">
        <v>3831</v>
      </c>
      <c r="L13">
        <v>0.16</v>
      </c>
      <c r="M13">
        <v>0.08</v>
      </c>
      <c r="N13" t="s">
        <v>1083</v>
      </c>
      <c r="O13" t="s">
        <v>1084</v>
      </c>
      <c r="P13">
        <v>19155</v>
      </c>
      <c r="Q13">
        <v>3831</v>
      </c>
      <c r="R13">
        <v>7.0000000000000007E-2</v>
      </c>
      <c r="S13">
        <v>0.02</v>
      </c>
      <c r="T13" t="s">
        <v>1083</v>
      </c>
      <c r="U13" t="s">
        <v>1084</v>
      </c>
      <c r="V13">
        <v>19155</v>
      </c>
      <c r="W13">
        <v>3831</v>
      </c>
      <c r="X13">
        <v>8.8000000000000005E-3</v>
      </c>
      <c r="Y13" t="s">
        <v>1083</v>
      </c>
      <c r="Z13" t="s">
        <v>1084</v>
      </c>
      <c r="AA13">
        <v>19155</v>
      </c>
      <c r="AB13">
        <v>3831</v>
      </c>
      <c r="AC13">
        <v>0.01</v>
      </c>
      <c r="AD13" t="s">
        <v>1083</v>
      </c>
      <c r="AE13" t="s">
        <v>1084</v>
      </c>
      <c r="AF13">
        <v>19155</v>
      </c>
      <c r="AG13">
        <v>3831</v>
      </c>
      <c r="AH13">
        <v>7.0000000000000001E-3</v>
      </c>
      <c r="AI13">
        <v>3.0000000000000001E-3</v>
      </c>
      <c r="AJ13" t="s">
        <v>1083</v>
      </c>
      <c r="AK13" t="s">
        <v>1084</v>
      </c>
      <c r="AL13">
        <v>27520</v>
      </c>
      <c r="AM13">
        <v>2100</v>
      </c>
      <c r="AN13">
        <v>0.05</v>
      </c>
      <c r="AO13">
        <v>0.05</v>
      </c>
      <c r="AP13" t="s">
        <v>1083</v>
      </c>
      <c r="AQ13" t="s">
        <v>1083</v>
      </c>
      <c r="AR13" t="s">
        <v>1162</v>
      </c>
    </row>
    <row r="14" spans="1:48" x14ac:dyDescent="0.15">
      <c r="A14" t="s">
        <v>855</v>
      </c>
      <c r="B14" t="s">
        <v>1163</v>
      </c>
      <c r="C14">
        <v>202401</v>
      </c>
      <c r="D14">
        <v>2100</v>
      </c>
      <c r="E14">
        <v>20.6</v>
      </c>
      <c r="F14" t="s">
        <v>1076</v>
      </c>
      <c r="G14" t="s">
        <v>1076</v>
      </c>
      <c r="H14" t="s">
        <v>1161</v>
      </c>
      <c r="J14">
        <v>19155</v>
      </c>
      <c r="K14">
        <v>3831</v>
      </c>
      <c r="L14">
        <v>0.16</v>
      </c>
      <c r="M14">
        <v>0.08</v>
      </c>
      <c r="N14" t="s">
        <v>1083</v>
      </c>
      <c r="O14" t="s">
        <v>1084</v>
      </c>
      <c r="P14">
        <v>19155</v>
      </c>
      <c r="Q14">
        <v>3831</v>
      </c>
      <c r="R14">
        <v>7.4999999999999997E-2</v>
      </c>
      <c r="S14">
        <v>0.02</v>
      </c>
      <c r="T14" t="s">
        <v>1083</v>
      </c>
      <c r="U14" t="s">
        <v>1084</v>
      </c>
      <c r="V14">
        <v>19155</v>
      </c>
      <c r="W14">
        <v>3831</v>
      </c>
      <c r="X14">
        <v>1.4999999999999999E-2</v>
      </c>
      <c r="Y14" t="s">
        <v>1083</v>
      </c>
      <c r="Z14" t="s">
        <v>1084</v>
      </c>
      <c r="AA14" t="s">
        <v>1096</v>
      </c>
      <c r="AF14">
        <v>19155</v>
      </c>
      <c r="AG14">
        <v>3831</v>
      </c>
      <c r="AH14">
        <v>7.0000000000000001E-3</v>
      </c>
      <c r="AI14">
        <v>3.0000000000000001E-3</v>
      </c>
      <c r="AJ14" t="s">
        <v>1083</v>
      </c>
      <c r="AK14" t="s">
        <v>1084</v>
      </c>
      <c r="AL14">
        <v>22471</v>
      </c>
      <c r="AM14">
        <v>2100</v>
      </c>
      <c r="AN14" t="s">
        <v>1164</v>
      </c>
      <c r="AO14" t="s">
        <v>1164</v>
      </c>
      <c r="AP14" t="s">
        <v>1083</v>
      </c>
      <c r="AQ14" t="s">
        <v>1083</v>
      </c>
      <c r="AR14" t="s">
        <v>1165</v>
      </c>
    </row>
    <row r="15" spans="1:48" x14ac:dyDescent="0.15">
      <c r="A15" t="s">
        <v>855</v>
      </c>
      <c r="B15" t="s">
        <v>1166</v>
      </c>
      <c r="C15">
        <v>202401</v>
      </c>
      <c r="D15">
        <v>2260</v>
      </c>
      <c r="E15">
        <v>22</v>
      </c>
      <c r="F15" t="s">
        <v>1076</v>
      </c>
      <c r="G15" t="s">
        <v>1076</v>
      </c>
      <c r="H15" t="s">
        <v>1167</v>
      </c>
      <c r="J15">
        <v>25299</v>
      </c>
      <c r="K15">
        <v>4986</v>
      </c>
      <c r="L15">
        <v>0.16</v>
      </c>
      <c r="M15">
        <v>0.08</v>
      </c>
      <c r="N15" t="s">
        <v>1084</v>
      </c>
      <c r="O15" t="s">
        <v>1084</v>
      </c>
      <c r="P15">
        <v>25299</v>
      </c>
      <c r="Q15">
        <v>4986</v>
      </c>
      <c r="R15">
        <v>8.5999999999999993E-2</v>
      </c>
      <c r="S15">
        <v>0.01</v>
      </c>
      <c r="T15" t="s">
        <v>1084</v>
      </c>
      <c r="U15" t="s">
        <v>1084</v>
      </c>
      <c r="V15">
        <v>25299</v>
      </c>
      <c r="W15">
        <v>4986</v>
      </c>
      <c r="X15">
        <v>4.0000000000000001E-3</v>
      </c>
      <c r="Y15" t="s">
        <v>1084</v>
      </c>
      <c r="Z15" t="s">
        <v>1084</v>
      </c>
      <c r="AA15" t="s">
        <v>1096</v>
      </c>
      <c r="AF15">
        <v>25299</v>
      </c>
      <c r="AG15">
        <v>4986</v>
      </c>
      <c r="AH15">
        <v>5.0000000000000001E-3</v>
      </c>
      <c r="AI15">
        <v>5.0000000000000001E-3</v>
      </c>
      <c r="AJ15" t="s">
        <v>1084</v>
      </c>
      <c r="AK15" t="s">
        <v>1084</v>
      </c>
      <c r="AL15">
        <v>31936</v>
      </c>
      <c r="AM15">
        <v>2260</v>
      </c>
      <c r="AN15">
        <v>0.11</v>
      </c>
      <c r="AO15">
        <v>0.11</v>
      </c>
      <c r="AP15" t="s">
        <v>1083</v>
      </c>
      <c r="AQ15" t="s">
        <v>1083</v>
      </c>
    </row>
    <row r="16" spans="1:48" x14ac:dyDescent="0.15">
      <c r="A16" t="s">
        <v>855</v>
      </c>
      <c r="B16" t="s">
        <v>1168</v>
      </c>
      <c r="C16">
        <v>202401</v>
      </c>
      <c r="D16">
        <v>2260</v>
      </c>
      <c r="E16">
        <v>22</v>
      </c>
      <c r="F16" t="s">
        <v>1076</v>
      </c>
      <c r="G16" t="s">
        <v>1076</v>
      </c>
      <c r="H16" t="s">
        <v>1167</v>
      </c>
      <c r="J16">
        <v>25299</v>
      </c>
      <c r="K16">
        <v>4986</v>
      </c>
      <c r="L16">
        <v>0.16</v>
      </c>
      <c r="M16">
        <v>0.08</v>
      </c>
      <c r="N16" t="s">
        <v>1084</v>
      </c>
      <c r="O16" t="s">
        <v>1084</v>
      </c>
      <c r="P16">
        <v>25299</v>
      </c>
      <c r="Q16">
        <v>4986</v>
      </c>
      <c r="R16">
        <v>8.5999999999999993E-2</v>
      </c>
      <c r="S16">
        <v>0.01</v>
      </c>
      <c r="T16" t="s">
        <v>1084</v>
      </c>
      <c r="U16" t="s">
        <v>1084</v>
      </c>
      <c r="V16">
        <v>25299</v>
      </c>
      <c r="W16">
        <v>4986</v>
      </c>
      <c r="X16">
        <v>3.2000000000000002E-3</v>
      </c>
      <c r="Y16" t="s">
        <v>1084</v>
      </c>
      <c r="Z16" t="s">
        <v>1084</v>
      </c>
      <c r="AA16" t="s">
        <v>1096</v>
      </c>
      <c r="AF16">
        <v>25299</v>
      </c>
      <c r="AG16">
        <v>4986</v>
      </c>
      <c r="AH16">
        <v>5.0000000000000001E-3</v>
      </c>
      <c r="AI16">
        <v>5.0000000000000001E-3</v>
      </c>
      <c r="AJ16" t="s">
        <v>1084</v>
      </c>
      <c r="AK16" t="s">
        <v>1084</v>
      </c>
      <c r="AL16">
        <v>31936</v>
      </c>
      <c r="AM16">
        <v>2260</v>
      </c>
      <c r="AN16">
        <v>0.12</v>
      </c>
      <c r="AO16">
        <v>0.12</v>
      </c>
      <c r="AP16" t="s">
        <v>1083</v>
      </c>
      <c r="AQ16" t="s">
        <v>1083</v>
      </c>
    </row>
    <row r="17" spans="1:47" x14ac:dyDescent="0.15">
      <c r="A17" t="s">
        <v>855</v>
      </c>
      <c r="B17" t="s">
        <v>1169</v>
      </c>
      <c r="C17">
        <v>202401</v>
      </c>
      <c r="D17">
        <v>2490</v>
      </c>
      <c r="E17">
        <v>24</v>
      </c>
      <c r="F17" t="s">
        <v>1076</v>
      </c>
      <c r="G17" t="s">
        <v>1170</v>
      </c>
      <c r="H17" t="s">
        <v>1171</v>
      </c>
      <c r="J17">
        <v>24762</v>
      </c>
      <c r="K17">
        <v>4952</v>
      </c>
      <c r="L17">
        <v>0.16</v>
      </c>
      <c r="M17">
        <v>0.08</v>
      </c>
      <c r="N17" t="s">
        <v>1083</v>
      </c>
      <c r="O17" t="s">
        <v>1084</v>
      </c>
      <c r="P17">
        <v>24762</v>
      </c>
      <c r="Q17">
        <v>4952</v>
      </c>
      <c r="R17">
        <v>8.5000000000000006E-2</v>
      </c>
      <c r="S17">
        <v>0.02</v>
      </c>
      <c r="T17" t="s">
        <v>1083</v>
      </c>
      <c r="U17" t="s">
        <v>1084</v>
      </c>
      <c r="V17">
        <v>24762</v>
      </c>
      <c r="W17">
        <v>4952</v>
      </c>
      <c r="X17">
        <v>4.0000000000000001E-3</v>
      </c>
      <c r="Y17" t="s">
        <v>1083</v>
      </c>
      <c r="Z17" t="s">
        <v>1084</v>
      </c>
      <c r="AA17" t="s">
        <v>1096</v>
      </c>
      <c r="AF17">
        <v>24762</v>
      </c>
      <c r="AG17">
        <v>4952</v>
      </c>
      <c r="AH17">
        <v>5.0000000000000001E-3</v>
      </c>
      <c r="AI17">
        <v>5.0000000000000001E-3</v>
      </c>
      <c r="AJ17" t="s">
        <v>1083</v>
      </c>
      <c r="AK17" t="s">
        <v>1084</v>
      </c>
      <c r="AL17">
        <v>30137</v>
      </c>
      <c r="AM17">
        <v>2490</v>
      </c>
      <c r="AN17">
        <v>0.05</v>
      </c>
      <c r="AO17">
        <v>0.05</v>
      </c>
      <c r="AP17" t="s">
        <v>1083</v>
      </c>
      <c r="AQ17" t="s">
        <v>1172</v>
      </c>
      <c r="AR17">
        <v>3.0000000000000001E-3</v>
      </c>
      <c r="AS17">
        <v>5.0000000000000001E-3</v>
      </c>
      <c r="AT17">
        <v>1.4999999999999999E-2</v>
      </c>
      <c r="AU17" t="s">
        <v>1084</v>
      </c>
    </row>
    <row r="18" spans="1:47" x14ac:dyDescent="0.15">
      <c r="A18" t="s">
        <v>855</v>
      </c>
      <c r="B18" t="s">
        <v>1173</v>
      </c>
      <c r="C18">
        <v>202401</v>
      </c>
      <c r="D18">
        <v>2490</v>
      </c>
      <c r="E18">
        <v>24</v>
      </c>
      <c r="F18" t="s">
        <v>1076</v>
      </c>
      <c r="G18" t="s">
        <v>1170</v>
      </c>
      <c r="H18" t="s">
        <v>1171</v>
      </c>
      <c r="J18">
        <v>24762</v>
      </c>
      <c r="K18">
        <v>4952</v>
      </c>
      <c r="L18">
        <v>0.16</v>
      </c>
      <c r="M18">
        <v>0.08</v>
      </c>
      <c r="N18" t="s">
        <v>1083</v>
      </c>
      <c r="O18" t="s">
        <v>1084</v>
      </c>
      <c r="P18">
        <v>24762</v>
      </c>
      <c r="Q18">
        <v>4952</v>
      </c>
      <c r="R18">
        <v>0.09</v>
      </c>
      <c r="S18">
        <v>0.02</v>
      </c>
      <c r="T18" t="s">
        <v>1083</v>
      </c>
      <c r="U18" t="s">
        <v>1084</v>
      </c>
      <c r="V18">
        <v>24762</v>
      </c>
      <c r="W18">
        <v>4952</v>
      </c>
      <c r="X18">
        <v>4.0000000000000001E-3</v>
      </c>
      <c r="Y18" t="s">
        <v>1083</v>
      </c>
      <c r="Z18" t="s">
        <v>1084</v>
      </c>
      <c r="AA18" t="s">
        <v>1096</v>
      </c>
      <c r="AF18">
        <v>24762</v>
      </c>
      <c r="AG18">
        <v>4952</v>
      </c>
      <c r="AH18">
        <v>5.0000000000000001E-3</v>
      </c>
      <c r="AI18">
        <v>5.0000000000000001E-3</v>
      </c>
      <c r="AJ18" t="s">
        <v>1083</v>
      </c>
      <c r="AK18" t="s">
        <v>1084</v>
      </c>
      <c r="AL18">
        <v>34000</v>
      </c>
      <c r="AM18">
        <v>4879</v>
      </c>
      <c r="AN18">
        <v>7.0000000000000007E-2</v>
      </c>
      <c r="AO18">
        <v>7.0000000000000007E-2</v>
      </c>
      <c r="AP18" t="s">
        <v>1083</v>
      </c>
      <c r="AQ18" t="s">
        <v>1172</v>
      </c>
      <c r="AR18" t="s">
        <v>1174</v>
      </c>
    </row>
    <row r="19" spans="1:47" x14ac:dyDescent="0.15">
      <c r="A19" t="s">
        <v>855</v>
      </c>
      <c r="B19" t="s">
        <v>1175</v>
      </c>
      <c r="C19">
        <v>202507</v>
      </c>
      <c r="D19">
        <v>2740</v>
      </c>
      <c r="E19">
        <v>25</v>
      </c>
      <c r="F19" t="s">
        <v>1143</v>
      </c>
      <c r="G19" t="s">
        <v>1143</v>
      </c>
      <c r="H19" t="s">
        <v>1176</v>
      </c>
      <c r="J19">
        <v>36921</v>
      </c>
      <c r="K19">
        <v>7384</v>
      </c>
      <c r="L19">
        <v>0.16</v>
      </c>
      <c r="M19">
        <v>0.08</v>
      </c>
      <c r="N19" t="s">
        <v>1177</v>
      </c>
      <c r="O19" t="s">
        <v>1084</v>
      </c>
      <c r="P19">
        <v>36921</v>
      </c>
      <c r="Q19">
        <v>7384</v>
      </c>
      <c r="R19">
        <v>0.09</v>
      </c>
      <c r="S19">
        <v>0.02</v>
      </c>
      <c r="T19" t="s">
        <v>1177</v>
      </c>
      <c r="U19" t="s">
        <v>1084</v>
      </c>
      <c r="V19">
        <v>36921</v>
      </c>
      <c r="W19">
        <v>7384</v>
      </c>
      <c r="X19" t="s">
        <v>1178</v>
      </c>
      <c r="Y19" t="s">
        <v>1177</v>
      </c>
      <c r="Z19" t="s">
        <v>1084</v>
      </c>
      <c r="AA19" t="s">
        <v>1096</v>
      </c>
      <c r="AF19">
        <v>36921</v>
      </c>
      <c r="AG19">
        <v>7384</v>
      </c>
      <c r="AH19">
        <v>5.0000000000000001E-3</v>
      </c>
      <c r="AI19">
        <v>5.0000000000000001E-3</v>
      </c>
      <c r="AJ19" t="s">
        <v>1177</v>
      </c>
      <c r="AK19" t="s">
        <v>1084</v>
      </c>
      <c r="AL19">
        <v>36921</v>
      </c>
      <c r="AM19">
        <v>2690</v>
      </c>
      <c r="AN19">
        <v>7.0000000000000007E-2</v>
      </c>
      <c r="AO19">
        <v>7.0000000000000007E-2</v>
      </c>
      <c r="AP19" t="s">
        <v>1179</v>
      </c>
      <c r="AQ19" t="s">
        <v>1083</v>
      </c>
    </row>
    <row r="20" spans="1:47" x14ac:dyDescent="0.15">
      <c r="A20" t="s">
        <v>855</v>
      </c>
      <c r="B20" t="s">
        <v>1180</v>
      </c>
      <c r="C20">
        <v>202401</v>
      </c>
      <c r="D20">
        <v>2490</v>
      </c>
      <c r="E20">
        <v>24</v>
      </c>
      <c r="F20" t="s">
        <v>1076</v>
      </c>
      <c r="G20" t="s">
        <v>1170</v>
      </c>
      <c r="H20" t="s">
        <v>1171</v>
      </c>
      <c r="J20">
        <v>24762</v>
      </c>
      <c r="K20">
        <v>4952</v>
      </c>
      <c r="L20">
        <v>0.16</v>
      </c>
      <c r="M20">
        <v>0.08</v>
      </c>
      <c r="N20" t="s">
        <v>1083</v>
      </c>
      <c r="O20" t="s">
        <v>1084</v>
      </c>
      <c r="P20">
        <v>24762</v>
      </c>
      <c r="Q20">
        <v>4952</v>
      </c>
      <c r="R20">
        <v>0.05</v>
      </c>
      <c r="S20">
        <v>0.02</v>
      </c>
      <c r="T20" t="s">
        <v>1083</v>
      </c>
      <c r="U20" t="s">
        <v>1084</v>
      </c>
      <c r="V20">
        <v>24762</v>
      </c>
      <c r="W20">
        <v>4952</v>
      </c>
      <c r="X20">
        <v>4.0000000000000001E-3</v>
      </c>
      <c r="Y20" t="s">
        <v>1083</v>
      </c>
      <c r="Z20" t="s">
        <v>1084</v>
      </c>
      <c r="AA20">
        <v>24762</v>
      </c>
      <c r="AB20">
        <v>4952</v>
      </c>
      <c r="AC20">
        <v>8.0000000000000002E-3</v>
      </c>
      <c r="AD20" t="s">
        <v>1083</v>
      </c>
      <c r="AE20" t="s">
        <v>1084</v>
      </c>
      <c r="AF20">
        <v>24762</v>
      </c>
      <c r="AG20">
        <v>4952</v>
      </c>
      <c r="AH20">
        <v>5.0000000000000001E-3</v>
      </c>
      <c r="AI20">
        <v>5.0000000000000001E-3</v>
      </c>
      <c r="AJ20" t="s">
        <v>1083</v>
      </c>
      <c r="AK20" t="s">
        <v>1084</v>
      </c>
      <c r="AL20">
        <v>38900</v>
      </c>
      <c r="AM20">
        <v>4952</v>
      </c>
      <c r="AN20">
        <v>0.08</v>
      </c>
      <c r="AO20">
        <v>0.08</v>
      </c>
      <c r="AP20" t="s">
        <v>1084</v>
      </c>
      <c r="AQ20" t="s">
        <v>1084</v>
      </c>
      <c r="AR20" t="s">
        <v>1181</v>
      </c>
    </row>
    <row r="21" spans="1:47" x14ac:dyDescent="0.15">
      <c r="A21" t="s">
        <v>855</v>
      </c>
      <c r="B21" t="s">
        <v>1182</v>
      </c>
      <c r="C21">
        <v>202501</v>
      </c>
      <c r="D21">
        <v>2490</v>
      </c>
      <c r="E21">
        <v>24</v>
      </c>
      <c r="F21" t="s">
        <v>1076</v>
      </c>
      <c r="G21" t="s">
        <v>1170</v>
      </c>
      <c r="H21" t="s">
        <v>1171</v>
      </c>
      <c r="J21">
        <v>24762</v>
      </c>
      <c r="K21">
        <v>4952</v>
      </c>
      <c r="L21">
        <v>0.16</v>
      </c>
      <c r="M21">
        <v>0.08</v>
      </c>
      <c r="N21" t="s">
        <v>1083</v>
      </c>
      <c r="O21" t="s">
        <v>1084</v>
      </c>
      <c r="P21">
        <v>24762</v>
      </c>
      <c r="Q21">
        <v>4952</v>
      </c>
      <c r="R21">
        <v>7.0000000000000007E-2</v>
      </c>
      <c r="S21">
        <v>0.02</v>
      </c>
      <c r="T21" t="s">
        <v>1083</v>
      </c>
      <c r="U21" t="s">
        <v>1084</v>
      </c>
      <c r="V21">
        <v>24762</v>
      </c>
      <c r="W21">
        <v>4952</v>
      </c>
      <c r="X21">
        <v>4.0000000000000001E-3</v>
      </c>
      <c r="Y21" t="s">
        <v>1083</v>
      </c>
      <c r="Z21" t="s">
        <v>1084</v>
      </c>
      <c r="AA21">
        <v>24762</v>
      </c>
      <c r="AB21">
        <v>4952</v>
      </c>
      <c r="AC21">
        <v>8.0000000000000002E-3</v>
      </c>
      <c r="AD21" t="s">
        <v>1083</v>
      </c>
      <c r="AE21" t="s">
        <v>1084</v>
      </c>
      <c r="AF21">
        <v>24762</v>
      </c>
      <c r="AG21">
        <v>4952</v>
      </c>
      <c r="AH21">
        <v>5.0000000000000001E-3</v>
      </c>
      <c r="AI21">
        <v>5.0000000000000001E-3</v>
      </c>
      <c r="AJ21" t="s">
        <v>1083</v>
      </c>
      <c r="AK21" t="s">
        <v>1084</v>
      </c>
      <c r="AL21">
        <v>41400</v>
      </c>
      <c r="AM21">
        <v>2490</v>
      </c>
      <c r="AN21">
        <v>0.08</v>
      </c>
      <c r="AO21">
        <v>0.08</v>
      </c>
      <c r="AP21" t="s">
        <v>1083</v>
      </c>
      <c r="AQ21" t="s">
        <v>1083</v>
      </c>
      <c r="AR21" t="s">
        <v>1174</v>
      </c>
    </row>
    <row r="22" spans="1:47" x14ac:dyDescent="0.15">
      <c r="A22" t="s">
        <v>855</v>
      </c>
      <c r="B22" t="s">
        <v>1183</v>
      </c>
      <c r="C22">
        <v>202401</v>
      </c>
      <c r="D22">
        <v>2490</v>
      </c>
      <c r="E22">
        <v>24</v>
      </c>
      <c r="F22" t="s">
        <v>1076</v>
      </c>
      <c r="G22" t="s">
        <v>1170</v>
      </c>
      <c r="H22" t="s">
        <v>1171</v>
      </c>
      <c r="J22">
        <v>24762</v>
      </c>
      <c r="K22">
        <v>4952</v>
      </c>
      <c r="L22">
        <v>0.16</v>
      </c>
      <c r="M22">
        <v>0.08</v>
      </c>
      <c r="N22" t="s">
        <v>1083</v>
      </c>
      <c r="O22" t="s">
        <v>1084</v>
      </c>
      <c r="P22">
        <v>24762</v>
      </c>
      <c r="Q22">
        <v>4952</v>
      </c>
      <c r="R22">
        <v>7.1999999999999995E-2</v>
      </c>
      <c r="S22">
        <v>0.02</v>
      </c>
      <c r="T22" t="s">
        <v>1083</v>
      </c>
      <c r="U22" t="s">
        <v>1084</v>
      </c>
      <c r="V22">
        <v>24762</v>
      </c>
      <c r="W22">
        <v>4952</v>
      </c>
      <c r="X22">
        <v>4.0000000000000001E-3</v>
      </c>
      <c r="Y22" t="s">
        <v>1083</v>
      </c>
      <c r="Z22" t="s">
        <v>1084</v>
      </c>
      <c r="AA22">
        <v>24762</v>
      </c>
      <c r="AB22">
        <v>4952</v>
      </c>
      <c r="AC22">
        <v>8.0000000000000002E-3</v>
      </c>
      <c r="AD22" t="s">
        <v>1083</v>
      </c>
      <c r="AE22" t="s">
        <v>1084</v>
      </c>
      <c r="AF22">
        <v>24762</v>
      </c>
      <c r="AG22">
        <v>4952</v>
      </c>
      <c r="AH22">
        <v>5.0000000000000001E-3</v>
      </c>
      <c r="AI22">
        <v>5.0000000000000001E-3</v>
      </c>
      <c r="AJ22" t="s">
        <v>1083</v>
      </c>
      <c r="AK22" t="s">
        <v>1084</v>
      </c>
      <c r="AL22">
        <v>35200</v>
      </c>
      <c r="AM22">
        <v>2490</v>
      </c>
      <c r="AN22">
        <v>0.08</v>
      </c>
      <c r="AO22">
        <v>0.08</v>
      </c>
      <c r="AP22" t="s">
        <v>1184</v>
      </c>
      <c r="AQ22" t="s">
        <v>1185</v>
      </c>
    </row>
    <row r="23" spans="1:47" x14ac:dyDescent="0.15">
      <c r="A23" t="s">
        <v>855</v>
      </c>
      <c r="B23" t="s">
        <v>1186</v>
      </c>
      <c r="C23">
        <v>202401</v>
      </c>
      <c r="D23">
        <v>2490</v>
      </c>
      <c r="E23">
        <v>24</v>
      </c>
      <c r="F23" t="s">
        <v>1076</v>
      </c>
      <c r="G23" t="s">
        <v>1170</v>
      </c>
      <c r="H23" t="s">
        <v>1171</v>
      </c>
      <c r="J23">
        <v>24762</v>
      </c>
      <c r="K23">
        <v>4952</v>
      </c>
      <c r="L23">
        <v>0.16</v>
      </c>
      <c r="M23">
        <v>0.08</v>
      </c>
      <c r="N23" t="s">
        <v>1083</v>
      </c>
      <c r="O23" t="s">
        <v>1084</v>
      </c>
      <c r="P23">
        <v>24762</v>
      </c>
      <c r="Q23">
        <v>4952</v>
      </c>
      <c r="R23">
        <v>7.1999999999999995E-2</v>
      </c>
      <c r="S23">
        <v>0.02</v>
      </c>
      <c r="T23" t="s">
        <v>1083</v>
      </c>
      <c r="U23" t="s">
        <v>1084</v>
      </c>
      <c r="V23">
        <v>24762</v>
      </c>
      <c r="W23">
        <v>4952</v>
      </c>
      <c r="X23">
        <v>4.0000000000000001E-3</v>
      </c>
      <c r="Y23" t="s">
        <v>1083</v>
      </c>
      <c r="Z23" t="s">
        <v>1084</v>
      </c>
      <c r="AA23">
        <v>24762</v>
      </c>
      <c r="AB23">
        <v>4952</v>
      </c>
      <c r="AC23">
        <v>8.0000000000000002E-3</v>
      </c>
      <c r="AD23" t="s">
        <v>1083</v>
      </c>
      <c r="AE23" t="s">
        <v>1084</v>
      </c>
      <c r="AF23">
        <v>24762</v>
      </c>
      <c r="AG23">
        <v>4952</v>
      </c>
      <c r="AH23">
        <v>5.0000000000000001E-3</v>
      </c>
      <c r="AI23">
        <v>5.0000000000000001E-3</v>
      </c>
      <c r="AJ23" t="s">
        <v>1083</v>
      </c>
      <c r="AK23" t="s">
        <v>1084</v>
      </c>
      <c r="AL23">
        <v>35200</v>
      </c>
      <c r="AM23">
        <v>2490</v>
      </c>
      <c r="AN23">
        <v>0.08</v>
      </c>
      <c r="AO23">
        <v>0.08</v>
      </c>
      <c r="AP23" t="s">
        <v>1184</v>
      </c>
      <c r="AQ23" t="s">
        <v>1185</v>
      </c>
    </row>
    <row r="24" spans="1:47" x14ac:dyDescent="0.15">
      <c r="A24" t="s">
        <v>855</v>
      </c>
      <c r="B24" t="s">
        <v>1187</v>
      </c>
      <c r="C24">
        <v>202401</v>
      </c>
      <c r="D24">
        <v>2490</v>
      </c>
      <c r="E24">
        <v>24</v>
      </c>
      <c r="F24" t="s">
        <v>1076</v>
      </c>
      <c r="G24" t="s">
        <v>1076</v>
      </c>
      <c r="H24" t="s">
        <v>1188</v>
      </c>
      <c r="J24">
        <v>25299</v>
      </c>
      <c r="K24">
        <v>4986</v>
      </c>
      <c r="L24">
        <v>0.16</v>
      </c>
      <c r="M24">
        <v>0.08</v>
      </c>
      <c r="N24" t="s">
        <v>1083</v>
      </c>
      <c r="O24" t="s">
        <v>1084</v>
      </c>
      <c r="P24">
        <v>25299</v>
      </c>
      <c r="Q24">
        <v>4986</v>
      </c>
      <c r="R24">
        <v>8.5000000000000006E-2</v>
      </c>
      <c r="S24">
        <v>0.02</v>
      </c>
      <c r="T24" t="s">
        <v>1083</v>
      </c>
      <c r="U24" t="s">
        <v>1084</v>
      </c>
      <c r="V24">
        <v>25299</v>
      </c>
      <c r="W24">
        <v>4986</v>
      </c>
      <c r="X24">
        <v>4.7999999999999996E-3</v>
      </c>
      <c r="Y24" t="s">
        <v>1083</v>
      </c>
      <c r="Z24" t="s">
        <v>1084</v>
      </c>
      <c r="AA24" t="s">
        <v>1096</v>
      </c>
      <c r="AF24">
        <v>25299</v>
      </c>
      <c r="AG24">
        <v>4986</v>
      </c>
      <c r="AH24">
        <v>5.0000000000000001E-3</v>
      </c>
      <c r="AI24">
        <v>5.0000000000000001E-3</v>
      </c>
      <c r="AJ24" t="s">
        <v>1083</v>
      </c>
      <c r="AK24" t="s">
        <v>1084</v>
      </c>
      <c r="AL24">
        <v>38907</v>
      </c>
      <c r="AM24">
        <v>2490</v>
      </c>
      <c r="AN24">
        <v>0.08</v>
      </c>
      <c r="AO24">
        <v>0.08</v>
      </c>
      <c r="AP24" t="s">
        <v>1083</v>
      </c>
      <c r="AQ24" t="s">
        <v>1083</v>
      </c>
    </row>
    <row r="25" spans="1:47" x14ac:dyDescent="0.15">
      <c r="A25" t="s">
        <v>855</v>
      </c>
      <c r="B25" t="s">
        <v>1189</v>
      </c>
      <c r="C25">
        <v>202401</v>
      </c>
      <c r="D25">
        <v>2490</v>
      </c>
      <c r="E25">
        <v>24</v>
      </c>
      <c r="F25" t="s">
        <v>1076</v>
      </c>
      <c r="G25" t="s">
        <v>1170</v>
      </c>
      <c r="H25" t="s">
        <v>1171</v>
      </c>
      <c r="J25">
        <v>24762</v>
      </c>
      <c r="K25">
        <v>4952</v>
      </c>
      <c r="L25">
        <v>0.16</v>
      </c>
      <c r="M25">
        <v>0.08</v>
      </c>
      <c r="N25" t="s">
        <v>1083</v>
      </c>
      <c r="O25" t="s">
        <v>1084</v>
      </c>
      <c r="P25">
        <v>24762</v>
      </c>
      <c r="Q25">
        <v>4952</v>
      </c>
      <c r="R25">
        <v>7.0000000000000007E-2</v>
      </c>
      <c r="S25">
        <v>0.02</v>
      </c>
      <c r="T25" t="s">
        <v>1083</v>
      </c>
      <c r="U25" t="s">
        <v>1084</v>
      </c>
      <c r="V25">
        <v>24762</v>
      </c>
      <c r="W25">
        <v>4952</v>
      </c>
      <c r="X25">
        <v>4.0000000000000001E-3</v>
      </c>
      <c r="Y25" t="s">
        <v>1083</v>
      </c>
      <c r="Z25" t="s">
        <v>1084</v>
      </c>
      <c r="AA25">
        <v>24762</v>
      </c>
      <c r="AB25">
        <v>4952</v>
      </c>
      <c r="AC25">
        <v>8.0000000000000002E-3</v>
      </c>
      <c r="AD25" t="s">
        <v>1083</v>
      </c>
      <c r="AE25" t="s">
        <v>1084</v>
      </c>
      <c r="AF25">
        <v>24762</v>
      </c>
      <c r="AG25">
        <v>4952</v>
      </c>
      <c r="AH25">
        <v>5.0000000000000001E-3</v>
      </c>
      <c r="AI25">
        <v>5.0000000000000001E-3</v>
      </c>
      <c r="AJ25" t="s">
        <v>1083</v>
      </c>
      <c r="AK25" t="s">
        <v>1084</v>
      </c>
      <c r="AL25">
        <v>38900</v>
      </c>
      <c r="AM25">
        <v>4952</v>
      </c>
      <c r="AN25">
        <v>0.08</v>
      </c>
      <c r="AO25">
        <v>0.08</v>
      </c>
      <c r="AP25" t="s">
        <v>1083</v>
      </c>
      <c r="AQ25" t="s">
        <v>1185</v>
      </c>
      <c r="AR25" t="s">
        <v>1181</v>
      </c>
    </row>
    <row r="26" spans="1:47" x14ac:dyDescent="0.15">
      <c r="A26" t="s">
        <v>855</v>
      </c>
      <c r="B26" t="s">
        <v>1190</v>
      </c>
      <c r="C26">
        <v>202401</v>
      </c>
      <c r="D26">
        <v>2490</v>
      </c>
      <c r="E26">
        <v>24</v>
      </c>
      <c r="F26" t="s">
        <v>1076</v>
      </c>
      <c r="G26" t="s">
        <v>1170</v>
      </c>
      <c r="H26" t="s">
        <v>1171</v>
      </c>
      <c r="J26">
        <v>24762</v>
      </c>
      <c r="K26">
        <v>4952</v>
      </c>
      <c r="L26">
        <v>0.16</v>
      </c>
      <c r="M26">
        <v>0.08</v>
      </c>
      <c r="N26" t="s">
        <v>1083</v>
      </c>
      <c r="O26" t="s">
        <v>1084</v>
      </c>
      <c r="P26">
        <v>24762</v>
      </c>
      <c r="Q26">
        <v>4952</v>
      </c>
      <c r="R26">
        <v>7.0000000000000007E-2</v>
      </c>
      <c r="S26">
        <v>0.02</v>
      </c>
      <c r="T26" t="s">
        <v>1083</v>
      </c>
      <c r="U26" t="s">
        <v>1084</v>
      </c>
      <c r="V26">
        <v>24762</v>
      </c>
      <c r="W26">
        <v>4952</v>
      </c>
      <c r="X26">
        <v>4.0000000000000001E-3</v>
      </c>
      <c r="Y26" t="s">
        <v>1083</v>
      </c>
      <c r="Z26" t="s">
        <v>1084</v>
      </c>
      <c r="AA26">
        <v>24762</v>
      </c>
      <c r="AB26">
        <v>4952</v>
      </c>
      <c r="AC26">
        <v>8.0000000000000002E-3</v>
      </c>
      <c r="AD26" t="s">
        <v>1083</v>
      </c>
      <c r="AE26" t="s">
        <v>1084</v>
      </c>
      <c r="AF26">
        <v>24762</v>
      </c>
      <c r="AG26">
        <v>4952</v>
      </c>
      <c r="AH26">
        <v>5.0000000000000001E-3</v>
      </c>
      <c r="AI26">
        <v>5.0000000000000001E-3</v>
      </c>
      <c r="AJ26" t="s">
        <v>1083</v>
      </c>
      <c r="AK26" t="s">
        <v>1084</v>
      </c>
      <c r="AL26">
        <v>38900</v>
      </c>
      <c r="AM26">
        <v>4952</v>
      </c>
      <c r="AN26">
        <v>0.08</v>
      </c>
      <c r="AO26">
        <v>0.08</v>
      </c>
      <c r="AP26" t="s">
        <v>1084</v>
      </c>
      <c r="AQ26" t="s">
        <v>1185</v>
      </c>
      <c r="AR26" t="s">
        <v>1181</v>
      </c>
    </row>
    <row r="27" spans="1:47" x14ac:dyDescent="0.15">
      <c r="A27" t="s">
        <v>855</v>
      </c>
      <c r="B27" t="s">
        <v>1191</v>
      </c>
      <c r="C27">
        <v>202404</v>
      </c>
      <c r="D27">
        <v>2000</v>
      </c>
      <c r="E27">
        <v>20</v>
      </c>
      <c r="F27" t="s">
        <v>1076</v>
      </c>
      <c r="G27" t="s">
        <v>1192</v>
      </c>
      <c r="H27" t="s">
        <v>1193</v>
      </c>
      <c r="J27">
        <v>19575</v>
      </c>
      <c r="K27">
        <v>3915</v>
      </c>
      <c r="L27">
        <v>0.16</v>
      </c>
      <c r="M27">
        <v>0.08</v>
      </c>
      <c r="N27" t="s">
        <v>1084</v>
      </c>
      <c r="O27" t="s">
        <v>1084</v>
      </c>
      <c r="P27">
        <v>23736</v>
      </c>
      <c r="Q27">
        <v>4747</v>
      </c>
      <c r="R27">
        <v>6.8000000000000005E-2</v>
      </c>
      <c r="S27">
        <v>0.02</v>
      </c>
      <c r="T27" t="s">
        <v>1084</v>
      </c>
      <c r="U27" t="s">
        <v>1084</v>
      </c>
      <c r="V27">
        <v>19575</v>
      </c>
      <c r="W27">
        <v>3915</v>
      </c>
      <c r="X27">
        <v>4.4000000000000003E-3</v>
      </c>
      <c r="Y27" t="s">
        <v>1084</v>
      </c>
      <c r="Z27" t="s">
        <v>1084</v>
      </c>
      <c r="AA27" t="s">
        <v>1096</v>
      </c>
      <c r="AF27">
        <v>19575</v>
      </c>
      <c r="AG27">
        <v>3915</v>
      </c>
      <c r="AH27">
        <v>5.0000000000000001E-3</v>
      </c>
      <c r="AI27">
        <v>5.0000000000000001E-3</v>
      </c>
      <c r="AJ27" t="s">
        <v>1084</v>
      </c>
      <c r="AK27" t="s">
        <v>1084</v>
      </c>
      <c r="AL27">
        <v>29589</v>
      </c>
      <c r="AM27">
        <v>2600</v>
      </c>
      <c r="AN27">
        <v>7.0000000000000007E-2</v>
      </c>
      <c r="AO27">
        <v>7.0000000000000007E-2</v>
      </c>
      <c r="AP27" t="s">
        <v>1083</v>
      </c>
      <c r="AQ27" t="s">
        <v>1083</v>
      </c>
      <c r="AR27" t="s">
        <v>1194</v>
      </c>
      <c r="AS27" t="s">
        <v>1195</v>
      </c>
    </row>
    <row r="28" spans="1:47" x14ac:dyDescent="0.15">
      <c r="A28" t="s">
        <v>855</v>
      </c>
      <c r="B28" t="s">
        <v>1196</v>
      </c>
      <c r="C28">
        <v>202401</v>
      </c>
      <c r="D28">
        <v>2490</v>
      </c>
      <c r="E28">
        <v>24</v>
      </c>
      <c r="F28" t="s">
        <v>1076</v>
      </c>
      <c r="G28" t="s">
        <v>1170</v>
      </c>
      <c r="H28" t="s">
        <v>1171</v>
      </c>
      <c r="J28">
        <v>24762</v>
      </c>
      <c r="K28">
        <v>4952</v>
      </c>
      <c r="L28">
        <v>0.16</v>
      </c>
      <c r="M28">
        <v>0.08</v>
      </c>
      <c r="N28" t="s">
        <v>1083</v>
      </c>
      <c r="O28" t="s">
        <v>1084</v>
      </c>
      <c r="P28">
        <v>24762</v>
      </c>
      <c r="Q28">
        <v>4952</v>
      </c>
      <c r="R28">
        <v>8.5000000000000006E-2</v>
      </c>
      <c r="S28">
        <v>0.02</v>
      </c>
      <c r="T28" t="s">
        <v>1083</v>
      </c>
      <c r="U28" t="s">
        <v>1084</v>
      </c>
      <c r="V28">
        <v>24762</v>
      </c>
      <c r="W28">
        <v>4952</v>
      </c>
      <c r="X28">
        <v>4.0000000000000001E-3</v>
      </c>
      <c r="Y28" t="s">
        <v>1083</v>
      </c>
      <c r="Z28" t="s">
        <v>1084</v>
      </c>
      <c r="AA28" t="s">
        <v>1096</v>
      </c>
      <c r="AF28">
        <v>24762</v>
      </c>
      <c r="AG28">
        <v>4952</v>
      </c>
      <c r="AH28">
        <v>5.0000000000000001E-3</v>
      </c>
      <c r="AI28">
        <v>5.0000000000000001E-3</v>
      </c>
      <c r="AJ28" t="s">
        <v>1083</v>
      </c>
      <c r="AK28" t="s">
        <v>1084</v>
      </c>
      <c r="AL28">
        <v>29300</v>
      </c>
      <c r="AM28">
        <v>2490</v>
      </c>
      <c r="AN28">
        <v>0.08</v>
      </c>
      <c r="AO28">
        <v>0.08</v>
      </c>
      <c r="AP28" t="s">
        <v>1083</v>
      </c>
      <c r="AQ28" t="s">
        <v>1083</v>
      </c>
      <c r="AR28" t="s">
        <v>1197</v>
      </c>
    </row>
    <row r="29" spans="1:47" x14ac:dyDescent="0.15">
      <c r="A29" t="s">
        <v>855</v>
      </c>
      <c r="B29" t="s">
        <v>1198</v>
      </c>
      <c r="C29">
        <v>202401</v>
      </c>
      <c r="D29">
        <v>2490</v>
      </c>
      <c r="E29">
        <v>24</v>
      </c>
      <c r="F29" t="s">
        <v>1076</v>
      </c>
      <c r="G29" t="s">
        <v>1170</v>
      </c>
      <c r="H29" t="s">
        <v>1171</v>
      </c>
      <c r="J29">
        <v>24762</v>
      </c>
      <c r="K29">
        <v>4952</v>
      </c>
      <c r="L29">
        <v>0.16</v>
      </c>
      <c r="M29">
        <v>0.08</v>
      </c>
      <c r="N29" t="s">
        <v>1083</v>
      </c>
      <c r="O29" t="s">
        <v>1084</v>
      </c>
      <c r="P29">
        <v>24762</v>
      </c>
      <c r="Q29">
        <v>4952</v>
      </c>
      <c r="R29">
        <v>0.08</v>
      </c>
      <c r="S29">
        <v>0.02</v>
      </c>
      <c r="T29" t="s">
        <v>1083</v>
      </c>
      <c r="U29" t="s">
        <v>1084</v>
      </c>
      <c r="V29">
        <v>24762</v>
      </c>
      <c r="W29">
        <v>4952</v>
      </c>
      <c r="X29">
        <v>4.0000000000000001E-3</v>
      </c>
      <c r="Y29" t="s">
        <v>1083</v>
      </c>
      <c r="Z29" t="s">
        <v>1084</v>
      </c>
      <c r="AA29">
        <v>24762</v>
      </c>
      <c r="AB29">
        <v>4952</v>
      </c>
      <c r="AC29">
        <v>8.0000000000000002E-3</v>
      </c>
      <c r="AD29" t="s">
        <v>1083</v>
      </c>
      <c r="AE29" t="s">
        <v>1084</v>
      </c>
      <c r="AF29">
        <v>24762</v>
      </c>
      <c r="AG29">
        <v>4952</v>
      </c>
      <c r="AH29">
        <v>5.0000000000000001E-3</v>
      </c>
      <c r="AI29">
        <v>5.0000000000000001E-3</v>
      </c>
      <c r="AJ29" t="s">
        <v>1083</v>
      </c>
      <c r="AK29" t="s">
        <v>1084</v>
      </c>
      <c r="AL29">
        <v>33800</v>
      </c>
      <c r="AM29">
        <v>2490</v>
      </c>
      <c r="AN29">
        <v>0.08</v>
      </c>
      <c r="AO29">
        <v>0.08</v>
      </c>
      <c r="AP29" t="s">
        <v>1083</v>
      </c>
      <c r="AQ29" t="s">
        <v>1185</v>
      </c>
    </row>
    <row r="30" spans="1:47" x14ac:dyDescent="0.15">
      <c r="A30" t="s">
        <v>855</v>
      </c>
      <c r="B30" t="s">
        <v>1199</v>
      </c>
      <c r="C30">
        <v>202401</v>
      </c>
      <c r="D30">
        <v>2490</v>
      </c>
      <c r="E30">
        <v>24</v>
      </c>
      <c r="F30" t="s">
        <v>1076</v>
      </c>
      <c r="G30" t="s">
        <v>1076</v>
      </c>
      <c r="H30" t="s">
        <v>1200</v>
      </c>
      <c r="I30" t="s">
        <v>1201</v>
      </c>
      <c r="J30">
        <v>25299</v>
      </c>
      <c r="K30">
        <v>4986</v>
      </c>
      <c r="L30">
        <v>0.16</v>
      </c>
      <c r="M30">
        <v>0.08</v>
      </c>
      <c r="N30" t="s">
        <v>1084</v>
      </c>
      <c r="O30" t="s">
        <v>1084</v>
      </c>
      <c r="P30">
        <v>25299</v>
      </c>
      <c r="Q30">
        <v>4986</v>
      </c>
      <c r="R30">
        <v>9.5000000000000001E-2</v>
      </c>
      <c r="S30">
        <v>0.02</v>
      </c>
      <c r="T30" t="s">
        <v>1084</v>
      </c>
      <c r="U30" t="s">
        <v>1084</v>
      </c>
      <c r="V30">
        <v>25299</v>
      </c>
      <c r="W30">
        <v>4986</v>
      </c>
      <c r="X30">
        <v>6.0000000000000001E-3</v>
      </c>
      <c r="Y30" t="s">
        <v>1083</v>
      </c>
      <c r="Z30" t="s">
        <v>1084</v>
      </c>
      <c r="AA30" t="s">
        <v>1096</v>
      </c>
      <c r="AF30">
        <v>25299</v>
      </c>
      <c r="AG30">
        <v>4986</v>
      </c>
      <c r="AH30">
        <v>5.0000000000000001E-3</v>
      </c>
      <c r="AI30">
        <v>5.0000000000000001E-3</v>
      </c>
      <c r="AJ30" t="s">
        <v>1084</v>
      </c>
      <c r="AK30" t="s">
        <v>1084</v>
      </c>
      <c r="AL30">
        <v>40694</v>
      </c>
      <c r="AM30">
        <v>2490</v>
      </c>
      <c r="AN30">
        <v>0.11</v>
      </c>
      <c r="AO30">
        <v>0.11</v>
      </c>
      <c r="AP30" t="s">
        <v>1083</v>
      </c>
      <c r="AQ30" t="s">
        <v>1083</v>
      </c>
    </row>
    <row r="31" spans="1:47" x14ac:dyDescent="0.15">
      <c r="A31" t="s">
        <v>855</v>
      </c>
      <c r="B31" t="s">
        <v>1202</v>
      </c>
      <c r="C31">
        <v>202401</v>
      </c>
      <c r="D31">
        <v>2490</v>
      </c>
      <c r="E31">
        <v>24</v>
      </c>
      <c r="F31" t="s">
        <v>1076</v>
      </c>
      <c r="G31" t="s">
        <v>1076</v>
      </c>
      <c r="H31" t="s">
        <v>1200</v>
      </c>
      <c r="I31" t="s">
        <v>1201</v>
      </c>
      <c r="J31">
        <v>25299</v>
      </c>
      <c r="K31">
        <v>4986</v>
      </c>
      <c r="L31">
        <v>0.16</v>
      </c>
      <c r="M31">
        <v>0.08</v>
      </c>
      <c r="N31" t="s">
        <v>1084</v>
      </c>
      <c r="O31" t="s">
        <v>1084</v>
      </c>
      <c r="P31">
        <v>25299</v>
      </c>
      <c r="Q31">
        <v>4986</v>
      </c>
      <c r="R31">
        <v>9.5000000000000001E-2</v>
      </c>
      <c r="S31">
        <v>0.02</v>
      </c>
      <c r="T31" t="s">
        <v>1084</v>
      </c>
      <c r="U31" t="s">
        <v>1084</v>
      </c>
      <c r="V31">
        <v>25299</v>
      </c>
      <c r="W31">
        <v>4986</v>
      </c>
      <c r="X31">
        <v>4.0000000000000001E-3</v>
      </c>
      <c r="Y31" t="s">
        <v>1083</v>
      </c>
      <c r="Z31" t="s">
        <v>1084</v>
      </c>
      <c r="AA31" t="s">
        <v>1096</v>
      </c>
      <c r="AF31">
        <v>25299</v>
      </c>
      <c r="AG31">
        <v>4986</v>
      </c>
      <c r="AH31">
        <v>5.0000000000000001E-3</v>
      </c>
      <c r="AI31">
        <v>5.0000000000000001E-3</v>
      </c>
      <c r="AJ31" t="s">
        <v>1084</v>
      </c>
      <c r="AK31" t="s">
        <v>1084</v>
      </c>
      <c r="AL31">
        <v>40694</v>
      </c>
      <c r="AM31">
        <v>2490</v>
      </c>
      <c r="AN31">
        <v>0.11</v>
      </c>
      <c r="AO31">
        <v>0.11</v>
      </c>
      <c r="AP31" t="s">
        <v>1083</v>
      </c>
      <c r="AQ31" t="s">
        <v>1083</v>
      </c>
    </row>
    <row r="32" spans="1:47" x14ac:dyDescent="0.15">
      <c r="A32" t="s">
        <v>855</v>
      </c>
      <c r="B32" t="s">
        <v>1203</v>
      </c>
      <c r="C32">
        <v>202401</v>
      </c>
      <c r="D32">
        <v>2490</v>
      </c>
      <c r="E32">
        <v>24</v>
      </c>
      <c r="F32" t="s">
        <v>1076</v>
      </c>
      <c r="G32" t="s">
        <v>1076</v>
      </c>
      <c r="H32" t="s">
        <v>1204</v>
      </c>
      <c r="J32">
        <v>25299</v>
      </c>
      <c r="K32">
        <v>4986</v>
      </c>
      <c r="L32">
        <v>0.16</v>
      </c>
      <c r="M32">
        <v>0.08</v>
      </c>
      <c r="N32" t="s">
        <v>1084</v>
      </c>
      <c r="O32" t="s">
        <v>1084</v>
      </c>
      <c r="P32">
        <v>25299</v>
      </c>
      <c r="Q32">
        <v>4986</v>
      </c>
      <c r="R32">
        <v>9.1999999999999998E-2</v>
      </c>
      <c r="S32">
        <v>0.02</v>
      </c>
      <c r="T32" t="s">
        <v>1084</v>
      </c>
      <c r="U32" t="s">
        <v>1084</v>
      </c>
      <c r="V32">
        <v>25299</v>
      </c>
      <c r="W32">
        <v>4986</v>
      </c>
      <c r="X32">
        <v>2.8E-3</v>
      </c>
      <c r="Y32" t="s">
        <v>1083</v>
      </c>
      <c r="Z32" t="s">
        <v>1084</v>
      </c>
      <c r="AA32" t="s">
        <v>1096</v>
      </c>
      <c r="AF32">
        <v>25299</v>
      </c>
      <c r="AG32">
        <v>4986</v>
      </c>
      <c r="AH32">
        <v>5.0000000000000001E-3</v>
      </c>
      <c r="AI32">
        <v>5.0000000000000001E-3</v>
      </c>
      <c r="AJ32" t="s">
        <v>1084</v>
      </c>
      <c r="AK32" t="s">
        <v>1084</v>
      </c>
      <c r="AL32">
        <v>31665</v>
      </c>
      <c r="AM32">
        <v>2490</v>
      </c>
      <c r="AN32">
        <v>0.08</v>
      </c>
      <c r="AO32">
        <v>0.08</v>
      </c>
      <c r="AP32" t="s">
        <v>1083</v>
      </c>
      <c r="AQ32" t="s">
        <v>1083</v>
      </c>
    </row>
    <row r="33" spans="1:47" x14ac:dyDescent="0.15">
      <c r="A33" t="s">
        <v>855</v>
      </c>
      <c r="B33" t="s">
        <v>1205</v>
      </c>
      <c r="C33">
        <v>202401</v>
      </c>
      <c r="D33">
        <v>2260</v>
      </c>
      <c r="E33">
        <v>22</v>
      </c>
      <c r="F33" t="s">
        <v>1076</v>
      </c>
      <c r="G33" t="s">
        <v>1192</v>
      </c>
      <c r="H33" t="s">
        <v>1206</v>
      </c>
      <c r="J33">
        <v>25299</v>
      </c>
      <c r="K33">
        <v>4986</v>
      </c>
      <c r="L33">
        <v>0.16</v>
      </c>
      <c r="M33">
        <v>0.08</v>
      </c>
      <c r="N33" t="s">
        <v>1084</v>
      </c>
      <c r="O33" t="s">
        <v>1084</v>
      </c>
      <c r="P33">
        <v>25299</v>
      </c>
      <c r="Q33">
        <v>4986</v>
      </c>
      <c r="R33">
        <v>7.4999999999999997E-2</v>
      </c>
      <c r="S33">
        <v>0.02</v>
      </c>
      <c r="T33" t="s">
        <v>1084</v>
      </c>
      <c r="U33" t="s">
        <v>1084</v>
      </c>
      <c r="V33">
        <v>25299</v>
      </c>
      <c r="W33">
        <v>4986</v>
      </c>
      <c r="X33">
        <v>4.0000000000000001E-3</v>
      </c>
      <c r="Y33" t="s">
        <v>1084</v>
      </c>
      <c r="Z33" t="s">
        <v>1084</v>
      </c>
      <c r="AA33" t="s">
        <v>1096</v>
      </c>
      <c r="AF33">
        <v>25299</v>
      </c>
      <c r="AG33">
        <v>4986</v>
      </c>
      <c r="AH33">
        <v>5.0000000000000001E-3</v>
      </c>
      <c r="AI33">
        <v>5.0000000000000001E-3</v>
      </c>
      <c r="AJ33" t="s">
        <v>1084</v>
      </c>
      <c r="AK33" t="s">
        <v>1084</v>
      </c>
      <c r="AL33">
        <v>31398</v>
      </c>
      <c r="AM33">
        <v>2260</v>
      </c>
      <c r="AN33">
        <v>0.11</v>
      </c>
      <c r="AO33">
        <v>0.11</v>
      </c>
      <c r="AP33" t="s">
        <v>1207</v>
      </c>
      <c r="AQ33" t="s">
        <v>1083</v>
      </c>
    </row>
    <row r="34" spans="1:47" x14ac:dyDescent="0.15">
      <c r="A34" t="s">
        <v>855</v>
      </c>
      <c r="B34" t="s">
        <v>1208</v>
      </c>
      <c r="C34">
        <v>202401</v>
      </c>
      <c r="D34">
        <v>2260</v>
      </c>
      <c r="E34">
        <v>22</v>
      </c>
      <c r="F34" t="s">
        <v>1076</v>
      </c>
      <c r="G34" t="s">
        <v>1192</v>
      </c>
      <c r="H34" t="s">
        <v>1206</v>
      </c>
      <c r="J34">
        <v>25299</v>
      </c>
      <c r="K34">
        <v>4986</v>
      </c>
      <c r="L34">
        <v>0.16</v>
      </c>
      <c r="M34">
        <v>0.08</v>
      </c>
      <c r="N34" t="s">
        <v>1084</v>
      </c>
      <c r="O34" t="s">
        <v>1084</v>
      </c>
      <c r="P34">
        <v>25299</v>
      </c>
      <c r="Q34">
        <v>4986</v>
      </c>
      <c r="R34">
        <v>7.4999999999999997E-2</v>
      </c>
      <c r="S34">
        <v>0.02</v>
      </c>
      <c r="T34" t="s">
        <v>1084</v>
      </c>
      <c r="U34" t="s">
        <v>1084</v>
      </c>
      <c r="V34">
        <v>25299</v>
      </c>
      <c r="W34">
        <v>4986</v>
      </c>
      <c r="X34">
        <v>3.2000000000000002E-3</v>
      </c>
      <c r="Y34" t="s">
        <v>1084</v>
      </c>
      <c r="Z34" t="s">
        <v>1084</v>
      </c>
      <c r="AA34" t="s">
        <v>1096</v>
      </c>
      <c r="AF34">
        <v>25299</v>
      </c>
      <c r="AG34">
        <v>4986</v>
      </c>
      <c r="AH34">
        <v>5.0000000000000001E-3</v>
      </c>
      <c r="AI34">
        <v>5.0000000000000001E-3</v>
      </c>
      <c r="AJ34" t="s">
        <v>1084</v>
      </c>
      <c r="AK34" t="s">
        <v>1084</v>
      </c>
      <c r="AL34">
        <v>31398</v>
      </c>
      <c r="AM34">
        <v>2260</v>
      </c>
      <c r="AN34">
        <v>0.11</v>
      </c>
      <c r="AO34">
        <v>0.11</v>
      </c>
      <c r="AP34" t="s">
        <v>1207</v>
      </c>
      <c r="AQ34" t="s">
        <v>1083</v>
      </c>
      <c r="AT34">
        <v>1.35E-2</v>
      </c>
      <c r="AU34" t="s">
        <v>1083</v>
      </c>
    </row>
    <row r="35" spans="1:47" x14ac:dyDescent="0.15">
      <c r="A35" t="s">
        <v>855</v>
      </c>
      <c r="B35" t="s">
        <v>1209</v>
      </c>
      <c r="C35">
        <v>202401</v>
      </c>
      <c r="D35">
        <v>2490</v>
      </c>
      <c r="E35">
        <v>24</v>
      </c>
      <c r="F35" t="s">
        <v>1076</v>
      </c>
      <c r="G35" t="s">
        <v>1170</v>
      </c>
      <c r="H35" t="s">
        <v>1171</v>
      </c>
      <c r="J35">
        <v>24762</v>
      </c>
      <c r="K35">
        <v>4952</v>
      </c>
      <c r="L35">
        <v>0.16</v>
      </c>
      <c r="M35">
        <v>0.08</v>
      </c>
      <c r="N35" t="s">
        <v>1083</v>
      </c>
      <c r="O35" t="s">
        <v>1084</v>
      </c>
      <c r="P35">
        <v>24762</v>
      </c>
      <c r="Q35">
        <v>4952</v>
      </c>
      <c r="R35">
        <v>7.1999999999999995E-2</v>
      </c>
      <c r="S35">
        <v>0.02</v>
      </c>
      <c r="T35" t="s">
        <v>1083</v>
      </c>
      <c r="U35" t="s">
        <v>1084</v>
      </c>
      <c r="V35">
        <v>24762</v>
      </c>
      <c r="W35">
        <v>4952</v>
      </c>
      <c r="X35">
        <v>4.0000000000000001E-3</v>
      </c>
      <c r="Y35" t="s">
        <v>1083</v>
      </c>
      <c r="Z35" t="s">
        <v>1084</v>
      </c>
      <c r="AA35">
        <v>24762</v>
      </c>
      <c r="AB35">
        <v>4952</v>
      </c>
      <c r="AC35">
        <v>8.0000000000000002E-3</v>
      </c>
      <c r="AD35" t="s">
        <v>1083</v>
      </c>
      <c r="AE35" t="s">
        <v>1084</v>
      </c>
      <c r="AF35">
        <v>24762</v>
      </c>
      <c r="AG35">
        <v>4952</v>
      </c>
      <c r="AH35">
        <v>5.0000000000000001E-3</v>
      </c>
      <c r="AI35">
        <v>5.0000000000000001E-3</v>
      </c>
      <c r="AJ35" t="s">
        <v>1083</v>
      </c>
      <c r="AK35" t="s">
        <v>1084</v>
      </c>
      <c r="AL35">
        <v>35200</v>
      </c>
      <c r="AM35">
        <v>2490</v>
      </c>
      <c r="AN35">
        <v>0.08</v>
      </c>
      <c r="AO35">
        <v>0.08</v>
      </c>
      <c r="AP35" t="s">
        <v>1184</v>
      </c>
      <c r="AQ35" t="s">
        <v>1210</v>
      </c>
    </row>
    <row r="36" spans="1:47" x14ac:dyDescent="0.15">
      <c r="A36" t="s">
        <v>855</v>
      </c>
      <c r="B36" t="s">
        <v>1211</v>
      </c>
      <c r="C36">
        <v>202401</v>
      </c>
      <c r="D36">
        <v>2490</v>
      </c>
      <c r="E36">
        <v>24</v>
      </c>
      <c r="F36" t="s">
        <v>1076</v>
      </c>
      <c r="G36" t="s">
        <v>1170</v>
      </c>
      <c r="H36" t="s">
        <v>1171</v>
      </c>
      <c r="J36">
        <v>24762</v>
      </c>
      <c r="K36">
        <v>4952</v>
      </c>
      <c r="L36">
        <v>0.16</v>
      </c>
      <c r="M36">
        <v>0.08</v>
      </c>
      <c r="N36" t="s">
        <v>1083</v>
      </c>
      <c r="O36" t="s">
        <v>1084</v>
      </c>
      <c r="P36">
        <v>24762</v>
      </c>
      <c r="Q36">
        <v>4952</v>
      </c>
      <c r="R36">
        <v>0.08</v>
      </c>
      <c r="S36">
        <v>0.02</v>
      </c>
      <c r="T36" t="s">
        <v>1083</v>
      </c>
      <c r="U36" t="s">
        <v>1084</v>
      </c>
      <c r="V36">
        <v>24762</v>
      </c>
      <c r="W36">
        <v>4952</v>
      </c>
      <c r="X36">
        <v>4.0000000000000001E-3</v>
      </c>
      <c r="Y36" t="s">
        <v>1083</v>
      </c>
      <c r="Z36" t="s">
        <v>1084</v>
      </c>
      <c r="AA36">
        <v>24762</v>
      </c>
      <c r="AB36">
        <v>4952</v>
      </c>
      <c r="AC36">
        <v>8.0000000000000002E-3</v>
      </c>
      <c r="AD36" t="s">
        <v>1083</v>
      </c>
      <c r="AE36" t="s">
        <v>1084</v>
      </c>
      <c r="AF36">
        <v>24762</v>
      </c>
      <c r="AG36">
        <v>4952</v>
      </c>
      <c r="AH36">
        <v>5.0000000000000001E-3</v>
      </c>
      <c r="AI36">
        <v>5.0000000000000001E-3</v>
      </c>
      <c r="AJ36" t="s">
        <v>1083</v>
      </c>
      <c r="AK36" t="s">
        <v>1084</v>
      </c>
      <c r="AL36">
        <v>33800</v>
      </c>
      <c r="AM36">
        <v>2490</v>
      </c>
      <c r="AN36">
        <v>0.08</v>
      </c>
      <c r="AO36">
        <v>0.08</v>
      </c>
      <c r="AP36" t="s">
        <v>1083</v>
      </c>
      <c r="AQ36" t="s">
        <v>1185</v>
      </c>
    </row>
    <row r="37" spans="1:47" x14ac:dyDescent="0.15">
      <c r="A37" t="s">
        <v>855</v>
      </c>
      <c r="B37" t="s">
        <v>1212</v>
      </c>
      <c r="C37">
        <v>202401</v>
      </c>
      <c r="D37">
        <v>2260</v>
      </c>
      <c r="E37">
        <v>22</v>
      </c>
      <c r="F37" t="s">
        <v>1076</v>
      </c>
      <c r="G37" t="s">
        <v>1076</v>
      </c>
      <c r="H37" t="s">
        <v>1213</v>
      </c>
      <c r="J37">
        <v>25299</v>
      </c>
      <c r="K37">
        <v>4986</v>
      </c>
      <c r="L37">
        <v>0.16</v>
      </c>
      <c r="M37">
        <v>0.08</v>
      </c>
      <c r="N37" t="s">
        <v>1084</v>
      </c>
      <c r="O37" t="s">
        <v>1084</v>
      </c>
      <c r="P37">
        <v>25299</v>
      </c>
      <c r="Q37">
        <v>4986</v>
      </c>
      <c r="R37">
        <v>0.09</v>
      </c>
      <c r="S37">
        <v>0.02</v>
      </c>
      <c r="T37" t="s">
        <v>1084</v>
      </c>
      <c r="U37" t="s">
        <v>1084</v>
      </c>
      <c r="V37">
        <v>25299</v>
      </c>
      <c r="W37">
        <v>4986</v>
      </c>
      <c r="X37">
        <v>1.0500000000000001E-2</v>
      </c>
      <c r="Y37" t="s">
        <v>1084</v>
      </c>
      <c r="Z37" t="s">
        <v>1084</v>
      </c>
      <c r="AA37" t="s">
        <v>1096</v>
      </c>
      <c r="AF37">
        <v>25299</v>
      </c>
      <c r="AG37">
        <v>4986</v>
      </c>
      <c r="AH37">
        <v>5.0000000000000001E-3</v>
      </c>
      <c r="AI37">
        <v>5.0000000000000001E-3</v>
      </c>
      <c r="AJ37" t="s">
        <v>1084</v>
      </c>
      <c r="AK37" t="s">
        <v>1084</v>
      </c>
      <c r="AL37">
        <v>33998</v>
      </c>
      <c r="AM37">
        <v>2260</v>
      </c>
      <c r="AN37">
        <v>0.08</v>
      </c>
      <c r="AO37">
        <v>0.08</v>
      </c>
      <c r="AP37" t="s">
        <v>1083</v>
      </c>
      <c r="AQ37" t="s">
        <v>1083</v>
      </c>
    </row>
    <row r="38" spans="1:47" x14ac:dyDescent="0.15">
      <c r="A38" t="s">
        <v>855</v>
      </c>
      <c r="B38" t="s">
        <v>1214</v>
      </c>
      <c r="C38">
        <v>202401</v>
      </c>
      <c r="D38">
        <v>2260</v>
      </c>
      <c r="E38">
        <v>22</v>
      </c>
      <c r="F38" t="s">
        <v>1076</v>
      </c>
      <c r="G38" t="s">
        <v>1076</v>
      </c>
      <c r="H38" t="s">
        <v>1213</v>
      </c>
      <c r="J38">
        <v>25299</v>
      </c>
      <c r="K38">
        <v>4986</v>
      </c>
      <c r="L38">
        <v>0.16</v>
      </c>
      <c r="M38">
        <v>0.08</v>
      </c>
      <c r="N38" t="s">
        <v>1084</v>
      </c>
      <c r="O38" t="s">
        <v>1084</v>
      </c>
      <c r="P38">
        <v>25299</v>
      </c>
      <c r="Q38">
        <v>4986</v>
      </c>
      <c r="R38">
        <v>0.09</v>
      </c>
      <c r="S38">
        <v>0.02</v>
      </c>
      <c r="T38" t="s">
        <v>1084</v>
      </c>
      <c r="U38" t="s">
        <v>1084</v>
      </c>
      <c r="V38">
        <v>25299</v>
      </c>
      <c r="W38">
        <v>4986</v>
      </c>
      <c r="X38">
        <v>4.0000000000000001E-3</v>
      </c>
      <c r="Y38" t="s">
        <v>1084</v>
      </c>
      <c r="Z38" t="s">
        <v>1084</v>
      </c>
      <c r="AA38" t="s">
        <v>1096</v>
      </c>
      <c r="AF38">
        <v>25299</v>
      </c>
      <c r="AG38">
        <v>4986</v>
      </c>
      <c r="AH38">
        <v>5.0000000000000001E-3</v>
      </c>
      <c r="AI38">
        <v>5.0000000000000001E-3</v>
      </c>
      <c r="AJ38" t="s">
        <v>1084</v>
      </c>
      <c r="AK38" t="s">
        <v>1084</v>
      </c>
      <c r="AL38">
        <v>33998</v>
      </c>
      <c r="AM38">
        <v>2260</v>
      </c>
      <c r="AN38">
        <v>0.08</v>
      </c>
      <c r="AO38">
        <v>0.08</v>
      </c>
      <c r="AP38" t="s">
        <v>1083</v>
      </c>
      <c r="AQ38" t="s">
        <v>1083</v>
      </c>
    </row>
    <row r="39" spans="1:47" x14ac:dyDescent="0.15">
      <c r="A39" t="s">
        <v>855</v>
      </c>
      <c r="B39" t="s">
        <v>1215</v>
      </c>
      <c r="C39">
        <v>202509</v>
      </c>
      <c r="D39">
        <v>2320</v>
      </c>
      <c r="E39">
        <v>23</v>
      </c>
      <c r="F39" t="s">
        <v>1076</v>
      </c>
      <c r="G39" t="s">
        <v>1076</v>
      </c>
      <c r="H39" t="s">
        <v>1216</v>
      </c>
      <c r="J39">
        <v>21556</v>
      </c>
      <c r="K39">
        <v>4311</v>
      </c>
      <c r="L39">
        <v>0.16</v>
      </c>
      <c r="M39">
        <v>0.08</v>
      </c>
      <c r="N39" t="s">
        <v>1084</v>
      </c>
      <c r="O39" t="s">
        <v>1084</v>
      </c>
      <c r="P39">
        <v>21556</v>
      </c>
      <c r="Q39">
        <v>4311</v>
      </c>
      <c r="R39">
        <v>6.4000000000000001E-2</v>
      </c>
      <c r="S39">
        <v>0.02</v>
      </c>
      <c r="T39" t="s">
        <v>1084</v>
      </c>
      <c r="U39" t="s">
        <v>1084</v>
      </c>
      <c r="V39">
        <v>21556</v>
      </c>
      <c r="W39">
        <v>4311</v>
      </c>
      <c r="X39">
        <v>4.0000000000000001E-3</v>
      </c>
      <c r="Y39" t="s">
        <v>1084</v>
      </c>
      <c r="Z39" t="s">
        <v>1084</v>
      </c>
      <c r="AA39" t="s">
        <v>1096</v>
      </c>
      <c r="AF39">
        <v>21556</v>
      </c>
      <c r="AG39">
        <v>4311</v>
      </c>
      <c r="AH39">
        <v>5.0000000000000001E-3</v>
      </c>
      <c r="AI39">
        <v>5.0000000000000001E-3</v>
      </c>
      <c r="AJ39" t="s">
        <v>1084</v>
      </c>
      <c r="AK39" t="s">
        <v>1084</v>
      </c>
      <c r="AL39">
        <v>30540</v>
      </c>
      <c r="AM39">
        <v>2320</v>
      </c>
      <c r="AN39">
        <v>0.05</v>
      </c>
      <c r="AO39">
        <v>0.05</v>
      </c>
      <c r="AP39" t="s">
        <v>1083</v>
      </c>
      <c r="AQ39" t="s">
        <v>1083</v>
      </c>
    </row>
    <row r="40" spans="1:47" x14ac:dyDescent="0.15">
      <c r="A40" t="s">
        <v>855</v>
      </c>
      <c r="B40" t="s">
        <v>1217</v>
      </c>
      <c r="C40">
        <v>202401</v>
      </c>
      <c r="D40">
        <v>2260</v>
      </c>
      <c r="E40">
        <v>22</v>
      </c>
      <c r="F40" t="s">
        <v>1076</v>
      </c>
      <c r="G40" t="s">
        <v>1076</v>
      </c>
      <c r="H40" t="s">
        <v>1188</v>
      </c>
      <c r="J40">
        <v>25299</v>
      </c>
      <c r="K40">
        <v>4986</v>
      </c>
      <c r="L40">
        <v>0.16</v>
      </c>
      <c r="M40">
        <v>0.08</v>
      </c>
      <c r="N40" t="s">
        <v>1084</v>
      </c>
      <c r="O40" t="s">
        <v>1084</v>
      </c>
      <c r="P40">
        <v>25299</v>
      </c>
      <c r="Q40">
        <v>4986</v>
      </c>
      <c r="R40">
        <v>8.5000000000000006E-2</v>
      </c>
      <c r="S40">
        <v>0.02</v>
      </c>
      <c r="T40" t="s">
        <v>1084</v>
      </c>
      <c r="U40" t="s">
        <v>1084</v>
      </c>
      <c r="V40">
        <v>25299</v>
      </c>
      <c r="W40">
        <v>4986</v>
      </c>
      <c r="X40">
        <v>8.0000000000000002E-3</v>
      </c>
      <c r="Y40" t="s">
        <v>1084</v>
      </c>
      <c r="Z40" t="s">
        <v>1084</v>
      </c>
      <c r="AA40" t="s">
        <v>1096</v>
      </c>
      <c r="AF40">
        <v>25299</v>
      </c>
      <c r="AG40">
        <v>4986</v>
      </c>
      <c r="AH40">
        <v>5.0000000000000001E-3</v>
      </c>
      <c r="AI40">
        <v>5.0000000000000001E-3</v>
      </c>
      <c r="AJ40" t="s">
        <v>1084</v>
      </c>
      <c r="AK40" t="s">
        <v>1084</v>
      </c>
      <c r="AL40">
        <v>38907</v>
      </c>
      <c r="AM40">
        <v>2490</v>
      </c>
      <c r="AN40">
        <v>0.08</v>
      </c>
      <c r="AO40">
        <v>0.08</v>
      </c>
      <c r="AP40" t="s">
        <v>1083</v>
      </c>
      <c r="AQ40" t="s">
        <v>1083</v>
      </c>
    </row>
    <row r="41" spans="1:47" x14ac:dyDescent="0.15">
      <c r="A41" t="s">
        <v>855</v>
      </c>
      <c r="B41" t="s">
        <v>1218</v>
      </c>
      <c r="C41">
        <v>202401</v>
      </c>
      <c r="D41">
        <v>2260</v>
      </c>
      <c r="E41">
        <v>22</v>
      </c>
      <c r="F41" t="s">
        <v>1076</v>
      </c>
      <c r="G41" t="s">
        <v>1076</v>
      </c>
      <c r="H41" t="s">
        <v>1219</v>
      </c>
      <c r="J41">
        <v>25299</v>
      </c>
      <c r="K41">
        <v>4986</v>
      </c>
      <c r="L41">
        <v>0.16</v>
      </c>
      <c r="M41">
        <v>0.08</v>
      </c>
      <c r="N41" t="s">
        <v>1084</v>
      </c>
      <c r="O41" t="s">
        <v>1084</v>
      </c>
      <c r="P41">
        <v>25299</v>
      </c>
      <c r="Q41">
        <v>4986</v>
      </c>
      <c r="R41">
        <v>7.4999999999999997E-2</v>
      </c>
      <c r="S41">
        <v>0.01</v>
      </c>
      <c r="T41" t="s">
        <v>1084</v>
      </c>
      <c r="U41" t="s">
        <v>1084</v>
      </c>
      <c r="V41">
        <v>25299</v>
      </c>
      <c r="W41">
        <v>4986</v>
      </c>
      <c r="X41">
        <v>4.7999999999999996E-3</v>
      </c>
      <c r="Y41" t="s">
        <v>1084</v>
      </c>
      <c r="Z41" t="s">
        <v>1084</v>
      </c>
      <c r="AA41" t="s">
        <v>1096</v>
      </c>
      <c r="AF41">
        <v>25299</v>
      </c>
      <c r="AG41">
        <v>4986</v>
      </c>
      <c r="AH41">
        <v>5.0000000000000001E-3</v>
      </c>
      <c r="AI41">
        <v>5.0000000000000001E-3</v>
      </c>
      <c r="AJ41" t="s">
        <v>1084</v>
      </c>
      <c r="AK41" t="s">
        <v>1084</v>
      </c>
      <c r="AL41">
        <v>29314</v>
      </c>
      <c r="AM41">
        <v>2260</v>
      </c>
      <c r="AN41">
        <v>0.12</v>
      </c>
      <c r="AO41">
        <v>0.12</v>
      </c>
      <c r="AP41" t="s">
        <v>1083</v>
      </c>
      <c r="AQ41" t="s">
        <v>1083</v>
      </c>
    </row>
    <row r="42" spans="1:47" x14ac:dyDescent="0.15">
      <c r="A42" t="s">
        <v>855</v>
      </c>
      <c r="B42" t="s">
        <v>1220</v>
      </c>
      <c r="C42">
        <v>202401</v>
      </c>
      <c r="D42">
        <v>2260</v>
      </c>
      <c r="E42">
        <v>22</v>
      </c>
      <c r="F42" t="s">
        <v>1076</v>
      </c>
      <c r="G42" t="s">
        <v>1076</v>
      </c>
      <c r="H42" t="s">
        <v>1219</v>
      </c>
      <c r="J42">
        <v>25299</v>
      </c>
      <c r="K42">
        <v>4986</v>
      </c>
      <c r="L42">
        <v>0.16</v>
      </c>
      <c r="M42">
        <v>0.08</v>
      </c>
      <c r="N42" t="s">
        <v>1084</v>
      </c>
      <c r="O42" t="s">
        <v>1084</v>
      </c>
      <c r="P42">
        <v>25299</v>
      </c>
      <c r="Q42">
        <v>4986</v>
      </c>
      <c r="R42">
        <v>7.4999999999999997E-2</v>
      </c>
      <c r="S42">
        <v>0.01</v>
      </c>
      <c r="T42" t="s">
        <v>1084</v>
      </c>
      <c r="U42" t="s">
        <v>1084</v>
      </c>
      <c r="V42">
        <v>25299</v>
      </c>
      <c r="W42">
        <v>4986</v>
      </c>
      <c r="X42">
        <v>4.0000000000000001E-3</v>
      </c>
      <c r="Y42" t="s">
        <v>1084</v>
      </c>
      <c r="Z42" t="s">
        <v>1084</v>
      </c>
      <c r="AA42" t="s">
        <v>1096</v>
      </c>
      <c r="AF42">
        <v>25299</v>
      </c>
      <c r="AG42">
        <v>4986</v>
      </c>
      <c r="AH42">
        <v>5.0000000000000001E-3</v>
      </c>
      <c r="AI42">
        <v>5.0000000000000001E-3</v>
      </c>
      <c r="AJ42" t="s">
        <v>1084</v>
      </c>
      <c r="AK42" t="s">
        <v>1084</v>
      </c>
      <c r="AL42">
        <v>29314</v>
      </c>
      <c r="AM42">
        <v>2260</v>
      </c>
      <c r="AN42">
        <v>0.08</v>
      </c>
      <c r="AO42">
        <v>0.08</v>
      </c>
      <c r="AP42" t="s">
        <v>1083</v>
      </c>
      <c r="AQ42" t="s">
        <v>1083</v>
      </c>
    </row>
    <row r="43" spans="1:47" x14ac:dyDescent="0.15">
      <c r="A43" t="s">
        <v>855</v>
      </c>
      <c r="B43" t="s">
        <v>1221</v>
      </c>
      <c r="C43">
        <v>202401</v>
      </c>
      <c r="D43">
        <v>2260</v>
      </c>
      <c r="E43">
        <v>22</v>
      </c>
      <c r="F43" t="s">
        <v>1076</v>
      </c>
      <c r="G43" t="s">
        <v>1076</v>
      </c>
      <c r="H43" t="s">
        <v>1213</v>
      </c>
      <c r="J43">
        <v>25299</v>
      </c>
      <c r="K43">
        <v>4986</v>
      </c>
      <c r="L43">
        <v>0.16</v>
      </c>
      <c r="M43">
        <v>0.08</v>
      </c>
      <c r="N43" t="s">
        <v>1084</v>
      </c>
      <c r="O43" t="s">
        <v>1084</v>
      </c>
      <c r="P43">
        <v>25299</v>
      </c>
      <c r="Q43">
        <v>4986</v>
      </c>
      <c r="R43">
        <v>0.09</v>
      </c>
      <c r="S43">
        <v>0.02</v>
      </c>
      <c r="T43" t="s">
        <v>1084</v>
      </c>
      <c r="U43" t="s">
        <v>1084</v>
      </c>
      <c r="V43">
        <v>25299</v>
      </c>
      <c r="W43">
        <v>4986</v>
      </c>
      <c r="X43">
        <v>8.0000000000000002E-3</v>
      </c>
      <c r="Y43" t="s">
        <v>1084</v>
      </c>
      <c r="Z43" t="s">
        <v>1084</v>
      </c>
      <c r="AA43" t="s">
        <v>1096</v>
      </c>
      <c r="AF43">
        <v>25299</v>
      </c>
      <c r="AG43">
        <v>4986</v>
      </c>
      <c r="AH43">
        <v>5.0000000000000001E-3</v>
      </c>
      <c r="AI43">
        <v>5.0000000000000001E-3</v>
      </c>
      <c r="AJ43" t="s">
        <v>1084</v>
      </c>
      <c r="AK43" t="s">
        <v>1084</v>
      </c>
      <c r="AL43">
        <v>33998</v>
      </c>
      <c r="AM43">
        <v>2260</v>
      </c>
      <c r="AN43">
        <v>0.08</v>
      </c>
      <c r="AO43">
        <v>0.08</v>
      </c>
      <c r="AP43" t="s">
        <v>1083</v>
      </c>
      <c r="AQ43" t="s">
        <v>1083</v>
      </c>
    </row>
    <row r="44" spans="1:47" x14ac:dyDescent="0.15">
      <c r="A44" t="s">
        <v>855</v>
      </c>
      <c r="B44" t="s">
        <v>1222</v>
      </c>
      <c r="C44">
        <v>202401</v>
      </c>
      <c r="D44">
        <v>2260</v>
      </c>
      <c r="E44">
        <v>22</v>
      </c>
      <c r="F44" t="s">
        <v>1076</v>
      </c>
      <c r="G44" t="s">
        <v>1076</v>
      </c>
      <c r="H44" t="s">
        <v>1204</v>
      </c>
      <c r="J44">
        <v>25299</v>
      </c>
      <c r="K44">
        <v>4986</v>
      </c>
      <c r="L44">
        <v>0.16</v>
      </c>
      <c r="M44">
        <v>0.08</v>
      </c>
      <c r="N44" t="s">
        <v>1084</v>
      </c>
      <c r="O44" t="s">
        <v>1084</v>
      </c>
      <c r="P44">
        <v>25299</v>
      </c>
      <c r="Q44">
        <v>4986</v>
      </c>
      <c r="R44">
        <v>9.1999999999999998E-2</v>
      </c>
      <c r="S44">
        <v>0.02</v>
      </c>
      <c r="T44" t="s">
        <v>1084</v>
      </c>
      <c r="U44" t="s">
        <v>1084</v>
      </c>
      <c r="V44">
        <v>25299</v>
      </c>
      <c r="W44">
        <v>4986</v>
      </c>
      <c r="X44">
        <v>4.7999999999999996E-3</v>
      </c>
      <c r="Y44" t="s">
        <v>1084</v>
      </c>
      <c r="Z44" t="s">
        <v>1084</v>
      </c>
      <c r="AA44" t="s">
        <v>1096</v>
      </c>
      <c r="AF44">
        <v>25299</v>
      </c>
      <c r="AG44">
        <v>4986</v>
      </c>
      <c r="AH44">
        <v>5.0000000000000001E-3</v>
      </c>
      <c r="AI44">
        <v>5.0000000000000001E-3</v>
      </c>
      <c r="AJ44" t="s">
        <v>1084</v>
      </c>
      <c r="AK44" t="s">
        <v>1084</v>
      </c>
      <c r="AL44">
        <v>31665</v>
      </c>
      <c r="AM44">
        <v>2260</v>
      </c>
      <c r="AN44">
        <v>0.08</v>
      </c>
      <c r="AO44">
        <v>0.08</v>
      </c>
      <c r="AP44" t="s">
        <v>1083</v>
      </c>
      <c r="AQ44" t="s">
        <v>1083</v>
      </c>
    </row>
    <row r="45" spans="1:47" x14ac:dyDescent="0.15">
      <c r="A45" t="s">
        <v>855</v>
      </c>
      <c r="B45" t="s">
        <v>1223</v>
      </c>
      <c r="C45">
        <v>202401</v>
      </c>
      <c r="D45">
        <v>2490</v>
      </c>
      <c r="E45">
        <v>24</v>
      </c>
      <c r="F45" t="s">
        <v>1076</v>
      </c>
      <c r="G45" t="s">
        <v>1170</v>
      </c>
      <c r="H45" t="s">
        <v>1171</v>
      </c>
      <c r="J45">
        <v>24762</v>
      </c>
      <c r="K45">
        <v>4952</v>
      </c>
      <c r="L45">
        <v>0.16</v>
      </c>
      <c r="M45">
        <v>0.08</v>
      </c>
      <c r="N45" t="s">
        <v>1083</v>
      </c>
      <c r="O45" t="s">
        <v>1084</v>
      </c>
      <c r="P45">
        <v>24762</v>
      </c>
      <c r="Q45">
        <v>4952</v>
      </c>
      <c r="R45">
        <v>0.09</v>
      </c>
      <c r="S45">
        <v>0.02</v>
      </c>
      <c r="T45" t="s">
        <v>1083</v>
      </c>
      <c r="U45" t="s">
        <v>1084</v>
      </c>
      <c r="V45">
        <v>24762</v>
      </c>
      <c r="W45">
        <v>4952</v>
      </c>
      <c r="X45">
        <v>8.9999999999999993E-3</v>
      </c>
      <c r="Y45" t="s">
        <v>1083</v>
      </c>
      <c r="Z45" t="s">
        <v>1084</v>
      </c>
      <c r="AA45">
        <v>24762</v>
      </c>
      <c r="AB45">
        <v>4952</v>
      </c>
      <c r="AC45">
        <v>5.0000000000000001E-3</v>
      </c>
      <c r="AD45" t="s">
        <v>1083</v>
      </c>
      <c r="AE45" t="s">
        <v>1084</v>
      </c>
      <c r="AF45">
        <v>24762</v>
      </c>
      <c r="AG45">
        <v>4952</v>
      </c>
      <c r="AH45">
        <v>5.0000000000000001E-3</v>
      </c>
      <c r="AI45">
        <v>5.0000000000000001E-3</v>
      </c>
      <c r="AJ45" t="s">
        <v>1083</v>
      </c>
      <c r="AK45" t="s">
        <v>1084</v>
      </c>
      <c r="AL45" t="s">
        <v>1224</v>
      </c>
      <c r="AM45">
        <v>2490</v>
      </c>
      <c r="AN45">
        <v>0.05</v>
      </c>
      <c r="AO45">
        <v>0.05</v>
      </c>
      <c r="AP45" t="s">
        <v>1083</v>
      </c>
      <c r="AQ45" t="s">
        <v>1083</v>
      </c>
      <c r="AR45">
        <v>5.0000000000000001E-3</v>
      </c>
      <c r="AS45">
        <v>0</v>
      </c>
    </row>
    <row r="46" spans="1:47" x14ac:dyDescent="0.15">
      <c r="A46" t="s">
        <v>855</v>
      </c>
      <c r="B46" t="s">
        <v>1225</v>
      </c>
      <c r="C46">
        <v>202401</v>
      </c>
      <c r="D46">
        <v>2260</v>
      </c>
      <c r="E46">
        <v>22</v>
      </c>
      <c r="F46" t="s">
        <v>1076</v>
      </c>
      <c r="G46" t="s">
        <v>1076</v>
      </c>
      <c r="H46" t="s">
        <v>1171</v>
      </c>
      <c r="J46">
        <v>24762</v>
      </c>
      <c r="K46">
        <v>4952</v>
      </c>
      <c r="L46">
        <v>0.16</v>
      </c>
      <c r="M46">
        <v>0.08</v>
      </c>
      <c r="N46" t="s">
        <v>1083</v>
      </c>
      <c r="O46" t="s">
        <v>1084</v>
      </c>
      <c r="P46">
        <v>24762</v>
      </c>
      <c r="Q46">
        <v>4952</v>
      </c>
      <c r="R46">
        <v>0.09</v>
      </c>
      <c r="S46">
        <v>0.02</v>
      </c>
      <c r="T46" t="s">
        <v>1083</v>
      </c>
      <c r="U46" t="s">
        <v>1084</v>
      </c>
      <c r="V46">
        <v>24762</v>
      </c>
      <c r="W46">
        <v>4952</v>
      </c>
      <c r="X46">
        <v>4.7999999999999996E-3</v>
      </c>
      <c r="Y46" t="s">
        <v>1083</v>
      </c>
      <c r="Z46" t="s">
        <v>1084</v>
      </c>
      <c r="AA46">
        <v>24762</v>
      </c>
      <c r="AB46">
        <v>4952</v>
      </c>
      <c r="AC46">
        <v>0.01</v>
      </c>
      <c r="AD46" t="s">
        <v>1083</v>
      </c>
      <c r="AE46" t="s">
        <v>1084</v>
      </c>
      <c r="AF46">
        <v>24762</v>
      </c>
      <c r="AG46">
        <v>4952</v>
      </c>
      <c r="AH46">
        <v>5.0000000000000001E-3</v>
      </c>
      <c r="AI46">
        <v>5.0000000000000001E-3</v>
      </c>
      <c r="AJ46" t="s">
        <v>1083</v>
      </c>
      <c r="AK46" t="s">
        <v>1084</v>
      </c>
      <c r="AL46">
        <v>31702</v>
      </c>
      <c r="AM46">
        <v>4879</v>
      </c>
      <c r="AN46">
        <v>0.08</v>
      </c>
      <c r="AO46">
        <v>0.08</v>
      </c>
      <c r="AP46" t="s">
        <v>1083</v>
      </c>
      <c r="AQ46" t="s">
        <v>1083</v>
      </c>
      <c r="AS46" t="s">
        <v>1197</v>
      </c>
    </row>
    <row r="47" spans="1:47" x14ac:dyDescent="0.15">
      <c r="A47" t="s">
        <v>855</v>
      </c>
      <c r="B47" t="s">
        <v>1226</v>
      </c>
      <c r="C47">
        <v>202401</v>
      </c>
      <c r="D47">
        <v>2260</v>
      </c>
      <c r="E47">
        <v>22</v>
      </c>
      <c r="F47" t="s">
        <v>1076</v>
      </c>
      <c r="G47" t="s">
        <v>1076</v>
      </c>
      <c r="H47" t="s">
        <v>1227</v>
      </c>
      <c r="J47">
        <v>25299</v>
      </c>
      <c r="K47">
        <v>4986</v>
      </c>
      <c r="L47">
        <v>0.16</v>
      </c>
      <c r="M47">
        <v>0.08</v>
      </c>
      <c r="N47" t="s">
        <v>1084</v>
      </c>
      <c r="O47" t="s">
        <v>1084</v>
      </c>
      <c r="P47">
        <v>25299</v>
      </c>
      <c r="Q47">
        <v>4986</v>
      </c>
      <c r="R47">
        <v>8.4000000000000005E-2</v>
      </c>
      <c r="S47">
        <v>0.02</v>
      </c>
      <c r="T47" t="s">
        <v>1084</v>
      </c>
      <c r="U47" t="s">
        <v>1084</v>
      </c>
      <c r="V47">
        <v>25299</v>
      </c>
      <c r="W47">
        <v>4986</v>
      </c>
      <c r="X47">
        <v>6.0000000000000001E-3</v>
      </c>
      <c r="Y47" t="s">
        <v>1084</v>
      </c>
      <c r="Z47" t="s">
        <v>1084</v>
      </c>
      <c r="AA47" t="s">
        <v>1096</v>
      </c>
      <c r="AF47">
        <v>25299</v>
      </c>
      <c r="AG47">
        <v>4986</v>
      </c>
      <c r="AH47">
        <v>5.0000000000000001E-3</v>
      </c>
      <c r="AI47">
        <v>5.0000000000000001E-3</v>
      </c>
      <c r="AJ47" t="s">
        <v>1084</v>
      </c>
      <c r="AK47" t="s">
        <v>1084</v>
      </c>
      <c r="AL47">
        <v>30186</v>
      </c>
      <c r="AM47">
        <v>4482</v>
      </c>
      <c r="AN47">
        <v>0.08</v>
      </c>
      <c r="AO47">
        <v>0.08</v>
      </c>
      <c r="AP47" t="s">
        <v>1083</v>
      </c>
      <c r="AQ47" t="s">
        <v>1083</v>
      </c>
    </row>
    <row r="48" spans="1:47" x14ac:dyDescent="0.15">
      <c r="A48" t="s">
        <v>855</v>
      </c>
      <c r="B48" t="s">
        <v>1228</v>
      </c>
      <c r="C48">
        <v>202509</v>
      </c>
      <c r="D48">
        <v>2170</v>
      </c>
      <c r="E48">
        <v>22</v>
      </c>
      <c r="F48" t="s">
        <v>1076</v>
      </c>
      <c r="G48" t="s">
        <v>1076</v>
      </c>
      <c r="H48" t="s">
        <v>1229</v>
      </c>
      <c r="J48">
        <v>21556</v>
      </c>
      <c r="K48">
        <v>4311</v>
      </c>
      <c r="L48">
        <v>0.16</v>
      </c>
      <c r="M48">
        <v>0.08</v>
      </c>
      <c r="N48" t="s">
        <v>1084</v>
      </c>
      <c r="O48" t="s">
        <v>1084</v>
      </c>
      <c r="P48">
        <v>21556</v>
      </c>
      <c r="Q48">
        <v>4311</v>
      </c>
      <c r="R48">
        <v>7.0000000000000007E-2</v>
      </c>
      <c r="S48">
        <v>0.02</v>
      </c>
      <c r="T48" t="s">
        <v>1084</v>
      </c>
      <c r="U48" t="s">
        <v>1084</v>
      </c>
      <c r="V48">
        <v>21556</v>
      </c>
      <c r="W48">
        <v>4311</v>
      </c>
      <c r="X48">
        <v>4.0000000000000001E-3</v>
      </c>
      <c r="Y48" t="s">
        <v>1084</v>
      </c>
      <c r="Z48" t="s">
        <v>1084</v>
      </c>
      <c r="AA48" t="s">
        <v>1096</v>
      </c>
      <c r="AF48">
        <v>21556</v>
      </c>
      <c r="AG48">
        <v>4311</v>
      </c>
      <c r="AH48">
        <v>5.0000000000000001E-3</v>
      </c>
      <c r="AI48">
        <v>5.0000000000000001E-3</v>
      </c>
      <c r="AJ48" t="s">
        <v>1084</v>
      </c>
      <c r="AK48" t="s">
        <v>1084</v>
      </c>
      <c r="AL48">
        <v>25992</v>
      </c>
      <c r="AM48">
        <v>2170</v>
      </c>
      <c r="AN48" t="s">
        <v>1230</v>
      </c>
      <c r="AO48" t="s">
        <v>1230</v>
      </c>
      <c r="AP48" t="s">
        <v>1083</v>
      </c>
      <c r="AQ48" t="s">
        <v>1231</v>
      </c>
      <c r="AR48" t="s">
        <v>1232</v>
      </c>
    </row>
    <row r="49" spans="1:47" x14ac:dyDescent="0.15">
      <c r="A49" t="s">
        <v>855</v>
      </c>
      <c r="B49" t="s">
        <v>1233</v>
      </c>
      <c r="C49">
        <v>202401</v>
      </c>
      <c r="D49">
        <v>2260</v>
      </c>
      <c r="E49">
        <v>22</v>
      </c>
      <c r="F49" t="s">
        <v>1076</v>
      </c>
      <c r="G49" t="s">
        <v>1170</v>
      </c>
      <c r="H49" t="s">
        <v>1171</v>
      </c>
      <c r="J49">
        <v>24762</v>
      </c>
      <c r="K49">
        <v>4952</v>
      </c>
      <c r="L49">
        <v>0.16</v>
      </c>
      <c r="M49">
        <v>0.08</v>
      </c>
      <c r="N49" t="s">
        <v>1083</v>
      </c>
      <c r="O49" t="s">
        <v>1084</v>
      </c>
      <c r="P49">
        <v>24762</v>
      </c>
      <c r="Q49">
        <v>4952</v>
      </c>
      <c r="R49">
        <v>0.08</v>
      </c>
      <c r="S49">
        <v>0.02</v>
      </c>
      <c r="T49" t="s">
        <v>1083</v>
      </c>
      <c r="U49" t="s">
        <v>1084</v>
      </c>
      <c r="V49">
        <v>24762</v>
      </c>
      <c r="W49">
        <v>4952</v>
      </c>
      <c r="X49">
        <v>3.2000000000000002E-3</v>
      </c>
      <c r="Y49" t="s">
        <v>1083</v>
      </c>
      <c r="Z49" t="s">
        <v>1084</v>
      </c>
      <c r="AA49">
        <v>24762</v>
      </c>
      <c r="AB49">
        <v>4952</v>
      </c>
      <c r="AC49">
        <v>8.9999999999999993E-3</v>
      </c>
      <c r="AD49" t="s">
        <v>1083</v>
      </c>
      <c r="AE49" t="s">
        <v>1084</v>
      </c>
      <c r="AF49">
        <v>24762</v>
      </c>
      <c r="AG49">
        <v>4952</v>
      </c>
      <c r="AH49">
        <v>5.0000000000000001E-3</v>
      </c>
      <c r="AI49">
        <v>5.0000000000000001E-3</v>
      </c>
      <c r="AJ49" t="s">
        <v>1083</v>
      </c>
      <c r="AK49" t="s">
        <v>1084</v>
      </c>
      <c r="AL49">
        <v>31133</v>
      </c>
      <c r="AM49">
        <v>2261</v>
      </c>
      <c r="AN49">
        <v>0.08</v>
      </c>
      <c r="AO49">
        <v>0.08</v>
      </c>
      <c r="AP49" t="s">
        <v>1084</v>
      </c>
      <c r="AQ49" t="s">
        <v>1083</v>
      </c>
      <c r="AR49" t="s">
        <v>1234</v>
      </c>
      <c r="AS49" t="s">
        <v>1234</v>
      </c>
      <c r="AT49" t="s">
        <v>1234</v>
      </c>
      <c r="AU49" t="s">
        <v>1234</v>
      </c>
    </row>
    <row r="50" spans="1:47" x14ac:dyDescent="0.15">
      <c r="A50" t="s">
        <v>855</v>
      </c>
      <c r="B50" t="s">
        <v>1235</v>
      </c>
      <c r="C50">
        <v>202401</v>
      </c>
      <c r="D50">
        <v>2260</v>
      </c>
      <c r="E50">
        <v>22</v>
      </c>
      <c r="F50" t="s">
        <v>1076</v>
      </c>
      <c r="G50" t="s">
        <v>1170</v>
      </c>
      <c r="H50" t="s">
        <v>1171</v>
      </c>
      <c r="J50">
        <v>24762</v>
      </c>
      <c r="K50">
        <v>4952</v>
      </c>
      <c r="L50">
        <v>0.16</v>
      </c>
      <c r="M50">
        <v>0.08</v>
      </c>
      <c r="N50" t="s">
        <v>1083</v>
      </c>
      <c r="O50" t="s">
        <v>1084</v>
      </c>
      <c r="P50">
        <v>24762</v>
      </c>
      <c r="Q50">
        <v>4952</v>
      </c>
      <c r="R50">
        <v>0.08</v>
      </c>
      <c r="S50">
        <v>0.02</v>
      </c>
      <c r="T50" t="s">
        <v>1083</v>
      </c>
      <c r="U50" t="s">
        <v>1084</v>
      </c>
      <c r="V50">
        <v>24762</v>
      </c>
      <c r="W50">
        <v>4952</v>
      </c>
      <c r="X50">
        <v>4.7999999999999996E-3</v>
      </c>
      <c r="Y50" t="s">
        <v>1083</v>
      </c>
      <c r="Z50" t="s">
        <v>1084</v>
      </c>
      <c r="AA50">
        <v>24762</v>
      </c>
      <c r="AB50">
        <v>4952</v>
      </c>
      <c r="AC50">
        <v>8.9999999999999993E-3</v>
      </c>
      <c r="AD50" t="s">
        <v>1083</v>
      </c>
      <c r="AE50" t="s">
        <v>1084</v>
      </c>
      <c r="AF50">
        <v>24762</v>
      </c>
      <c r="AG50">
        <v>4952</v>
      </c>
      <c r="AH50">
        <v>5.0000000000000001E-3</v>
      </c>
      <c r="AI50">
        <v>5.0000000000000001E-3</v>
      </c>
      <c r="AJ50" t="s">
        <v>1083</v>
      </c>
      <c r="AK50" t="s">
        <v>1084</v>
      </c>
      <c r="AL50">
        <v>28900</v>
      </c>
      <c r="AM50">
        <v>2260</v>
      </c>
      <c r="AN50" t="s">
        <v>1236</v>
      </c>
      <c r="AO50" t="s">
        <v>1236</v>
      </c>
      <c r="AP50" t="s">
        <v>1083</v>
      </c>
      <c r="AQ50" t="s">
        <v>1083</v>
      </c>
      <c r="AR50">
        <v>0</v>
      </c>
      <c r="AS50" t="s">
        <v>1237</v>
      </c>
      <c r="AT50" t="s">
        <v>1238</v>
      </c>
    </row>
    <row r="51" spans="1:47" x14ac:dyDescent="0.15">
      <c r="A51" t="s">
        <v>855</v>
      </c>
      <c r="B51" t="s">
        <v>1239</v>
      </c>
      <c r="C51">
        <v>202504</v>
      </c>
      <c r="D51">
        <v>2195</v>
      </c>
      <c r="E51">
        <v>23</v>
      </c>
      <c r="F51" t="s">
        <v>1076</v>
      </c>
      <c r="G51" t="s">
        <v>1076</v>
      </c>
      <c r="H51" t="s">
        <v>1240</v>
      </c>
      <c r="J51">
        <v>22607</v>
      </c>
      <c r="K51">
        <v>4043</v>
      </c>
      <c r="L51">
        <v>0.16</v>
      </c>
      <c r="M51">
        <v>0.08</v>
      </c>
      <c r="N51" t="s">
        <v>1084</v>
      </c>
      <c r="O51" t="s">
        <v>1084</v>
      </c>
      <c r="P51">
        <v>22164</v>
      </c>
      <c r="Q51">
        <v>4433</v>
      </c>
      <c r="R51">
        <v>0.08</v>
      </c>
      <c r="S51">
        <v>0.02</v>
      </c>
      <c r="T51" t="s">
        <v>1084</v>
      </c>
      <c r="U51" t="s">
        <v>1084</v>
      </c>
      <c r="V51">
        <v>22070</v>
      </c>
      <c r="W51">
        <v>4414</v>
      </c>
      <c r="X51">
        <v>7.0000000000000001E-3</v>
      </c>
      <c r="Y51" t="s">
        <v>1084</v>
      </c>
      <c r="Z51" t="s">
        <v>1084</v>
      </c>
      <c r="AA51">
        <v>22164</v>
      </c>
      <c r="AB51">
        <v>4433</v>
      </c>
      <c r="AC51">
        <v>7.0000000000000001E-3</v>
      </c>
      <c r="AD51" t="s">
        <v>1084</v>
      </c>
      <c r="AE51" t="s">
        <v>1084</v>
      </c>
      <c r="AF51">
        <v>22164</v>
      </c>
      <c r="AG51">
        <v>4043</v>
      </c>
      <c r="AH51">
        <v>5.0000000000000001E-3</v>
      </c>
      <c r="AI51">
        <v>5.0000000000000001E-3</v>
      </c>
      <c r="AJ51" t="s">
        <v>1084</v>
      </c>
      <c r="AK51" t="s">
        <v>1084</v>
      </c>
      <c r="AL51">
        <v>31053</v>
      </c>
      <c r="AM51">
        <v>2195</v>
      </c>
      <c r="AN51">
        <v>0.05</v>
      </c>
      <c r="AO51">
        <v>0.05</v>
      </c>
      <c r="AP51" t="s">
        <v>1083</v>
      </c>
      <c r="AQ51" t="s">
        <v>1083</v>
      </c>
    </row>
    <row r="52" spans="1:47" x14ac:dyDescent="0.15">
      <c r="A52" t="s">
        <v>855</v>
      </c>
      <c r="B52" t="s">
        <v>1241</v>
      </c>
      <c r="C52">
        <v>202504</v>
      </c>
      <c r="D52">
        <v>2265</v>
      </c>
      <c r="E52">
        <v>23.5</v>
      </c>
      <c r="F52" t="s">
        <v>1076</v>
      </c>
      <c r="G52" t="s">
        <v>1076</v>
      </c>
      <c r="H52" t="s">
        <v>1240</v>
      </c>
      <c r="J52">
        <v>22607</v>
      </c>
      <c r="K52">
        <v>4043</v>
      </c>
      <c r="L52">
        <v>0.16</v>
      </c>
      <c r="M52">
        <v>0.08</v>
      </c>
      <c r="N52" t="s">
        <v>1084</v>
      </c>
      <c r="O52" t="s">
        <v>1084</v>
      </c>
      <c r="P52">
        <v>22164</v>
      </c>
      <c r="Q52">
        <v>4433</v>
      </c>
      <c r="R52">
        <v>6.5000000000000002E-2</v>
      </c>
      <c r="S52">
        <v>0.02</v>
      </c>
      <c r="T52" t="s">
        <v>1084</v>
      </c>
      <c r="U52" t="s">
        <v>1084</v>
      </c>
      <c r="V52">
        <v>22070</v>
      </c>
      <c r="W52">
        <v>4414</v>
      </c>
      <c r="X52">
        <v>4.0000000000000001E-3</v>
      </c>
      <c r="Y52" t="s">
        <v>1084</v>
      </c>
      <c r="Z52" t="s">
        <v>1084</v>
      </c>
      <c r="AA52">
        <v>22164</v>
      </c>
      <c r="AB52">
        <v>4433</v>
      </c>
      <c r="AC52">
        <v>7.0000000000000001E-3</v>
      </c>
      <c r="AD52" t="s">
        <v>1084</v>
      </c>
      <c r="AE52" t="s">
        <v>1084</v>
      </c>
      <c r="AF52">
        <v>22164</v>
      </c>
      <c r="AG52">
        <v>4043</v>
      </c>
      <c r="AH52">
        <v>5.0000000000000001E-3</v>
      </c>
      <c r="AI52">
        <v>5.0000000000000001E-3</v>
      </c>
      <c r="AJ52" t="s">
        <v>1084</v>
      </c>
      <c r="AK52" t="s">
        <v>1084</v>
      </c>
      <c r="AL52">
        <v>32346</v>
      </c>
      <c r="AM52">
        <v>2265</v>
      </c>
      <c r="AN52">
        <v>0.05</v>
      </c>
      <c r="AO52">
        <v>0.05</v>
      </c>
      <c r="AP52" t="s">
        <v>1084</v>
      </c>
      <c r="AQ52" t="s">
        <v>1083</v>
      </c>
    </row>
    <row r="53" spans="1:47" x14ac:dyDescent="0.15">
      <c r="A53" t="s">
        <v>855</v>
      </c>
      <c r="B53" t="s">
        <v>1242</v>
      </c>
      <c r="C53">
        <v>202504</v>
      </c>
      <c r="D53">
        <v>2195</v>
      </c>
      <c r="E53">
        <v>23</v>
      </c>
      <c r="F53" t="s">
        <v>1076</v>
      </c>
      <c r="G53" t="s">
        <v>1076</v>
      </c>
      <c r="H53" t="s">
        <v>1240</v>
      </c>
      <c r="J53">
        <v>22607</v>
      </c>
      <c r="K53">
        <v>4043</v>
      </c>
      <c r="L53">
        <v>0.16</v>
      </c>
      <c r="M53">
        <v>0.08</v>
      </c>
      <c r="N53" t="s">
        <v>1084</v>
      </c>
      <c r="O53" t="s">
        <v>1084</v>
      </c>
      <c r="P53">
        <v>22164</v>
      </c>
      <c r="Q53">
        <v>4433</v>
      </c>
      <c r="R53">
        <v>7.4999999999999997E-2</v>
      </c>
      <c r="S53">
        <v>0.02</v>
      </c>
      <c r="T53" t="s">
        <v>1084</v>
      </c>
      <c r="U53" t="s">
        <v>1084</v>
      </c>
      <c r="V53">
        <v>22070</v>
      </c>
      <c r="W53">
        <v>4414</v>
      </c>
      <c r="X53">
        <v>4.0000000000000001E-3</v>
      </c>
      <c r="Y53" t="s">
        <v>1084</v>
      </c>
      <c r="Z53" t="s">
        <v>1084</v>
      </c>
      <c r="AA53">
        <v>22164</v>
      </c>
      <c r="AB53">
        <v>4433</v>
      </c>
      <c r="AC53">
        <v>5.0000000000000001E-3</v>
      </c>
      <c r="AD53" t="s">
        <v>1084</v>
      </c>
      <c r="AE53" t="s">
        <v>1084</v>
      </c>
      <c r="AF53">
        <v>22164</v>
      </c>
      <c r="AG53">
        <v>4043</v>
      </c>
      <c r="AH53">
        <v>5.0000000000000001E-3</v>
      </c>
      <c r="AI53">
        <v>5.0000000000000001E-3</v>
      </c>
      <c r="AJ53" t="s">
        <v>1084</v>
      </c>
      <c r="AK53" t="s">
        <v>1084</v>
      </c>
      <c r="AL53">
        <v>23897</v>
      </c>
      <c r="AM53">
        <v>2195</v>
      </c>
      <c r="AN53">
        <v>0.05</v>
      </c>
      <c r="AO53">
        <v>0.05</v>
      </c>
      <c r="AP53" t="s">
        <v>1083</v>
      </c>
      <c r="AQ53" t="s">
        <v>1083</v>
      </c>
    </row>
    <row r="54" spans="1:47" x14ac:dyDescent="0.15">
      <c r="A54" t="s">
        <v>855</v>
      </c>
      <c r="B54" t="s">
        <v>1243</v>
      </c>
      <c r="C54">
        <v>202504</v>
      </c>
      <c r="D54">
        <v>2195</v>
      </c>
      <c r="E54">
        <v>23</v>
      </c>
      <c r="F54" t="s">
        <v>1076</v>
      </c>
      <c r="G54" t="s">
        <v>1076</v>
      </c>
      <c r="H54" t="s">
        <v>1240</v>
      </c>
      <c r="J54">
        <v>22607</v>
      </c>
      <c r="K54">
        <v>4043</v>
      </c>
      <c r="L54">
        <v>0.16</v>
      </c>
      <c r="M54">
        <v>0.08</v>
      </c>
      <c r="N54" t="s">
        <v>1084</v>
      </c>
      <c r="O54" t="s">
        <v>1084</v>
      </c>
      <c r="P54">
        <v>22164</v>
      </c>
      <c r="Q54">
        <v>4433</v>
      </c>
      <c r="R54">
        <v>7.0000000000000007E-2</v>
      </c>
      <c r="S54">
        <v>0.02</v>
      </c>
      <c r="T54" t="s">
        <v>1084</v>
      </c>
      <c r="U54" t="s">
        <v>1084</v>
      </c>
      <c r="V54">
        <v>22070</v>
      </c>
      <c r="W54">
        <v>4414</v>
      </c>
      <c r="X54">
        <v>4.0000000000000001E-3</v>
      </c>
      <c r="Y54" t="s">
        <v>1084</v>
      </c>
      <c r="Z54" t="s">
        <v>1084</v>
      </c>
      <c r="AA54">
        <v>22164</v>
      </c>
      <c r="AB54">
        <v>4433</v>
      </c>
      <c r="AC54">
        <v>5.0000000000000001E-3</v>
      </c>
      <c r="AD54" t="s">
        <v>1084</v>
      </c>
      <c r="AE54" t="s">
        <v>1084</v>
      </c>
      <c r="AF54">
        <v>22164</v>
      </c>
      <c r="AG54">
        <v>4043</v>
      </c>
      <c r="AH54">
        <v>5.0000000000000001E-3</v>
      </c>
      <c r="AI54">
        <v>5.0000000000000001E-3</v>
      </c>
      <c r="AJ54" t="s">
        <v>1084</v>
      </c>
      <c r="AK54" t="s">
        <v>1084</v>
      </c>
      <c r="AL54">
        <v>24624</v>
      </c>
      <c r="AM54">
        <v>2195</v>
      </c>
      <c r="AN54">
        <v>0.05</v>
      </c>
      <c r="AO54">
        <v>0.05</v>
      </c>
      <c r="AP54" t="s">
        <v>1083</v>
      </c>
      <c r="AQ54" t="s">
        <v>1083</v>
      </c>
    </row>
    <row r="55" spans="1:47" x14ac:dyDescent="0.15">
      <c r="A55" t="s">
        <v>855</v>
      </c>
      <c r="B55" t="s">
        <v>1244</v>
      </c>
      <c r="C55">
        <v>202504</v>
      </c>
      <c r="D55">
        <v>2045</v>
      </c>
      <c r="E55">
        <v>21.5</v>
      </c>
      <c r="F55" t="s">
        <v>1076</v>
      </c>
      <c r="G55" t="s">
        <v>1076</v>
      </c>
      <c r="H55" t="s">
        <v>1240</v>
      </c>
      <c r="J55">
        <v>22607</v>
      </c>
      <c r="K55">
        <v>4043</v>
      </c>
      <c r="L55">
        <v>0.16</v>
      </c>
      <c r="M55">
        <v>0.08</v>
      </c>
      <c r="N55" t="s">
        <v>1084</v>
      </c>
      <c r="O55" t="s">
        <v>1084</v>
      </c>
      <c r="P55">
        <v>22164</v>
      </c>
      <c r="Q55">
        <v>4433</v>
      </c>
      <c r="R55">
        <v>7.2999999999999995E-2</v>
      </c>
      <c r="S55">
        <v>0.02</v>
      </c>
      <c r="T55" t="s">
        <v>1083</v>
      </c>
      <c r="U55" t="s">
        <v>1084</v>
      </c>
      <c r="V55">
        <v>22070</v>
      </c>
      <c r="W55">
        <v>4414</v>
      </c>
      <c r="X55">
        <v>4.0000000000000001E-3</v>
      </c>
      <c r="Y55" t="s">
        <v>1084</v>
      </c>
      <c r="Z55" t="s">
        <v>1084</v>
      </c>
      <c r="AA55">
        <v>22164</v>
      </c>
      <c r="AB55">
        <v>4433</v>
      </c>
      <c r="AC55">
        <v>7.0000000000000001E-3</v>
      </c>
      <c r="AD55" t="s">
        <v>1084</v>
      </c>
      <c r="AE55" t="s">
        <v>1084</v>
      </c>
      <c r="AF55">
        <v>22164</v>
      </c>
      <c r="AG55">
        <v>4043</v>
      </c>
      <c r="AH55">
        <v>5.0000000000000001E-3</v>
      </c>
      <c r="AI55">
        <v>5.0000000000000001E-3</v>
      </c>
      <c r="AJ55" t="s">
        <v>1084</v>
      </c>
      <c r="AK55" t="s">
        <v>1084</v>
      </c>
      <c r="AL55">
        <v>23226</v>
      </c>
      <c r="AM55">
        <v>2045</v>
      </c>
      <c r="AN55" t="s">
        <v>1245</v>
      </c>
      <c r="AO55" t="s">
        <v>1245</v>
      </c>
      <c r="AP55" t="s">
        <v>1083</v>
      </c>
      <c r="AQ55" t="s">
        <v>1083</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8"/>
  <sheetViews>
    <sheetView workbookViewId="0"/>
  </sheetViews>
  <sheetFormatPr defaultRowHeight="13.5" x14ac:dyDescent="0.15"/>
  <sheetData>
    <row r="1" spans="1:31" x14ac:dyDescent="0.15">
      <c r="A1" s="1" t="s">
        <v>1039</v>
      </c>
      <c r="B1" s="1" t="s">
        <v>1040</v>
      </c>
      <c r="C1" s="1" t="s">
        <v>1041</v>
      </c>
      <c r="D1" s="1" t="s">
        <v>1027</v>
      </c>
      <c r="E1" s="1" t="s">
        <v>15</v>
      </c>
      <c r="F1" s="1" t="s">
        <v>1042</v>
      </c>
      <c r="G1" s="1" t="s">
        <v>1043</v>
      </c>
      <c r="H1" s="1" t="s">
        <v>17</v>
      </c>
      <c r="I1" s="1" t="s">
        <v>18</v>
      </c>
      <c r="J1" s="1" t="s">
        <v>850</v>
      </c>
      <c r="K1" s="1" t="s">
        <v>1044</v>
      </c>
      <c r="L1" s="1" t="s">
        <v>1045</v>
      </c>
      <c r="M1" s="1" t="s">
        <v>1046</v>
      </c>
      <c r="N1" s="1" t="s">
        <v>99</v>
      </c>
      <c r="O1" s="1" t="s">
        <v>1047</v>
      </c>
      <c r="P1" s="1" t="s">
        <v>100</v>
      </c>
      <c r="Q1" s="1" t="s">
        <v>101</v>
      </c>
      <c r="R1" s="1" t="s">
        <v>102</v>
      </c>
      <c r="S1" s="1" t="s">
        <v>103</v>
      </c>
      <c r="T1" s="1" t="s">
        <v>1048</v>
      </c>
      <c r="U1" s="1" t="s">
        <v>1049</v>
      </c>
      <c r="V1" s="1" t="s">
        <v>8</v>
      </c>
      <c r="W1" s="1" t="s">
        <v>12</v>
      </c>
      <c r="X1" s="1" t="s">
        <v>1050</v>
      </c>
      <c r="Y1" s="1" t="s">
        <v>1051</v>
      </c>
      <c r="Z1" s="1" t="s">
        <v>14</v>
      </c>
      <c r="AA1" s="1" t="s">
        <v>1052</v>
      </c>
      <c r="AB1" s="1" t="s">
        <v>1053</v>
      </c>
      <c r="AC1" s="1" t="s">
        <v>3</v>
      </c>
      <c r="AD1" s="1" t="s">
        <v>1054</v>
      </c>
      <c r="AE1" s="1" t="s">
        <v>1055</v>
      </c>
    </row>
    <row r="2" spans="1:31" x14ac:dyDescent="0.15">
      <c r="A2">
        <v>26123001</v>
      </c>
      <c r="B2" t="s">
        <v>127</v>
      </c>
      <c r="C2" t="s">
        <v>132</v>
      </c>
      <c r="D2" t="s">
        <v>1246</v>
      </c>
      <c r="E2" t="s">
        <v>131</v>
      </c>
      <c r="F2" t="s">
        <v>1057</v>
      </c>
      <c r="G2" t="s">
        <v>129</v>
      </c>
      <c r="H2">
        <v>7514</v>
      </c>
      <c r="I2">
        <v>0</v>
      </c>
      <c r="K2" t="s">
        <v>1058</v>
      </c>
      <c r="L2" t="s">
        <v>122</v>
      </c>
      <c r="M2" t="s">
        <v>1059</v>
      </c>
      <c r="N2">
        <v>9787</v>
      </c>
      <c r="O2">
        <v>9787</v>
      </c>
      <c r="P2">
        <v>9787</v>
      </c>
      <c r="Q2">
        <v>9787</v>
      </c>
      <c r="R2">
        <v>9787</v>
      </c>
      <c r="T2" t="s">
        <v>1060</v>
      </c>
      <c r="U2" t="s">
        <v>1060</v>
      </c>
      <c r="V2" t="s">
        <v>126</v>
      </c>
      <c r="W2" t="s">
        <v>128</v>
      </c>
      <c r="X2" t="s">
        <v>124</v>
      </c>
      <c r="Y2" t="s">
        <v>125</v>
      </c>
      <c r="Z2" t="s">
        <v>130</v>
      </c>
      <c r="AA2" t="s">
        <v>635</v>
      </c>
      <c r="AB2" t="s">
        <v>133</v>
      </c>
      <c r="AC2" t="s">
        <v>122</v>
      </c>
      <c r="AD2">
        <v>16755985896</v>
      </c>
      <c r="AE2" t="s">
        <v>1247</v>
      </c>
    </row>
    <row r="3" spans="1:31" x14ac:dyDescent="0.15">
      <c r="A3">
        <v>26123002</v>
      </c>
      <c r="B3" t="s">
        <v>135</v>
      </c>
      <c r="C3" t="s">
        <v>137</v>
      </c>
      <c r="D3" t="s">
        <v>1033</v>
      </c>
      <c r="E3" t="s">
        <v>131</v>
      </c>
      <c r="F3" t="s">
        <v>1057</v>
      </c>
      <c r="G3" t="s">
        <v>136</v>
      </c>
      <c r="H3">
        <v>7809</v>
      </c>
      <c r="I3">
        <v>0</v>
      </c>
      <c r="K3" t="s">
        <v>1058</v>
      </c>
      <c r="L3" t="s">
        <v>122</v>
      </c>
      <c r="M3" t="s">
        <v>1059</v>
      </c>
      <c r="N3">
        <v>9971</v>
      </c>
      <c r="O3">
        <v>9971</v>
      </c>
      <c r="P3">
        <v>9971</v>
      </c>
      <c r="Q3">
        <v>9971</v>
      </c>
      <c r="R3">
        <v>9971</v>
      </c>
      <c r="T3" t="s">
        <v>1060</v>
      </c>
      <c r="U3" t="s">
        <v>1060</v>
      </c>
      <c r="V3" t="s">
        <v>126</v>
      </c>
      <c r="W3" t="s">
        <v>128</v>
      </c>
      <c r="X3" t="s">
        <v>124</v>
      </c>
      <c r="Y3" t="s">
        <v>134</v>
      </c>
      <c r="AB3" t="s">
        <v>133</v>
      </c>
      <c r="AC3" t="s">
        <v>122</v>
      </c>
      <c r="AD3">
        <v>13789690671</v>
      </c>
      <c r="AE3" t="s">
        <v>1248</v>
      </c>
    </row>
    <row r="4" spans="1:31" x14ac:dyDescent="0.15">
      <c r="A4">
        <v>26123003</v>
      </c>
      <c r="B4" t="s">
        <v>139</v>
      </c>
      <c r="C4" t="s">
        <v>142</v>
      </c>
      <c r="D4" t="s">
        <v>1033</v>
      </c>
      <c r="E4" t="s">
        <v>131</v>
      </c>
      <c r="F4" t="s">
        <v>1057</v>
      </c>
      <c r="G4" t="s">
        <v>141</v>
      </c>
      <c r="H4">
        <v>5693</v>
      </c>
      <c r="I4">
        <v>0</v>
      </c>
      <c r="K4" t="s">
        <v>1058</v>
      </c>
      <c r="L4" t="s">
        <v>122</v>
      </c>
      <c r="M4" t="s">
        <v>1059</v>
      </c>
      <c r="N4">
        <v>7284</v>
      </c>
      <c r="O4">
        <v>7460</v>
      </c>
      <c r="P4">
        <v>7460</v>
      </c>
      <c r="Q4">
        <v>7460</v>
      </c>
      <c r="R4">
        <v>7460</v>
      </c>
      <c r="T4" t="s">
        <v>1060</v>
      </c>
      <c r="U4" t="s">
        <v>1060</v>
      </c>
      <c r="V4" t="s">
        <v>126</v>
      </c>
      <c r="W4" t="s">
        <v>140</v>
      </c>
      <c r="X4" t="s">
        <v>124</v>
      </c>
      <c r="Y4" t="s">
        <v>138</v>
      </c>
      <c r="AB4" t="s">
        <v>133</v>
      </c>
      <c r="AC4" t="s">
        <v>122</v>
      </c>
      <c r="AD4">
        <v>17603289482</v>
      </c>
      <c r="AE4" t="s">
        <v>1249</v>
      </c>
    </row>
    <row r="5" spans="1:31" x14ac:dyDescent="0.15">
      <c r="A5">
        <v>26123004</v>
      </c>
      <c r="B5" t="s">
        <v>144</v>
      </c>
      <c r="C5" t="s">
        <v>146</v>
      </c>
      <c r="D5" t="s">
        <v>1033</v>
      </c>
      <c r="E5" t="s">
        <v>131</v>
      </c>
      <c r="F5" t="s">
        <v>1057</v>
      </c>
      <c r="G5" t="s">
        <v>145</v>
      </c>
      <c r="H5">
        <v>7980</v>
      </c>
      <c r="I5">
        <v>0</v>
      </c>
      <c r="K5" t="s">
        <v>1058</v>
      </c>
      <c r="L5" t="s">
        <v>122</v>
      </c>
      <c r="M5" t="s">
        <v>1059</v>
      </c>
      <c r="N5">
        <v>8397</v>
      </c>
      <c r="O5">
        <v>8397</v>
      </c>
      <c r="P5">
        <v>8397</v>
      </c>
      <c r="Q5">
        <v>8397</v>
      </c>
      <c r="R5">
        <v>8397</v>
      </c>
      <c r="T5" t="s">
        <v>1060</v>
      </c>
      <c r="U5" t="s">
        <v>1060</v>
      </c>
      <c r="V5" t="s">
        <v>126</v>
      </c>
      <c r="W5" t="s">
        <v>128</v>
      </c>
      <c r="X5" t="s">
        <v>124</v>
      </c>
      <c r="Y5" t="s">
        <v>143</v>
      </c>
      <c r="AB5" t="s">
        <v>133</v>
      </c>
      <c r="AC5" t="s">
        <v>122</v>
      </c>
      <c r="AD5">
        <v>13793270325</v>
      </c>
      <c r="AE5" t="s">
        <v>1250</v>
      </c>
    </row>
    <row r="6" spans="1:31" x14ac:dyDescent="0.15">
      <c r="A6">
        <v>26123005</v>
      </c>
      <c r="B6" t="s">
        <v>151</v>
      </c>
      <c r="C6" t="s">
        <v>155</v>
      </c>
      <c r="D6" t="s">
        <v>1033</v>
      </c>
      <c r="E6" t="s">
        <v>154</v>
      </c>
      <c r="F6" t="s">
        <v>1057</v>
      </c>
      <c r="G6" t="s">
        <v>153</v>
      </c>
      <c r="H6">
        <v>3861</v>
      </c>
      <c r="I6">
        <v>0</v>
      </c>
      <c r="K6" t="s">
        <v>1063</v>
      </c>
      <c r="L6" t="s">
        <v>148</v>
      </c>
      <c r="M6" t="s">
        <v>1059</v>
      </c>
      <c r="N6">
        <v>5881</v>
      </c>
      <c r="O6">
        <v>7162</v>
      </c>
      <c r="P6">
        <v>7162</v>
      </c>
      <c r="Q6">
        <v>7162</v>
      </c>
      <c r="R6">
        <v>7162</v>
      </c>
      <c r="T6" t="s">
        <v>1060</v>
      </c>
      <c r="U6" t="s">
        <v>1065</v>
      </c>
      <c r="V6" t="s">
        <v>150</v>
      </c>
      <c r="W6" t="s">
        <v>152</v>
      </c>
      <c r="X6" t="s">
        <v>148</v>
      </c>
      <c r="Y6" t="s">
        <v>149</v>
      </c>
      <c r="AB6" t="s">
        <v>148</v>
      </c>
      <c r="AC6" t="s">
        <v>147</v>
      </c>
      <c r="AD6">
        <v>15659025342</v>
      </c>
      <c r="AE6" t="s">
        <v>1251</v>
      </c>
    </row>
    <row r="7" spans="1:31" x14ac:dyDescent="0.15">
      <c r="A7">
        <v>26123006</v>
      </c>
      <c r="B7" t="s">
        <v>158</v>
      </c>
      <c r="C7" t="s">
        <v>160</v>
      </c>
      <c r="D7" t="s">
        <v>1033</v>
      </c>
      <c r="E7" t="s">
        <v>131</v>
      </c>
      <c r="F7" t="s">
        <v>1057</v>
      </c>
      <c r="G7" t="s">
        <v>159</v>
      </c>
      <c r="H7">
        <v>8039</v>
      </c>
      <c r="I7">
        <v>20</v>
      </c>
      <c r="K7" t="s">
        <v>1058</v>
      </c>
      <c r="L7" t="s">
        <v>122</v>
      </c>
      <c r="M7" t="s">
        <v>1059</v>
      </c>
      <c r="N7">
        <v>9784</v>
      </c>
      <c r="O7">
        <v>9784</v>
      </c>
      <c r="P7">
        <v>9784</v>
      </c>
      <c r="Q7">
        <v>9784</v>
      </c>
      <c r="R7">
        <v>9784</v>
      </c>
      <c r="T7" t="s">
        <v>1060</v>
      </c>
      <c r="U7" t="s">
        <v>1060</v>
      </c>
      <c r="V7" t="s">
        <v>126</v>
      </c>
      <c r="W7" t="s">
        <v>128</v>
      </c>
      <c r="X7" t="s">
        <v>156</v>
      </c>
      <c r="Y7" t="s">
        <v>157</v>
      </c>
      <c r="AB7" t="s">
        <v>133</v>
      </c>
      <c r="AC7" t="s">
        <v>122</v>
      </c>
      <c r="AD7">
        <v>17632896120</v>
      </c>
      <c r="AE7" t="s">
        <v>1252</v>
      </c>
    </row>
    <row r="8" spans="1:31" x14ac:dyDescent="0.15">
      <c r="A8">
        <v>26123007</v>
      </c>
      <c r="B8" t="s">
        <v>162</v>
      </c>
      <c r="C8" t="s">
        <v>164</v>
      </c>
      <c r="D8" t="s">
        <v>1033</v>
      </c>
      <c r="E8" t="s">
        <v>131</v>
      </c>
      <c r="F8" t="s">
        <v>1057</v>
      </c>
      <c r="G8" t="s">
        <v>163</v>
      </c>
      <c r="H8">
        <v>5600</v>
      </c>
      <c r="I8">
        <v>0</v>
      </c>
      <c r="K8" t="s">
        <v>1063</v>
      </c>
      <c r="L8" t="s">
        <v>148</v>
      </c>
      <c r="M8" t="s">
        <v>1059</v>
      </c>
      <c r="N8">
        <v>6384</v>
      </c>
      <c r="O8">
        <v>7162</v>
      </c>
      <c r="P8">
        <v>7162</v>
      </c>
      <c r="Q8">
        <v>7162</v>
      </c>
      <c r="R8">
        <v>7162</v>
      </c>
      <c r="T8" t="s">
        <v>1060</v>
      </c>
      <c r="U8" t="s">
        <v>1065</v>
      </c>
      <c r="V8" t="s">
        <v>150</v>
      </c>
      <c r="W8" t="s">
        <v>140</v>
      </c>
      <c r="X8" t="s">
        <v>148</v>
      </c>
      <c r="Y8" t="s">
        <v>161</v>
      </c>
      <c r="AB8" t="s">
        <v>148</v>
      </c>
      <c r="AC8" t="s">
        <v>147</v>
      </c>
      <c r="AD8">
        <v>18306627579</v>
      </c>
      <c r="AE8" t="s">
        <v>1253</v>
      </c>
    </row>
    <row r="9" spans="1:31" x14ac:dyDescent="0.15">
      <c r="A9">
        <v>26123008</v>
      </c>
      <c r="B9" t="s">
        <v>169</v>
      </c>
      <c r="C9" t="s">
        <v>172</v>
      </c>
      <c r="D9" t="s">
        <v>1033</v>
      </c>
      <c r="E9" t="s">
        <v>154</v>
      </c>
      <c r="F9" t="s">
        <v>1057</v>
      </c>
      <c r="G9" t="s">
        <v>171</v>
      </c>
      <c r="H9">
        <v>3130</v>
      </c>
      <c r="I9">
        <v>0</v>
      </c>
      <c r="K9" t="s">
        <v>1063</v>
      </c>
      <c r="L9" t="s">
        <v>166</v>
      </c>
      <c r="M9" t="s">
        <v>1059</v>
      </c>
      <c r="N9">
        <v>4215</v>
      </c>
      <c r="O9">
        <v>5124</v>
      </c>
      <c r="P9">
        <v>5124</v>
      </c>
      <c r="Q9">
        <v>5124</v>
      </c>
      <c r="R9">
        <v>5124</v>
      </c>
      <c r="S9">
        <v>5124</v>
      </c>
      <c r="T9" t="s">
        <v>1060</v>
      </c>
      <c r="U9" t="s">
        <v>1060</v>
      </c>
      <c r="V9" t="s">
        <v>168</v>
      </c>
      <c r="W9" t="s">
        <v>170</v>
      </c>
      <c r="X9" t="s">
        <v>166</v>
      </c>
      <c r="Y9" t="s">
        <v>167</v>
      </c>
      <c r="AB9" t="s">
        <v>166</v>
      </c>
      <c r="AC9" t="s">
        <v>165</v>
      </c>
      <c r="AD9">
        <v>18731710130</v>
      </c>
      <c r="AE9" t="s">
        <v>1254</v>
      </c>
    </row>
    <row r="10" spans="1:31" x14ac:dyDescent="0.15">
      <c r="A10">
        <v>26123009</v>
      </c>
      <c r="B10" t="s">
        <v>177</v>
      </c>
      <c r="C10" t="s">
        <v>179</v>
      </c>
      <c r="D10" t="s">
        <v>1033</v>
      </c>
      <c r="E10" t="s">
        <v>131</v>
      </c>
      <c r="F10" t="s">
        <v>1057</v>
      </c>
      <c r="G10" t="s">
        <v>178</v>
      </c>
      <c r="H10">
        <v>5468</v>
      </c>
      <c r="I10">
        <v>0</v>
      </c>
      <c r="K10" t="s">
        <v>1058</v>
      </c>
      <c r="L10" t="s">
        <v>1255</v>
      </c>
      <c r="M10" t="s">
        <v>1059</v>
      </c>
      <c r="N10">
        <v>6890</v>
      </c>
      <c r="O10">
        <v>6890</v>
      </c>
      <c r="P10">
        <v>6890</v>
      </c>
      <c r="Q10">
        <v>6890</v>
      </c>
      <c r="R10">
        <v>6890</v>
      </c>
      <c r="T10" t="s">
        <v>1060</v>
      </c>
      <c r="U10" t="s">
        <v>1060</v>
      </c>
      <c r="V10" t="s">
        <v>176</v>
      </c>
      <c r="W10" t="s">
        <v>140</v>
      </c>
      <c r="X10" t="s">
        <v>174</v>
      </c>
      <c r="Y10" t="s">
        <v>175</v>
      </c>
      <c r="AB10" t="s">
        <v>180</v>
      </c>
      <c r="AC10" t="s">
        <v>173</v>
      </c>
      <c r="AD10">
        <v>15696434652</v>
      </c>
      <c r="AE10" t="s">
        <v>1256</v>
      </c>
    </row>
    <row r="11" spans="1:31" x14ac:dyDescent="0.15">
      <c r="A11">
        <v>26123010</v>
      </c>
      <c r="B11" t="s">
        <v>182</v>
      </c>
      <c r="C11" t="s">
        <v>184</v>
      </c>
      <c r="D11" t="s">
        <v>1033</v>
      </c>
      <c r="E11" t="s">
        <v>154</v>
      </c>
      <c r="F11" t="s">
        <v>1057</v>
      </c>
      <c r="G11" t="s">
        <v>183</v>
      </c>
      <c r="H11">
        <v>3730</v>
      </c>
      <c r="I11">
        <v>0</v>
      </c>
      <c r="K11" t="s">
        <v>1063</v>
      </c>
      <c r="L11" t="s">
        <v>1064</v>
      </c>
      <c r="M11" t="s">
        <v>1059</v>
      </c>
      <c r="N11">
        <v>4488</v>
      </c>
      <c r="O11">
        <v>7162</v>
      </c>
      <c r="P11">
        <v>7162</v>
      </c>
      <c r="Q11">
        <v>7162</v>
      </c>
      <c r="R11">
        <v>7162</v>
      </c>
      <c r="T11" t="s">
        <v>1060</v>
      </c>
      <c r="U11" t="s">
        <v>1065</v>
      </c>
      <c r="V11" t="s">
        <v>150</v>
      </c>
      <c r="W11" t="s">
        <v>152</v>
      </c>
      <c r="X11" t="s">
        <v>148</v>
      </c>
      <c r="Y11" t="s">
        <v>181</v>
      </c>
      <c r="AB11" t="s">
        <v>148</v>
      </c>
      <c r="AC11" t="s">
        <v>147</v>
      </c>
      <c r="AD11">
        <v>13802615927</v>
      </c>
      <c r="AE11" t="s">
        <v>1066</v>
      </c>
    </row>
    <row r="12" spans="1:31" x14ac:dyDescent="0.15">
      <c r="A12">
        <v>26123011</v>
      </c>
      <c r="B12" t="s">
        <v>186</v>
      </c>
      <c r="C12" t="s">
        <v>189</v>
      </c>
      <c r="D12" t="s">
        <v>1033</v>
      </c>
      <c r="E12" t="s">
        <v>154</v>
      </c>
      <c r="F12" t="s">
        <v>1057</v>
      </c>
      <c r="G12" t="s">
        <v>188</v>
      </c>
      <c r="H12">
        <v>4190</v>
      </c>
      <c r="I12">
        <v>21</v>
      </c>
      <c r="K12" t="s">
        <v>1058</v>
      </c>
      <c r="L12" t="s">
        <v>122</v>
      </c>
      <c r="M12" t="s">
        <v>1059</v>
      </c>
      <c r="N12">
        <v>4685</v>
      </c>
      <c r="O12">
        <v>7460</v>
      </c>
      <c r="P12">
        <v>7460</v>
      </c>
      <c r="Q12">
        <v>7460</v>
      </c>
      <c r="R12">
        <v>7460</v>
      </c>
      <c r="T12" t="s">
        <v>1060</v>
      </c>
      <c r="U12" t="s">
        <v>1060</v>
      </c>
      <c r="V12" t="s">
        <v>126</v>
      </c>
      <c r="W12" t="s">
        <v>187</v>
      </c>
      <c r="X12" t="s">
        <v>156</v>
      </c>
      <c r="Y12" t="s">
        <v>185</v>
      </c>
      <c r="AB12" t="s">
        <v>133</v>
      </c>
      <c r="AC12" t="s">
        <v>122</v>
      </c>
      <c r="AD12">
        <v>15355302246</v>
      </c>
      <c r="AE12" t="s">
        <v>1067</v>
      </c>
    </row>
    <row r="13" spans="1:31" x14ac:dyDescent="0.15">
      <c r="A13">
        <v>26123012</v>
      </c>
      <c r="B13" t="s">
        <v>191</v>
      </c>
      <c r="C13" t="s">
        <v>193</v>
      </c>
      <c r="D13" t="s">
        <v>1033</v>
      </c>
      <c r="E13" t="s">
        <v>131</v>
      </c>
      <c r="F13" t="s">
        <v>1057</v>
      </c>
      <c r="G13" t="s">
        <v>192</v>
      </c>
      <c r="H13">
        <v>5431</v>
      </c>
      <c r="I13">
        <v>0</v>
      </c>
      <c r="K13" t="s">
        <v>1063</v>
      </c>
      <c r="L13" t="s">
        <v>166</v>
      </c>
      <c r="M13" t="s">
        <v>1059</v>
      </c>
      <c r="N13">
        <v>7959</v>
      </c>
      <c r="O13">
        <v>7959</v>
      </c>
      <c r="P13">
        <v>7959</v>
      </c>
      <c r="Q13">
        <v>7959</v>
      </c>
      <c r="R13">
        <v>7959</v>
      </c>
      <c r="S13">
        <v>7959</v>
      </c>
      <c r="T13" t="s">
        <v>1060</v>
      </c>
      <c r="U13" t="s">
        <v>1060</v>
      </c>
      <c r="V13" t="s">
        <v>168</v>
      </c>
      <c r="W13" t="s">
        <v>140</v>
      </c>
      <c r="X13" t="s">
        <v>166</v>
      </c>
      <c r="Y13" t="s">
        <v>190</v>
      </c>
      <c r="AB13" t="s">
        <v>166</v>
      </c>
      <c r="AC13" t="s">
        <v>165</v>
      </c>
      <c r="AD13">
        <v>18682732412</v>
      </c>
      <c r="AE13" t="s">
        <v>1257</v>
      </c>
    </row>
    <row r="14" spans="1:31" x14ac:dyDescent="0.15">
      <c r="A14">
        <v>26123013</v>
      </c>
      <c r="B14" t="s">
        <v>195</v>
      </c>
      <c r="C14" t="s">
        <v>197</v>
      </c>
      <c r="D14" t="s">
        <v>1033</v>
      </c>
      <c r="E14" t="s">
        <v>131</v>
      </c>
      <c r="F14" t="s">
        <v>1057</v>
      </c>
      <c r="G14" t="s">
        <v>196</v>
      </c>
      <c r="H14">
        <v>7352</v>
      </c>
      <c r="I14">
        <v>0</v>
      </c>
      <c r="K14" t="s">
        <v>1063</v>
      </c>
      <c r="L14" t="s">
        <v>148</v>
      </c>
      <c r="M14" t="s">
        <v>1059</v>
      </c>
      <c r="N14">
        <v>9324</v>
      </c>
      <c r="O14">
        <v>9324</v>
      </c>
      <c r="P14">
        <v>9324</v>
      </c>
      <c r="Q14">
        <v>9324</v>
      </c>
      <c r="R14">
        <v>9324</v>
      </c>
      <c r="T14" t="s">
        <v>1065</v>
      </c>
      <c r="U14" t="s">
        <v>1065</v>
      </c>
      <c r="V14" t="s">
        <v>150</v>
      </c>
      <c r="W14" t="s">
        <v>128</v>
      </c>
      <c r="X14" t="s">
        <v>148</v>
      </c>
      <c r="Y14" t="s">
        <v>194</v>
      </c>
      <c r="AB14" t="s">
        <v>148</v>
      </c>
      <c r="AC14" t="s">
        <v>147</v>
      </c>
      <c r="AD14">
        <v>17394807156</v>
      </c>
      <c r="AE14" t="s">
        <v>1258</v>
      </c>
    </row>
    <row r="15" spans="1:31" x14ac:dyDescent="0.15">
      <c r="A15">
        <v>26123014</v>
      </c>
      <c r="B15" t="s">
        <v>199</v>
      </c>
      <c r="C15" t="s">
        <v>201</v>
      </c>
      <c r="D15" t="s">
        <v>1033</v>
      </c>
      <c r="E15" t="s">
        <v>131</v>
      </c>
      <c r="F15" t="s">
        <v>1057</v>
      </c>
      <c r="G15" t="s">
        <v>200</v>
      </c>
      <c r="H15">
        <v>6948</v>
      </c>
      <c r="I15">
        <v>19</v>
      </c>
      <c r="K15" t="s">
        <v>1058</v>
      </c>
      <c r="L15" t="s">
        <v>1255</v>
      </c>
      <c r="M15" t="s">
        <v>1059</v>
      </c>
      <c r="N15">
        <v>8842</v>
      </c>
      <c r="O15">
        <v>8842</v>
      </c>
      <c r="P15">
        <v>8842</v>
      </c>
      <c r="Q15">
        <v>8842</v>
      </c>
      <c r="R15">
        <v>8842</v>
      </c>
      <c r="T15" t="s">
        <v>1060</v>
      </c>
      <c r="U15" t="s">
        <v>1060</v>
      </c>
      <c r="V15" t="s">
        <v>176</v>
      </c>
      <c r="W15" t="s">
        <v>128</v>
      </c>
      <c r="X15" t="s">
        <v>180</v>
      </c>
      <c r="Y15" t="s">
        <v>198</v>
      </c>
      <c r="AB15" t="s">
        <v>180</v>
      </c>
      <c r="AC15" t="s">
        <v>173</v>
      </c>
      <c r="AD15">
        <v>16385630324</v>
      </c>
      <c r="AE15" t="s">
        <v>1259</v>
      </c>
    </row>
    <row r="16" spans="1:31" x14ac:dyDescent="0.15">
      <c r="A16">
        <v>26123015</v>
      </c>
      <c r="B16" t="s">
        <v>206</v>
      </c>
      <c r="C16" t="s">
        <v>208</v>
      </c>
      <c r="D16" t="s">
        <v>1033</v>
      </c>
      <c r="E16" t="s">
        <v>131</v>
      </c>
      <c r="F16" t="s">
        <v>1057</v>
      </c>
      <c r="G16" t="s">
        <v>207</v>
      </c>
      <c r="H16">
        <v>6500</v>
      </c>
      <c r="I16">
        <v>24</v>
      </c>
      <c r="K16" t="s">
        <v>1058</v>
      </c>
      <c r="L16" t="s">
        <v>203</v>
      </c>
      <c r="M16" t="s">
        <v>1059</v>
      </c>
      <c r="N16">
        <v>6212</v>
      </c>
      <c r="O16">
        <v>6212</v>
      </c>
      <c r="P16">
        <v>6212</v>
      </c>
      <c r="Q16">
        <v>6212</v>
      </c>
      <c r="R16">
        <v>6212</v>
      </c>
      <c r="S16">
        <v>6212</v>
      </c>
      <c r="T16" t="s">
        <v>1060</v>
      </c>
      <c r="U16" t="s">
        <v>1060</v>
      </c>
      <c r="V16" t="s">
        <v>205</v>
      </c>
      <c r="W16" t="s">
        <v>128</v>
      </c>
      <c r="X16" t="s">
        <v>203</v>
      </c>
      <c r="Y16" t="s">
        <v>204</v>
      </c>
      <c r="AB16" t="s">
        <v>203</v>
      </c>
      <c r="AC16" t="s">
        <v>202</v>
      </c>
      <c r="AD16">
        <v>13419259843</v>
      </c>
      <c r="AE16" t="s">
        <v>1260</v>
      </c>
    </row>
    <row r="17" spans="1:31" x14ac:dyDescent="0.15">
      <c r="A17">
        <v>26123016</v>
      </c>
      <c r="B17" t="s">
        <v>213</v>
      </c>
      <c r="C17" t="s">
        <v>215</v>
      </c>
      <c r="D17" t="s">
        <v>1033</v>
      </c>
      <c r="E17" t="s">
        <v>131</v>
      </c>
      <c r="F17" t="s">
        <v>1057</v>
      </c>
      <c r="G17" t="s">
        <v>214</v>
      </c>
      <c r="H17">
        <v>5309</v>
      </c>
      <c r="I17">
        <v>22</v>
      </c>
      <c r="K17" t="s">
        <v>1058</v>
      </c>
      <c r="L17" t="s">
        <v>210</v>
      </c>
      <c r="M17" t="s">
        <v>1059</v>
      </c>
      <c r="N17">
        <v>7361</v>
      </c>
      <c r="O17">
        <v>7361</v>
      </c>
      <c r="P17">
        <v>7361</v>
      </c>
      <c r="Q17">
        <v>7361</v>
      </c>
      <c r="R17">
        <v>7361</v>
      </c>
      <c r="S17">
        <v>7361</v>
      </c>
      <c r="T17" t="s">
        <v>1060</v>
      </c>
      <c r="U17" t="s">
        <v>1060</v>
      </c>
      <c r="V17" t="s">
        <v>212</v>
      </c>
      <c r="W17" t="s">
        <v>140</v>
      </c>
      <c r="X17" t="s">
        <v>210</v>
      </c>
      <c r="Y17" t="s">
        <v>211</v>
      </c>
      <c r="AB17" t="s">
        <v>210</v>
      </c>
      <c r="AC17" t="s">
        <v>209</v>
      </c>
      <c r="AD17">
        <v>18370920073</v>
      </c>
      <c r="AE17" t="s">
        <v>1261</v>
      </c>
    </row>
    <row r="18" spans="1:31" x14ac:dyDescent="0.15">
      <c r="A18">
        <v>26123017</v>
      </c>
      <c r="B18" t="s">
        <v>217</v>
      </c>
      <c r="C18" t="s">
        <v>220</v>
      </c>
      <c r="D18" t="s">
        <v>1033</v>
      </c>
      <c r="E18" t="s">
        <v>131</v>
      </c>
      <c r="F18" t="s">
        <v>1057</v>
      </c>
      <c r="G18" t="s">
        <v>219</v>
      </c>
      <c r="H18">
        <v>4750</v>
      </c>
      <c r="I18">
        <v>0</v>
      </c>
      <c r="K18" t="s">
        <v>1058</v>
      </c>
      <c r="L18" t="s">
        <v>122</v>
      </c>
      <c r="M18" t="s">
        <v>1059</v>
      </c>
      <c r="N18">
        <v>7382</v>
      </c>
      <c r="O18">
        <v>7460</v>
      </c>
      <c r="P18">
        <v>7460</v>
      </c>
      <c r="Q18">
        <v>7460</v>
      </c>
      <c r="R18">
        <v>7460</v>
      </c>
      <c r="T18" t="s">
        <v>1060</v>
      </c>
      <c r="U18" t="s">
        <v>1060</v>
      </c>
      <c r="V18" t="s">
        <v>126</v>
      </c>
      <c r="W18" t="s">
        <v>218</v>
      </c>
      <c r="X18" t="s">
        <v>124</v>
      </c>
      <c r="Y18" t="s">
        <v>216</v>
      </c>
      <c r="AB18" t="s">
        <v>133</v>
      </c>
      <c r="AC18" t="s">
        <v>122</v>
      </c>
      <c r="AD18">
        <v>14368986354</v>
      </c>
      <c r="AE18" t="s">
        <v>1262</v>
      </c>
    </row>
    <row r="19" spans="1:31" x14ac:dyDescent="0.15">
      <c r="A19">
        <v>26123018</v>
      </c>
      <c r="B19" t="s">
        <v>222</v>
      </c>
      <c r="C19" t="s">
        <v>224</v>
      </c>
      <c r="D19" t="s">
        <v>1033</v>
      </c>
      <c r="E19" t="s">
        <v>131</v>
      </c>
      <c r="F19" t="s">
        <v>1057</v>
      </c>
      <c r="G19" t="s">
        <v>223</v>
      </c>
      <c r="H19">
        <v>4840</v>
      </c>
      <c r="I19">
        <v>0</v>
      </c>
      <c r="K19" t="s">
        <v>1058</v>
      </c>
      <c r="L19" t="s">
        <v>122</v>
      </c>
      <c r="M19" t="s">
        <v>1059</v>
      </c>
      <c r="N19">
        <v>6087</v>
      </c>
      <c r="O19">
        <v>7460</v>
      </c>
      <c r="P19">
        <v>7460</v>
      </c>
      <c r="Q19">
        <v>7460</v>
      </c>
      <c r="R19">
        <v>7460</v>
      </c>
      <c r="T19" t="s">
        <v>1060</v>
      </c>
      <c r="U19" t="s">
        <v>1060</v>
      </c>
      <c r="V19" t="s">
        <v>126</v>
      </c>
      <c r="W19" t="s">
        <v>218</v>
      </c>
      <c r="X19" t="s">
        <v>156</v>
      </c>
      <c r="Y19" t="s">
        <v>221</v>
      </c>
      <c r="AB19" t="s">
        <v>133</v>
      </c>
      <c r="AC19" t="s">
        <v>122</v>
      </c>
      <c r="AD19">
        <v>14816160022</v>
      </c>
      <c r="AE19" t="s">
        <v>1263</v>
      </c>
    </row>
    <row r="20" spans="1:31" x14ac:dyDescent="0.15">
      <c r="A20">
        <v>26123019</v>
      </c>
      <c r="B20" t="s">
        <v>226</v>
      </c>
      <c r="C20" t="s">
        <v>228</v>
      </c>
      <c r="D20" t="s">
        <v>1033</v>
      </c>
      <c r="E20" t="s">
        <v>131</v>
      </c>
      <c r="F20" t="s">
        <v>1057</v>
      </c>
      <c r="G20" t="s">
        <v>227</v>
      </c>
      <c r="H20">
        <v>5600</v>
      </c>
      <c r="I20">
        <v>0</v>
      </c>
      <c r="K20" t="s">
        <v>1058</v>
      </c>
      <c r="L20" t="s">
        <v>122</v>
      </c>
      <c r="M20" t="s">
        <v>1059</v>
      </c>
      <c r="N20">
        <v>5867</v>
      </c>
      <c r="O20">
        <v>7460</v>
      </c>
      <c r="P20">
        <v>7460</v>
      </c>
      <c r="Q20">
        <v>7460</v>
      </c>
      <c r="R20">
        <v>7460</v>
      </c>
      <c r="T20" t="s">
        <v>1060</v>
      </c>
      <c r="U20" t="s">
        <v>1060</v>
      </c>
      <c r="V20" t="s">
        <v>126</v>
      </c>
      <c r="W20" t="s">
        <v>140</v>
      </c>
      <c r="X20" t="s">
        <v>124</v>
      </c>
      <c r="Y20" t="s">
        <v>225</v>
      </c>
      <c r="AB20" t="s">
        <v>133</v>
      </c>
      <c r="AC20" t="s">
        <v>122</v>
      </c>
      <c r="AD20">
        <v>13862653854</v>
      </c>
      <c r="AE20" t="s">
        <v>1264</v>
      </c>
    </row>
    <row r="21" spans="1:31" x14ac:dyDescent="0.15">
      <c r="A21">
        <v>26123020</v>
      </c>
      <c r="B21" t="s">
        <v>233</v>
      </c>
      <c r="C21" t="s">
        <v>235</v>
      </c>
      <c r="D21" t="s">
        <v>1033</v>
      </c>
      <c r="E21" t="s">
        <v>131</v>
      </c>
      <c r="F21" t="s">
        <v>1057</v>
      </c>
      <c r="G21" t="s">
        <v>234</v>
      </c>
      <c r="H21">
        <v>6695</v>
      </c>
      <c r="I21">
        <v>0</v>
      </c>
      <c r="K21" t="s">
        <v>1058</v>
      </c>
      <c r="L21" t="s">
        <v>230</v>
      </c>
      <c r="M21" t="s">
        <v>1059</v>
      </c>
      <c r="N21">
        <v>7713</v>
      </c>
      <c r="O21">
        <v>7713</v>
      </c>
      <c r="P21">
        <v>7713</v>
      </c>
      <c r="Q21">
        <v>7713</v>
      </c>
      <c r="R21">
        <v>7713</v>
      </c>
      <c r="S21">
        <v>7713</v>
      </c>
      <c r="T21" t="s">
        <v>1060</v>
      </c>
      <c r="U21" t="s">
        <v>1060</v>
      </c>
      <c r="V21" t="s">
        <v>232</v>
      </c>
      <c r="W21" t="s">
        <v>128</v>
      </c>
      <c r="X21" t="s">
        <v>230</v>
      </c>
      <c r="Y21" t="s">
        <v>231</v>
      </c>
      <c r="AB21" t="s">
        <v>230</v>
      </c>
      <c r="AC21" t="s">
        <v>229</v>
      </c>
      <c r="AD21">
        <v>14869205294</v>
      </c>
      <c r="AE21" t="s">
        <v>1265</v>
      </c>
    </row>
    <row r="22" spans="1:31" x14ac:dyDescent="0.15">
      <c r="A22">
        <v>26123021</v>
      </c>
      <c r="B22" t="s">
        <v>237</v>
      </c>
      <c r="C22" t="s">
        <v>240</v>
      </c>
      <c r="D22" t="s">
        <v>1033</v>
      </c>
      <c r="E22" t="s">
        <v>131</v>
      </c>
      <c r="F22" t="s">
        <v>1057</v>
      </c>
      <c r="G22" t="s">
        <v>238</v>
      </c>
      <c r="H22">
        <v>5200</v>
      </c>
      <c r="I22">
        <v>0</v>
      </c>
      <c r="K22" t="s">
        <v>1058</v>
      </c>
      <c r="L22" t="s">
        <v>210</v>
      </c>
      <c r="M22" t="s">
        <v>1059</v>
      </c>
      <c r="N22">
        <v>7527</v>
      </c>
      <c r="O22">
        <v>7527</v>
      </c>
      <c r="P22">
        <v>7527</v>
      </c>
      <c r="Q22">
        <v>7527</v>
      </c>
      <c r="R22">
        <v>7527</v>
      </c>
      <c r="S22">
        <v>7527</v>
      </c>
      <c r="T22" t="s">
        <v>1060</v>
      </c>
      <c r="U22" t="s">
        <v>1060</v>
      </c>
      <c r="V22" t="s">
        <v>212</v>
      </c>
      <c r="W22" t="s">
        <v>140</v>
      </c>
      <c r="X22" t="s">
        <v>210</v>
      </c>
      <c r="Y22" t="s">
        <v>236</v>
      </c>
      <c r="Z22" t="s">
        <v>239</v>
      </c>
      <c r="AB22" t="s">
        <v>210</v>
      </c>
      <c r="AC22" t="s">
        <v>209</v>
      </c>
      <c r="AD22">
        <v>18620009083</v>
      </c>
      <c r="AE22" t="s">
        <v>1266</v>
      </c>
    </row>
    <row r="23" spans="1:31" x14ac:dyDescent="0.15">
      <c r="A23">
        <v>26123022</v>
      </c>
      <c r="B23" t="s">
        <v>242</v>
      </c>
      <c r="C23" t="s">
        <v>244</v>
      </c>
      <c r="D23" t="s">
        <v>1033</v>
      </c>
      <c r="E23" t="s">
        <v>154</v>
      </c>
      <c r="F23" t="s">
        <v>1057</v>
      </c>
      <c r="G23" t="s">
        <v>243</v>
      </c>
      <c r="H23">
        <v>3730</v>
      </c>
      <c r="I23">
        <v>0</v>
      </c>
      <c r="K23" t="s">
        <v>1063</v>
      </c>
      <c r="L23" t="s">
        <v>1064</v>
      </c>
      <c r="M23" t="s">
        <v>1059</v>
      </c>
      <c r="N23">
        <v>4651</v>
      </c>
      <c r="O23">
        <v>7162</v>
      </c>
      <c r="P23">
        <v>7162</v>
      </c>
      <c r="Q23">
        <v>7162</v>
      </c>
      <c r="R23">
        <v>7162</v>
      </c>
      <c r="T23" t="s">
        <v>1060</v>
      </c>
      <c r="U23" t="s">
        <v>1065</v>
      </c>
      <c r="V23" t="s">
        <v>150</v>
      </c>
      <c r="W23" t="s">
        <v>152</v>
      </c>
      <c r="X23" t="s">
        <v>148</v>
      </c>
      <c r="Y23" t="s">
        <v>241</v>
      </c>
      <c r="AB23" t="s">
        <v>148</v>
      </c>
      <c r="AC23" t="s">
        <v>147</v>
      </c>
      <c r="AD23">
        <v>14385334424</v>
      </c>
      <c r="AE23" t="s">
        <v>1267</v>
      </c>
    </row>
    <row r="24" spans="1:31" x14ac:dyDescent="0.15">
      <c r="A24">
        <v>26123023</v>
      </c>
      <c r="B24" t="s">
        <v>246</v>
      </c>
      <c r="C24" t="s">
        <v>248</v>
      </c>
      <c r="D24" t="s">
        <v>1033</v>
      </c>
      <c r="E24" t="s">
        <v>131</v>
      </c>
      <c r="F24" t="s">
        <v>1057</v>
      </c>
      <c r="G24" t="s">
        <v>247</v>
      </c>
      <c r="H24">
        <v>5200</v>
      </c>
      <c r="I24">
        <v>0</v>
      </c>
      <c r="K24" t="s">
        <v>1063</v>
      </c>
      <c r="L24" t="s">
        <v>166</v>
      </c>
      <c r="M24" t="s">
        <v>1059</v>
      </c>
      <c r="N24">
        <v>6573</v>
      </c>
      <c r="O24">
        <v>6573</v>
      </c>
      <c r="P24">
        <v>6573</v>
      </c>
      <c r="Q24">
        <v>6573</v>
      </c>
      <c r="R24">
        <v>6573</v>
      </c>
      <c r="S24">
        <v>6573</v>
      </c>
      <c r="T24" t="s">
        <v>1060</v>
      </c>
      <c r="U24" t="s">
        <v>1060</v>
      </c>
      <c r="V24" t="s">
        <v>168</v>
      </c>
      <c r="W24" t="s">
        <v>140</v>
      </c>
      <c r="X24" t="s">
        <v>166</v>
      </c>
      <c r="Y24" t="s">
        <v>245</v>
      </c>
      <c r="AB24" t="s">
        <v>166</v>
      </c>
      <c r="AC24" t="s">
        <v>165</v>
      </c>
      <c r="AD24">
        <v>16781132240</v>
      </c>
      <c r="AE24" t="s">
        <v>1268</v>
      </c>
    </row>
    <row r="25" spans="1:31" x14ac:dyDescent="0.15">
      <c r="A25">
        <v>26123024</v>
      </c>
      <c r="B25" t="s">
        <v>250</v>
      </c>
      <c r="C25" t="s">
        <v>252</v>
      </c>
      <c r="D25" t="s">
        <v>1033</v>
      </c>
      <c r="E25" t="s">
        <v>154</v>
      </c>
      <c r="F25" t="s">
        <v>1057</v>
      </c>
      <c r="G25" t="s">
        <v>251</v>
      </c>
      <c r="H25">
        <v>3730</v>
      </c>
      <c r="I25">
        <v>0</v>
      </c>
      <c r="K25" t="s">
        <v>1063</v>
      </c>
      <c r="L25" t="s">
        <v>148</v>
      </c>
      <c r="M25" t="s">
        <v>1059</v>
      </c>
      <c r="N25">
        <v>4540</v>
      </c>
      <c r="O25">
        <v>7162</v>
      </c>
      <c r="P25">
        <v>7162</v>
      </c>
      <c r="Q25">
        <v>7162</v>
      </c>
      <c r="R25">
        <v>7162</v>
      </c>
      <c r="T25" t="s">
        <v>1060</v>
      </c>
      <c r="U25" t="s">
        <v>1065</v>
      </c>
      <c r="V25" t="s">
        <v>150</v>
      </c>
      <c r="W25" t="s">
        <v>152</v>
      </c>
      <c r="X25" t="s">
        <v>148</v>
      </c>
      <c r="Y25" t="s">
        <v>249</v>
      </c>
      <c r="AB25" t="s">
        <v>148</v>
      </c>
      <c r="AC25" t="s">
        <v>147</v>
      </c>
      <c r="AD25">
        <v>13707236615</v>
      </c>
      <c r="AE25" t="s">
        <v>1269</v>
      </c>
    </row>
    <row r="26" spans="1:31" x14ac:dyDescent="0.15">
      <c r="A26">
        <v>26123025</v>
      </c>
      <c r="B26" t="s">
        <v>254</v>
      </c>
      <c r="C26" t="s">
        <v>256</v>
      </c>
      <c r="D26" t="s">
        <v>1033</v>
      </c>
      <c r="E26" t="s">
        <v>131</v>
      </c>
      <c r="F26" t="s">
        <v>1057</v>
      </c>
      <c r="G26" t="s">
        <v>255</v>
      </c>
      <c r="H26">
        <v>5656</v>
      </c>
      <c r="I26">
        <v>0</v>
      </c>
      <c r="K26" t="s">
        <v>1058</v>
      </c>
      <c r="L26" t="s">
        <v>122</v>
      </c>
      <c r="M26" t="s">
        <v>1059</v>
      </c>
      <c r="N26">
        <v>6751</v>
      </c>
      <c r="O26">
        <v>7460</v>
      </c>
      <c r="P26">
        <v>7460</v>
      </c>
      <c r="Q26">
        <v>7460</v>
      </c>
      <c r="R26">
        <v>7460</v>
      </c>
      <c r="T26" t="s">
        <v>1060</v>
      </c>
      <c r="U26" t="s">
        <v>1060</v>
      </c>
      <c r="V26" t="s">
        <v>126</v>
      </c>
      <c r="W26" t="s">
        <v>140</v>
      </c>
      <c r="X26" t="s">
        <v>156</v>
      </c>
      <c r="Y26" t="s">
        <v>253</v>
      </c>
      <c r="Z26" t="s">
        <v>239</v>
      </c>
      <c r="AB26" t="s">
        <v>133</v>
      </c>
      <c r="AC26" t="s">
        <v>122</v>
      </c>
      <c r="AD26">
        <v>16491110158</v>
      </c>
      <c r="AE26" t="s">
        <v>1270</v>
      </c>
    </row>
    <row r="27" spans="1:31" x14ac:dyDescent="0.15">
      <c r="A27">
        <v>26123026</v>
      </c>
      <c r="B27" t="s">
        <v>258</v>
      </c>
      <c r="C27" t="s">
        <v>260</v>
      </c>
      <c r="D27" t="s">
        <v>1033</v>
      </c>
      <c r="E27" t="s">
        <v>131</v>
      </c>
      <c r="F27" t="s">
        <v>1057</v>
      </c>
      <c r="G27" t="s">
        <v>259</v>
      </c>
      <c r="H27">
        <v>4750</v>
      </c>
      <c r="I27">
        <v>0</v>
      </c>
      <c r="K27" t="s">
        <v>1063</v>
      </c>
      <c r="L27" t="s">
        <v>1064</v>
      </c>
      <c r="M27" t="s">
        <v>1059</v>
      </c>
      <c r="N27">
        <v>7281</v>
      </c>
      <c r="O27">
        <v>7281</v>
      </c>
      <c r="P27">
        <v>7281</v>
      </c>
      <c r="Q27">
        <v>7281</v>
      </c>
      <c r="R27">
        <v>7281</v>
      </c>
      <c r="T27" t="s">
        <v>1060</v>
      </c>
      <c r="U27" t="s">
        <v>1065</v>
      </c>
      <c r="V27" t="s">
        <v>150</v>
      </c>
      <c r="W27" t="s">
        <v>218</v>
      </c>
      <c r="X27" t="s">
        <v>148</v>
      </c>
      <c r="Y27" t="s">
        <v>257</v>
      </c>
      <c r="AB27" t="s">
        <v>148</v>
      </c>
      <c r="AC27" t="s">
        <v>147</v>
      </c>
      <c r="AD27">
        <v>16304818086</v>
      </c>
      <c r="AE27" t="s">
        <v>1271</v>
      </c>
    </row>
    <row r="28" spans="1:31" x14ac:dyDescent="0.15">
      <c r="A28">
        <v>26123027</v>
      </c>
      <c r="B28" t="s">
        <v>262</v>
      </c>
      <c r="C28" t="s">
        <v>264</v>
      </c>
      <c r="D28" t="s">
        <v>1033</v>
      </c>
      <c r="E28" t="s">
        <v>131</v>
      </c>
      <c r="F28" t="s">
        <v>1057</v>
      </c>
      <c r="G28" t="s">
        <v>263</v>
      </c>
      <c r="H28">
        <v>7488</v>
      </c>
      <c r="I28">
        <v>0</v>
      </c>
      <c r="K28" t="s">
        <v>1058</v>
      </c>
      <c r="L28" t="s">
        <v>122</v>
      </c>
      <c r="M28" t="s">
        <v>1059</v>
      </c>
      <c r="N28">
        <v>8381</v>
      </c>
      <c r="O28">
        <v>8381</v>
      </c>
      <c r="P28">
        <v>8381</v>
      </c>
      <c r="Q28">
        <v>8381</v>
      </c>
      <c r="R28">
        <v>8381</v>
      </c>
      <c r="T28" t="s">
        <v>1060</v>
      </c>
      <c r="U28" t="s">
        <v>1060</v>
      </c>
      <c r="V28" t="s">
        <v>126</v>
      </c>
      <c r="W28" t="s">
        <v>128</v>
      </c>
      <c r="X28" t="s">
        <v>124</v>
      </c>
      <c r="Y28" t="s">
        <v>261</v>
      </c>
      <c r="AB28" t="s">
        <v>133</v>
      </c>
      <c r="AC28" t="s">
        <v>122</v>
      </c>
      <c r="AD28">
        <v>18768350129</v>
      </c>
      <c r="AE28" t="s">
        <v>1272</v>
      </c>
    </row>
    <row r="29" spans="1:31" x14ac:dyDescent="0.15">
      <c r="A29">
        <v>26123028</v>
      </c>
      <c r="B29" t="s">
        <v>266</v>
      </c>
      <c r="C29" t="s">
        <v>268</v>
      </c>
      <c r="D29" t="s">
        <v>1033</v>
      </c>
      <c r="E29" t="s">
        <v>154</v>
      </c>
      <c r="F29" t="s">
        <v>1057</v>
      </c>
      <c r="G29" t="s">
        <v>267</v>
      </c>
      <c r="H29">
        <v>3130</v>
      </c>
      <c r="I29">
        <v>0</v>
      </c>
      <c r="K29" t="s">
        <v>1063</v>
      </c>
      <c r="L29" t="s">
        <v>166</v>
      </c>
      <c r="M29" t="s">
        <v>1059</v>
      </c>
      <c r="N29">
        <v>5563</v>
      </c>
      <c r="O29">
        <v>5563</v>
      </c>
      <c r="P29">
        <v>5563</v>
      </c>
      <c r="Q29">
        <v>5563</v>
      </c>
      <c r="R29">
        <v>5563</v>
      </c>
      <c r="S29">
        <v>5563</v>
      </c>
      <c r="T29" t="s">
        <v>1060</v>
      </c>
      <c r="U29" t="s">
        <v>1060</v>
      </c>
      <c r="V29" t="s">
        <v>168</v>
      </c>
      <c r="W29" t="s">
        <v>170</v>
      </c>
      <c r="X29" t="s">
        <v>166</v>
      </c>
      <c r="Y29" t="s">
        <v>265</v>
      </c>
      <c r="AB29" t="s">
        <v>166</v>
      </c>
      <c r="AC29" t="s">
        <v>165</v>
      </c>
      <c r="AD29">
        <v>17726928600</v>
      </c>
      <c r="AE29" t="s">
        <v>1273</v>
      </c>
    </row>
    <row r="30" spans="1:31" x14ac:dyDescent="0.15">
      <c r="A30">
        <v>26123029</v>
      </c>
      <c r="B30" t="s">
        <v>270</v>
      </c>
      <c r="C30" t="s">
        <v>272</v>
      </c>
      <c r="D30" t="s">
        <v>1033</v>
      </c>
      <c r="E30" t="s">
        <v>154</v>
      </c>
      <c r="F30" t="s">
        <v>1057</v>
      </c>
      <c r="G30" t="s">
        <v>271</v>
      </c>
      <c r="H30">
        <v>3730</v>
      </c>
      <c r="I30">
        <v>0</v>
      </c>
      <c r="K30" t="s">
        <v>1063</v>
      </c>
      <c r="L30" t="s">
        <v>148</v>
      </c>
      <c r="M30" t="s">
        <v>1059</v>
      </c>
      <c r="N30">
        <v>3618</v>
      </c>
      <c r="O30">
        <v>7162</v>
      </c>
      <c r="P30">
        <v>7162</v>
      </c>
      <c r="Q30">
        <v>7162</v>
      </c>
      <c r="R30">
        <v>7162</v>
      </c>
      <c r="T30" t="s">
        <v>1060</v>
      </c>
      <c r="U30" t="s">
        <v>1065</v>
      </c>
      <c r="V30" t="s">
        <v>150</v>
      </c>
      <c r="W30" t="s">
        <v>152</v>
      </c>
      <c r="X30" t="s">
        <v>148</v>
      </c>
      <c r="Y30" t="s">
        <v>269</v>
      </c>
      <c r="AB30" t="s">
        <v>148</v>
      </c>
      <c r="AC30" t="s">
        <v>147</v>
      </c>
      <c r="AD30">
        <v>14366496581</v>
      </c>
      <c r="AE30" t="s">
        <v>1274</v>
      </c>
    </row>
    <row r="31" spans="1:31" x14ac:dyDescent="0.15">
      <c r="A31">
        <v>26123030</v>
      </c>
      <c r="B31" t="s">
        <v>274</v>
      </c>
      <c r="C31" t="s">
        <v>276</v>
      </c>
      <c r="D31" t="s">
        <v>1033</v>
      </c>
      <c r="E31" t="s">
        <v>154</v>
      </c>
      <c r="F31" t="s">
        <v>1057</v>
      </c>
      <c r="G31" t="s">
        <v>275</v>
      </c>
      <c r="H31">
        <v>4190</v>
      </c>
      <c r="I31">
        <v>21</v>
      </c>
      <c r="K31" t="s">
        <v>1058</v>
      </c>
      <c r="L31" t="s">
        <v>122</v>
      </c>
      <c r="M31" t="s">
        <v>1059</v>
      </c>
      <c r="N31">
        <v>6474</v>
      </c>
      <c r="O31">
        <v>7460</v>
      </c>
      <c r="P31">
        <v>7460</v>
      </c>
      <c r="Q31">
        <v>7460</v>
      </c>
      <c r="R31">
        <v>7460</v>
      </c>
      <c r="T31" t="s">
        <v>1060</v>
      </c>
      <c r="U31" t="s">
        <v>1060</v>
      </c>
      <c r="V31" t="s">
        <v>126</v>
      </c>
      <c r="W31" t="s">
        <v>187</v>
      </c>
      <c r="X31" t="s">
        <v>156</v>
      </c>
      <c r="Y31" t="s">
        <v>273</v>
      </c>
      <c r="AB31" t="s">
        <v>133</v>
      </c>
      <c r="AC31" t="s">
        <v>122</v>
      </c>
      <c r="AD31">
        <v>16675786186</v>
      </c>
      <c r="AE31" t="s">
        <v>1275</v>
      </c>
    </row>
    <row r="32" spans="1:31" x14ac:dyDescent="0.15">
      <c r="A32">
        <v>26123031</v>
      </c>
      <c r="B32" t="s">
        <v>278</v>
      </c>
      <c r="C32" t="s">
        <v>280</v>
      </c>
      <c r="D32" t="s">
        <v>1033</v>
      </c>
      <c r="E32" t="s">
        <v>154</v>
      </c>
      <c r="F32" t="s">
        <v>1057</v>
      </c>
      <c r="G32" t="s">
        <v>279</v>
      </c>
      <c r="H32">
        <v>3130</v>
      </c>
      <c r="I32">
        <v>0</v>
      </c>
      <c r="K32" t="s">
        <v>1063</v>
      </c>
      <c r="L32" t="s">
        <v>166</v>
      </c>
      <c r="M32" t="s">
        <v>1059</v>
      </c>
      <c r="N32">
        <v>3734</v>
      </c>
      <c r="O32">
        <v>5124</v>
      </c>
      <c r="P32">
        <v>5124</v>
      </c>
      <c r="Q32">
        <v>5124</v>
      </c>
      <c r="R32">
        <v>5124</v>
      </c>
      <c r="S32">
        <v>5124</v>
      </c>
      <c r="T32" t="s">
        <v>1060</v>
      </c>
      <c r="U32" t="s">
        <v>1060</v>
      </c>
      <c r="V32" t="s">
        <v>168</v>
      </c>
      <c r="W32" t="s">
        <v>170</v>
      </c>
      <c r="X32" t="s">
        <v>166</v>
      </c>
      <c r="Y32" t="s">
        <v>277</v>
      </c>
      <c r="AB32" t="s">
        <v>166</v>
      </c>
      <c r="AC32" t="s">
        <v>165</v>
      </c>
      <c r="AD32">
        <v>13886188455</v>
      </c>
      <c r="AE32" t="s">
        <v>1276</v>
      </c>
    </row>
    <row r="33" spans="1:31" x14ac:dyDescent="0.15">
      <c r="A33">
        <v>26123032</v>
      </c>
      <c r="B33" t="s">
        <v>282</v>
      </c>
      <c r="C33" t="s">
        <v>284</v>
      </c>
      <c r="D33" t="s">
        <v>1033</v>
      </c>
      <c r="E33" t="s">
        <v>154</v>
      </c>
      <c r="F33" t="s">
        <v>1057</v>
      </c>
      <c r="G33" t="s">
        <v>283</v>
      </c>
      <c r="H33">
        <v>3640</v>
      </c>
      <c r="I33">
        <v>0</v>
      </c>
      <c r="K33" t="s">
        <v>1063</v>
      </c>
      <c r="L33" t="s">
        <v>1064</v>
      </c>
      <c r="M33" t="s">
        <v>1059</v>
      </c>
      <c r="N33">
        <v>2722</v>
      </c>
      <c r="O33">
        <v>7162</v>
      </c>
      <c r="P33">
        <v>7162</v>
      </c>
      <c r="Q33">
        <v>7162</v>
      </c>
      <c r="R33">
        <v>7162</v>
      </c>
      <c r="T33" t="s">
        <v>1060</v>
      </c>
      <c r="U33" t="s">
        <v>1065</v>
      </c>
      <c r="V33" t="s">
        <v>150</v>
      </c>
      <c r="W33" t="s">
        <v>170</v>
      </c>
      <c r="X33" t="s">
        <v>148</v>
      </c>
      <c r="Y33" t="s">
        <v>281</v>
      </c>
      <c r="AB33" t="s">
        <v>148</v>
      </c>
      <c r="AC33" t="s">
        <v>147</v>
      </c>
      <c r="AD33">
        <v>14308370933</v>
      </c>
      <c r="AE33" t="s">
        <v>1277</v>
      </c>
    </row>
    <row r="34" spans="1:31" x14ac:dyDescent="0.15">
      <c r="A34">
        <v>26123033</v>
      </c>
      <c r="B34" t="s">
        <v>286</v>
      </c>
      <c r="C34" t="s">
        <v>288</v>
      </c>
      <c r="D34" t="s">
        <v>1033</v>
      </c>
      <c r="E34" t="s">
        <v>154</v>
      </c>
      <c r="F34" t="s">
        <v>1057</v>
      </c>
      <c r="G34" t="s">
        <v>287</v>
      </c>
      <c r="H34">
        <v>3640</v>
      </c>
      <c r="I34">
        <v>0</v>
      </c>
      <c r="K34" t="s">
        <v>1063</v>
      </c>
      <c r="L34" t="s">
        <v>1064</v>
      </c>
      <c r="M34" t="s">
        <v>1059</v>
      </c>
      <c r="N34">
        <v>4196</v>
      </c>
      <c r="O34">
        <v>7162</v>
      </c>
      <c r="P34">
        <v>7162</v>
      </c>
      <c r="Q34">
        <v>7162</v>
      </c>
      <c r="R34">
        <v>7162</v>
      </c>
      <c r="T34" t="s">
        <v>1060</v>
      </c>
      <c r="U34" t="s">
        <v>1065</v>
      </c>
      <c r="V34" t="s">
        <v>150</v>
      </c>
      <c r="W34" t="s">
        <v>170</v>
      </c>
      <c r="X34" t="s">
        <v>148</v>
      </c>
      <c r="Y34" t="s">
        <v>285</v>
      </c>
      <c r="AB34" t="s">
        <v>148</v>
      </c>
      <c r="AC34" t="s">
        <v>147</v>
      </c>
      <c r="AD34">
        <v>18620310791</v>
      </c>
      <c r="AE34" t="s">
        <v>1068</v>
      </c>
    </row>
    <row r="35" spans="1:31" x14ac:dyDescent="0.15">
      <c r="A35">
        <v>26123034</v>
      </c>
      <c r="B35" t="s">
        <v>293</v>
      </c>
      <c r="C35" t="s">
        <v>295</v>
      </c>
      <c r="D35" t="s">
        <v>1033</v>
      </c>
      <c r="E35" t="s">
        <v>154</v>
      </c>
      <c r="F35" t="s">
        <v>1057</v>
      </c>
      <c r="G35" t="s">
        <v>294</v>
      </c>
      <c r="H35">
        <v>3010</v>
      </c>
      <c r="I35">
        <v>0</v>
      </c>
      <c r="K35" t="s">
        <v>1063</v>
      </c>
      <c r="L35" t="s">
        <v>290</v>
      </c>
      <c r="M35" t="s">
        <v>1059</v>
      </c>
      <c r="N35">
        <v>3626</v>
      </c>
      <c r="O35">
        <v>4504</v>
      </c>
      <c r="P35">
        <v>4504</v>
      </c>
      <c r="Q35">
        <v>4504</v>
      </c>
      <c r="R35">
        <v>4504</v>
      </c>
      <c r="T35" t="s">
        <v>1060</v>
      </c>
      <c r="U35" t="s">
        <v>1060</v>
      </c>
      <c r="V35" t="s">
        <v>292</v>
      </c>
      <c r="W35" t="s">
        <v>170</v>
      </c>
      <c r="X35" t="s">
        <v>290</v>
      </c>
      <c r="Y35" t="s">
        <v>291</v>
      </c>
      <c r="AB35" t="s">
        <v>290</v>
      </c>
      <c r="AC35" t="s">
        <v>289</v>
      </c>
      <c r="AD35">
        <v>16773932045</v>
      </c>
      <c r="AE35" t="s">
        <v>1278</v>
      </c>
    </row>
    <row r="36" spans="1:31" x14ac:dyDescent="0.15">
      <c r="A36">
        <v>26123035</v>
      </c>
      <c r="B36" t="s">
        <v>297</v>
      </c>
      <c r="C36" t="s">
        <v>299</v>
      </c>
      <c r="D36" t="s">
        <v>1033</v>
      </c>
      <c r="E36" t="s">
        <v>154</v>
      </c>
      <c r="F36" t="s">
        <v>1057</v>
      </c>
      <c r="G36" t="s">
        <v>298</v>
      </c>
      <c r="H36">
        <v>3920</v>
      </c>
      <c r="I36">
        <v>0</v>
      </c>
      <c r="K36" t="s">
        <v>1063</v>
      </c>
      <c r="L36" t="s">
        <v>148</v>
      </c>
      <c r="M36" t="s">
        <v>1059</v>
      </c>
      <c r="N36">
        <v>5479</v>
      </c>
      <c r="O36">
        <v>7162</v>
      </c>
      <c r="P36">
        <v>7162</v>
      </c>
      <c r="Q36">
        <v>7162</v>
      </c>
      <c r="R36">
        <v>7162</v>
      </c>
      <c r="T36" t="s">
        <v>1060</v>
      </c>
      <c r="U36" t="s">
        <v>1065</v>
      </c>
      <c r="V36" t="s">
        <v>150</v>
      </c>
      <c r="W36" t="s">
        <v>187</v>
      </c>
      <c r="X36" t="s">
        <v>148</v>
      </c>
      <c r="Y36" t="s">
        <v>296</v>
      </c>
      <c r="AB36" t="s">
        <v>148</v>
      </c>
      <c r="AC36" t="s">
        <v>147</v>
      </c>
      <c r="AD36">
        <v>13492935919</v>
      </c>
      <c r="AE36" t="s">
        <v>1070</v>
      </c>
    </row>
    <row r="37" spans="1:31" x14ac:dyDescent="0.15">
      <c r="A37">
        <v>26123036</v>
      </c>
      <c r="B37" t="s">
        <v>301</v>
      </c>
      <c r="C37" t="s">
        <v>303</v>
      </c>
      <c r="D37" t="s">
        <v>1033</v>
      </c>
      <c r="E37" t="s">
        <v>154</v>
      </c>
      <c r="F37" t="s">
        <v>1057</v>
      </c>
      <c r="G37" t="s">
        <v>302</v>
      </c>
      <c r="H37">
        <v>3190</v>
      </c>
      <c r="I37">
        <v>0</v>
      </c>
      <c r="K37" t="s">
        <v>1063</v>
      </c>
      <c r="L37" t="s">
        <v>290</v>
      </c>
      <c r="M37" t="s">
        <v>1059</v>
      </c>
      <c r="N37">
        <v>3069</v>
      </c>
      <c r="O37">
        <v>4504</v>
      </c>
      <c r="P37">
        <v>4504</v>
      </c>
      <c r="Q37">
        <v>4504</v>
      </c>
      <c r="R37">
        <v>4504</v>
      </c>
      <c r="T37" t="s">
        <v>1060</v>
      </c>
      <c r="U37" t="s">
        <v>1060</v>
      </c>
      <c r="V37" t="s">
        <v>292</v>
      </c>
      <c r="W37" t="s">
        <v>152</v>
      </c>
      <c r="X37" t="s">
        <v>290</v>
      </c>
      <c r="Y37" t="s">
        <v>300</v>
      </c>
      <c r="AB37" t="s">
        <v>290</v>
      </c>
      <c r="AC37" t="s">
        <v>289</v>
      </c>
      <c r="AD37">
        <v>17774757820</v>
      </c>
      <c r="AE37" t="s">
        <v>1069</v>
      </c>
    </row>
    <row r="38" spans="1:31" x14ac:dyDescent="0.15">
      <c r="A38">
        <v>26123037</v>
      </c>
      <c r="B38" t="s">
        <v>305</v>
      </c>
      <c r="C38" t="s">
        <v>306</v>
      </c>
      <c r="D38" t="s">
        <v>1033</v>
      </c>
      <c r="E38" t="s">
        <v>154</v>
      </c>
      <c r="F38" t="s">
        <v>1057</v>
      </c>
      <c r="G38" t="s">
        <v>275</v>
      </c>
      <c r="H38">
        <v>3300</v>
      </c>
      <c r="I38">
        <v>22</v>
      </c>
      <c r="K38" t="s">
        <v>1058</v>
      </c>
      <c r="L38" t="s">
        <v>210</v>
      </c>
      <c r="M38" t="s">
        <v>1059</v>
      </c>
      <c r="N38">
        <v>4707</v>
      </c>
      <c r="O38">
        <v>4952</v>
      </c>
      <c r="P38">
        <v>4952</v>
      </c>
      <c r="Q38">
        <v>4952</v>
      </c>
      <c r="R38">
        <v>4952</v>
      </c>
      <c r="S38">
        <v>4952</v>
      </c>
      <c r="T38" t="s">
        <v>1060</v>
      </c>
      <c r="U38" t="s">
        <v>1060</v>
      </c>
      <c r="V38" t="s">
        <v>212</v>
      </c>
      <c r="W38" t="s">
        <v>170</v>
      </c>
      <c r="X38" t="s">
        <v>210</v>
      </c>
      <c r="Y38" t="s">
        <v>304</v>
      </c>
      <c r="AB38" t="s">
        <v>210</v>
      </c>
      <c r="AC38" t="s">
        <v>209</v>
      </c>
      <c r="AD38">
        <v>17354953680</v>
      </c>
      <c r="AE38" t="s">
        <v>1279</v>
      </c>
    </row>
    <row r="39" spans="1:31" x14ac:dyDescent="0.15">
      <c r="A39">
        <v>26123038</v>
      </c>
      <c r="B39" t="s">
        <v>308</v>
      </c>
      <c r="C39" t="s">
        <v>310</v>
      </c>
      <c r="D39" t="s">
        <v>1033</v>
      </c>
      <c r="E39" t="s">
        <v>154</v>
      </c>
      <c r="F39" t="s">
        <v>1057</v>
      </c>
      <c r="G39" t="s">
        <v>309</v>
      </c>
      <c r="H39">
        <v>3130</v>
      </c>
      <c r="I39">
        <v>0</v>
      </c>
      <c r="K39" t="s">
        <v>1063</v>
      </c>
      <c r="L39" t="s">
        <v>166</v>
      </c>
      <c r="M39" t="s">
        <v>1059</v>
      </c>
      <c r="N39">
        <v>5839</v>
      </c>
      <c r="O39">
        <v>5839</v>
      </c>
      <c r="P39">
        <v>5839</v>
      </c>
      <c r="Q39">
        <v>5839</v>
      </c>
      <c r="R39">
        <v>5839</v>
      </c>
      <c r="S39">
        <v>5839</v>
      </c>
      <c r="T39" t="s">
        <v>1060</v>
      </c>
      <c r="U39" t="s">
        <v>1060</v>
      </c>
      <c r="V39" t="s">
        <v>168</v>
      </c>
      <c r="W39" t="s">
        <v>170</v>
      </c>
      <c r="X39" t="s">
        <v>166</v>
      </c>
      <c r="Y39" t="s">
        <v>307</v>
      </c>
      <c r="AB39" t="s">
        <v>166</v>
      </c>
      <c r="AC39" t="s">
        <v>165</v>
      </c>
      <c r="AD39">
        <v>15347375900</v>
      </c>
      <c r="AE39" t="s">
        <v>1280</v>
      </c>
    </row>
    <row r="40" spans="1:31" x14ac:dyDescent="0.15">
      <c r="A40">
        <v>26123039</v>
      </c>
      <c r="B40" t="s">
        <v>315</v>
      </c>
      <c r="C40" t="s">
        <v>317</v>
      </c>
      <c r="D40" t="s">
        <v>1033</v>
      </c>
      <c r="E40" t="s">
        <v>154</v>
      </c>
      <c r="F40" t="s">
        <v>1057</v>
      </c>
      <c r="G40" t="s">
        <v>316</v>
      </c>
      <c r="H40">
        <v>3250</v>
      </c>
      <c r="I40">
        <v>0</v>
      </c>
      <c r="K40" t="s">
        <v>1063</v>
      </c>
      <c r="L40" t="s">
        <v>312</v>
      </c>
      <c r="M40" t="s">
        <v>1059</v>
      </c>
      <c r="N40">
        <v>3945</v>
      </c>
      <c r="O40">
        <v>4504</v>
      </c>
      <c r="P40">
        <v>4504</v>
      </c>
      <c r="Q40">
        <v>4504</v>
      </c>
      <c r="R40">
        <v>4504</v>
      </c>
      <c r="S40">
        <v>0</v>
      </c>
      <c r="T40" t="s">
        <v>1060</v>
      </c>
      <c r="U40" t="s">
        <v>1060</v>
      </c>
      <c r="V40" t="s">
        <v>314</v>
      </c>
      <c r="W40" t="s">
        <v>152</v>
      </c>
      <c r="X40" t="s">
        <v>312</v>
      </c>
      <c r="Y40" t="s">
        <v>313</v>
      </c>
      <c r="AB40" t="s">
        <v>312</v>
      </c>
      <c r="AC40" t="s">
        <v>311</v>
      </c>
      <c r="AD40">
        <v>16359399364</v>
      </c>
      <c r="AE40" t="s">
        <v>1281</v>
      </c>
    </row>
    <row r="41" spans="1:31" x14ac:dyDescent="0.15">
      <c r="A41">
        <v>26123040</v>
      </c>
      <c r="B41" t="s">
        <v>319</v>
      </c>
      <c r="C41" t="s">
        <v>321</v>
      </c>
      <c r="D41" t="s">
        <v>1033</v>
      </c>
      <c r="E41" t="s">
        <v>154</v>
      </c>
      <c r="F41" t="s">
        <v>1057</v>
      </c>
      <c r="G41" t="s">
        <v>320</v>
      </c>
      <c r="H41">
        <v>3920</v>
      </c>
      <c r="I41">
        <v>0</v>
      </c>
      <c r="K41" t="s">
        <v>1063</v>
      </c>
      <c r="L41" t="s">
        <v>1064</v>
      </c>
      <c r="M41" t="s">
        <v>1059</v>
      </c>
      <c r="N41">
        <v>4470</v>
      </c>
      <c r="O41">
        <v>7162</v>
      </c>
      <c r="P41">
        <v>7162</v>
      </c>
      <c r="Q41">
        <v>7162</v>
      </c>
      <c r="R41">
        <v>7162</v>
      </c>
      <c r="T41" t="s">
        <v>1060</v>
      </c>
      <c r="U41" t="s">
        <v>1065</v>
      </c>
      <c r="V41" t="s">
        <v>150</v>
      </c>
      <c r="W41" t="s">
        <v>187</v>
      </c>
      <c r="X41" t="s">
        <v>148</v>
      </c>
      <c r="Y41" t="s">
        <v>318</v>
      </c>
      <c r="AB41" t="s">
        <v>148</v>
      </c>
      <c r="AC41" t="s">
        <v>147</v>
      </c>
      <c r="AD41">
        <v>16584896534</v>
      </c>
      <c r="AE41" t="s">
        <v>1282</v>
      </c>
    </row>
    <row r="42" spans="1:31" x14ac:dyDescent="0.15">
      <c r="A42">
        <v>26123041</v>
      </c>
      <c r="B42" t="s">
        <v>326</v>
      </c>
      <c r="C42" t="s">
        <v>328</v>
      </c>
      <c r="D42" t="s">
        <v>1033</v>
      </c>
      <c r="E42" t="s">
        <v>154</v>
      </c>
      <c r="F42" t="s">
        <v>1057</v>
      </c>
      <c r="G42" t="s">
        <v>327</v>
      </c>
      <c r="H42">
        <v>3840</v>
      </c>
      <c r="I42">
        <v>0</v>
      </c>
      <c r="K42" t="s">
        <v>1058</v>
      </c>
      <c r="L42" t="s">
        <v>323</v>
      </c>
      <c r="M42" t="s">
        <v>1059</v>
      </c>
      <c r="N42">
        <v>5824</v>
      </c>
      <c r="O42">
        <v>5824</v>
      </c>
      <c r="P42">
        <v>5824</v>
      </c>
      <c r="Q42">
        <v>5824</v>
      </c>
      <c r="R42">
        <v>5824</v>
      </c>
      <c r="T42" t="s">
        <v>1060</v>
      </c>
      <c r="U42" t="s">
        <v>1060</v>
      </c>
      <c r="V42" t="s">
        <v>325</v>
      </c>
      <c r="W42" t="s">
        <v>187</v>
      </c>
      <c r="X42" t="s">
        <v>323</v>
      </c>
      <c r="Y42" t="s">
        <v>324</v>
      </c>
      <c r="AB42" t="s">
        <v>323</v>
      </c>
      <c r="AC42" t="s">
        <v>322</v>
      </c>
      <c r="AD42">
        <v>13710571910</v>
      </c>
      <c r="AE42" t="s">
        <v>1283</v>
      </c>
    </row>
    <row r="43" spans="1:31" x14ac:dyDescent="0.15">
      <c r="A43">
        <v>26123042</v>
      </c>
      <c r="B43" t="s">
        <v>330</v>
      </c>
      <c r="C43" t="s">
        <v>332</v>
      </c>
      <c r="D43" t="s">
        <v>1033</v>
      </c>
      <c r="E43" t="s">
        <v>154</v>
      </c>
      <c r="F43" t="s">
        <v>1057</v>
      </c>
      <c r="G43" t="s">
        <v>331</v>
      </c>
      <c r="H43">
        <v>3310</v>
      </c>
      <c r="I43">
        <v>0</v>
      </c>
      <c r="K43" t="s">
        <v>1063</v>
      </c>
      <c r="L43" t="s">
        <v>166</v>
      </c>
      <c r="M43" t="s">
        <v>1059</v>
      </c>
      <c r="N43">
        <v>3848</v>
      </c>
      <c r="O43">
        <v>5124</v>
      </c>
      <c r="P43">
        <v>5124</v>
      </c>
      <c r="Q43">
        <v>5124</v>
      </c>
      <c r="R43">
        <v>5124</v>
      </c>
      <c r="S43">
        <v>5124</v>
      </c>
      <c r="T43" t="s">
        <v>1060</v>
      </c>
      <c r="U43" t="s">
        <v>1060</v>
      </c>
      <c r="V43" t="s">
        <v>168</v>
      </c>
      <c r="W43" t="s">
        <v>152</v>
      </c>
      <c r="X43" t="s">
        <v>166</v>
      </c>
      <c r="Y43" t="s">
        <v>329</v>
      </c>
      <c r="AB43" t="s">
        <v>166</v>
      </c>
      <c r="AC43" t="s">
        <v>165</v>
      </c>
      <c r="AD43">
        <v>13772465609</v>
      </c>
      <c r="AE43" t="s">
        <v>1284</v>
      </c>
    </row>
    <row r="44" spans="1:31" x14ac:dyDescent="0.15">
      <c r="A44">
        <v>26123043</v>
      </c>
      <c r="B44" t="s">
        <v>337</v>
      </c>
      <c r="C44" t="s">
        <v>339</v>
      </c>
      <c r="D44" t="s">
        <v>1033</v>
      </c>
      <c r="E44" t="s">
        <v>131</v>
      </c>
      <c r="F44" t="s">
        <v>1057</v>
      </c>
      <c r="G44" t="s">
        <v>338</v>
      </c>
      <c r="H44">
        <v>6500</v>
      </c>
      <c r="I44">
        <v>0</v>
      </c>
      <c r="K44" t="s">
        <v>1058</v>
      </c>
      <c r="L44" t="s">
        <v>334</v>
      </c>
      <c r="M44" t="s">
        <v>1059</v>
      </c>
      <c r="N44">
        <v>5497</v>
      </c>
      <c r="O44">
        <v>5497</v>
      </c>
      <c r="P44">
        <v>5497</v>
      </c>
      <c r="Q44">
        <v>5497</v>
      </c>
      <c r="R44">
        <v>5497</v>
      </c>
      <c r="S44">
        <v>5497</v>
      </c>
      <c r="T44" t="s">
        <v>1060</v>
      </c>
      <c r="U44" t="s">
        <v>1060</v>
      </c>
      <c r="V44" t="s">
        <v>336</v>
      </c>
      <c r="W44" t="s">
        <v>128</v>
      </c>
      <c r="X44" t="s">
        <v>334</v>
      </c>
      <c r="Y44" t="s">
        <v>335</v>
      </c>
      <c r="AB44" t="s">
        <v>334</v>
      </c>
      <c r="AC44" t="s">
        <v>333</v>
      </c>
      <c r="AD44">
        <v>16303501994</v>
      </c>
      <c r="AE44" t="s">
        <v>1285</v>
      </c>
    </row>
    <row r="45" spans="1:31" x14ac:dyDescent="0.15">
      <c r="A45">
        <v>26123044</v>
      </c>
      <c r="B45" t="s">
        <v>342</v>
      </c>
      <c r="C45" t="s">
        <v>344</v>
      </c>
      <c r="D45" t="s">
        <v>1033</v>
      </c>
      <c r="E45" t="s">
        <v>154</v>
      </c>
      <c r="F45" t="s">
        <v>1057</v>
      </c>
      <c r="G45" t="s">
        <v>343</v>
      </c>
      <c r="H45">
        <v>3480</v>
      </c>
      <c r="I45">
        <v>0</v>
      </c>
      <c r="K45" t="s">
        <v>1058</v>
      </c>
      <c r="L45" t="s">
        <v>230</v>
      </c>
      <c r="M45" t="s">
        <v>1059</v>
      </c>
      <c r="N45">
        <v>4787</v>
      </c>
      <c r="O45">
        <v>4952</v>
      </c>
      <c r="P45">
        <v>4952</v>
      </c>
      <c r="Q45">
        <v>4952</v>
      </c>
      <c r="R45">
        <v>4952</v>
      </c>
      <c r="S45">
        <v>4952</v>
      </c>
      <c r="T45" t="s">
        <v>1060</v>
      </c>
      <c r="U45" t="s">
        <v>1060</v>
      </c>
      <c r="V45" t="s">
        <v>232</v>
      </c>
      <c r="W45" t="s">
        <v>152</v>
      </c>
      <c r="X45" t="s">
        <v>340</v>
      </c>
      <c r="Y45" t="s">
        <v>341</v>
      </c>
      <c r="AB45" t="s">
        <v>340</v>
      </c>
      <c r="AC45" t="s">
        <v>229</v>
      </c>
      <c r="AD45">
        <v>13356970546</v>
      </c>
      <c r="AE45" t="s">
        <v>1286</v>
      </c>
    </row>
    <row r="46" spans="1:31" x14ac:dyDescent="0.15">
      <c r="A46">
        <v>26123045</v>
      </c>
      <c r="B46" t="s">
        <v>349</v>
      </c>
      <c r="C46" t="s">
        <v>350</v>
      </c>
      <c r="D46" t="s">
        <v>1033</v>
      </c>
      <c r="E46" t="s">
        <v>131</v>
      </c>
      <c r="F46" t="s">
        <v>1057</v>
      </c>
      <c r="G46" t="s">
        <v>343</v>
      </c>
      <c r="H46">
        <v>5200</v>
      </c>
      <c r="I46">
        <v>0</v>
      </c>
      <c r="K46" t="s">
        <v>1058</v>
      </c>
      <c r="L46" t="s">
        <v>1287</v>
      </c>
      <c r="M46" t="s">
        <v>1059</v>
      </c>
      <c r="N46">
        <v>6639</v>
      </c>
      <c r="O46">
        <v>6639</v>
      </c>
      <c r="P46">
        <v>6639</v>
      </c>
      <c r="Q46">
        <v>6639</v>
      </c>
      <c r="R46">
        <v>6639</v>
      </c>
      <c r="S46">
        <v>0</v>
      </c>
      <c r="T46" t="s">
        <v>1060</v>
      </c>
      <c r="U46" t="s">
        <v>1060</v>
      </c>
      <c r="V46" t="s">
        <v>348</v>
      </c>
      <c r="W46" t="s">
        <v>140</v>
      </c>
      <c r="X46" t="s">
        <v>346</v>
      </c>
      <c r="Y46" t="s">
        <v>347</v>
      </c>
      <c r="AB46" t="s">
        <v>346</v>
      </c>
      <c r="AC46" t="s">
        <v>345</v>
      </c>
      <c r="AD46">
        <v>17815376602</v>
      </c>
      <c r="AE46" t="s">
        <v>1288</v>
      </c>
    </row>
    <row r="47" spans="1:31" x14ac:dyDescent="0.15">
      <c r="A47">
        <v>26123046</v>
      </c>
      <c r="B47" t="s">
        <v>354</v>
      </c>
      <c r="C47" t="s">
        <v>356</v>
      </c>
      <c r="D47" t="s">
        <v>1033</v>
      </c>
      <c r="E47" t="s">
        <v>131</v>
      </c>
      <c r="F47" t="s">
        <v>1057</v>
      </c>
      <c r="G47" t="s">
        <v>355</v>
      </c>
      <c r="H47">
        <v>4300</v>
      </c>
      <c r="I47">
        <v>0</v>
      </c>
      <c r="K47" t="s">
        <v>1058</v>
      </c>
      <c r="L47" t="s">
        <v>1289</v>
      </c>
      <c r="M47" t="s">
        <v>1059</v>
      </c>
      <c r="N47">
        <v>4576</v>
      </c>
      <c r="O47">
        <v>4986</v>
      </c>
      <c r="P47">
        <v>4986</v>
      </c>
      <c r="Q47">
        <v>4986</v>
      </c>
      <c r="R47">
        <v>4986</v>
      </c>
      <c r="T47" t="s">
        <v>1060</v>
      </c>
      <c r="U47" t="s">
        <v>1060</v>
      </c>
      <c r="V47" t="s">
        <v>353</v>
      </c>
      <c r="W47" t="s">
        <v>218</v>
      </c>
      <c r="X47" t="s">
        <v>180</v>
      </c>
      <c r="Y47" t="s">
        <v>352</v>
      </c>
      <c r="AB47" t="s">
        <v>180</v>
      </c>
      <c r="AC47" t="s">
        <v>351</v>
      </c>
      <c r="AD47">
        <v>15344897754</v>
      </c>
      <c r="AE47" t="s">
        <v>1290</v>
      </c>
    </row>
    <row r="48" spans="1:31" x14ac:dyDescent="0.15">
      <c r="A48">
        <v>26123047</v>
      </c>
      <c r="B48" t="s">
        <v>358</v>
      </c>
      <c r="C48" t="s">
        <v>360</v>
      </c>
      <c r="D48" t="s">
        <v>1033</v>
      </c>
      <c r="E48" t="s">
        <v>154</v>
      </c>
      <c r="F48" t="s">
        <v>1057</v>
      </c>
      <c r="G48" t="s">
        <v>359</v>
      </c>
      <c r="H48">
        <v>3310</v>
      </c>
      <c r="I48">
        <v>0</v>
      </c>
      <c r="K48" t="s">
        <v>1063</v>
      </c>
      <c r="L48" t="s">
        <v>166</v>
      </c>
      <c r="M48" t="s">
        <v>1059</v>
      </c>
      <c r="N48">
        <v>5569</v>
      </c>
      <c r="O48">
        <v>5569</v>
      </c>
      <c r="P48">
        <v>5569</v>
      </c>
      <c r="Q48">
        <v>5569</v>
      </c>
      <c r="R48">
        <v>5569</v>
      </c>
      <c r="S48">
        <v>5569</v>
      </c>
      <c r="T48" t="s">
        <v>1060</v>
      </c>
      <c r="U48" t="s">
        <v>1060</v>
      </c>
      <c r="V48" t="s">
        <v>168</v>
      </c>
      <c r="W48" t="s">
        <v>152</v>
      </c>
      <c r="X48" t="s">
        <v>166</v>
      </c>
      <c r="Y48" t="s">
        <v>357</v>
      </c>
      <c r="AB48" t="s">
        <v>166</v>
      </c>
      <c r="AC48" t="s">
        <v>165</v>
      </c>
      <c r="AD48">
        <v>16407902026</v>
      </c>
      <c r="AE48" t="s">
        <v>1291</v>
      </c>
    </row>
    <row r="49" spans="1:31" x14ac:dyDescent="0.15">
      <c r="A49">
        <v>26123048</v>
      </c>
      <c r="B49" t="s">
        <v>362</v>
      </c>
      <c r="C49" t="s">
        <v>364</v>
      </c>
      <c r="D49" t="s">
        <v>1033</v>
      </c>
      <c r="E49" t="s">
        <v>154</v>
      </c>
      <c r="F49" t="s">
        <v>1057</v>
      </c>
      <c r="G49" t="s">
        <v>363</v>
      </c>
      <c r="H49">
        <v>3050</v>
      </c>
      <c r="I49">
        <v>0</v>
      </c>
      <c r="K49" t="s">
        <v>1063</v>
      </c>
      <c r="L49" t="s">
        <v>312</v>
      </c>
      <c r="M49" t="s">
        <v>1059</v>
      </c>
      <c r="N49">
        <v>3644</v>
      </c>
      <c r="O49">
        <v>4504</v>
      </c>
      <c r="P49">
        <v>4504</v>
      </c>
      <c r="Q49">
        <v>4504</v>
      </c>
      <c r="R49">
        <v>4504</v>
      </c>
      <c r="S49">
        <v>0</v>
      </c>
      <c r="T49" t="s">
        <v>1060</v>
      </c>
      <c r="U49" t="s">
        <v>1060</v>
      </c>
      <c r="V49" t="s">
        <v>314</v>
      </c>
      <c r="W49" t="s">
        <v>170</v>
      </c>
      <c r="X49" t="s">
        <v>312</v>
      </c>
      <c r="Y49" t="s">
        <v>361</v>
      </c>
      <c r="AB49" t="s">
        <v>312</v>
      </c>
      <c r="AC49" t="s">
        <v>311</v>
      </c>
      <c r="AD49">
        <v>16314168507</v>
      </c>
      <c r="AE49" t="s">
        <v>1292</v>
      </c>
    </row>
    <row r="50" spans="1:31" x14ac:dyDescent="0.15">
      <c r="A50">
        <v>26123049</v>
      </c>
      <c r="B50" t="s">
        <v>365</v>
      </c>
      <c r="C50" t="s">
        <v>367</v>
      </c>
      <c r="D50" t="s">
        <v>1033</v>
      </c>
      <c r="E50" t="s">
        <v>154</v>
      </c>
      <c r="F50" t="s">
        <v>1057</v>
      </c>
      <c r="G50" t="s">
        <v>366</v>
      </c>
      <c r="H50">
        <v>3730</v>
      </c>
      <c r="I50">
        <v>0</v>
      </c>
      <c r="K50" t="s">
        <v>1063</v>
      </c>
      <c r="L50" t="s">
        <v>1064</v>
      </c>
      <c r="M50" t="s">
        <v>1059</v>
      </c>
      <c r="N50">
        <v>3698</v>
      </c>
      <c r="O50">
        <v>7162</v>
      </c>
      <c r="P50">
        <v>7162</v>
      </c>
      <c r="Q50">
        <v>7162</v>
      </c>
      <c r="R50">
        <v>7162</v>
      </c>
      <c r="T50" t="s">
        <v>1060</v>
      </c>
      <c r="U50" t="s">
        <v>1065</v>
      </c>
      <c r="V50" t="s">
        <v>150</v>
      </c>
      <c r="W50" t="s">
        <v>152</v>
      </c>
      <c r="X50" t="s">
        <v>148</v>
      </c>
      <c r="Y50" t="s">
        <v>281</v>
      </c>
      <c r="AB50" t="s">
        <v>148</v>
      </c>
      <c r="AC50" t="s">
        <v>147</v>
      </c>
      <c r="AD50">
        <v>15697005189</v>
      </c>
      <c r="AE50" t="s">
        <v>1277</v>
      </c>
    </row>
    <row r="51" spans="1:31" x14ac:dyDescent="0.15">
      <c r="A51">
        <v>26123050</v>
      </c>
      <c r="B51" t="s">
        <v>369</v>
      </c>
      <c r="C51" t="s">
        <v>371</v>
      </c>
      <c r="D51" t="s">
        <v>1033</v>
      </c>
      <c r="E51" t="s">
        <v>131</v>
      </c>
      <c r="F51" t="s">
        <v>1057</v>
      </c>
      <c r="G51" t="s">
        <v>370</v>
      </c>
      <c r="H51">
        <v>4750</v>
      </c>
      <c r="I51">
        <v>0</v>
      </c>
      <c r="K51" t="s">
        <v>1058</v>
      </c>
      <c r="L51" t="s">
        <v>122</v>
      </c>
      <c r="M51" t="s">
        <v>1059</v>
      </c>
      <c r="N51">
        <v>5573</v>
      </c>
      <c r="O51">
        <v>7460</v>
      </c>
      <c r="P51">
        <v>7460</v>
      </c>
      <c r="Q51">
        <v>7460</v>
      </c>
      <c r="R51">
        <v>7460</v>
      </c>
      <c r="T51" t="s">
        <v>1060</v>
      </c>
      <c r="U51" t="s">
        <v>1060</v>
      </c>
      <c r="V51" t="s">
        <v>126</v>
      </c>
      <c r="W51" t="s">
        <v>218</v>
      </c>
      <c r="X51" t="s">
        <v>156</v>
      </c>
      <c r="Y51" t="s">
        <v>368</v>
      </c>
      <c r="AB51" t="s">
        <v>133</v>
      </c>
      <c r="AC51" t="s">
        <v>122</v>
      </c>
      <c r="AD51">
        <v>13499159463</v>
      </c>
      <c r="AE51" t="s">
        <v>1293</v>
      </c>
    </row>
    <row r="52" spans="1:31" x14ac:dyDescent="0.15">
      <c r="A52">
        <v>26123051</v>
      </c>
      <c r="B52" t="s">
        <v>373</v>
      </c>
      <c r="C52" t="s">
        <v>375</v>
      </c>
      <c r="D52" t="s">
        <v>1033</v>
      </c>
      <c r="E52" t="s">
        <v>154</v>
      </c>
      <c r="F52" t="s">
        <v>1057</v>
      </c>
      <c r="G52" t="s">
        <v>374</v>
      </c>
      <c r="H52">
        <v>3930</v>
      </c>
      <c r="I52">
        <v>20</v>
      </c>
      <c r="K52" t="s">
        <v>1058</v>
      </c>
      <c r="L52" t="s">
        <v>122</v>
      </c>
      <c r="M52" t="s">
        <v>1059</v>
      </c>
      <c r="N52">
        <v>3720</v>
      </c>
      <c r="O52">
        <v>7460</v>
      </c>
      <c r="P52">
        <v>7460</v>
      </c>
      <c r="Q52">
        <v>7460</v>
      </c>
      <c r="R52">
        <v>7460</v>
      </c>
      <c r="T52" t="s">
        <v>1060</v>
      </c>
      <c r="U52" t="s">
        <v>1060</v>
      </c>
      <c r="V52" t="s">
        <v>126</v>
      </c>
      <c r="W52" t="s">
        <v>152</v>
      </c>
      <c r="X52" t="s">
        <v>124</v>
      </c>
      <c r="Y52" t="s">
        <v>372</v>
      </c>
      <c r="AB52" t="s">
        <v>133</v>
      </c>
      <c r="AC52" t="s">
        <v>122</v>
      </c>
      <c r="AD52">
        <v>15633638021</v>
      </c>
      <c r="AE52" t="s">
        <v>1294</v>
      </c>
    </row>
    <row r="53" spans="1:31" x14ac:dyDescent="0.15">
      <c r="A53">
        <v>26123052</v>
      </c>
      <c r="B53" t="s">
        <v>376</v>
      </c>
      <c r="C53" t="s">
        <v>379</v>
      </c>
      <c r="D53" t="s">
        <v>1033</v>
      </c>
      <c r="E53" t="s">
        <v>154</v>
      </c>
      <c r="G53" t="s">
        <v>378</v>
      </c>
      <c r="H53">
        <v>2904</v>
      </c>
      <c r="I53">
        <v>0</v>
      </c>
      <c r="K53" t="s">
        <v>1063</v>
      </c>
      <c r="L53" t="s">
        <v>148</v>
      </c>
      <c r="M53" t="s">
        <v>1059</v>
      </c>
      <c r="N53">
        <v>2540</v>
      </c>
      <c r="O53">
        <v>7162</v>
      </c>
      <c r="P53">
        <v>7162</v>
      </c>
      <c r="Q53">
        <v>7162</v>
      </c>
      <c r="R53">
        <v>7162</v>
      </c>
      <c r="T53" t="s">
        <v>1060</v>
      </c>
      <c r="U53" t="s">
        <v>1065</v>
      </c>
      <c r="V53" t="s">
        <v>150</v>
      </c>
      <c r="W53" t="s">
        <v>377</v>
      </c>
      <c r="X53" t="s">
        <v>148</v>
      </c>
      <c r="Y53" t="s">
        <v>296</v>
      </c>
      <c r="AB53" t="s">
        <v>148</v>
      </c>
      <c r="AC53" t="s">
        <v>147</v>
      </c>
      <c r="AD53">
        <v>13467192268</v>
      </c>
      <c r="AE53" t="s">
        <v>1070</v>
      </c>
    </row>
    <row r="54" spans="1:31" x14ac:dyDescent="0.15">
      <c r="A54">
        <v>26123053</v>
      </c>
      <c r="B54" t="s">
        <v>380</v>
      </c>
      <c r="C54" t="s">
        <v>381</v>
      </c>
      <c r="D54" t="s">
        <v>1033</v>
      </c>
      <c r="E54" t="s">
        <v>154</v>
      </c>
      <c r="G54" t="s">
        <v>378</v>
      </c>
      <c r="H54">
        <v>2904</v>
      </c>
      <c r="I54">
        <v>0</v>
      </c>
      <c r="K54" t="s">
        <v>1063</v>
      </c>
      <c r="L54" t="s">
        <v>148</v>
      </c>
      <c r="M54" t="s">
        <v>1059</v>
      </c>
      <c r="N54">
        <v>2540</v>
      </c>
      <c r="O54">
        <v>7162</v>
      </c>
      <c r="P54">
        <v>7162</v>
      </c>
      <c r="Q54">
        <v>7162</v>
      </c>
      <c r="R54">
        <v>7162</v>
      </c>
      <c r="T54" t="s">
        <v>1060</v>
      </c>
      <c r="U54" t="s">
        <v>1065</v>
      </c>
      <c r="V54" t="s">
        <v>150</v>
      </c>
      <c r="W54" t="s">
        <v>377</v>
      </c>
      <c r="X54" t="s">
        <v>148</v>
      </c>
      <c r="Y54" t="s">
        <v>296</v>
      </c>
      <c r="AB54" t="s">
        <v>148</v>
      </c>
      <c r="AC54" t="s">
        <v>147</v>
      </c>
      <c r="AD54">
        <v>15322620225</v>
      </c>
      <c r="AE54" t="s">
        <v>1070</v>
      </c>
    </row>
    <row r="55" spans="1:31" x14ac:dyDescent="0.15">
      <c r="A55">
        <v>26123054</v>
      </c>
      <c r="B55" t="s">
        <v>383</v>
      </c>
      <c r="C55" t="s">
        <v>384</v>
      </c>
      <c r="D55" t="s">
        <v>1033</v>
      </c>
      <c r="E55" t="s">
        <v>154</v>
      </c>
      <c r="G55" t="s">
        <v>378</v>
      </c>
      <c r="H55">
        <v>2904</v>
      </c>
      <c r="I55">
        <v>0</v>
      </c>
      <c r="K55" t="s">
        <v>1063</v>
      </c>
      <c r="L55" t="s">
        <v>148</v>
      </c>
      <c r="M55" t="s">
        <v>1059</v>
      </c>
      <c r="N55">
        <v>2540</v>
      </c>
      <c r="O55">
        <v>7162</v>
      </c>
      <c r="P55">
        <v>7162</v>
      </c>
      <c r="Q55">
        <v>7162</v>
      </c>
      <c r="R55">
        <v>7162</v>
      </c>
      <c r="T55" t="s">
        <v>1060</v>
      </c>
      <c r="U55" t="s">
        <v>1065</v>
      </c>
      <c r="V55" t="s">
        <v>150</v>
      </c>
      <c r="W55" t="s">
        <v>377</v>
      </c>
      <c r="X55" t="s">
        <v>148</v>
      </c>
      <c r="Y55" t="s">
        <v>382</v>
      </c>
      <c r="AB55" t="s">
        <v>148</v>
      </c>
      <c r="AC55" t="s">
        <v>147</v>
      </c>
      <c r="AD55">
        <v>17596272617</v>
      </c>
      <c r="AE55" t="s">
        <v>1295</v>
      </c>
    </row>
    <row r="56" spans="1:31" x14ac:dyDescent="0.15">
      <c r="A56">
        <v>26123055</v>
      </c>
      <c r="B56" t="s">
        <v>385</v>
      </c>
      <c r="C56" t="s">
        <v>386</v>
      </c>
      <c r="D56" t="s">
        <v>1033</v>
      </c>
      <c r="E56" t="s">
        <v>154</v>
      </c>
      <c r="G56" t="s">
        <v>378</v>
      </c>
      <c r="H56">
        <v>2904</v>
      </c>
      <c r="I56">
        <v>0</v>
      </c>
      <c r="K56" t="s">
        <v>1063</v>
      </c>
      <c r="L56" t="s">
        <v>148</v>
      </c>
      <c r="M56" t="s">
        <v>1059</v>
      </c>
      <c r="N56">
        <v>2540</v>
      </c>
      <c r="O56">
        <v>7162</v>
      </c>
      <c r="P56">
        <v>7162</v>
      </c>
      <c r="Q56">
        <v>7162</v>
      </c>
      <c r="R56">
        <v>7162</v>
      </c>
      <c r="T56" t="s">
        <v>1060</v>
      </c>
      <c r="U56" t="s">
        <v>1065</v>
      </c>
      <c r="V56" t="s">
        <v>150</v>
      </c>
      <c r="W56" t="s">
        <v>377</v>
      </c>
      <c r="X56" t="s">
        <v>148</v>
      </c>
      <c r="Y56" t="s">
        <v>382</v>
      </c>
      <c r="AB56" t="s">
        <v>148</v>
      </c>
      <c r="AC56" t="s">
        <v>147</v>
      </c>
      <c r="AD56">
        <v>14697876281</v>
      </c>
      <c r="AE56" t="s">
        <v>1295</v>
      </c>
    </row>
    <row r="57" spans="1:31" x14ac:dyDescent="0.15">
      <c r="A57">
        <v>26123056</v>
      </c>
      <c r="B57" t="s">
        <v>387</v>
      </c>
      <c r="C57" t="s">
        <v>388</v>
      </c>
      <c r="D57" t="s">
        <v>1033</v>
      </c>
      <c r="E57" t="s">
        <v>154</v>
      </c>
      <c r="G57" t="s">
        <v>378</v>
      </c>
      <c r="H57">
        <v>2904</v>
      </c>
      <c r="I57">
        <v>0</v>
      </c>
      <c r="K57" t="s">
        <v>1063</v>
      </c>
      <c r="L57" t="s">
        <v>148</v>
      </c>
      <c r="M57" t="s">
        <v>1059</v>
      </c>
      <c r="N57">
        <v>2540</v>
      </c>
      <c r="O57">
        <v>7162</v>
      </c>
      <c r="P57">
        <v>7162</v>
      </c>
      <c r="Q57">
        <v>7162</v>
      </c>
      <c r="R57">
        <v>7162</v>
      </c>
      <c r="T57" t="s">
        <v>1060</v>
      </c>
      <c r="U57" t="s">
        <v>1065</v>
      </c>
      <c r="V57" t="s">
        <v>150</v>
      </c>
      <c r="W57" t="s">
        <v>377</v>
      </c>
      <c r="X57" t="s">
        <v>148</v>
      </c>
      <c r="Y57" t="s">
        <v>382</v>
      </c>
      <c r="AB57" t="s">
        <v>148</v>
      </c>
      <c r="AC57" t="s">
        <v>147</v>
      </c>
      <c r="AD57">
        <v>15687834063</v>
      </c>
      <c r="AE57" t="s">
        <v>1295</v>
      </c>
    </row>
    <row r="58" spans="1:31" x14ac:dyDescent="0.15">
      <c r="A58">
        <v>26123057</v>
      </c>
      <c r="B58" t="s">
        <v>390</v>
      </c>
      <c r="C58" t="s">
        <v>391</v>
      </c>
      <c r="D58" t="s">
        <v>1033</v>
      </c>
      <c r="E58" t="s">
        <v>154</v>
      </c>
      <c r="G58" t="s">
        <v>378</v>
      </c>
      <c r="H58">
        <v>2320</v>
      </c>
      <c r="I58">
        <v>0</v>
      </c>
      <c r="K58" t="s">
        <v>1063</v>
      </c>
      <c r="L58" t="s">
        <v>166</v>
      </c>
      <c r="M58" t="s">
        <v>1059</v>
      </c>
      <c r="N58">
        <v>2320</v>
      </c>
      <c r="O58">
        <v>5124</v>
      </c>
      <c r="P58">
        <v>5124</v>
      </c>
      <c r="Q58">
        <v>5124</v>
      </c>
      <c r="R58">
        <v>5124</v>
      </c>
      <c r="S58">
        <v>5124</v>
      </c>
      <c r="T58" t="s">
        <v>1060</v>
      </c>
      <c r="U58" t="s">
        <v>1060</v>
      </c>
      <c r="V58" t="s">
        <v>168</v>
      </c>
      <c r="W58" t="s">
        <v>377</v>
      </c>
      <c r="X58" t="s">
        <v>166</v>
      </c>
      <c r="Y58" t="s">
        <v>389</v>
      </c>
      <c r="AB58" t="s">
        <v>166</v>
      </c>
      <c r="AC58" t="s">
        <v>165</v>
      </c>
      <c r="AD58">
        <v>14676473043</v>
      </c>
      <c r="AE58" t="s">
        <v>1296</v>
      </c>
    </row>
    <row r="59" spans="1:31" x14ac:dyDescent="0.15">
      <c r="A59">
        <v>26123058</v>
      </c>
      <c r="B59" t="s">
        <v>392</v>
      </c>
      <c r="C59" t="s">
        <v>393</v>
      </c>
      <c r="D59" t="s">
        <v>1033</v>
      </c>
      <c r="E59" t="s">
        <v>154</v>
      </c>
      <c r="G59" t="s">
        <v>378</v>
      </c>
      <c r="H59">
        <v>2320</v>
      </c>
      <c r="I59">
        <v>0</v>
      </c>
      <c r="K59" t="s">
        <v>1063</v>
      </c>
      <c r="L59" t="s">
        <v>166</v>
      </c>
      <c r="M59" t="s">
        <v>1059</v>
      </c>
      <c r="N59">
        <v>2320</v>
      </c>
      <c r="O59">
        <v>5124</v>
      </c>
      <c r="P59">
        <v>5124</v>
      </c>
      <c r="Q59">
        <v>5124</v>
      </c>
      <c r="R59">
        <v>5124</v>
      </c>
      <c r="S59">
        <v>5124</v>
      </c>
      <c r="T59" t="s">
        <v>1060</v>
      </c>
      <c r="U59" t="s">
        <v>1060</v>
      </c>
      <c r="V59" t="s">
        <v>168</v>
      </c>
      <c r="W59" t="s">
        <v>377</v>
      </c>
      <c r="X59" t="s">
        <v>166</v>
      </c>
      <c r="Y59" t="s">
        <v>389</v>
      </c>
      <c r="AB59" t="s">
        <v>166</v>
      </c>
      <c r="AC59" t="s">
        <v>165</v>
      </c>
      <c r="AD59">
        <v>17618691448</v>
      </c>
      <c r="AE59" t="s">
        <v>1296</v>
      </c>
    </row>
    <row r="60" spans="1:31" x14ac:dyDescent="0.15">
      <c r="A60">
        <v>26123059</v>
      </c>
      <c r="B60" t="s">
        <v>394</v>
      </c>
      <c r="C60" t="s">
        <v>395</v>
      </c>
      <c r="D60" t="s">
        <v>1033</v>
      </c>
      <c r="E60" t="s">
        <v>154</v>
      </c>
      <c r="G60" t="s">
        <v>378</v>
      </c>
      <c r="H60">
        <v>2320</v>
      </c>
      <c r="I60">
        <v>0</v>
      </c>
      <c r="K60" t="s">
        <v>1063</v>
      </c>
      <c r="L60" t="s">
        <v>166</v>
      </c>
      <c r="M60" t="s">
        <v>1059</v>
      </c>
      <c r="N60">
        <v>2320</v>
      </c>
      <c r="O60">
        <v>5124</v>
      </c>
      <c r="P60">
        <v>5124</v>
      </c>
      <c r="Q60">
        <v>5124</v>
      </c>
      <c r="R60">
        <v>5124</v>
      </c>
      <c r="S60">
        <v>5124</v>
      </c>
      <c r="T60" t="s">
        <v>1060</v>
      </c>
      <c r="U60" t="s">
        <v>1060</v>
      </c>
      <c r="V60" t="s">
        <v>168</v>
      </c>
      <c r="W60" t="s">
        <v>377</v>
      </c>
      <c r="X60" t="s">
        <v>166</v>
      </c>
      <c r="Y60" t="s">
        <v>389</v>
      </c>
      <c r="AB60" t="s">
        <v>166</v>
      </c>
      <c r="AC60" t="s">
        <v>165</v>
      </c>
      <c r="AD60">
        <v>16741205179</v>
      </c>
      <c r="AE60" t="s">
        <v>1296</v>
      </c>
    </row>
    <row r="61" spans="1:31" x14ac:dyDescent="0.15">
      <c r="A61">
        <v>26123060</v>
      </c>
      <c r="B61" t="s">
        <v>397</v>
      </c>
      <c r="C61" t="s">
        <v>399</v>
      </c>
      <c r="D61" t="s">
        <v>1033</v>
      </c>
      <c r="E61" t="s">
        <v>154</v>
      </c>
      <c r="G61" t="s">
        <v>398</v>
      </c>
      <c r="H61">
        <v>2200</v>
      </c>
      <c r="I61">
        <v>0</v>
      </c>
      <c r="K61" t="s">
        <v>1063</v>
      </c>
      <c r="L61" t="s">
        <v>290</v>
      </c>
      <c r="M61" t="s">
        <v>1059</v>
      </c>
      <c r="N61">
        <v>2400</v>
      </c>
      <c r="O61">
        <v>4504</v>
      </c>
      <c r="P61">
        <v>4504</v>
      </c>
      <c r="Q61">
        <v>4504</v>
      </c>
      <c r="R61">
        <v>4504</v>
      </c>
      <c r="T61" t="s">
        <v>1060</v>
      </c>
      <c r="U61" t="s">
        <v>1060</v>
      </c>
      <c r="V61" t="s">
        <v>292</v>
      </c>
      <c r="W61" t="s">
        <v>377</v>
      </c>
      <c r="X61" t="s">
        <v>290</v>
      </c>
      <c r="Y61" t="s">
        <v>396</v>
      </c>
      <c r="AB61" t="s">
        <v>290</v>
      </c>
      <c r="AC61" t="s">
        <v>289</v>
      </c>
      <c r="AD61">
        <v>15397567220</v>
      </c>
      <c r="AE61" t="s">
        <v>1297</v>
      </c>
    </row>
    <row r="62" spans="1:31" x14ac:dyDescent="0.15">
      <c r="A62">
        <v>26123061</v>
      </c>
      <c r="B62" t="s">
        <v>401</v>
      </c>
      <c r="C62" t="s">
        <v>403</v>
      </c>
      <c r="D62" t="s">
        <v>1033</v>
      </c>
      <c r="E62" t="s">
        <v>154</v>
      </c>
      <c r="F62" t="s">
        <v>1057</v>
      </c>
      <c r="G62" t="s">
        <v>402</v>
      </c>
      <c r="H62">
        <v>3840</v>
      </c>
      <c r="I62">
        <v>0</v>
      </c>
      <c r="K62" t="s">
        <v>1058</v>
      </c>
      <c r="L62" t="s">
        <v>203</v>
      </c>
      <c r="M62" t="s">
        <v>1059</v>
      </c>
      <c r="N62">
        <v>4952</v>
      </c>
      <c r="O62">
        <v>4952</v>
      </c>
      <c r="P62">
        <v>4952</v>
      </c>
      <c r="Q62">
        <v>4952</v>
      </c>
      <c r="R62">
        <v>4952</v>
      </c>
      <c r="S62">
        <v>4952</v>
      </c>
      <c r="T62" t="s">
        <v>1060</v>
      </c>
      <c r="U62" t="s">
        <v>1060</v>
      </c>
      <c r="V62" t="s">
        <v>205</v>
      </c>
      <c r="W62" t="s">
        <v>187</v>
      </c>
      <c r="X62" t="s">
        <v>203</v>
      </c>
      <c r="Y62" t="s">
        <v>400</v>
      </c>
      <c r="AB62" t="s">
        <v>203</v>
      </c>
      <c r="AC62" t="s">
        <v>202</v>
      </c>
      <c r="AD62">
        <v>15674474909</v>
      </c>
      <c r="AE62" t="s">
        <v>1298</v>
      </c>
    </row>
    <row r="63" spans="1:31" x14ac:dyDescent="0.15">
      <c r="A63">
        <v>26123062</v>
      </c>
      <c r="B63" t="s">
        <v>408</v>
      </c>
      <c r="C63" t="s">
        <v>410</v>
      </c>
      <c r="D63" t="s">
        <v>1033</v>
      </c>
      <c r="E63" t="s">
        <v>131</v>
      </c>
      <c r="F63" t="s">
        <v>1057</v>
      </c>
      <c r="G63" t="s">
        <v>409</v>
      </c>
      <c r="H63">
        <v>4300</v>
      </c>
      <c r="I63">
        <v>0</v>
      </c>
      <c r="K63" t="s">
        <v>1058</v>
      </c>
      <c r="L63" t="s">
        <v>405</v>
      </c>
      <c r="M63" t="s">
        <v>1059</v>
      </c>
      <c r="N63">
        <v>4413</v>
      </c>
      <c r="O63">
        <v>4952</v>
      </c>
      <c r="P63">
        <v>4952</v>
      </c>
      <c r="Q63">
        <v>4952</v>
      </c>
      <c r="R63">
        <v>4952</v>
      </c>
      <c r="T63" t="s">
        <v>1060</v>
      </c>
      <c r="U63" t="s">
        <v>1060</v>
      </c>
      <c r="V63" t="s">
        <v>407</v>
      </c>
      <c r="W63" t="s">
        <v>218</v>
      </c>
      <c r="X63" t="s">
        <v>405</v>
      </c>
      <c r="Y63" t="s">
        <v>406</v>
      </c>
      <c r="AB63" t="s">
        <v>405</v>
      </c>
      <c r="AC63" t="s">
        <v>404</v>
      </c>
      <c r="AD63">
        <v>14867741644</v>
      </c>
      <c r="AE63" t="s">
        <v>1299</v>
      </c>
    </row>
    <row r="64" spans="1:31" x14ac:dyDescent="0.15">
      <c r="A64">
        <v>26123063</v>
      </c>
      <c r="B64" t="s">
        <v>415</v>
      </c>
      <c r="C64" t="s">
        <v>417</v>
      </c>
      <c r="D64" t="s">
        <v>1033</v>
      </c>
      <c r="E64" t="s">
        <v>131</v>
      </c>
      <c r="F64" t="s">
        <v>1057</v>
      </c>
      <c r="G64" t="s">
        <v>416</v>
      </c>
      <c r="H64">
        <v>4300</v>
      </c>
      <c r="I64">
        <v>0</v>
      </c>
      <c r="K64" t="s">
        <v>1058</v>
      </c>
      <c r="L64" t="s">
        <v>412</v>
      </c>
      <c r="M64" t="s">
        <v>1059</v>
      </c>
      <c r="N64">
        <v>4740</v>
      </c>
      <c r="O64">
        <v>4986</v>
      </c>
      <c r="P64">
        <v>4986</v>
      </c>
      <c r="Q64">
        <v>4986</v>
      </c>
      <c r="R64">
        <v>4986</v>
      </c>
      <c r="T64" t="s">
        <v>1060</v>
      </c>
      <c r="U64" t="s">
        <v>1060</v>
      </c>
      <c r="V64" t="s">
        <v>414</v>
      </c>
      <c r="W64" t="s">
        <v>218</v>
      </c>
      <c r="X64" t="s">
        <v>412</v>
      </c>
      <c r="Y64" t="s">
        <v>413</v>
      </c>
      <c r="AB64" t="s">
        <v>412</v>
      </c>
      <c r="AC64" t="s">
        <v>411</v>
      </c>
      <c r="AD64">
        <v>14325066439</v>
      </c>
      <c r="AE64" t="s">
        <v>1300</v>
      </c>
    </row>
    <row r="65" spans="1:31" x14ac:dyDescent="0.15">
      <c r="A65">
        <v>26123064</v>
      </c>
      <c r="B65" t="s">
        <v>419</v>
      </c>
      <c r="C65" t="s">
        <v>421</v>
      </c>
      <c r="D65" t="s">
        <v>1033</v>
      </c>
      <c r="E65" t="s">
        <v>131</v>
      </c>
      <c r="F65" t="s">
        <v>1057</v>
      </c>
      <c r="G65" t="s">
        <v>416</v>
      </c>
      <c r="H65">
        <v>4300</v>
      </c>
      <c r="I65">
        <v>0</v>
      </c>
      <c r="K65" t="s">
        <v>1058</v>
      </c>
      <c r="L65" t="s">
        <v>122</v>
      </c>
      <c r="M65" t="s">
        <v>1059</v>
      </c>
      <c r="N65">
        <v>4235</v>
      </c>
      <c r="O65">
        <v>7460</v>
      </c>
      <c r="P65">
        <v>7460</v>
      </c>
      <c r="Q65">
        <v>7460</v>
      </c>
      <c r="R65">
        <v>7460</v>
      </c>
      <c r="T65" t="s">
        <v>1060</v>
      </c>
      <c r="U65" t="s">
        <v>1060</v>
      </c>
      <c r="V65" t="s">
        <v>126</v>
      </c>
      <c r="W65" t="s">
        <v>420</v>
      </c>
      <c r="X65" t="s">
        <v>124</v>
      </c>
      <c r="Y65" t="s">
        <v>418</v>
      </c>
      <c r="Z65" t="s">
        <v>239</v>
      </c>
      <c r="AB65" t="s">
        <v>133</v>
      </c>
      <c r="AC65" t="s">
        <v>122</v>
      </c>
      <c r="AD65">
        <v>14823490974</v>
      </c>
      <c r="AE65" t="s">
        <v>1061</v>
      </c>
    </row>
    <row r="66" spans="1:31" x14ac:dyDescent="0.15">
      <c r="A66">
        <v>26123065</v>
      </c>
      <c r="B66" t="s">
        <v>423</v>
      </c>
      <c r="C66" t="s">
        <v>425</v>
      </c>
      <c r="D66" t="s">
        <v>1033</v>
      </c>
      <c r="E66" t="s">
        <v>154</v>
      </c>
      <c r="F66" t="s">
        <v>1057</v>
      </c>
      <c r="G66" t="s">
        <v>424</v>
      </c>
      <c r="H66">
        <v>3640</v>
      </c>
      <c r="I66">
        <v>0</v>
      </c>
      <c r="K66" t="s">
        <v>1063</v>
      </c>
      <c r="L66" t="s">
        <v>1064</v>
      </c>
      <c r="M66" t="s">
        <v>1059</v>
      </c>
      <c r="N66">
        <v>3585</v>
      </c>
      <c r="O66">
        <v>7162</v>
      </c>
      <c r="P66">
        <v>7162</v>
      </c>
      <c r="Q66">
        <v>7162</v>
      </c>
      <c r="R66">
        <v>7162</v>
      </c>
      <c r="T66" t="s">
        <v>1060</v>
      </c>
      <c r="U66" t="s">
        <v>1065</v>
      </c>
      <c r="V66" t="s">
        <v>150</v>
      </c>
      <c r="W66" t="s">
        <v>170</v>
      </c>
      <c r="X66" t="s">
        <v>148</v>
      </c>
      <c r="Y66" t="s">
        <v>422</v>
      </c>
      <c r="AB66" t="s">
        <v>148</v>
      </c>
      <c r="AC66" t="s">
        <v>147</v>
      </c>
      <c r="AD66">
        <v>16618744190</v>
      </c>
      <c r="AE66" t="s">
        <v>1301</v>
      </c>
    </row>
    <row r="67" spans="1:31" x14ac:dyDescent="0.15">
      <c r="A67">
        <v>26123066</v>
      </c>
      <c r="B67" t="s">
        <v>427</v>
      </c>
      <c r="C67" t="s">
        <v>428</v>
      </c>
      <c r="D67" t="s">
        <v>1033</v>
      </c>
      <c r="E67" t="s">
        <v>154</v>
      </c>
      <c r="F67" t="s">
        <v>1057</v>
      </c>
      <c r="G67" t="s">
        <v>424</v>
      </c>
      <c r="H67">
        <v>3640</v>
      </c>
      <c r="I67">
        <v>0</v>
      </c>
      <c r="K67" t="s">
        <v>1063</v>
      </c>
      <c r="L67" t="s">
        <v>148</v>
      </c>
      <c r="M67" t="s">
        <v>1059</v>
      </c>
      <c r="N67">
        <v>4096</v>
      </c>
      <c r="O67">
        <v>7162</v>
      </c>
      <c r="P67">
        <v>7162</v>
      </c>
      <c r="Q67">
        <v>7162</v>
      </c>
      <c r="R67">
        <v>7162</v>
      </c>
      <c r="T67" t="s">
        <v>1060</v>
      </c>
      <c r="U67" t="s">
        <v>1065</v>
      </c>
      <c r="V67" t="s">
        <v>150</v>
      </c>
      <c r="W67" t="s">
        <v>170</v>
      </c>
      <c r="X67" t="s">
        <v>148</v>
      </c>
      <c r="Y67" t="s">
        <v>426</v>
      </c>
      <c r="AB67" t="s">
        <v>148</v>
      </c>
      <c r="AC67" t="s">
        <v>147</v>
      </c>
      <c r="AD67">
        <v>15378833147</v>
      </c>
      <c r="AE67" t="s">
        <v>1302</v>
      </c>
    </row>
    <row r="68" spans="1:31" x14ac:dyDescent="0.15">
      <c r="A68">
        <v>26123067</v>
      </c>
      <c r="B68" t="s">
        <v>430</v>
      </c>
      <c r="C68" t="s">
        <v>432</v>
      </c>
      <c r="D68" t="s">
        <v>1033</v>
      </c>
      <c r="E68" t="s">
        <v>131</v>
      </c>
      <c r="F68" t="s">
        <v>1057</v>
      </c>
      <c r="G68" t="s">
        <v>431</v>
      </c>
      <c r="H68">
        <v>5600</v>
      </c>
      <c r="I68">
        <v>0</v>
      </c>
      <c r="K68" t="s">
        <v>1063</v>
      </c>
      <c r="L68" t="s">
        <v>1064</v>
      </c>
      <c r="M68" t="s">
        <v>1059</v>
      </c>
      <c r="N68">
        <v>6537</v>
      </c>
      <c r="O68">
        <v>7162</v>
      </c>
      <c r="P68">
        <v>7162</v>
      </c>
      <c r="Q68">
        <v>7162</v>
      </c>
      <c r="R68">
        <v>7162</v>
      </c>
      <c r="T68" t="s">
        <v>1060</v>
      </c>
      <c r="U68" t="s">
        <v>1065</v>
      </c>
      <c r="V68" t="s">
        <v>150</v>
      </c>
      <c r="W68" t="s">
        <v>140</v>
      </c>
      <c r="X68" t="s">
        <v>148</v>
      </c>
      <c r="Y68" t="s">
        <v>429</v>
      </c>
      <c r="AB68" t="s">
        <v>148</v>
      </c>
      <c r="AC68" t="s">
        <v>147</v>
      </c>
      <c r="AD68">
        <v>13350726238</v>
      </c>
      <c r="AE68" t="s">
        <v>1303</v>
      </c>
    </row>
    <row r="69" spans="1:31" x14ac:dyDescent="0.15">
      <c r="A69">
        <v>26123068</v>
      </c>
      <c r="B69" t="s">
        <v>434</v>
      </c>
      <c r="C69" t="s">
        <v>436</v>
      </c>
      <c r="D69" t="s">
        <v>1033</v>
      </c>
      <c r="E69" t="s">
        <v>131</v>
      </c>
      <c r="F69" t="s">
        <v>1057</v>
      </c>
      <c r="G69" t="s">
        <v>435</v>
      </c>
      <c r="H69">
        <v>4300</v>
      </c>
      <c r="I69">
        <v>0</v>
      </c>
      <c r="K69" t="s">
        <v>1058</v>
      </c>
      <c r="L69" t="s">
        <v>323</v>
      </c>
      <c r="M69" t="s">
        <v>1059</v>
      </c>
      <c r="N69">
        <v>4299</v>
      </c>
      <c r="O69">
        <v>4986</v>
      </c>
      <c r="P69">
        <v>4986</v>
      </c>
      <c r="Q69">
        <v>4986</v>
      </c>
      <c r="R69">
        <v>4986</v>
      </c>
      <c r="T69" t="s">
        <v>1060</v>
      </c>
      <c r="U69" t="s">
        <v>1060</v>
      </c>
      <c r="V69" t="s">
        <v>325</v>
      </c>
      <c r="W69" t="s">
        <v>218</v>
      </c>
      <c r="X69" t="s">
        <v>323</v>
      </c>
      <c r="Y69" t="s">
        <v>433</v>
      </c>
      <c r="AB69" t="s">
        <v>323</v>
      </c>
      <c r="AC69" t="s">
        <v>322</v>
      </c>
      <c r="AD69">
        <v>15490850385</v>
      </c>
      <c r="AE69" t="s">
        <v>1304</v>
      </c>
    </row>
    <row r="70" spans="1:31" x14ac:dyDescent="0.15">
      <c r="A70">
        <v>26123069</v>
      </c>
      <c r="B70" t="s">
        <v>441</v>
      </c>
      <c r="C70" t="s">
        <v>443</v>
      </c>
      <c r="D70" t="s">
        <v>1033</v>
      </c>
      <c r="E70" t="s">
        <v>154</v>
      </c>
      <c r="F70" t="s">
        <v>1057</v>
      </c>
      <c r="G70" t="s">
        <v>442</v>
      </c>
      <c r="H70">
        <v>3545</v>
      </c>
      <c r="I70">
        <v>0</v>
      </c>
      <c r="K70" t="s">
        <v>1058</v>
      </c>
      <c r="L70" t="s">
        <v>438</v>
      </c>
      <c r="M70" t="s">
        <v>1059</v>
      </c>
      <c r="N70">
        <v>4305</v>
      </c>
      <c r="O70">
        <v>4305</v>
      </c>
      <c r="P70">
        <v>4433</v>
      </c>
      <c r="Q70">
        <v>4305</v>
      </c>
      <c r="R70">
        <v>4414</v>
      </c>
      <c r="S70">
        <v>4433</v>
      </c>
      <c r="T70" t="s">
        <v>1060</v>
      </c>
      <c r="U70" t="s">
        <v>1060</v>
      </c>
      <c r="V70" t="s">
        <v>440</v>
      </c>
      <c r="W70" t="s">
        <v>187</v>
      </c>
      <c r="X70" t="s">
        <v>438</v>
      </c>
      <c r="Y70" t="s">
        <v>439</v>
      </c>
      <c r="AB70" t="s">
        <v>438</v>
      </c>
      <c r="AC70" t="s">
        <v>437</v>
      </c>
      <c r="AD70">
        <v>13553401451</v>
      </c>
      <c r="AE70" t="s">
        <v>1305</v>
      </c>
    </row>
    <row r="71" spans="1:31" x14ac:dyDescent="0.15">
      <c r="A71">
        <v>26123070</v>
      </c>
      <c r="B71" t="s">
        <v>445</v>
      </c>
      <c r="C71" t="s">
        <v>446</v>
      </c>
      <c r="D71" t="s">
        <v>1033</v>
      </c>
      <c r="E71" t="s">
        <v>131</v>
      </c>
      <c r="F71" t="s">
        <v>1057</v>
      </c>
      <c r="G71" t="s">
        <v>442</v>
      </c>
      <c r="H71">
        <v>5200</v>
      </c>
      <c r="I71">
        <v>0</v>
      </c>
      <c r="K71" t="s">
        <v>1058</v>
      </c>
      <c r="L71" t="s">
        <v>323</v>
      </c>
      <c r="M71" t="s">
        <v>1059</v>
      </c>
      <c r="N71">
        <v>4932</v>
      </c>
      <c r="O71">
        <v>4986</v>
      </c>
      <c r="P71">
        <v>4986</v>
      </c>
      <c r="Q71">
        <v>4986</v>
      </c>
      <c r="R71">
        <v>4986</v>
      </c>
      <c r="T71" t="s">
        <v>1060</v>
      </c>
      <c r="U71" t="s">
        <v>1060</v>
      </c>
      <c r="V71" t="s">
        <v>325</v>
      </c>
      <c r="W71" t="s">
        <v>140</v>
      </c>
      <c r="X71" t="s">
        <v>323</v>
      </c>
      <c r="Y71" t="s">
        <v>444</v>
      </c>
      <c r="AB71" t="s">
        <v>323</v>
      </c>
      <c r="AC71" t="s">
        <v>322</v>
      </c>
      <c r="AD71">
        <v>16849351014</v>
      </c>
      <c r="AE71" t="s">
        <v>1062</v>
      </c>
    </row>
    <row r="72" spans="1:31" x14ac:dyDescent="0.15">
      <c r="A72">
        <v>26123071</v>
      </c>
      <c r="B72" t="s">
        <v>451</v>
      </c>
      <c r="C72" t="s">
        <v>453</v>
      </c>
      <c r="D72" t="s">
        <v>1033</v>
      </c>
      <c r="E72" t="s">
        <v>154</v>
      </c>
      <c r="F72" t="s">
        <v>1057</v>
      </c>
      <c r="G72" t="s">
        <v>452</v>
      </c>
      <c r="H72">
        <v>2970</v>
      </c>
      <c r="I72">
        <v>0</v>
      </c>
      <c r="K72" t="s">
        <v>1063</v>
      </c>
      <c r="L72" t="s">
        <v>448</v>
      </c>
      <c r="M72" t="s">
        <v>1059</v>
      </c>
      <c r="N72">
        <v>3478</v>
      </c>
      <c r="O72">
        <v>4007</v>
      </c>
      <c r="P72">
        <v>6738</v>
      </c>
      <c r="Q72">
        <v>4007</v>
      </c>
      <c r="R72">
        <v>4007</v>
      </c>
      <c r="S72">
        <v>0</v>
      </c>
      <c r="T72" t="s">
        <v>1060</v>
      </c>
      <c r="U72" t="s">
        <v>1060</v>
      </c>
      <c r="V72" t="s">
        <v>450</v>
      </c>
      <c r="W72" t="s">
        <v>170</v>
      </c>
      <c r="X72" t="s">
        <v>448</v>
      </c>
      <c r="Y72" t="s">
        <v>449</v>
      </c>
      <c r="AB72" t="s">
        <v>448</v>
      </c>
      <c r="AC72" t="s">
        <v>447</v>
      </c>
      <c r="AD72">
        <v>17480722702</v>
      </c>
      <c r="AE72" t="s">
        <v>1306</v>
      </c>
    </row>
    <row r="73" spans="1:31" x14ac:dyDescent="0.15">
      <c r="A73">
        <v>26123072</v>
      </c>
      <c r="B73" t="s">
        <v>455</v>
      </c>
      <c r="C73" t="s">
        <v>457</v>
      </c>
      <c r="D73" t="s">
        <v>1033</v>
      </c>
      <c r="E73" t="s">
        <v>154</v>
      </c>
      <c r="F73" t="s">
        <v>1057</v>
      </c>
      <c r="G73" t="s">
        <v>456</v>
      </c>
      <c r="H73">
        <v>3640</v>
      </c>
      <c r="I73">
        <v>0</v>
      </c>
      <c r="K73" t="s">
        <v>1063</v>
      </c>
      <c r="L73" t="s">
        <v>148</v>
      </c>
      <c r="M73" t="s">
        <v>1059</v>
      </c>
      <c r="N73">
        <v>4012</v>
      </c>
      <c r="O73">
        <v>7162</v>
      </c>
      <c r="P73">
        <v>7162</v>
      </c>
      <c r="Q73">
        <v>7162</v>
      </c>
      <c r="R73">
        <v>7162</v>
      </c>
      <c r="T73" t="s">
        <v>1060</v>
      </c>
      <c r="U73" t="s">
        <v>1065</v>
      </c>
      <c r="V73" t="s">
        <v>150</v>
      </c>
      <c r="W73" t="s">
        <v>170</v>
      </c>
      <c r="X73" t="s">
        <v>148</v>
      </c>
      <c r="Y73" t="s">
        <v>454</v>
      </c>
      <c r="AB73" t="s">
        <v>148</v>
      </c>
      <c r="AC73" t="s">
        <v>147</v>
      </c>
      <c r="AD73">
        <v>14339664257</v>
      </c>
      <c r="AE73" t="s">
        <v>1071</v>
      </c>
    </row>
    <row r="74" spans="1:31" x14ac:dyDescent="0.15">
      <c r="A74">
        <v>26123073</v>
      </c>
      <c r="B74" t="s">
        <v>459</v>
      </c>
      <c r="C74" t="s">
        <v>462</v>
      </c>
      <c r="D74" t="s">
        <v>1246</v>
      </c>
      <c r="E74" t="s">
        <v>154</v>
      </c>
      <c r="F74" t="s">
        <v>1057</v>
      </c>
      <c r="G74" t="s">
        <v>460</v>
      </c>
      <c r="H74">
        <v>3480</v>
      </c>
      <c r="I74">
        <v>0</v>
      </c>
      <c r="K74" t="s">
        <v>1058</v>
      </c>
      <c r="L74" t="s">
        <v>1289</v>
      </c>
      <c r="M74" t="s">
        <v>1059</v>
      </c>
      <c r="N74">
        <v>4278</v>
      </c>
      <c r="O74">
        <v>4986</v>
      </c>
      <c r="P74">
        <v>4986</v>
      </c>
      <c r="Q74">
        <v>4986</v>
      </c>
      <c r="R74">
        <v>4986</v>
      </c>
      <c r="T74" t="s">
        <v>1060</v>
      </c>
      <c r="U74" t="s">
        <v>1060</v>
      </c>
      <c r="V74" t="s">
        <v>353</v>
      </c>
      <c r="W74" t="s">
        <v>152</v>
      </c>
      <c r="X74" t="s">
        <v>180</v>
      </c>
      <c r="Y74" t="s">
        <v>458</v>
      </c>
      <c r="Z74" t="s">
        <v>461</v>
      </c>
      <c r="AA74" t="s">
        <v>635</v>
      </c>
      <c r="AB74" t="s">
        <v>180</v>
      </c>
      <c r="AC74" t="s">
        <v>351</v>
      </c>
      <c r="AD74">
        <v>13472248972</v>
      </c>
      <c r="AE74" t="s">
        <v>1307</v>
      </c>
    </row>
    <row r="75" spans="1:31" x14ac:dyDescent="0.15">
      <c r="A75">
        <v>26123074</v>
      </c>
      <c r="B75" t="s">
        <v>465</v>
      </c>
      <c r="C75" t="s">
        <v>467</v>
      </c>
      <c r="D75" t="s">
        <v>1033</v>
      </c>
      <c r="E75" t="s">
        <v>154</v>
      </c>
      <c r="F75" t="s">
        <v>1057</v>
      </c>
      <c r="G75" t="s">
        <v>466</v>
      </c>
      <c r="H75">
        <v>3610</v>
      </c>
      <c r="I75">
        <v>0</v>
      </c>
      <c r="K75" t="s">
        <v>1058</v>
      </c>
      <c r="L75" t="s">
        <v>1287</v>
      </c>
      <c r="M75" t="s">
        <v>1059</v>
      </c>
      <c r="N75">
        <v>4477</v>
      </c>
      <c r="O75">
        <v>4986</v>
      </c>
      <c r="P75">
        <v>4986</v>
      </c>
      <c r="Q75">
        <v>4986</v>
      </c>
      <c r="R75">
        <v>4986</v>
      </c>
      <c r="S75">
        <v>0</v>
      </c>
      <c r="T75" t="s">
        <v>1060</v>
      </c>
      <c r="U75" t="s">
        <v>1060</v>
      </c>
      <c r="V75" t="s">
        <v>348</v>
      </c>
      <c r="W75" t="s">
        <v>187</v>
      </c>
      <c r="X75" t="s">
        <v>463</v>
      </c>
      <c r="Y75" t="s">
        <v>464</v>
      </c>
      <c r="AB75" t="s">
        <v>463</v>
      </c>
      <c r="AC75" t="s">
        <v>345</v>
      </c>
      <c r="AD75">
        <v>15823796452</v>
      </c>
      <c r="AE75" t="s">
        <v>1308</v>
      </c>
    </row>
    <row r="76" spans="1:31" x14ac:dyDescent="0.15">
      <c r="A76">
        <v>26123075</v>
      </c>
      <c r="B76" t="s">
        <v>468</v>
      </c>
      <c r="C76" t="s">
        <v>470</v>
      </c>
      <c r="D76" t="s">
        <v>1033</v>
      </c>
      <c r="E76" t="s">
        <v>154</v>
      </c>
      <c r="F76" t="s">
        <v>1057</v>
      </c>
      <c r="G76" t="s">
        <v>469</v>
      </c>
      <c r="H76">
        <v>3730</v>
      </c>
      <c r="I76">
        <v>0</v>
      </c>
      <c r="K76" t="s">
        <v>1063</v>
      </c>
      <c r="L76" t="s">
        <v>148</v>
      </c>
      <c r="M76" t="s">
        <v>1059</v>
      </c>
      <c r="N76">
        <v>4065</v>
      </c>
      <c r="O76">
        <v>7162</v>
      </c>
      <c r="P76">
        <v>7162</v>
      </c>
      <c r="Q76">
        <v>7162</v>
      </c>
      <c r="R76">
        <v>7162</v>
      </c>
      <c r="T76" t="s">
        <v>1060</v>
      </c>
      <c r="U76" t="s">
        <v>1065</v>
      </c>
      <c r="V76" t="s">
        <v>150</v>
      </c>
      <c r="W76" t="s">
        <v>152</v>
      </c>
      <c r="X76" t="s">
        <v>148</v>
      </c>
      <c r="Y76" t="s">
        <v>318</v>
      </c>
      <c r="AB76" t="s">
        <v>148</v>
      </c>
      <c r="AC76" t="s">
        <v>147</v>
      </c>
      <c r="AD76">
        <v>17532855526</v>
      </c>
      <c r="AE76" t="s">
        <v>1282</v>
      </c>
    </row>
    <row r="77" spans="1:31" x14ac:dyDescent="0.15">
      <c r="A77">
        <v>26123076</v>
      </c>
      <c r="B77" t="s">
        <v>473</v>
      </c>
      <c r="C77" t="s">
        <v>475</v>
      </c>
      <c r="D77" t="s">
        <v>1033</v>
      </c>
      <c r="E77" t="s">
        <v>154</v>
      </c>
      <c r="F77" t="s">
        <v>1057</v>
      </c>
      <c r="G77" t="s">
        <v>474</v>
      </c>
      <c r="H77">
        <v>3610</v>
      </c>
      <c r="I77">
        <v>17</v>
      </c>
      <c r="K77" t="s">
        <v>1058</v>
      </c>
      <c r="L77" t="s">
        <v>1287</v>
      </c>
      <c r="M77" t="s">
        <v>1059</v>
      </c>
      <c r="N77">
        <v>4300</v>
      </c>
      <c r="O77">
        <v>4986</v>
      </c>
      <c r="P77">
        <v>4986</v>
      </c>
      <c r="Q77">
        <v>4986</v>
      </c>
      <c r="R77">
        <v>4986</v>
      </c>
      <c r="S77">
        <v>0</v>
      </c>
      <c r="T77" t="s">
        <v>1060</v>
      </c>
      <c r="U77" t="s">
        <v>1060</v>
      </c>
      <c r="V77" t="s">
        <v>348</v>
      </c>
      <c r="W77" t="s">
        <v>187</v>
      </c>
      <c r="X77" t="s">
        <v>471</v>
      </c>
      <c r="Y77" t="s">
        <v>472</v>
      </c>
      <c r="AB77" t="s">
        <v>471</v>
      </c>
      <c r="AC77" t="s">
        <v>345</v>
      </c>
      <c r="AD77">
        <v>13853354582</v>
      </c>
      <c r="AE77" t="s">
        <v>1309</v>
      </c>
    </row>
    <row r="78" spans="1:31" x14ac:dyDescent="0.15">
      <c r="A78">
        <v>26123077</v>
      </c>
      <c r="B78" t="s">
        <v>477</v>
      </c>
      <c r="C78" t="s">
        <v>479</v>
      </c>
      <c r="D78" t="s">
        <v>1033</v>
      </c>
      <c r="E78" t="s">
        <v>154</v>
      </c>
      <c r="F78" t="s">
        <v>1057</v>
      </c>
      <c r="G78" t="s">
        <v>478</v>
      </c>
      <c r="H78">
        <v>3640</v>
      </c>
      <c r="I78">
        <v>0</v>
      </c>
      <c r="K78" t="s">
        <v>1063</v>
      </c>
      <c r="L78" t="s">
        <v>1064</v>
      </c>
      <c r="M78" t="s">
        <v>1059</v>
      </c>
      <c r="N78">
        <v>3926</v>
      </c>
      <c r="O78">
        <v>7162</v>
      </c>
      <c r="P78">
        <v>7162</v>
      </c>
      <c r="Q78">
        <v>7162</v>
      </c>
      <c r="R78">
        <v>7162</v>
      </c>
      <c r="T78" t="s">
        <v>1060</v>
      </c>
      <c r="U78" t="s">
        <v>1065</v>
      </c>
      <c r="V78" t="s">
        <v>150</v>
      </c>
      <c r="W78" t="s">
        <v>170</v>
      </c>
      <c r="X78" t="s">
        <v>148</v>
      </c>
      <c r="Y78" t="s">
        <v>476</v>
      </c>
      <c r="AB78" t="s">
        <v>148</v>
      </c>
      <c r="AC78" t="s">
        <v>147</v>
      </c>
      <c r="AD78">
        <v>15407837016</v>
      </c>
      <c r="AE78" t="s">
        <v>1310</v>
      </c>
    </row>
    <row r="79" spans="1:31" x14ac:dyDescent="0.15">
      <c r="A79">
        <v>26123078</v>
      </c>
      <c r="B79" t="s">
        <v>481</v>
      </c>
      <c r="C79" t="s">
        <v>483</v>
      </c>
      <c r="D79" t="s">
        <v>1033</v>
      </c>
      <c r="E79" t="s">
        <v>131</v>
      </c>
      <c r="G79" t="s">
        <v>482</v>
      </c>
      <c r="H79">
        <v>4300</v>
      </c>
      <c r="I79">
        <v>0</v>
      </c>
      <c r="K79" t="s">
        <v>1058</v>
      </c>
      <c r="L79" t="s">
        <v>1255</v>
      </c>
      <c r="M79" t="s">
        <v>1059</v>
      </c>
      <c r="N79">
        <v>4452</v>
      </c>
      <c r="O79">
        <v>4986</v>
      </c>
      <c r="P79">
        <v>4986</v>
      </c>
      <c r="Q79">
        <v>4986</v>
      </c>
      <c r="R79">
        <v>4986</v>
      </c>
      <c r="T79" t="s">
        <v>1060</v>
      </c>
      <c r="U79" t="s">
        <v>1060</v>
      </c>
      <c r="V79" t="s">
        <v>176</v>
      </c>
      <c r="W79" t="s">
        <v>218</v>
      </c>
      <c r="X79" t="s">
        <v>180</v>
      </c>
      <c r="Y79" t="s">
        <v>480</v>
      </c>
      <c r="AB79" t="s">
        <v>180</v>
      </c>
      <c r="AC79" t="s">
        <v>173</v>
      </c>
      <c r="AD79">
        <v>18363978436</v>
      </c>
      <c r="AE79" t="s">
        <v>1311</v>
      </c>
    </row>
    <row r="80" spans="1:31" x14ac:dyDescent="0.15">
      <c r="A80">
        <v>26123079</v>
      </c>
      <c r="B80" t="s">
        <v>485</v>
      </c>
      <c r="C80" t="s">
        <v>486</v>
      </c>
      <c r="D80" t="s">
        <v>1033</v>
      </c>
      <c r="E80" t="s">
        <v>131</v>
      </c>
      <c r="G80" t="s">
        <v>207</v>
      </c>
      <c r="H80">
        <v>4750</v>
      </c>
      <c r="I80">
        <v>0</v>
      </c>
      <c r="K80" t="s">
        <v>1063</v>
      </c>
      <c r="L80" t="s">
        <v>1064</v>
      </c>
      <c r="M80" t="s">
        <v>1059</v>
      </c>
      <c r="N80">
        <v>4807</v>
      </c>
      <c r="O80">
        <v>7162</v>
      </c>
      <c r="P80">
        <v>7162</v>
      </c>
      <c r="Q80">
        <v>7162</v>
      </c>
      <c r="R80">
        <v>7162</v>
      </c>
      <c r="T80" t="s">
        <v>1060</v>
      </c>
      <c r="U80" t="s">
        <v>1065</v>
      </c>
      <c r="V80" t="s">
        <v>150</v>
      </c>
      <c r="W80" t="s">
        <v>218</v>
      </c>
      <c r="X80" t="s">
        <v>148</v>
      </c>
      <c r="Y80" t="s">
        <v>484</v>
      </c>
      <c r="AB80" t="s">
        <v>148</v>
      </c>
      <c r="AC80" t="s">
        <v>147</v>
      </c>
      <c r="AD80">
        <v>18460254992</v>
      </c>
      <c r="AE80" t="s">
        <v>1312</v>
      </c>
    </row>
    <row r="81" spans="1:31" x14ac:dyDescent="0.15">
      <c r="A81">
        <v>26123080</v>
      </c>
      <c r="B81" t="s">
        <v>487</v>
      </c>
      <c r="C81" t="s">
        <v>490</v>
      </c>
      <c r="D81" t="s">
        <v>1246</v>
      </c>
      <c r="E81" t="s">
        <v>154</v>
      </c>
      <c r="F81" t="s">
        <v>1057</v>
      </c>
      <c r="G81" t="s">
        <v>488</v>
      </c>
      <c r="H81">
        <v>3190</v>
      </c>
      <c r="I81">
        <v>0</v>
      </c>
      <c r="K81" t="s">
        <v>1063</v>
      </c>
      <c r="L81" t="s">
        <v>290</v>
      </c>
      <c r="M81" t="s">
        <v>1059</v>
      </c>
      <c r="N81">
        <v>3470</v>
      </c>
      <c r="O81">
        <v>4504</v>
      </c>
      <c r="P81">
        <v>4504</v>
      </c>
      <c r="Q81">
        <v>4504</v>
      </c>
      <c r="R81">
        <v>4504</v>
      </c>
      <c r="T81" t="s">
        <v>1060</v>
      </c>
      <c r="U81" t="s">
        <v>1060</v>
      </c>
      <c r="V81" t="s">
        <v>292</v>
      </c>
      <c r="W81" t="s">
        <v>152</v>
      </c>
      <c r="X81" t="s">
        <v>290</v>
      </c>
      <c r="Y81" t="s">
        <v>396</v>
      </c>
      <c r="Z81" t="s">
        <v>489</v>
      </c>
      <c r="AA81" t="s">
        <v>695</v>
      </c>
      <c r="AB81" t="s">
        <v>290</v>
      </c>
      <c r="AC81" t="s">
        <v>289</v>
      </c>
      <c r="AD81">
        <v>15353843644</v>
      </c>
      <c r="AE81" t="s">
        <v>1297</v>
      </c>
    </row>
    <row r="82" spans="1:31" x14ac:dyDescent="0.15">
      <c r="A82">
        <v>26123081</v>
      </c>
      <c r="B82" t="s">
        <v>495</v>
      </c>
      <c r="C82" t="s">
        <v>497</v>
      </c>
      <c r="D82" t="s">
        <v>1033</v>
      </c>
      <c r="E82" t="s">
        <v>131</v>
      </c>
      <c r="F82" t="s">
        <v>1057</v>
      </c>
      <c r="G82" t="s">
        <v>374</v>
      </c>
      <c r="H82">
        <v>4300</v>
      </c>
      <c r="I82">
        <v>15</v>
      </c>
      <c r="K82" t="s">
        <v>1058</v>
      </c>
      <c r="L82" t="s">
        <v>1313</v>
      </c>
      <c r="M82" t="s">
        <v>1059</v>
      </c>
      <c r="N82">
        <v>0</v>
      </c>
      <c r="O82">
        <v>0</v>
      </c>
      <c r="P82">
        <v>0</v>
      </c>
      <c r="Q82">
        <v>0</v>
      </c>
      <c r="R82">
        <v>0</v>
      </c>
      <c r="S82">
        <v>0</v>
      </c>
      <c r="T82" t="s">
        <v>1060</v>
      </c>
      <c r="U82" t="s">
        <v>1060</v>
      </c>
      <c r="V82" t="s">
        <v>494</v>
      </c>
      <c r="W82" t="s">
        <v>496</v>
      </c>
      <c r="X82" t="s">
        <v>492</v>
      </c>
      <c r="Y82" t="s">
        <v>493</v>
      </c>
      <c r="AB82" t="s">
        <v>492</v>
      </c>
      <c r="AC82" t="s">
        <v>491</v>
      </c>
      <c r="AD82">
        <v>17536702236</v>
      </c>
      <c r="AE82" t="s">
        <v>1314</v>
      </c>
    </row>
    <row r="83" spans="1:31" x14ac:dyDescent="0.15">
      <c r="A83">
        <v>26123082</v>
      </c>
      <c r="B83" t="s">
        <v>502</v>
      </c>
      <c r="C83" t="s">
        <v>504</v>
      </c>
      <c r="D83" t="s">
        <v>1033</v>
      </c>
      <c r="E83" t="s">
        <v>131</v>
      </c>
      <c r="G83" t="s">
        <v>503</v>
      </c>
      <c r="H83">
        <v>4000</v>
      </c>
      <c r="I83">
        <v>0</v>
      </c>
      <c r="K83" t="s">
        <v>1063</v>
      </c>
      <c r="L83" t="s">
        <v>1315</v>
      </c>
      <c r="M83" t="s">
        <v>1059</v>
      </c>
      <c r="N83">
        <v>4740</v>
      </c>
      <c r="O83">
        <v>4740</v>
      </c>
      <c r="P83">
        <v>4740</v>
      </c>
      <c r="Q83">
        <v>4740</v>
      </c>
      <c r="R83">
        <v>4740</v>
      </c>
      <c r="T83" t="s">
        <v>1060</v>
      </c>
      <c r="U83" t="s">
        <v>1060</v>
      </c>
      <c r="V83" t="s">
        <v>501</v>
      </c>
      <c r="W83" t="s">
        <v>218</v>
      </c>
      <c r="X83" t="s">
        <v>499</v>
      </c>
      <c r="Y83" t="s">
        <v>500</v>
      </c>
      <c r="AB83" t="s">
        <v>499</v>
      </c>
      <c r="AC83" t="s">
        <v>498</v>
      </c>
      <c r="AD83">
        <v>16321305042</v>
      </c>
      <c r="AE83" t="s">
        <v>1316</v>
      </c>
    </row>
    <row r="84" spans="1:31" x14ac:dyDescent="0.15">
      <c r="A84">
        <v>26123083</v>
      </c>
      <c r="B84" t="s">
        <v>509</v>
      </c>
      <c r="C84" t="s">
        <v>511</v>
      </c>
      <c r="D84" t="s">
        <v>1033</v>
      </c>
      <c r="E84" t="s">
        <v>131</v>
      </c>
      <c r="G84" t="s">
        <v>510</v>
      </c>
      <c r="H84">
        <v>4300</v>
      </c>
      <c r="I84">
        <v>0</v>
      </c>
      <c r="K84" t="s">
        <v>1063</v>
      </c>
      <c r="L84" t="s">
        <v>506</v>
      </c>
      <c r="M84" t="s">
        <v>1059</v>
      </c>
      <c r="N84">
        <v>5560</v>
      </c>
      <c r="O84">
        <v>5560</v>
      </c>
      <c r="P84">
        <v>5560</v>
      </c>
      <c r="Q84">
        <v>5560</v>
      </c>
      <c r="R84">
        <v>5560</v>
      </c>
      <c r="S84">
        <v>0</v>
      </c>
      <c r="T84" t="s">
        <v>1060</v>
      </c>
      <c r="U84" t="s">
        <v>1060</v>
      </c>
      <c r="V84" t="s">
        <v>508</v>
      </c>
      <c r="W84" t="s">
        <v>218</v>
      </c>
      <c r="X84" t="s">
        <v>506</v>
      </c>
      <c r="Y84" t="s">
        <v>507</v>
      </c>
      <c r="AB84" t="s">
        <v>506</v>
      </c>
      <c r="AC84" t="s">
        <v>505</v>
      </c>
      <c r="AD84">
        <v>18808184344</v>
      </c>
      <c r="AE84" t="s">
        <v>1317</v>
      </c>
    </row>
    <row r="85" spans="1:31" x14ac:dyDescent="0.15">
      <c r="A85">
        <v>26123084</v>
      </c>
      <c r="B85" t="s">
        <v>512</v>
      </c>
      <c r="C85" t="s">
        <v>514</v>
      </c>
      <c r="D85" t="s">
        <v>1033</v>
      </c>
      <c r="E85" t="s">
        <v>131</v>
      </c>
      <c r="G85" t="s">
        <v>513</v>
      </c>
      <c r="H85">
        <v>4900</v>
      </c>
      <c r="I85">
        <v>0</v>
      </c>
      <c r="K85" t="s">
        <v>1063</v>
      </c>
      <c r="L85" t="s">
        <v>1315</v>
      </c>
      <c r="M85" t="s">
        <v>1059</v>
      </c>
      <c r="N85">
        <v>5900</v>
      </c>
      <c r="O85">
        <v>5900</v>
      </c>
      <c r="P85">
        <v>5900</v>
      </c>
      <c r="Q85">
        <v>5900</v>
      </c>
      <c r="R85">
        <v>5900</v>
      </c>
      <c r="T85" t="s">
        <v>1060</v>
      </c>
      <c r="U85" t="s">
        <v>1060</v>
      </c>
      <c r="V85" t="s">
        <v>501</v>
      </c>
      <c r="W85" t="s">
        <v>140</v>
      </c>
      <c r="X85" t="s">
        <v>499</v>
      </c>
      <c r="Y85" t="s">
        <v>500</v>
      </c>
      <c r="AB85" t="s">
        <v>499</v>
      </c>
      <c r="AC85" t="s">
        <v>498</v>
      </c>
      <c r="AD85">
        <v>15499949022</v>
      </c>
      <c r="AE85" t="s">
        <v>1316</v>
      </c>
    </row>
    <row r="86" spans="1:31" x14ac:dyDescent="0.15">
      <c r="A86">
        <v>26123085</v>
      </c>
      <c r="B86" t="s">
        <v>519</v>
      </c>
      <c r="C86" t="s">
        <v>521</v>
      </c>
      <c r="D86" t="s">
        <v>1033</v>
      </c>
      <c r="E86" t="s">
        <v>131</v>
      </c>
      <c r="G86" t="s">
        <v>520</v>
      </c>
      <c r="H86">
        <v>4300</v>
      </c>
      <c r="I86">
        <v>0</v>
      </c>
      <c r="K86" t="s">
        <v>1063</v>
      </c>
      <c r="L86" t="s">
        <v>1318</v>
      </c>
      <c r="M86" t="s">
        <v>1059</v>
      </c>
      <c r="N86">
        <v>5284</v>
      </c>
      <c r="O86">
        <v>5000</v>
      </c>
      <c r="P86">
        <v>5955.25</v>
      </c>
      <c r="Q86">
        <v>5000</v>
      </c>
      <c r="R86">
        <v>5000</v>
      </c>
      <c r="S86">
        <v>0</v>
      </c>
      <c r="T86" t="s">
        <v>1060</v>
      </c>
      <c r="U86" t="s">
        <v>1060</v>
      </c>
      <c r="V86" t="s">
        <v>518</v>
      </c>
      <c r="W86" t="s">
        <v>218</v>
      </c>
      <c r="X86" t="s">
        <v>516</v>
      </c>
      <c r="Y86" t="s">
        <v>517</v>
      </c>
      <c r="AB86" t="s">
        <v>516</v>
      </c>
      <c r="AC86" t="s">
        <v>515</v>
      </c>
      <c r="AD86">
        <v>14453638497</v>
      </c>
      <c r="AE86" t="s">
        <v>1319</v>
      </c>
    </row>
    <row r="87" spans="1:31" x14ac:dyDescent="0.15">
      <c r="A87">
        <v>26123086</v>
      </c>
      <c r="B87" t="s">
        <v>523</v>
      </c>
      <c r="C87" t="s">
        <v>525</v>
      </c>
      <c r="D87" t="s">
        <v>1033</v>
      </c>
      <c r="E87" t="s">
        <v>131</v>
      </c>
      <c r="G87" t="s">
        <v>524</v>
      </c>
      <c r="H87">
        <v>5200</v>
      </c>
      <c r="I87">
        <v>0</v>
      </c>
      <c r="K87" t="s">
        <v>1063</v>
      </c>
      <c r="L87" t="s">
        <v>506</v>
      </c>
      <c r="M87" t="s">
        <v>1059</v>
      </c>
      <c r="N87">
        <v>5200</v>
      </c>
      <c r="O87">
        <v>5200</v>
      </c>
      <c r="P87">
        <v>5200</v>
      </c>
      <c r="Q87">
        <v>5200</v>
      </c>
      <c r="R87">
        <v>5200</v>
      </c>
      <c r="S87">
        <v>0</v>
      </c>
      <c r="T87" t="s">
        <v>1060</v>
      </c>
      <c r="U87" t="s">
        <v>1060</v>
      </c>
      <c r="V87" t="s">
        <v>508</v>
      </c>
      <c r="W87" t="s">
        <v>140</v>
      </c>
      <c r="X87" t="s">
        <v>506</v>
      </c>
      <c r="Y87" t="s">
        <v>522</v>
      </c>
      <c r="AB87" t="s">
        <v>506</v>
      </c>
      <c r="AC87" t="s">
        <v>505</v>
      </c>
      <c r="AD87">
        <v>18421594548</v>
      </c>
      <c r="AE87" t="s">
        <v>1320</v>
      </c>
    </row>
    <row r="88" spans="1:31" x14ac:dyDescent="0.15">
      <c r="A88">
        <v>26123087</v>
      </c>
      <c r="B88" t="s">
        <v>530</v>
      </c>
      <c r="C88" t="s">
        <v>532</v>
      </c>
      <c r="D88" t="s">
        <v>1033</v>
      </c>
      <c r="E88" t="s">
        <v>131</v>
      </c>
      <c r="G88" t="s">
        <v>531</v>
      </c>
      <c r="H88">
        <v>4300</v>
      </c>
      <c r="I88">
        <v>0</v>
      </c>
      <c r="K88" t="s">
        <v>1058</v>
      </c>
      <c r="L88" t="s">
        <v>527</v>
      </c>
      <c r="M88" t="s">
        <v>1059</v>
      </c>
      <c r="N88">
        <v>2910</v>
      </c>
      <c r="O88">
        <v>3831</v>
      </c>
      <c r="P88">
        <v>3831</v>
      </c>
      <c r="Q88">
        <v>3831</v>
      </c>
      <c r="R88">
        <v>3831</v>
      </c>
      <c r="S88">
        <v>3831</v>
      </c>
      <c r="T88" t="s">
        <v>1060</v>
      </c>
      <c r="U88" t="s">
        <v>1060</v>
      </c>
      <c r="V88" t="s">
        <v>529</v>
      </c>
      <c r="W88" t="s">
        <v>218</v>
      </c>
      <c r="X88" t="s">
        <v>527</v>
      </c>
      <c r="Y88" t="s">
        <v>528</v>
      </c>
      <c r="AB88" t="s">
        <v>527</v>
      </c>
      <c r="AC88" t="s">
        <v>526</v>
      </c>
      <c r="AD88">
        <v>16878141229</v>
      </c>
      <c r="AE88" t="s">
        <v>1321</v>
      </c>
    </row>
    <row r="89" spans="1:31" x14ac:dyDescent="0.15">
      <c r="A89">
        <v>26123088</v>
      </c>
      <c r="B89" t="s">
        <v>537</v>
      </c>
      <c r="C89" t="s">
        <v>539</v>
      </c>
      <c r="D89" t="s">
        <v>1033</v>
      </c>
      <c r="E89" t="s">
        <v>154</v>
      </c>
      <c r="F89" t="s">
        <v>1057</v>
      </c>
      <c r="G89" t="s">
        <v>538</v>
      </c>
      <c r="H89">
        <v>3540</v>
      </c>
      <c r="I89">
        <v>0</v>
      </c>
      <c r="K89" t="s">
        <v>1058</v>
      </c>
      <c r="L89" t="s">
        <v>1322</v>
      </c>
      <c r="M89" t="s">
        <v>1059</v>
      </c>
      <c r="N89">
        <v>3350</v>
      </c>
      <c r="O89">
        <v>4986</v>
      </c>
      <c r="P89">
        <v>4986</v>
      </c>
      <c r="Q89">
        <v>4986</v>
      </c>
      <c r="R89">
        <v>4986</v>
      </c>
      <c r="T89" t="s">
        <v>1060</v>
      </c>
      <c r="U89" t="s">
        <v>1060</v>
      </c>
      <c r="V89" t="s">
        <v>536</v>
      </c>
      <c r="W89" t="s">
        <v>187</v>
      </c>
      <c r="X89" t="s">
        <v>534</v>
      </c>
      <c r="Y89" t="s">
        <v>535</v>
      </c>
      <c r="AB89" t="s">
        <v>534</v>
      </c>
      <c r="AC89" t="s">
        <v>533</v>
      </c>
      <c r="AD89">
        <v>13672073618</v>
      </c>
      <c r="AE89" t="s">
        <v>1323</v>
      </c>
    </row>
    <row r="90" spans="1:31" x14ac:dyDescent="0.15">
      <c r="A90">
        <v>26123089</v>
      </c>
      <c r="B90" t="s">
        <v>541</v>
      </c>
      <c r="C90" t="s">
        <v>543</v>
      </c>
      <c r="D90" t="s">
        <v>1033</v>
      </c>
      <c r="E90" t="s">
        <v>154</v>
      </c>
      <c r="G90" t="s">
        <v>542</v>
      </c>
      <c r="H90">
        <v>3130</v>
      </c>
      <c r="I90">
        <v>0</v>
      </c>
      <c r="K90" t="s">
        <v>1063</v>
      </c>
      <c r="L90" t="s">
        <v>166</v>
      </c>
      <c r="M90" t="s">
        <v>1059</v>
      </c>
      <c r="N90">
        <v>2990</v>
      </c>
      <c r="O90">
        <v>5124</v>
      </c>
      <c r="P90">
        <v>5124</v>
      </c>
      <c r="Q90">
        <v>5124</v>
      </c>
      <c r="R90">
        <v>5124</v>
      </c>
      <c r="S90">
        <v>5124</v>
      </c>
      <c r="T90" t="s">
        <v>1060</v>
      </c>
      <c r="U90" t="s">
        <v>1060</v>
      </c>
      <c r="V90" t="s">
        <v>168</v>
      </c>
      <c r="W90" t="s">
        <v>170</v>
      </c>
      <c r="X90" t="s">
        <v>166</v>
      </c>
      <c r="Y90" t="s">
        <v>540</v>
      </c>
      <c r="AB90" t="s">
        <v>166</v>
      </c>
      <c r="AC90" t="s">
        <v>165</v>
      </c>
      <c r="AD90">
        <v>18336619749</v>
      </c>
      <c r="AE90" t="s">
        <v>1324</v>
      </c>
    </row>
    <row r="91" spans="1:31" x14ac:dyDescent="0.15">
      <c r="A91">
        <v>26123090</v>
      </c>
      <c r="B91" t="s">
        <v>545</v>
      </c>
      <c r="C91" t="s">
        <v>547</v>
      </c>
      <c r="D91" t="s">
        <v>1033</v>
      </c>
      <c r="E91" t="s">
        <v>154</v>
      </c>
      <c r="F91" t="s">
        <v>1057</v>
      </c>
      <c r="G91" t="s">
        <v>546</v>
      </c>
      <c r="H91">
        <v>3640</v>
      </c>
      <c r="I91">
        <v>0</v>
      </c>
      <c r="K91" t="s">
        <v>1063</v>
      </c>
      <c r="L91" t="s">
        <v>1064</v>
      </c>
      <c r="M91" t="s">
        <v>1059</v>
      </c>
      <c r="N91">
        <v>3450</v>
      </c>
      <c r="O91">
        <v>7162</v>
      </c>
      <c r="P91">
        <v>7162</v>
      </c>
      <c r="Q91">
        <v>7162</v>
      </c>
      <c r="R91">
        <v>7162</v>
      </c>
      <c r="T91" t="s">
        <v>1060</v>
      </c>
      <c r="U91" t="s">
        <v>1065</v>
      </c>
      <c r="V91" t="s">
        <v>150</v>
      </c>
      <c r="W91" t="s">
        <v>170</v>
      </c>
      <c r="X91" t="s">
        <v>148</v>
      </c>
      <c r="Y91" t="s">
        <v>544</v>
      </c>
      <c r="AB91" t="s">
        <v>148</v>
      </c>
      <c r="AC91" t="s">
        <v>147</v>
      </c>
      <c r="AD91">
        <v>18564624621</v>
      </c>
      <c r="AE91" t="s">
        <v>1325</v>
      </c>
    </row>
    <row r="92" spans="1:31" x14ac:dyDescent="0.15">
      <c r="A92">
        <v>26123091</v>
      </c>
      <c r="B92" t="s">
        <v>552</v>
      </c>
      <c r="C92" t="s">
        <v>554</v>
      </c>
      <c r="D92" t="s">
        <v>1033</v>
      </c>
      <c r="E92" t="s">
        <v>154</v>
      </c>
      <c r="F92" t="s">
        <v>1057</v>
      </c>
      <c r="G92" t="s">
        <v>553</v>
      </c>
      <c r="H92">
        <v>3300</v>
      </c>
      <c r="I92">
        <v>0</v>
      </c>
      <c r="K92" t="s">
        <v>1058</v>
      </c>
      <c r="L92" t="s">
        <v>549</v>
      </c>
      <c r="M92" t="s">
        <v>1059</v>
      </c>
      <c r="N92">
        <v>3300</v>
      </c>
      <c r="O92">
        <v>4952</v>
      </c>
      <c r="P92">
        <v>4952</v>
      </c>
      <c r="Q92">
        <v>4952</v>
      </c>
      <c r="R92">
        <v>4952</v>
      </c>
      <c r="S92">
        <v>4952</v>
      </c>
      <c r="T92" t="s">
        <v>1060</v>
      </c>
      <c r="U92" t="s">
        <v>1060</v>
      </c>
      <c r="V92" t="s">
        <v>551</v>
      </c>
      <c r="W92" t="s">
        <v>170</v>
      </c>
      <c r="X92" t="s">
        <v>549</v>
      </c>
      <c r="Y92" t="s">
        <v>550</v>
      </c>
      <c r="AB92" t="s">
        <v>549</v>
      </c>
      <c r="AC92" t="s">
        <v>548</v>
      </c>
      <c r="AD92">
        <v>14619634917</v>
      </c>
      <c r="AE92" t="s">
        <v>1326</v>
      </c>
    </row>
    <row r="93" spans="1:31" x14ac:dyDescent="0.15">
      <c r="A93">
        <v>26123092</v>
      </c>
      <c r="B93" t="s">
        <v>555</v>
      </c>
      <c r="C93" t="s">
        <v>556</v>
      </c>
      <c r="D93" t="s">
        <v>1033</v>
      </c>
      <c r="E93" t="s">
        <v>154</v>
      </c>
      <c r="G93" t="s">
        <v>553</v>
      </c>
      <c r="H93">
        <v>2100</v>
      </c>
      <c r="I93">
        <v>0</v>
      </c>
      <c r="K93" t="s">
        <v>1063</v>
      </c>
      <c r="L93" t="s">
        <v>506</v>
      </c>
      <c r="M93" t="s">
        <v>1059</v>
      </c>
      <c r="N93">
        <v>2100</v>
      </c>
      <c r="O93">
        <v>4359</v>
      </c>
      <c r="P93">
        <v>4846</v>
      </c>
      <c r="Q93">
        <v>4359</v>
      </c>
      <c r="R93">
        <v>4359</v>
      </c>
      <c r="S93">
        <v>0</v>
      </c>
      <c r="T93" t="s">
        <v>1060</v>
      </c>
      <c r="U93" t="s">
        <v>1060</v>
      </c>
      <c r="V93" t="s">
        <v>508</v>
      </c>
      <c r="W93" t="s">
        <v>377</v>
      </c>
      <c r="X93" t="s">
        <v>506</v>
      </c>
      <c r="Y93" t="s">
        <v>522</v>
      </c>
      <c r="AB93" t="s">
        <v>506</v>
      </c>
      <c r="AC93" t="s">
        <v>505</v>
      </c>
      <c r="AD93">
        <v>16736856029</v>
      </c>
      <c r="AE93" t="s">
        <v>1320</v>
      </c>
    </row>
    <row r="94" spans="1:31" x14ac:dyDescent="0.15">
      <c r="A94">
        <v>26123093</v>
      </c>
      <c r="B94" t="s">
        <v>558</v>
      </c>
      <c r="C94" t="s">
        <v>560</v>
      </c>
      <c r="D94" t="s">
        <v>1033</v>
      </c>
      <c r="E94" t="s">
        <v>131</v>
      </c>
      <c r="G94" t="s">
        <v>559</v>
      </c>
      <c r="H94">
        <v>4300</v>
      </c>
      <c r="I94">
        <v>0</v>
      </c>
      <c r="K94" t="s">
        <v>1063</v>
      </c>
      <c r="L94" t="s">
        <v>506</v>
      </c>
      <c r="M94" t="s">
        <v>1059</v>
      </c>
      <c r="N94">
        <v>4300</v>
      </c>
      <c r="O94">
        <v>4359</v>
      </c>
      <c r="P94">
        <v>4846</v>
      </c>
      <c r="Q94">
        <v>4359</v>
      </c>
      <c r="R94">
        <v>4359</v>
      </c>
      <c r="S94">
        <v>0</v>
      </c>
      <c r="T94" t="s">
        <v>1060</v>
      </c>
      <c r="U94" t="s">
        <v>1060</v>
      </c>
      <c r="V94" t="s">
        <v>508</v>
      </c>
      <c r="W94" t="s">
        <v>218</v>
      </c>
      <c r="X94" t="s">
        <v>506</v>
      </c>
      <c r="Y94" t="s">
        <v>557</v>
      </c>
      <c r="AB94" t="s">
        <v>506</v>
      </c>
      <c r="AC94" t="s">
        <v>505</v>
      </c>
      <c r="AD94">
        <v>15582979367</v>
      </c>
      <c r="AE94" t="s">
        <v>1327</v>
      </c>
    </row>
    <row r="95" spans="1:31" x14ac:dyDescent="0.15">
      <c r="A95">
        <v>26123094</v>
      </c>
      <c r="B95" t="s">
        <v>562</v>
      </c>
      <c r="C95" t="s">
        <v>564</v>
      </c>
      <c r="D95" t="s">
        <v>1033</v>
      </c>
      <c r="E95" t="s">
        <v>154</v>
      </c>
      <c r="G95" t="s">
        <v>563</v>
      </c>
      <c r="H95">
        <v>2910</v>
      </c>
      <c r="I95">
        <v>0</v>
      </c>
      <c r="K95" t="s">
        <v>1063</v>
      </c>
      <c r="L95" t="s">
        <v>506</v>
      </c>
      <c r="M95" t="s">
        <v>1059</v>
      </c>
      <c r="N95">
        <v>2910</v>
      </c>
      <c r="O95">
        <v>4359</v>
      </c>
      <c r="P95">
        <v>4846</v>
      </c>
      <c r="Q95">
        <v>4359</v>
      </c>
      <c r="R95">
        <v>4359</v>
      </c>
      <c r="S95">
        <v>0</v>
      </c>
      <c r="T95" t="s">
        <v>1060</v>
      </c>
      <c r="U95" t="s">
        <v>1060</v>
      </c>
      <c r="V95" t="s">
        <v>508</v>
      </c>
      <c r="W95" t="s">
        <v>170</v>
      </c>
      <c r="X95" t="s">
        <v>506</v>
      </c>
      <c r="Y95" t="s">
        <v>561</v>
      </c>
      <c r="AB95" t="s">
        <v>506</v>
      </c>
      <c r="AC95" t="s">
        <v>505</v>
      </c>
      <c r="AD95">
        <v>14740538302</v>
      </c>
      <c r="AE95" t="s">
        <v>1328</v>
      </c>
    </row>
    <row r="96" spans="1:31" x14ac:dyDescent="0.15">
      <c r="A96">
        <v>26123095</v>
      </c>
      <c r="B96" t="s">
        <v>567</v>
      </c>
      <c r="C96" t="s">
        <v>569</v>
      </c>
      <c r="D96" t="s">
        <v>1033</v>
      </c>
      <c r="E96" t="s">
        <v>131</v>
      </c>
      <c r="G96" t="s">
        <v>568</v>
      </c>
      <c r="H96">
        <v>4300</v>
      </c>
      <c r="I96">
        <v>0</v>
      </c>
      <c r="K96" t="s">
        <v>1058</v>
      </c>
      <c r="L96" t="s">
        <v>527</v>
      </c>
      <c r="M96" t="s">
        <v>1059</v>
      </c>
      <c r="N96">
        <v>4300</v>
      </c>
      <c r="O96">
        <v>4300</v>
      </c>
      <c r="P96">
        <v>4300</v>
      </c>
      <c r="Q96">
        <v>4300</v>
      </c>
      <c r="R96">
        <v>4300</v>
      </c>
      <c r="S96">
        <v>4300</v>
      </c>
      <c r="T96" t="s">
        <v>1060</v>
      </c>
      <c r="U96" t="s">
        <v>1060</v>
      </c>
      <c r="V96" t="s">
        <v>529</v>
      </c>
      <c r="W96" t="s">
        <v>218</v>
      </c>
      <c r="X96" t="s">
        <v>565</v>
      </c>
      <c r="Y96" t="s">
        <v>566</v>
      </c>
      <c r="AB96" t="s">
        <v>527</v>
      </c>
      <c r="AC96" t="s">
        <v>526</v>
      </c>
      <c r="AD96">
        <v>17366310950</v>
      </c>
      <c r="AE96" t="s">
        <v>1329</v>
      </c>
    </row>
    <row r="97" spans="1:31" x14ac:dyDescent="0.15">
      <c r="A97">
        <v>26123096</v>
      </c>
      <c r="B97" t="s">
        <v>572</v>
      </c>
      <c r="C97" t="s">
        <v>574</v>
      </c>
      <c r="D97" t="s">
        <v>1033</v>
      </c>
      <c r="E97" t="s">
        <v>154</v>
      </c>
      <c r="F97" t="s">
        <v>1057</v>
      </c>
      <c r="G97" t="s">
        <v>573</v>
      </c>
      <c r="H97">
        <v>3185</v>
      </c>
      <c r="I97">
        <v>0</v>
      </c>
      <c r="K97" t="s">
        <v>1058</v>
      </c>
      <c r="L97" t="s">
        <v>438</v>
      </c>
      <c r="M97" t="s">
        <v>1059</v>
      </c>
      <c r="N97">
        <v>3005</v>
      </c>
      <c r="O97">
        <v>4043</v>
      </c>
      <c r="P97">
        <v>4433</v>
      </c>
      <c r="Q97">
        <v>4043</v>
      </c>
      <c r="R97">
        <v>4414</v>
      </c>
      <c r="S97">
        <v>4433</v>
      </c>
      <c r="T97" t="s">
        <v>1060</v>
      </c>
      <c r="U97" t="s">
        <v>1060</v>
      </c>
      <c r="V97" t="s">
        <v>440</v>
      </c>
      <c r="W97" t="s">
        <v>152</v>
      </c>
      <c r="X97" t="s">
        <v>570</v>
      </c>
      <c r="Y97" t="s">
        <v>571</v>
      </c>
      <c r="AB97" t="s">
        <v>570</v>
      </c>
      <c r="AC97" t="s">
        <v>437</v>
      </c>
      <c r="AD97">
        <v>16532797809</v>
      </c>
      <c r="AE97" t="s">
        <v>1330</v>
      </c>
    </row>
    <row r="98" spans="1:31" x14ac:dyDescent="0.15">
      <c r="A98">
        <v>26123097</v>
      </c>
      <c r="B98" t="s">
        <v>576</v>
      </c>
      <c r="C98" t="s">
        <v>578</v>
      </c>
      <c r="D98" t="s">
        <v>1033</v>
      </c>
      <c r="E98" t="s">
        <v>154</v>
      </c>
      <c r="G98" t="s">
        <v>577</v>
      </c>
      <c r="H98">
        <v>3130</v>
      </c>
      <c r="I98">
        <v>0</v>
      </c>
      <c r="K98" t="s">
        <v>1063</v>
      </c>
      <c r="L98" t="s">
        <v>166</v>
      </c>
      <c r="M98" t="s">
        <v>1059</v>
      </c>
      <c r="N98">
        <v>3130</v>
      </c>
      <c r="O98">
        <v>5124</v>
      </c>
      <c r="P98">
        <v>5124</v>
      </c>
      <c r="Q98">
        <v>5124</v>
      </c>
      <c r="R98">
        <v>5124</v>
      </c>
      <c r="S98">
        <v>5124</v>
      </c>
      <c r="T98" t="s">
        <v>1060</v>
      </c>
      <c r="U98" t="s">
        <v>1060</v>
      </c>
      <c r="V98" t="s">
        <v>168</v>
      </c>
      <c r="W98" t="s">
        <v>170</v>
      </c>
      <c r="X98" t="s">
        <v>166</v>
      </c>
      <c r="Y98" t="s">
        <v>575</v>
      </c>
      <c r="AB98" t="s">
        <v>166</v>
      </c>
      <c r="AC98" t="s">
        <v>165</v>
      </c>
      <c r="AD98">
        <v>15333583315</v>
      </c>
      <c r="AE98" t="s">
        <v>1331</v>
      </c>
    </row>
    <row r="99" spans="1:31" x14ac:dyDescent="0.15">
      <c r="A99">
        <v>26123098</v>
      </c>
      <c r="B99" t="s">
        <v>583</v>
      </c>
      <c r="C99" t="s">
        <v>585</v>
      </c>
      <c r="D99" t="s">
        <v>1033</v>
      </c>
      <c r="E99" t="s">
        <v>131</v>
      </c>
      <c r="G99" t="s">
        <v>584</v>
      </c>
      <c r="H99">
        <v>4000</v>
      </c>
      <c r="I99">
        <v>0</v>
      </c>
      <c r="K99" t="s">
        <v>1058</v>
      </c>
      <c r="L99" t="s">
        <v>580</v>
      </c>
      <c r="M99" t="s">
        <v>1059</v>
      </c>
      <c r="N99">
        <v>4879</v>
      </c>
      <c r="O99">
        <v>4952</v>
      </c>
      <c r="P99">
        <v>4952</v>
      </c>
      <c r="Q99">
        <v>4952</v>
      </c>
      <c r="R99">
        <v>4952</v>
      </c>
      <c r="S99">
        <v>4952</v>
      </c>
      <c r="T99" t="s">
        <v>1060</v>
      </c>
      <c r="U99" t="s">
        <v>1060</v>
      </c>
      <c r="V99" t="s">
        <v>582</v>
      </c>
      <c r="W99" t="s">
        <v>420</v>
      </c>
      <c r="X99" t="s">
        <v>580</v>
      </c>
      <c r="Y99" t="s">
        <v>581</v>
      </c>
      <c r="AB99" t="s">
        <v>580</v>
      </c>
      <c r="AC99" t="s">
        <v>579</v>
      </c>
      <c r="AD99">
        <v>17409246298</v>
      </c>
      <c r="AE99" t="s">
        <v>1332</v>
      </c>
    </row>
    <row r="100" spans="1:31" x14ac:dyDescent="0.15">
      <c r="A100">
        <v>26123099</v>
      </c>
      <c r="B100" t="s">
        <v>590</v>
      </c>
      <c r="C100" t="s">
        <v>593</v>
      </c>
      <c r="D100" t="s">
        <v>1246</v>
      </c>
      <c r="E100" t="s">
        <v>131</v>
      </c>
      <c r="G100" t="s">
        <v>591</v>
      </c>
      <c r="H100">
        <v>4000</v>
      </c>
      <c r="I100">
        <v>0</v>
      </c>
      <c r="K100" t="s">
        <v>1058</v>
      </c>
      <c r="L100" t="s">
        <v>1333</v>
      </c>
      <c r="M100" t="s">
        <v>1059</v>
      </c>
      <c r="N100">
        <v>4000</v>
      </c>
      <c r="O100">
        <v>4311</v>
      </c>
      <c r="P100">
        <v>4311</v>
      </c>
      <c r="Q100">
        <v>4311</v>
      </c>
      <c r="R100">
        <v>4311</v>
      </c>
      <c r="S100">
        <v>0</v>
      </c>
      <c r="T100" t="s">
        <v>1060</v>
      </c>
      <c r="U100" t="s">
        <v>1060</v>
      </c>
      <c r="V100" t="s">
        <v>589</v>
      </c>
      <c r="W100" t="s">
        <v>218</v>
      </c>
      <c r="X100" t="s">
        <v>587</v>
      </c>
      <c r="Y100" t="s">
        <v>588</v>
      </c>
      <c r="Z100" t="s">
        <v>592</v>
      </c>
      <c r="AA100" t="s">
        <v>635</v>
      </c>
      <c r="AB100" t="s">
        <v>587</v>
      </c>
      <c r="AC100" t="s">
        <v>586</v>
      </c>
      <c r="AD100">
        <v>16875193126</v>
      </c>
      <c r="AE100" t="s">
        <v>1334</v>
      </c>
    </row>
    <row r="101" spans="1:31" x14ac:dyDescent="0.15">
      <c r="A101">
        <v>26123100</v>
      </c>
      <c r="B101" t="s">
        <v>595</v>
      </c>
      <c r="C101" t="s">
        <v>597</v>
      </c>
      <c r="D101" t="s">
        <v>1033</v>
      </c>
      <c r="E101" t="s">
        <v>154</v>
      </c>
      <c r="F101" t="s">
        <v>1057</v>
      </c>
      <c r="G101" t="s">
        <v>596</v>
      </c>
      <c r="H101">
        <v>3640</v>
      </c>
      <c r="I101">
        <v>0</v>
      </c>
      <c r="K101" t="s">
        <v>1063</v>
      </c>
      <c r="L101" t="s">
        <v>148</v>
      </c>
      <c r="M101" t="s">
        <v>1059</v>
      </c>
      <c r="N101">
        <v>3640</v>
      </c>
      <c r="O101">
        <v>7162</v>
      </c>
      <c r="P101">
        <v>7162</v>
      </c>
      <c r="Q101">
        <v>7162</v>
      </c>
      <c r="R101">
        <v>7162</v>
      </c>
      <c r="T101" t="s">
        <v>1060</v>
      </c>
      <c r="U101" t="s">
        <v>1065</v>
      </c>
      <c r="V101" t="s">
        <v>150</v>
      </c>
      <c r="W101" t="s">
        <v>170</v>
      </c>
      <c r="X101" t="s">
        <v>148</v>
      </c>
      <c r="Y101" t="s">
        <v>594</v>
      </c>
      <c r="AB101" t="s">
        <v>148</v>
      </c>
      <c r="AC101" t="s">
        <v>147</v>
      </c>
      <c r="AD101">
        <v>16330957304</v>
      </c>
      <c r="AE101" t="s">
        <v>1335</v>
      </c>
    </row>
    <row r="102" spans="1:31" x14ac:dyDescent="0.15">
      <c r="A102">
        <v>26123101</v>
      </c>
      <c r="B102" t="s">
        <v>599</v>
      </c>
      <c r="C102" t="s">
        <v>601</v>
      </c>
      <c r="D102" t="s">
        <v>1033</v>
      </c>
      <c r="E102" t="s">
        <v>154</v>
      </c>
      <c r="F102" t="s">
        <v>1057</v>
      </c>
      <c r="G102" t="s">
        <v>600</v>
      </c>
      <c r="H102">
        <v>3640</v>
      </c>
      <c r="I102">
        <v>0</v>
      </c>
      <c r="K102" t="s">
        <v>1063</v>
      </c>
      <c r="L102" t="s">
        <v>148</v>
      </c>
      <c r="M102" t="s">
        <v>1059</v>
      </c>
      <c r="N102">
        <v>3640</v>
      </c>
      <c r="O102">
        <v>7162</v>
      </c>
      <c r="P102">
        <v>7162</v>
      </c>
      <c r="Q102">
        <v>7162</v>
      </c>
      <c r="R102">
        <v>7162</v>
      </c>
      <c r="T102" t="s">
        <v>1060</v>
      </c>
      <c r="U102" t="s">
        <v>1065</v>
      </c>
      <c r="V102" t="s">
        <v>150</v>
      </c>
      <c r="W102" t="s">
        <v>170</v>
      </c>
      <c r="X102" t="s">
        <v>148</v>
      </c>
      <c r="Y102" t="s">
        <v>598</v>
      </c>
      <c r="AB102" t="s">
        <v>148</v>
      </c>
      <c r="AC102" t="s">
        <v>147</v>
      </c>
      <c r="AD102">
        <v>17780342302</v>
      </c>
      <c r="AE102" t="s">
        <v>1336</v>
      </c>
    </row>
    <row r="103" spans="1:31" x14ac:dyDescent="0.15">
      <c r="A103">
        <v>26123102</v>
      </c>
      <c r="B103" t="s">
        <v>605</v>
      </c>
      <c r="C103" t="s">
        <v>607</v>
      </c>
      <c r="D103" t="s">
        <v>1033</v>
      </c>
      <c r="E103" t="s">
        <v>131</v>
      </c>
      <c r="G103" t="s">
        <v>606</v>
      </c>
      <c r="H103">
        <v>6100</v>
      </c>
      <c r="I103">
        <v>0</v>
      </c>
      <c r="K103" t="s">
        <v>1058</v>
      </c>
      <c r="L103" t="s">
        <v>174</v>
      </c>
      <c r="M103" t="s">
        <v>1059</v>
      </c>
      <c r="N103">
        <v>6100</v>
      </c>
      <c r="O103">
        <v>6100</v>
      </c>
      <c r="P103">
        <v>6100</v>
      </c>
      <c r="Q103">
        <v>6100</v>
      </c>
      <c r="R103">
        <v>6100</v>
      </c>
      <c r="S103">
        <v>0</v>
      </c>
      <c r="T103" t="s">
        <v>1060</v>
      </c>
      <c r="U103" t="s">
        <v>1060</v>
      </c>
      <c r="V103" t="s">
        <v>604</v>
      </c>
      <c r="W103" t="s">
        <v>128</v>
      </c>
      <c r="X103" t="s">
        <v>174</v>
      </c>
      <c r="Y103" t="s">
        <v>603</v>
      </c>
      <c r="AB103" t="s">
        <v>174</v>
      </c>
      <c r="AC103" t="s">
        <v>602</v>
      </c>
      <c r="AD103">
        <v>14591333716</v>
      </c>
      <c r="AE103" t="s">
        <v>1337</v>
      </c>
    </row>
    <row r="104" spans="1:31" x14ac:dyDescent="0.15">
      <c r="A104">
        <v>26123103</v>
      </c>
      <c r="B104" t="s">
        <v>612</v>
      </c>
      <c r="C104" t="s">
        <v>614</v>
      </c>
      <c r="D104" t="s">
        <v>1033</v>
      </c>
      <c r="E104" t="s">
        <v>154</v>
      </c>
      <c r="F104" t="s">
        <v>1057</v>
      </c>
      <c r="G104" t="s">
        <v>613</v>
      </c>
      <c r="H104">
        <v>3030</v>
      </c>
      <c r="I104">
        <v>0</v>
      </c>
      <c r="K104" t="s">
        <v>1058</v>
      </c>
      <c r="L104" t="s">
        <v>1338</v>
      </c>
      <c r="M104" t="s">
        <v>1059</v>
      </c>
      <c r="N104">
        <v>3030</v>
      </c>
      <c r="O104">
        <v>4952</v>
      </c>
      <c r="P104">
        <v>4952</v>
      </c>
      <c r="Q104">
        <v>4952</v>
      </c>
      <c r="R104">
        <v>4952</v>
      </c>
      <c r="S104">
        <v>4952</v>
      </c>
      <c r="T104" t="s">
        <v>1060</v>
      </c>
      <c r="U104" t="s">
        <v>1060</v>
      </c>
      <c r="V104" t="s">
        <v>611</v>
      </c>
      <c r="W104" t="s">
        <v>170</v>
      </c>
      <c r="X104" t="s">
        <v>609</v>
      </c>
      <c r="Y104" t="s">
        <v>610</v>
      </c>
      <c r="AB104" t="s">
        <v>609</v>
      </c>
      <c r="AC104" t="s">
        <v>608</v>
      </c>
      <c r="AD104">
        <v>16404868006</v>
      </c>
      <c r="AE104" t="s">
        <v>1339</v>
      </c>
    </row>
    <row r="105" spans="1:31" x14ac:dyDescent="0.15">
      <c r="A105">
        <v>26123104</v>
      </c>
      <c r="B105" t="s">
        <v>616</v>
      </c>
      <c r="C105" t="s">
        <v>1340</v>
      </c>
      <c r="D105" t="s">
        <v>1033</v>
      </c>
      <c r="E105" t="s">
        <v>154</v>
      </c>
      <c r="F105" t="s">
        <v>1057</v>
      </c>
      <c r="G105" t="s">
        <v>613</v>
      </c>
      <c r="H105">
        <v>3030</v>
      </c>
      <c r="I105">
        <v>0</v>
      </c>
      <c r="K105" t="s">
        <v>1058</v>
      </c>
      <c r="L105" t="s">
        <v>1338</v>
      </c>
      <c r="M105" t="s">
        <v>1059</v>
      </c>
      <c r="N105">
        <v>3030</v>
      </c>
      <c r="O105">
        <v>4952</v>
      </c>
      <c r="P105">
        <v>4952</v>
      </c>
      <c r="Q105">
        <v>4952</v>
      </c>
      <c r="R105">
        <v>4952</v>
      </c>
      <c r="S105">
        <v>4952</v>
      </c>
      <c r="T105" t="s">
        <v>1060</v>
      </c>
      <c r="U105" t="s">
        <v>1060</v>
      </c>
      <c r="V105" t="s">
        <v>611</v>
      </c>
      <c r="W105" t="s">
        <v>170</v>
      </c>
      <c r="X105" t="s">
        <v>609</v>
      </c>
      <c r="Y105" t="s">
        <v>610</v>
      </c>
      <c r="AB105" t="s">
        <v>609</v>
      </c>
      <c r="AC105" t="s">
        <v>608</v>
      </c>
      <c r="AD105">
        <v>18543115162</v>
      </c>
      <c r="AE105" t="s">
        <v>1339</v>
      </c>
    </row>
    <row r="106" spans="1:31" x14ac:dyDescent="0.15">
      <c r="A106">
        <v>26123105</v>
      </c>
      <c r="B106" t="s">
        <v>617</v>
      </c>
      <c r="C106" t="s">
        <v>1341</v>
      </c>
      <c r="D106" t="s">
        <v>1033</v>
      </c>
      <c r="E106" t="s">
        <v>154</v>
      </c>
      <c r="F106" t="s">
        <v>1057</v>
      </c>
      <c r="G106" t="s">
        <v>613</v>
      </c>
      <c r="H106">
        <v>3030</v>
      </c>
      <c r="I106">
        <v>0</v>
      </c>
      <c r="K106" t="s">
        <v>1058</v>
      </c>
      <c r="L106" t="s">
        <v>1338</v>
      </c>
      <c r="M106" t="s">
        <v>1059</v>
      </c>
      <c r="N106">
        <v>3030</v>
      </c>
      <c r="O106">
        <v>4952</v>
      </c>
      <c r="P106">
        <v>4952</v>
      </c>
      <c r="Q106">
        <v>4952</v>
      </c>
      <c r="R106">
        <v>4952</v>
      </c>
      <c r="S106">
        <v>4952</v>
      </c>
      <c r="T106" t="s">
        <v>1060</v>
      </c>
      <c r="U106" t="s">
        <v>1060</v>
      </c>
      <c r="V106" t="s">
        <v>611</v>
      </c>
      <c r="W106" t="s">
        <v>170</v>
      </c>
      <c r="X106" t="s">
        <v>609</v>
      </c>
      <c r="Y106" t="s">
        <v>610</v>
      </c>
      <c r="AB106" t="s">
        <v>609</v>
      </c>
      <c r="AC106" t="s">
        <v>608</v>
      </c>
      <c r="AD106">
        <v>17714014790</v>
      </c>
      <c r="AE106" t="s">
        <v>1339</v>
      </c>
    </row>
    <row r="107" spans="1:31" x14ac:dyDescent="0.15">
      <c r="A107">
        <v>26123106</v>
      </c>
      <c r="B107" t="s">
        <v>618</v>
      </c>
      <c r="C107" t="s">
        <v>1342</v>
      </c>
      <c r="D107" t="s">
        <v>1033</v>
      </c>
      <c r="E107" t="s">
        <v>154</v>
      </c>
      <c r="F107" t="s">
        <v>1057</v>
      </c>
      <c r="G107" t="s">
        <v>613</v>
      </c>
      <c r="H107">
        <v>3030</v>
      </c>
      <c r="I107">
        <v>0</v>
      </c>
      <c r="K107" t="s">
        <v>1058</v>
      </c>
      <c r="L107" t="s">
        <v>1338</v>
      </c>
      <c r="M107" t="s">
        <v>1059</v>
      </c>
      <c r="N107">
        <v>3030</v>
      </c>
      <c r="O107">
        <v>4952</v>
      </c>
      <c r="P107">
        <v>4952</v>
      </c>
      <c r="Q107">
        <v>4952</v>
      </c>
      <c r="R107">
        <v>4952</v>
      </c>
      <c r="S107">
        <v>4952</v>
      </c>
      <c r="T107" t="s">
        <v>1060</v>
      </c>
      <c r="U107" t="s">
        <v>1060</v>
      </c>
      <c r="V107" t="s">
        <v>611</v>
      </c>
      <c r="W107" t="s">
        <v>170</v>
      </c>
      <c r="X107" t="s">
        <v>609</v>
      </c>
      <c r="Y107" t="s">
        <v>610</v>
      </c>
      <c r="AB107" t="s">
        <v>609</v>
      </c>
      <c r="AC107" t="s">
        <v>608</v>
      </c>
      <c r="AD107">
        <v>13649467768</v>
      </c>
      <c r="AE107" t="s">
        <v>1339</v>
      </c>
    </row>
    <row r="108" spans="1:31" x14ac:dyDescent="0.15">
      <c r="A108">
        <v>26123107</v>
      </c>
      <c r="B108" t="s">
        <v>619</v>
      </c>
      <c r="C108" t="s">
        <v>1343</v>
      </c>
      <c r="D108" t="s">
        <v>1033</v>
      </c>
      <c r="E108" t="s">
        <v>154</v>
      </c>
      <c r="F108" t="s">
        <v>1057</v>
      </c>
      <c r="G108" t="s">
        <v>613</v>
      </c>
      <c r="H108">
        <v>3030</v>
      </c>
      <c r="I108">
        <v>0</v>
      </c>
      <c r="K108" t="s">
        <v>1058</v>
      </c>
      <c r="L108" t="s">
        <v>1338</v>
      </c>
      <c r="M108" t="s">
        <v>1059</v>
      </c>
      <c r="N108">
        <v>3030</v>
      </c>
      <c r="O108">
        <v>4952</v>
      </c>
      <c r="P108">
        <v>4952</v>
      </c>
      <c r="Q108">
        <v>4952</v>
      </c>
      <c r="R108">
        <v>4952</v>
      </c>
      <c r="S108">
        <v>4952</v>
      </c>
      <c r="T108" t="s">
        <v>1060</v>
      </c>
      <c r="U108" t="s">
        <v>1060</v>
      </c>
      <c r="V108" t="s">
        <v>611</v>
      </c>
      <c r="W108" t="s">
        <v>170</v>
      </c>
      <c r="X108" t="s">
        <v>609</v>
      </c>
      <c r="Y108" t="s">
        <v>610</v>
      </c>
      <c r="AB108" t="s">
        <v>609</v>
      </c>
      <c r="AC108" t="s">
        <v>608</v>
      </c>
      <c r="AD108">
        <v>17413628189</v>
      </c>
      <c r="AE108" t="s">
        <v>1339</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9"/>
  <sheetViews>
    <sheetView workbookViewId="0"/>
  </sheetViews>
  <sheetFormatPr defaultRowHeight="13.5" x14ac:dyDescent="0.15"/>
  <sheetData>
    <row r="1" spans="1:2" x14ac:dyDescent="0.15">
      <c r="A1" s="1" t="s">
        <v>8</v>
      </c>
      <c r="B1" s="1" t="s">
        <v>1344</v>
      </c>
    </row>
    <row r="2" spans="1:2" x14ac:dyDescent="0.15">
      <c r="A2" t="s">
        <v>232</v>
      </c>
      <c r="B2" t="s">
        <v>1345</v>
      </c>
    </row>
    <row r="3" spans="1:2" x14ac:dyDescent="0.15">
      <c r="A3" t="s">
        <v>212</v>
      </c>
      <c r="B3" t="s">
        <v>1346</v>
      </c>
    </row>
    <row r="4" spans="1:2" x14ac:dyDescent="0.15">
      <c r="A4" t="s">
        <v>336</v>
      </c>
      <c r="B4" t="s">
        <v>1347</v>
      </c>
    </row>
    <row r="5" spans="1:2" x14ac:dyDescent="0.15">
      <c r="A5" t="s">
        <v>314</v>
      </c>
      <c r="B5" t="s">
        <v>1348</v>
      </c>
    </row>
    <row r="6" spans="1:2" x14ac:dyDescent="0.15">
      <c r="A6" t="s">
        <v>205</v>
      </c>
      <c r="B6" t="s">
        <v>1349</v>
      </c>
    </row>
    <row r="7" spans="1:2" x14ac:dyDescent="0.15">
      <c r="A7" t="s">
        <v>407</v>
      </c>
      <c r="B7" t="s">
        <v>1350</v>
      </c>
    </row>
    <row r="8" spans="1:2" x14ac:dyDescent="0.15">
      <c r="A8" t="s">
        <v>414</v>
      </c>
      <c r="B8" t="s">
        <v>1351</v>
      </c>
    </row>
    <row r="9" spans="1:2" x14ac:dyDescent="0.15">
      <c r="A9" t="s">
        <v>126</v>
      </c>
      <c r="B9" t="s">
        <v>1352</v>
      </c>
    </row>
    <row r="10" spans="1:2" x14ac:dyDescent="0.15">
      <c r="A10" t="s">
        <v>325</v>
      </c>
      <c r="B10" t="s">
        <v>1353</v>
      </c>
    </row>
    <row r="11" spans="1:2" x14ac:dyDescent="0.15">
      <c r="A11" t="s">
        <v>450</v>
      </c>
      <c r="B11" t="s">
        <v>1354</v>
      </c>
    </row>
    <row r="12" spans="1:2" x14ac:dyDescent="0.15">
      <c r="A12" t="s">
        <v>353</v>
      </c>
      <c r="B12" t="s">
        <v>1355</v>
      </c>
    </row>
    <row r="13" spans="1:2" x14ac:dyDescent="0.15">
      <c r="A13" t="s">
        <v>348</v>
      </c>
      <c r="B13" t="s">
        <v>1356</v>
      </c>
    </row>
    <row r="14" spans="1:2" x14ac:dyDescent="0.15">
      <c r="A14" t="s">
        <v>176</v>
      </c>
      <c r="B14" t="s">
        <v>1357</v>
      </c>
    </row>
    <row r="15" spans="1:2" x14ac:dyDescent="0.15">
      <c r="A15" t="s">
        <v>292</v>
      </c>
      <c r="B15" t="s">
        <v>1358</v>
      </c>
    </row>
    <row r="16" spans="1:2" x14ac:dyDescent="0.15">
      <c r="A16" t="s">
        <v>494</v>
      </c>
      <c r="B16" t="s">
        <v>1359</v>
      </c>
    </row>
    <row r="17" spans="1:2" x14ac:dyDescent="0.15">
      <c r="A17" t="s">
        <v>501</v>
      </c>
      <c r="B17" t="s">
        <v>1360</v>
      </c>
    </row>
    <row r="18" spans="1:2" x14ac:dyDescent="0.15">
      <c r="A18" t="s">
        <v>518</v>
      </c>
      <c r="B18" t="s">
        <v>1361</v>
      </c>
    </row>
    <row r="19" spans="1:2" x14ac:dyDescent="0.15">
      <c r="A19" t="s">
        <v>536</v>
      </c>
      <c r="B19" t="s">
        <v>1362</v>
      </c>
    </row>
    <row r="20" spans="1:2" x14ac:dyDescent="0.15">
      <c r="A20" t="s">
        <v>551</v>
      </c>
      <c r="B20" t="s">
        <v>1363</v>
      </c>
    </row>
    <row r="21" spans="1:2" x14ac:dyDescent="0.15">
      <c r="A21" t="s">
        <v>508</v>
      </c>
      <c r="B21" t="s">
        <v>1364</v>
      </c>
    </row>
    <row r="22" spans="1:2" x14ac:dyDescent="0.15">
      <c r="A22" t="s">
        <v>529</v>
      </c>
      <c r="B22" t="s">
        <v>1365</v>
      </c>
    </row>
    <row r="23" spans="1:2" x14ac:dyDescent="0.15">
      <c r="A23" t="s">
        <v>440</v>
      </c>
      <c r="B23" t="s">
        <v>1366</v>
      </c>
    </row>
    <row r="24" spans="1:2" x14ac:dyDescent="0.15">
      <c r="A24" t="s">
        <v>168</v>
      </c>
      <c r="B24" t="s">
        <v>1367</v>
      </c>
    </row>
    <row r="25" spans="1:2" x14ac:dyDescent="0.15">
      <c r="A25" t="s">
        <v>582</v>
      </c>
      <c r="B25" t="s">
        <v>1368</v>
      </c>
    </row>
    <row r="26" spans="1:2" x14ac:dyDescent="0.15">
      <c r="A26" t="s">
        <v>589</v>
      </c>
      <c r="B26" t="s">
        <v>1369</v>
      </c>
    </row>
    <row r="27" spans="1:2" x14ac:dyDescent="0.15">
      <c r="A27" t="s">
        <v>150</v>
      </c>
      <c r="B27" t="s">
        <v>1370</v>
      </c>
    </row>
    <row r="28" spans="1:2" x14ac:dyDescent="0.15">
      <c r="A28" t="s">
        <v>604</v>
      </c>
      <c r="B28" t="s">
        <v>1371</v>
      </c>
    </row>
    <row r="29" spans="1:2" x14ac:dyDescent="0.15">
      <c r="A29" t="s">
        <v>611</v>
      </c>
      <c r="B29" t="s">
        <v>1372</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G108"/>
  <sheetViews>
    <sheetView workbookViewId="0"/>
  </sheetViews>
  <sheetFormatPr defaultRowHeight="13.5" x14ac:dyDescent="0.15"/>
  <sheetData>
    <row r="1" spans="1:59" x14ac:dyDescent="0.15">
      <c r="A1" s="1" t="s">
        <v>1373</v>
      </c>
      <c r="B1" s="1" t="s">
        <v>6</v>
      </c>
      <c r="C1" s="1" t="s">
        <v>1374</v>
      </c>
      <c r="D1" s="1" t="s">
        <v>7</v>
      </c>
      <c r="E1" s="1" t="s">
        <v>15</v>
      </c>
      <c r="F1" s="1" t="s">
        <v>1024</v>
      </c>
      <c r="G1" s="1" t="s">
        <v>615</v>
      </c>
      <c r="H1" s="1" t="s">
        <v>1375</v>
      </c>
      <c r="I1" s="1" t="s">
        <v>1376</v>
      </c>
      <c r="J1" s="1" t="s">
        <v>1377</v>
      </c>
      <c r="K1" s="1" t="s">
        <v>1378</v>
      </c>
      <c r="L1" s="1" t="s">
        <v>1379</v>
      </c>
      <c r="M1" s="1" t="s">
        <v>1380</v>
      </c>
      <c r="N1" s="1" t="s">
        <v>1381</v>
      </c>
      <c r="O1" s="1" t="s">
        <v>1382</v>
      </c>
      <c r="P1" s="1" t="s">
        <v>1383</v>
      </c>
      <c r="Q1" s="1" t="s">
        <v>1384</v>
      </c>
      <c r="R1" s="1" t="s">
        <v>1385</v>
      </c>
      <c r="S1" s="1" t="s">
        <v>1386</v>
      </c>
      <c r="T1" s="1" t="s">
        <v>1387</v>
      </c>
      <c r="U1" s="1" t="s">
        <v>1388</v>
      </c>
      <c r="V1" s="1" t="s">
        <v>1389</v>
      </c>
      <c r="W1" s="1" t="s">
        <v>1390</v>
      </c>
      <c r="X1" s="1" t="s">
        <v>1391</v>
      </c>
      <c r="Y1" s="1" t="s">
        <v>1392</v>
      </c>
      <c r="Z1" s="1" t="s">
        <v>1393</v>
      </c>
      <c r="AA1" s="1" t="s">
        <v>1394</v>
      </c>
      <c r="AB1" s="1" t="s">
        <v>1395</v>
      </c>
      <c r="AC1" s="1" t="s">
        <v>1396</v>
      </c>
      <c r="AD1" s="1" t="s">
        <v>1397</v>
      </c>
      <c r="AE1" s="1" t="s">
        <v>1075</v>
      </c>
      <c r="AF1" s="1" t="s">
        <v>1398</v>
      </c>
      <c r="AG1" s="1" t="s">
        <v>1399</v>
      </c>
      <c r="AH1" s="1" t="s">
        <v>1400</v>
      </c>
      <c r="AI1" s="1" t="s">
        <v>1401</v>
      </c>
      <c r="AJ1" s="1" t="s">
        <v>1402</v>
      </c>
      <c r="AK1" s="1" t="s">
        <v>1403</v>
      </c>
      <c r="AL1" s="1" t="s">
        <v>1404</v>
      </c>
      <c r="AM1" s="1" t="s">
        <v>1405</v>
      </c>
      <c r="AN1" s="1" t="s">
        <v>1406</v>
      </c>
      <c r="AO1" s="1" t="s">
        <v>1407</v>
      </c>
      <c r="AP1" s="1" t="s">
        <v>1408</v>
      </c>
      <c r="AQ1" s="1" t="s">
        <v>1409</v>
      </c>
      <c r="AR1" s="1" t="s">
        <v>1410</v>
      </c>
      <c r="AS1" s="1" t="s">
        <v>1411</v>
      </c>
      <c r="AT1" s="1" t="s">
        <v>1412</v>
      </c>
      <c r="AU1" s="1" t="s">
        <v>1413</v>
      </c>
      <c r="AV1" s="1" t="s">
        <v>1414</v>
      </c>
      <c r="AW1" s="1" t="s">
        <v>1415</v>
      </c>
      <c r="AX1" s="1" t="s">
        <v>1416</v>
      </c>
      <c r="AY1" s="1" t="s">
        <v>1417</v>
      </c>
      <c r="AZ1" s="1" t="s">
        <v>1418</v>
      </c>
      <c r="BA1" s="1" t="s">
        <v>1419</v>
      </c>
      <c r="BB1" s="1" t="s">
        <v>1420</v>
      </c>
      <c r="BC1" s="1" t="s">
        <v>1421</v>
      </c>
      <c r="BD1" s="1" t="s">
        <v>1027</v>
      </c>
      <c r="BE1" s="1" t="s">
        <v>1422</v>
      </c>
      <c r="BF1" s="1" t="s">
        <v>1423</v>
      </c>
      <c r="BG1" s="1" t="s">
        <v>1052</v>
      </c>
    </row>
    <row r="2" spans="1:59" x14ac:dyDescent="0.15">
      <c r="A2" t="s">
        <v>1424</v>
      </c>
      <c r="B2" t="s">
        <v>133</v>
      </c>
      <c r="C2" t="s">
        <v>1247</v>
      </c>
      <c r="D2" t="s">
        <v>125</v>
      </c>
      <c r="E2" t="s">
        <v>131</v>
      </c>
      <c r="F2">
        <v>26123001</v>
      </c>
      <c r="G2" t="s">
        <v>127</v>
      </c>
      <c r="H2">
        <v>7</v>
      </c>
      <c r="I2">
        <v>5.5</v>
      </c>
      <c r="J2">
        <v>7</v>
      </c>
      <c r="K2">
        <v>9</v>
      </c>
      <c r="L2">
        <v>7.5</v>
      </c>
      <c r="M2">
        <v>11</v>
      </c>
      <c r="N2">
        <v>5.5</v>
      </c>
      <c r="O2">
        <v>0.5</v>
      </c>
      <c r="P2">
        <v>7.5</v>
      </c>
      <c r="Q2">
        <v>7</v>
      </c>
      <c r="R2">
        <v>6</v>
      </c>
      <c r="T2">
        <v>8</v>
      </c>
      <c r="U2">
        <v>8.5</v>
      </c>
      <c r="V2">
        <v>7.5</v>
      </c>
      <c r="W2">
        <v>6</v>
      </c>
      <c r="X2">
        <v>8</v>
      </c>
      <c r="Y2">
        <v>7.5</v>
      </c>
      <c r="Z2">
        <v>7.5</v>
      </c>
      <c r="AA2">
        <v>10.5</v>
      </c>
      <c r="AB2">
        <v>11</v>
      </c>
      <c r="AC2">
        <v>7</v>
      </c>
      <c r="AD2">
        <v>0.5</v>
      </c>
      <c r="AE2">
        <v>3</v>
      </c>
      <c r="AF2">
        <v>7.5</v>
      </c>
      <c r="AH2">
        <v>7.5</v>
      </c>
      <c r="AI2">
        <v>7.5</v>
      </c>
      <c r="AJ2">
        <v>0.5</v>
      </c>
      <c r="AL2">
        <v>2.5</v>
      </c>
      <c r="AM2">
        <v>184</v>
      </c>
      <c r="AP2">
        <v>16</v>
      </c>
      <c r="AY2">
        <v>0</v>
      </c>
      <c r="AZ2">
        <v>200</v>
      </c>
      <c r="BD2" t="s">
        <v>1425</v>
      </c>
      <c r="BE2" t="s">
        <v>129</v>
      </c>
      <c r="BF2" t="s">
        <v>130</v>
      </c>
      <c r="BG2" t="s">
        <v>1426</v>
      </c>
    </row>
    <row r="3" spans="1:59" x14ac:dyDescent="0.15">
      <c r="A3" t="s">
        <v>1424</v>
      </c>
      <c r="B3" t="s">
        <v>133</v>
      </c>
      <c r="C3" t="s">
        <v>1248</v>
      </c>
      <c r="D3" t="s">
        <v>134</v>
      </c>
      <c r="E3" t="s">
        <v>131</v>
      </c>
      <c r="F3">
        <v>26123002</v>
      </c>
      <c r="G3" t="s">
        <v>135</v>
      </c>
      <c r="H3">
        <v>8</v>
      </c>
      <c r="I3">
        <v>8</v>
      </c>
      <c r="J3">
        <v>6</v>
      </c>
      <c r="L3">
        <v>8</v>
      </c>
      <c r="M3">
        <v>8</v>
      </c>
      <c r="N3">
        <v>8</v>
      </c>
      <c r="O3">
        <v>9</v>
      </c>
      <c r="P3">
        <v>9.5</v>
      </c>
      <c r="Q3">
        <v>5</v>
      </c>
      <c r="S3">
        <v>8</v>
      </c>
      <c r="T3">
        <v>8</v>
      </c>
      <c r="U3">
        <v>8</v>
      </c>
      <c r="V3">
        <v>8</v>
      </c>
      <c r="W3">
        <v>6</v>
      </c>
      <c r="X3">
        <v>6</v>
      </c>
      <c r="Z3">
        <v>6</v>
      </c>
      <c r="AA3">
        <v>8</v>
      </c>
      <c r="AB3">
        <v>8</v>
      </c>
      <c r="AC3">
        <v>8</v>
      </c>
      <c r="AD3">
        <v>8</v>
      </c>
      <c r="AE3">
        <v>8</v>
      </c>
      <c r="AF3">
        <v>10</v>
      </c>
      <c r="AH3">
        <v>8</v>
      </c>
      <c r="AI3">
        <v>8</v>
      </c>
      <c r="AJ3">
        <v>6</v>
      </c>
      <c r="AL3">
        <v>8</v>
      </c>
      <c r="AM3">
        <v>199.5</v>
      </c>
      <c r="AY3">
        <v>0</v>
      </c>
      <c r="AZ3">
        <v>199.5</v>
      </c>
      <c r="BD3" t="s">
        <v>1425</v>
      </c>
      <c r="BE3" t="s">
        <v>136</v>
      </c>
      <c r="BG3" t="s">
        <v>1426</v>
      </c>
    </row>
    <row r="4" spans="1:59" x14ac:dyDescent="0.15">
      <c r="A4" t="s">
        <v>1424</v>
      </c>
      <c r="B4" t="s">
        <v>133</v>
      </c>
      <c r="C4" t="s">
        <v>1249</v>
      </c>
      <c r="D4" t="s">
        <v>138</v>
      </c>
      <c r="E4" t="s">
        <v>131</v>
      </c>
      <c r="F4">
        <v>26123003</v>
      </c>
      <c r="G4" t="s">
        <v>139</v>
      </c>
      <c r="I4">
        <v>9.5</v>
      </c>
      <c r="J4">
        <v>9.5</v>
      </c>
      <c r="K4">
        <v>9.5</v>
      </c>
      <c r="L4">
        <v>9.5</v>
      </c>
      <c r="P4">
        <v>7.5</v>
      </c>
      <c r="Q4">
        <v>10.5</v>
      </c>
      <c r="R4">
        <v>9.5</v>
      </c>
      <c r="W4">
        <v>9.5</v>
      </c>
      <c r="X4">
        <v>9.5</v>
      </c>
      <c r="Y4">
        <v>11</v>
      </c>
      <c r="Z4">
        <v>9.5</v>
      </c>
      <c r="AF4">
        <v>5</v>
      </c>
      <c r="AM4">
        <v>110</v>
      </c>
      <c r="AN4">
        <v>8</v>
      </c>
      <c r="AO4">
        <v>24</v>
      </c>
      <c r="AY4">
        <v>3</v>
      </c>
      <c r="AZ4">
        <v>145</v>
      </c>
      <c r="BD4" t="s">
        <v>1425</v>
      </c>
      <c r="BE4" t="s">
        <v>141</v>
      </c>
      <c r="BG4" t="s">
        <v>1426</v>
      </c>
    </row>
    <row r="5" spans="1:59" x14ac:dyDescent="0.15">
      <c r="A5" t="s">
        <v>1424</v>
      </c>
      <c r="B5" t="s">
        <v>133</v>
      </c>
      <c r="C5" t="s">
        <v>1250</v>
      </c>
      <c r="D5" t="s">
        <v>143</v>
      </c>
      <c r="E5" t="s">
        <v>131</v>
      </c>
      <c r="F5">
        <v>26123004</v>
      </c>
      <c r="G5" t="s">
        <v>144</v>
      </c>
      <c r="H5">
        <v>5</v>
      </c>
      <c r="J5">
        <v>9</v>
      </c>
      <c r="L5">
        <v>9</v>
      </c>
      <c r="M5">
        <v>9</v>
      </c>
      <c r="N5">
        <v>9</v>
      </c>
      <c r="O5">
        <v>9</v>
      </c>
      <c r="P5">
        <v>8</v>
      </c>
      <c r="Q5">
        <v>9</v>
      </c>
      <c r="U5">
        <v>9</v>
      </c>
      <c r="W5">
        <v>9</v>
      </c>
      <c r="X5">
        <v>9</v>
      </c>
      <c r="Z5">
        <v>9</v>
      </c>
      <c r="AA5">
        <v>9</v>
      </c>
      <c r="AB5">
        <v>8</v>
      </c>
      <c r="AC5">
        <v>6</v>
      </c>
      <c r="AD5">
        <v>8</v>
      </c>
      <c r="AE5">
        <v>9</v>
      </c>
      <c r="AF5">
        <v>5</v>
      </c>
      <c r="AG5">
        <v>9.5</v>
      </c>
      <c r="AH5">
        <v>8</v>
      </c>
      <c r="AJ5">
        <v>8</v>
      </c>
      <c r="AK5">
        <v>9</v>
      </c>
      <c r="AL5">
        <v>11</v>
      </c>
      <c r="AM5">
        <v>193.5</v>
      </c>
      <c r="AY5">
        <v>0</v>
      </c>
      <c r="AZ5">
        <v>193.5</v>
      </c>
      <c r="BD5" t="s">
        <v>1425</v>
      </c>
      <c r="BE5" t="s">
        <v>145</v>
      </c>
      <c r="BG5" t="s">
        <v>1426</v>
      </c>
    </row>
    <row r="6" spans="1:59" x14ac:dyDescent="0.15">
      <c r="A6" t="s">
        <v>1424</v>
      </c>
      <c r="B6" t="s">
        <v>148</v>
      </c>
      <c r="C6" t="s">
        <v>1251</v>
      </c>
      <c r="D6" t="s">
        <v>149</v>
      </c>
      <c r="E6" t="s">
        <v>154</v>
      </c>
      <c r="F6">
        <v>26123005</v>
      </c>
      <c r="G6" t="s">
        <v>151</v>
      </c>
      <c r="I6">
        <v>8</v>
      </c>
      <c r="J6">
        <v>7</v>
      </c>
      <c r="K6">
        <v>8</v>
      </c>
      <c r="L6">
        <v>9</v>
      </c>
      <c r="N6">
        <v>6</v>
      </c>
      <c r="P6">
        <v>8</v>
      </c>
      <c r="Q6">
        <v>9</v>
      </c>
      <c r="R6">
        <v>7.5</v>
      </c>
      <c r="S6">
        <v>8</v>
      </c>
      <c r="T6">
        <v>8</v>
      </c>
      <c r="V6">
        <v>9</v>
      </c>
      <c r="W6">
        <v>8</v>
      </c>
      <c r="X6">
        <v>9</v>
      </c>
      <c r="Z6">
        <v>9</v>
      </c>
      <c r="AA6">
        <v>9</v>
      </c>
      <c r="AD6">
        <v>9</v>
      </c>
      <c r="AE6">
        <v>9</v>
      </c>
      <c r="AF6">
        <v>7.5</v>
      </c>
      <c r="AG6">
        <v>9</v>
      </c>
      <c r="AH6">
        <v>8</v>
      </c>
      <c r="AI6">
        <v>8</v>
      </c>
      <c r="AJ6">
        <v>9</v>
      </c>
      <c r="AK6">
        <v>9</v>
      </c>
      <c r="AL6">
        <v>9</v>
      </c>
      <c r="AM6">
        <v>200</v>
      </c>
      <c r="AY6">
        <v>0</v>
      </c>
      <c r="AZ6">
        <v>200</v>
      </c>
      <c r="BD6" t="s">
        <v>1425</v>
      </c>
      <c r="BE6" t="s">
        <v>153</v>
      </c>
      <c r="BG6" t="s">
        <v>1426</v>
      </c>
    </row>
    <row r="7" spans="1:59" x14ac:dyDescent="0.15">
      <c r="A7" t="s">
        <v>1424</v>
      </c>
      <c r="B7" t="s">
        <v>133</v>
      </c>
      <c r="C7" t="s">
        <v>1252</v>
      </c>
      <c r="D7" t="s">
        <v>157</v>
      </c>
      <c r="E7" t="s">
        <v>131</v>
      </c>
      <c r="F7">
        <v>26123006</v>
      </c>
      <c r="G7" t="s">
        <v>158</v>
      </c>
      <c r="I7">
        <v>10</v>
      </c>
      <c r="J7">
        <v>10</v>
      </c>
      <c r="K7">
        <v>11</v>
      </c>
      <c r="L7">
        <v>8</v>
      </c>
      <c r="R7">
        <v>7</v>
      </c>
      <c r="S7">
        <v>10</v>
      </c>
      <c r="T7">
        <v>6</v>
      </c>
      <c r="U7">
        <v>9.5</v>
      </c>
      <c r="V7">
        <v>6</v>
      </c>
      <c r="W7">
        <v>10</v>
      </c>
      <c r="X7">
        <v>10</v>
      </c>
      <c r="Z7">
        <v>9</v>
      </c>
      <c r="AB7">
        <v>10</v>
      </c>
      <c r="AC7">
        <v>6</v>
      </c>
      <c r="AD7">
        <v>10</v>
      </c>
      <c r="AE7">
        <v>10</v>
      </c>
      <c r="AF7">
        <v>10.5</v>
      </c>
      <c r="AG7">
        <v>9.5</v>
      </c>
      <c r="AH7">
        <v>9.5</v>
      </c>
      <c r="AL7">
        <v>11</v>
      </c>
      <c r="AM7">
        <v>199</v>
      </c>
      <c r="AS7">
        <v>2</v>
      </c>
      <c r="AY7">
        <v>0</v>
      </c>
      <c r="AZ7">
        <v>201</v>
      </c>
      <c r="BB7">
        <v>16</v>
      </c>
      <c r="BD7" t="s">
        <v>1425</v>
      </c>
      <c r="BE7" t="s">
        <v>159</v>
      </c>
      <c r="BG7" t="s">
        <v>1426</v>
      </c>
    </row>
    <row r="8" spans="1:59" x14ac:dyDescent="0.15">
      <c r="A8" t="s">
        <v>1424</v>
      </c>
      <c r="B8" t="s">
        <v>148</v>
      </c>
      <c r="C8" t="s">
        <v>1253</v>
      </c>
      <c r="D8" t="s">
        <v>161</v>
      </c>
      <c r="E8" t="s">
        <v>131</v>
      </c>
      <c r="F8">
        <v>26123007</v>
      </c>
      <c r="G8" t="s">
        <v>162</v>
      </c>
      <c r="AM8">
        <v>0</v>
      </c>
      <c r="AY8">
        <v>0</v>
      </c>
      <c r="AZ8">
        <v>0</v>
      </c>
      <c r="BD8" t="s">
        <v>1425</v>
      </c>
      <c r="BE8" t="s">
        <v>163</v>
      </c>
      <c r="BG8" t="s">
        <v>1426</v>
      </c>
    </row>
    <row r="9" spans="1:59" x14ac:dyDescent="0.15">
      <c r="A9" t="s">
        <v>1424</v>
      </c>
      <c r="B9" t="s">
        <v>166</v>
      </c>
      <c r="C9" t="s">
        <v>1254</v>
      </c>
      <c r="D9" t="s">
        <v>167</v>
      </c>
      <c r="E9" t="s">
        <v>154</v>
      </c>
      <c r="F9">
        <v>26123008</v>
      </c>
      <c r="G9" t="s">
        <v>169</v>
      </c>
      <c r="AM9">
        <v>0</v>
      </c>
      <c r="AY9">
        <v>0</v>
      </c>
      <c r="AZ9">
        <v>0</v>
      </c>
      <c r="BD9" t="s">
        <v>1425</v>
      </c>
      <c r="BE9" t="s">
        <v>171</v>
      </c>
      <c r="BG9" t="s">
        <v>1426</v>
      </c>
    </row>
    <row r="10" spans="1:59" x14ac:dyDescent="0.15">
      <c r="A10" t="s">
        <v>1424</v>
      </c>
      <c r="B10" t="s">
        <v>174</v>
      </c>
      <c r="C10" t="s">
        <v>1256</v>
      </c>
      <c r="D10" t="s">
        <v>175</v>
      </c>
      <c r="E10" t="s">
        <v>131</v>
      </c>
      <c r="F10">
        <v>26123009</v>
      </c>
      <c r="G10" t="s">
        <v>177</v>
      </c>
      <c r="H10">
        <v>11</v>
      </c>
      <c r="X10">
        <v>11</v>
      </c>
      <c r="Y10">
        <v>11</v>
      </c>
      <c r="Z10">
        <v>11</v>
      </c>
      <c r="AA10">
        <v>7</v>
      </c>
      <c r="AB10">
        <v>11</v>
      </c>
      <c r="AC10">
        <v>10.5</v>
      </c>
      <c r="AD10">
        <v>11</v>
      </c>
      <c r="AE10">
        <v>11</v>
      </c>
      <c r="AF10">
        <v>11</v>
      </c>
      <c r="AG10">
        <v>11</v>
      </c>
      <c r="AH10">
        <v>11</v>
      </c>
      <c r="AI10">
        <v>11</v>
      </c>
      <c r="AJ10">
        <v>11</v>
      </c>
      <c r="AK10">
        <v>11</v>
      </c>
      <c r="AL10">
        <v>11</v>
      </c>
      <c r="AM10">
        <v>172</v>
      </c>
      <c r="AP10">
        <v>12</v>
      </c>
      <c r="AX10">
        <v>2</v>
      </c>
      <c r="AY10">
        <v>0</v>
      </c>
      <c r="AZ10">
        <v>186</v>
      </c>
      <c r="BB10">
        <v>0.5</v>
      </c>
      <c r="BD10" t="s">
        <v>1425</v>
      </c>
      <c r="BE10" t="s">
        <v>178</v>
      </c>
      <c r="BG10" t="s">
        <v>1426</v>
      </c>
    </row>
    <row r="11" spans="1:59" x14ac:dyDescent="0.15">
      <c r="A11" t="s">
        <v>1424</v>
      </c>
      <c r="B11" t="s">
        <v>148</v>
      </c>
      <c r="C11" t="s">
        <v>1066</v>
      </c>
      <c r="D11" t="s">
        <v>181</v>
      </c>
      <c r="E11" t="s">
        <v>154</v>
      </c>
      <c r="F11">
        <v>26123010</v>
      </c>
      <c r="G11" t="s">
        <v>182</v>
      </c>
      <c r="AM11">
        <v>0</v>
      </c>
      <c r="AY11">
        <v>0</v>
      </c>
      <c r="AZ11">
        <v>0</v>
      </c>
      <c r="BD11" t="s">
        <v>1425</v>
      </c>
      <c r="BE11" t="s">
        <v>183</v>
      </c>
      <c r="BG11" t="s">
        <v>1426</v>
      </c>
    </row>
    <row r="12" spans="1:59" x14ac:dyDescent="0.15">
      <c r="A12" t="s">
        <v>1424</v>
      </c>
      <c r="B12" t="s">
        <v>133</v>
      </c>
      <c r="C12" t="s">
        <v>1067</v>
      </c>
      <c r="D12" t="s">
        <v>185</v>
      </c>
      <c r="E12" t="s">
        <v>154</v>
      </c>
      <c r="F12">
        <v>26123011</v>
      </c>
      <c r="G12" t="s">
        <v>186</v>
      </c>
      <c r="AM12">
        <v>0</v>
      </c>
      <c r="AY12">
        <v>0</v>
      </c>
      <c r="AZ12">
        <v>0</v>
      </c>
      <c r="BD12" t="s">
        <v>1425</v>
      </c>
      <c r="BE12" t="s">
        <v>188</v>
      </c>
      <c r="BG12" t="s">
        <v>1426</v>
      </c>
    </row>
    <row r="13" spans="1:59" x14ac:dyDescent="0.15">
      <c r="A13" t="s">
        <v>1424</v>
      </c>
      <c r="B13" t="s">
        <v>166</v>
      </c>
      <c r="C13" t="s">
        <v>1257</v>
      </c>
      <c r="D13" t="s">
        <v>190</v>
      </c>
      <c r="E13" t="s">
        <v>131</v>
      </c>
      <c r="F13">
        <v>26123012</v>
      </c>
      <c r="G13" t="s">
        <v>191</v>
      </c>
      <c r="AM13">
        <v>0</v>
      </c>
      <c r="AY13">
        <v>0</v>
      </c>
      <c r="AZ13">
        <v>0</v>
      </c>
      <c r="BD13" t="s">
        <v>1425</v>
      </c>
      <c r="BE13" t="s">
        <v>192</v>
      </c>
      <c r="BG13" t="s">
        <v>1426</v>
      </c>
    </row>
    <row r="14" spans="1:59" x14ac:dyDescent="0.15">
      <c r="A14" t="s">
        <v>1424</v>
      </c>
      <c r="B14" t="s">
        <v>148</v>
      </c>
      <c r="C14" t="s">
        <v>1258</v>
      </c>
      <c r="D14" t="s">
        <v>194</v>
      </c>
      <c r="E14" t="s">
        <v>131</v>
      </c>
      <c r="F14">
        <v>26123013</v>
      </c>
      <c r="G14" t="s">
        <v>195</v>
      </c>
      <c r="AM14">
        <v>0</v>
      </c>
      <c r="AY14">
        <v>0</v>
      </c>
      <c r="AZ14">
        <v>0</v>
      </c>
      <c r="BD14" t="s">
        <v>1425</v>
      </c>
      <c r="BE14" t="s">
        <v>196</v>
      </c>
      <c r="BG14" t="s">
        <v>1426</v>
      </c>
    </row>
    <row r="15" spans="1:59" x14ac:dyDescent="0.15">
      <c r="A15" t="s">
        <v>1424</v>
      </c>
      <c r="B15" t="s">
        <v>180</v>
      </c>
      <c r="C15" t="s">
        <v>1259</v>
      </c>
      <c r="D15" t="s">
        <v>198</v>
      </c>
      <c r="E15" t="s">
        <v>131</v>
      </c>
      <c r="F15">
        <v>26123014</v>
      </c>
      <c r="G15" t="s">
        <v>199</v>
      </c>
      <c r="AM15">
        <v>0</v>
      </c>
      <c r="AN15">
        <v>168</v>
      </c>
      <c r="AO15">
        <v>8</v>
      </c>
      <c r="AP15">
        <v>8</v>
      </c>
      <c r="AY15">
        <v>0</v>
      </c>
      <c r="AZ15">
        <v>184</v>
      </c>
      <c r="BD15" t="s">
        <v>1425</v>
      </c>
      <c r="BE15" t="s">
        <v>200</v>
      </c>
      <c r="BG15" t="s">
        <v>1426</v>
      </c>
    </row>
    <row r="16" spans="1:59" x14ac:dyDescent="0.15">
      <c r="A16" t="s">
        <v>1424</v>
      </c>
      <c r="B16" t="s">
        <v>203</v>
      </c>
      <c r="C16" t="s">
        <v>1260</v>
      </c>
      <c r="D16" t="s">
        <v>204</v>
      </c>
      <c r="E16" t="s">
        <v>131</v>
      </c>
      <c r="F16">
        <v>26123015</v>
      </c>
      <c r="G16" t="s">
        <v>206</v>
      </c>
      <c r="H16">
        <v>8.5</v>
      </c>
      <c r="I16">
        <v>8</v>
      </c>
      <c r="J16">
        <v>8</v>
      </c>
      <c r="S16">
        <v>8.5</v>
      </c>
      <c r="T16">
        <v>8</v>
      </c>
      <c r="U16">
        <v>8</v>
      </c>
      <c r="AA16">
        <v>8</v>
      </c>
      <c r="AB16">
        <v>8</v>
      </c>
      <c r="AC16">
        <v>8</v>
      </c>
      <c r="AD16">
        <v>8</v>
      </c>
      <c r="AF16">
        <v>8</v>
      </c>
      <c r="AG16">
        <v>8</v>
      </c>
      <c r="AH16">
        <v>8</v>
      </c>
      <c r="AI16">
        <v>8</v>
      </c>
      <c r="AL16">
        <v>3</v>
      </c>
      <c r="AM16">
        <v>116</v>
      </c>
      <c r="AN16">
        <v>28</v>
      </c>
      <c r="AP16">
        <v>40</v>
      </c>
      <c r="AY16">
        <v>0</v>
      </c>
      <c r="AZ16">
        <v>184</v>
      </c>
      <c r="BD16" t="s">
        <v>1425</v>
      </c>
      <c r="BE16" t="s">
        <v>207</v>
      </c>
      <c r="BG16" t="s">
        <v>1426</v>
      </c>
    </row>
    <row r="17" spans="1:59" x14ac:dyDescent="0.15">
      <c r="A17" t="s">
        <v>1424</v>
      </c>
      <c r="B17" t="s">
        <v>210</v>
      </c>
      <c r="C17" t="s">
        <v>1261</v>
      </c>
      <c r="D17" t="s">
        <v>211</v>
      </c>
      <c r="E17" t="s">
        <v>131</v>
      </c>
      <c r="F17">
        <v>26123016</v>
      </c>
      <c r="G17" t="s">
        <v>213</v>
      </c>
      <c r="L17">
        <v>6</v>
      </c>
      <c r="M17">
        <v>9</v>
      </c>
      <c r="N17">
        <v>8</v>
      </c>
      <c r="O17">
        <v>7</v>
      </c>
      <c r="AM17">
        <v>30</v>
      </c>
      <c r="AN17">
        <v>114</v>
      </c>
      <c r="AP17">
        <v>40</v>
      </c>
      <c r="AY17">
        <v>0</v>
      </c>
      <c r="AZ17">
        <v>184</v>
      </c>
      <c r="BD17" t="s">
        <v>1425</v>
      </c>
      <c r="BE17" t="s">
        <v>214</v>
      </c>
      <c r="BG17" t="s">
        <v>1426</v>
      </c>
    </row>
    <row r="18" spans="1:59" x14ac:dyDescent="0.15">
      <c r="A18" t="s">
        <v>1424</v>
      </c>
      <c r="B18" t="s">
        <v>133</v>
      </c>
      <c r="C18" t="s">
        <v>1262</v>
      </c>
      <c r="D18" t="s">
        <v>216</v>
      </c>
      <c r="E18" t="s">
        <v>131</v>
      </c>
      <c r="F18">
        <v>26123017</v>
      </c>
      <c r="G18" t="s">
        <v>217</v>
      </c>
      <c r="H18">
        <v>7</v>
      </c>
      <c r="I18">
        <v>4</v>
      </c>
      <c r="J18">
        <v>6.5</v>
      </c>
      <c r="K18">
        <v>6.5</v>
      </c>
      <c r="L18">
        <v>7</v>
      </c>
      <c r="M18">
        <v>4</v>
      </c>
      <c r="N18">
        <v>10</v>
      </c>
      <c r="AD18">
        <v>6.5</v>
      </c>
      <c r="AE18">
        <v>6.5</v>
      </c>
      <c r="AF18">
        <v>7</v>
      </c>
      <c r="AG18">
        <v>6.5</v>
      </c>
      <c r="AI18">
        <v>6.5</v>
      </c>
      <c r="AK18">
        <v>6</v>
      </c>
      <c r="AL18">
        <v>5</v>
      </c>
      <c r="AM18">
        <v>89</v>
      </c>
      <c r="AN18">
        <v>83</v>
      </c>
      <c r="AP18">
        <v>12</v>
      </c>
      <c r="AY18">
        <v>0</v>
      </c>
      <c r="AZ18">
        <v>184</v>
      </c>
      <c r="BD18" t="s">
        <v>1425</v>
      </c>
      <c r="BE18" t="s">
        <v>219</v>
      </c>
      <c r="BG18" t="s">
        <v>1426</v>
      </c>
    </row>
    <row r="19" spans="1:59" x14ac:dyDescent="0.15">
      <c r="A19" t="s">
        <v>1424</v>
      </c>
      <c r="B19" t="s">
        <v>133</v>
      </c>
      <c r="C19" t="s">
        <v>1263</v>
      </c>
      <c r="D19" t="s">
        <v>221</v>
      </c>
      <c r="E19" t="s">
        <v>131</v>
      </c>
      <c r="F19">
        <v>26123018</v>
      </c>
      <c r="G19" t="s">
        <v>222</v>
      </c>
      <c r="H19">
        <v>5</v>
      </c>
      <c r="I19">
        <v>10</v>
      </c>
      <c r="J19">
        <v>5</v>
      </c>
      <c r="K19">
        <v>7.5</v>
      </c>
      <c r="L19">
        <v>6.5</v>
      </c>
      <c r="M19">
        <v>11</v>
      </c>
      <c r="N19">
        <v>5</v>
      </c>
      <c r="O19">
        <v>2</v>
      </c>
      <c r="P19">
        <v>2</v>
      </c>
      <c r="Q19">
        <v>2</v>
      </c>
      <c r="R19">
        <v>2</v>
      </c>
      <c r="S19">
        <v>3</v>
      </c>
      <c r="T19">
        <v>11</v>
      </c>
      <c r="U19">
        <v>5</v>
      </c>
      <c r="V19">
        <v>5</v>
      </c>
      <c r="W19">
        <v>5</v>
      </c>
      <c r="X19">
        <v>5</v>
      </c>
      <c r="Y19">
        <v>5</v>
      </c>
      <c r="Z19">
        <v>7</v>
      </c>
      <c r="AA19">
        <v>11</v>
      </c>
      <c r="AB19">
        <v>5</v>
      </c>
      <c r="AD19">
        <v>5</v>
      </c>
      <c r="AE19">
        <v>5</v>
      </c>
      <c r="AF19">
        <v>5</v>
      </c>
      <c r="AG19">
        <v>6.5</v>
      </c>
      <c r="AH19">
        <v>11</v>
      </c>
      <c r="AI19">
        <v>2</v>
      </c>
      <c r="AJ19">
        <v>5</v>
      </c>
      <c r="AK19">
        <v>5</v>
      </c>
      <c r="AL19">
        <v>6</v>
      </c>
      <c r="AM19">
        <v>0</v>
      </c>
      <c r="AO19">
        <v>8</v>
      </c>
      <c r="AR19">
        <v>174</v>
      </c>
      <c r="AY19">
        <v>0</v>
      </c>
      <c r="AZ19">
        <v>182</v>
      </c>
      <c r="BD19" t="s">
        <v>1425</v>
      </c>
      <c r="BE19" t="s">
        <v>223</v>
      </c>
      <c r="BG19" t="s">
        <v>1426</v>
      </c>
    </row>
    <row r="20" spans="1:59" x14ac:dyDescent="0.15">
      <c r="A20" t="s">
        <v>1424</v>
      </c>
      <c r="B20" t="s">
        <v>133</v>
      </c>
      <c r="C20" t="s">
        <v>1264</v>
      </c>
      <c r="D20" t="s">
        <v>225</v>
      </c>
      <c r="E20" t="s">
        <v>131</v>
      </c>
      <c r="F20">
        <v>26123019</v>
      </c>
      <c r="G20" t="s">
        <v>226</v>
      </c>
      <c r="H20">
        <v>6</v>
      </c>
      <c r="I20">
        <v>6</v>
      </c>
      <c r="L20">
        <v>6</v>
      </c>
      <c r="N20">
        <v>4</v>
      </c>
      <c r="O20">
        <v>6</v>
      </c>
      <c r="P20">
        <v>6</v>
      </c>
      <c r="Q20">
        <v>6</v>
      </c>
      <c r="R20">
        <v>6</v>
      </c>
      <c r="S20">
        <v>6</v>
      </c>
      <c r="U20">
        <v>4</v>
      </c>
      <c r="V20">
        <v>6</v>
      </c>
      <c r="W20">
        <v>6</v>
      </c>
      <c r="X20">
        <v>6</v>
      </c>
      <c r="Y20">
        <v>6</v>
      </c>
      <c r="Z20">
        <v>6</v>
      </c>
      <c r="AB20">
        <v>4</v>
      </c>
      <c r="AC20">
        <v>6</v>
      </c>
      <c r="AD20">
        <v>6</v>
      </c>
      <c r="AE20">
        <v>6</v>
      </c>
      <c r="AF20">
        <v>6</v>
      </c>
      <c r="AG20">
        <v>6</v>
      </c>
      <c r="AI20">
        <v>4</v>
      </c>
      <c r="AJ20">
        <v>6</v>
      </c>
      <c r="AK20">
        <v>6</v>
      </c>
      <c r="AL20">
        <v>7.5</v>
      </c>
      <c r="AM20">
        <v>143.5</v>
      </c>
      <c r="AO20">
        <v>40</v>
      </c>
      <c r="AY20">
        <v>0</v>
      </c>
      <c r="AZ20">
        <v>183.5</v>
      </c>
      <c r="BD20" t="s">
        <v>1425</v>
      </c>
      <c r="BE20" t="s">
        <v>227</v>
      </c>
      <c r="BG20" t="s">
        <v>1426</v>
      </c>
    </row>
    <row r="21" spans="1:59" x14ac:dyDescent="0.15">
      <c r="A21" t="s">
        <v>1424</v>
      </c>
      <c r="B21" t="s">
        <v>230</v>
      </c>
      <c r="C21" t="s">
        <v>1265</v>
      </c>
      <c r="D21" t="s">
        <v>231</v>
      </c>
      <c r="E21" t="s">
        <v>131</v>
      </c>
      <c r="F21">
        <v>26123020</v>
      </c>
      <c r="G21" t="s">
        <v>233</v>
      </c>
      <c r="I21">
        <v>8.5</v>
      </c>
      <c r="J21">
        <v>8</v>
      </c>
      <c r="K21">
        <v>8</v>
      </c>
      <c r="L21">
        <v>8</v>
      </c>
      <c r="M21">
        <v>5</v>
      </c>
      <c r="N21">
        <v>8</v>
      </c>
      <c r="O21">
        <v>8</v>
      </c>
      <c r="P21">
        <v>8</v>
      </c>
      <c r="Q21">
        <v>8</v>
      </c>
      <c r="R21">
        <v>6</v>
      </c>
      <c r="S21">
        <v>8</v>
      </c>
      <c r="T21">
        <v>4.5</v>
      </c>
      <c r="U21">
        <v>8</v>
      </c>
      <c r="V21">
        <v>8</v>
      </c>
      <c r="W21">
        <v>8</v>
      </c>
      <c r="X21">
        <v>8</v>
      </c>
      <c r="Y21">
        <v>9</v>
      </c>
      <c r="Z21">
        <v>5</v>
      </c>
      <c r="AA21">
        <v>5</v>
      </c>
      <c r="AB21">
        <v>7.5</v>
      </c>
      <c r="AC21">
        <v>3</v>
      </c>
      <c r="AD21">
        <v>4</v>
      </c>
      <c r="AE21">
        <v>8</v>
      </c>
      <c r="AF21">
        <v>8</v>
      </c>
      <c r="AG21">
        <v>8</v>
      </c>
      <c r="AH21">
        <v>5.5</v>
      </c>
      <c r="AI21">
        <v>8</v>
      </c>
      <c r="AK21">
        <v>4.5</v>
      </c>
      <c r="AL21">
        <v>3.5</v>
      </c>
      <c r="AM21">
        <v>199</v>
      </c>
      <c r="AT21">
        <v>1</v>
      </c>
      <c r="AY21">
        <v>0</v>
      </c>
      <c r="AZ21">
        <v>200</v>
      </c>
      <c r="BD21" t="s">
        <v>1425</v>
      </c>
      <c r="BE21" t="s">
        <v>234</v>
      </c>
      <c r="BG21" t="s">
        <v>1426</v>
      </c>
    </row>
    <row r="22" spans="1:59" x14ac:dyDescent="0.15">
      <c r="A22" t="s">
        <v>1424</v>
      </c>
      <c r="B22" t="s">
        <v>210</v>
      </c>
      <c r="C22" t="s">
        <v>1266</v>
      </c>
      <c r="D22" t="s">
        <v>236</v>
      </c>
      <c r="E22" t="s">
        <v>131</v>
      </c>
      <c r="F22">
        <v>26123021</v>
      </c>
      <c r="G22" t="s">
        <v>237</v>
      </c>
      <c r="AM22">
        <v>0</v>
      </c>
      <c r="AY22">
        <v>0</v>
      </c>
      <c r="AZ22">
        <v>0</v>
      </c>
      <c r="BD22" t="s">
        <v>1425</v>
      </c>
      <c r="BE22" t="s">
        <v>238</v>
      </c>
      <c r="BF22" t="s">
        <v>239</v>
      </c>
      <c r="BG22" t="s">
        <v>1426</v>
      </c>
    </row>
    <row r="23" spans="1:59" x14ac:dyDescent="0.15">
      <c r="A23" t="s">
        <v>1424</v>
      </c>
      <c r="B23" t="s">
        <v>148</v>
      </c>
      <c r="C23" t="s">
        <v>1267</v>
      </c>
      <c r="D23" t="s">
        <v>241</v>
      </c>
      <c r="E23" t="s">
        <v>154</v>
      </c>
      <c r="F23">
        <v>26123022</v>
      </c>
      <c r="G23" t="s">
        <v>242</v>
      </c>
      <c r="J23">
        <v>8</v>
      </c>
      <c r="K23">
        <v>8.5</v>
      </c>
      <c r="L23">
        <v>8</v>
      </c>
      <c r="O23">
        <v>8.5</v>
      </c>
      <c r="P23">
        <v>8</v>
      </c>
      <c r="Q23">
        <v>8.5</v>
      </c>
      <c r="R23">
        <v>8</v>
      </c>
      <c r="S23">
        <v>8.5</v>
      </c>
      <c r="V23">
        <v>8.5</v>
      </c>
      <c r="W23">
        <v>9.5</v>
      </c>
      <c r="X23">
        <v>8.5</v>
      </c>
      <c r="Y23">
        <v>9</v>
      </c>
      <c r="Z23">
        <v>9</v>
      </c>
      <c r="AA23">
        <v>7.5</v>
      </c>
      <c r="AC23">
        <v>8</v>
      </c>
      <c r="AD23">
        <v>9</v>
      </c>
      <c r="AE23">
        <v>8</v>
      </c>
      <c r="AF23">
        <v>9</v>
      </c>
      <c r="AG23">
        <v>8</v>
      </c>
      <c r="AH23">
        <v>7.5</v>
      </c>
      <c r="AJ23">
        <v>9</v>
      </c>
      <c r="AK23">
        <v>9</v>
      </c>
      <c r="AL23">
        <v>10.5</v>
      </c>
      <c r="AM23">
        <v>196</v>
      </c>
      <c r="AY23">
        <v>0</v>
      </c>
      <c r="AZ23">
        <v>196</v>
      </c>
      <c r="BD23" t="s">
        <v>1425</v>
      </c>
      <c r="BE23" t="s">
        <v>243</v>
      </c>
      <c r="BG23" t="s">
        <v>1426</v>
      </c>
    </row>
    <row r="24" spans="1:59" x14ac:dyDescent="0.15">
      <c r="A24" t="s">
        <v>1424</v>
      </c>
      <c r="B24" t="s">
        <v>166</v>
      </c>
      <c r="C24" t="s">
        <v>1268</v>
      </c>
      <c r="D24" t="s">
        <v>245</v>
      </c>
      <c r="E24" t="s">
        <v>131</v>
      </c>
      <c r="F24">
        <v>26123023</v>
      </c>
      <c r="G24" t="s">
        <v>246</v>
      </c>
      <c r="H24">
        <v>9</v>
      </c>
      <c r="I24">
        <v>9.5</v>
      </c>
      <c r="K24">
        <v>8.5</v>
      </c>
      <c r="L24">
        <v>9</v>
      </c>
      <c r="M24">
        <v>11</v>
      </c>
      <c r="N24">
        <v>8</v>
      </c>
      <c r="O24">
        <v>9</v>
      </c>
      <c r="Q24">
        <v>9.5</v>
      </c>
      <c r="T24">
        <v>10</v>
      </c>
      <c r="U24">
        <v>8</v>
      </c>
      <c r="V24">
        <v>8</v>
      </c>
      <c r="Y24">
        <v>10.5</v>
      </c>
      <c r="AA24">
        <v>8</v>
      </c>
      <c r="AB24">
        <v>8</v>
      </c>
      <c r="AD24">
        <v>8</v>
      </c>
      <c r="AF24">
        <v>8</v>
      </c>
      <c r="AG24">
        <v>8</v>
      </c>
      <c r="AM24">
        <v>150</v>
      </c>
      <c r="AN24">
        <v>26</v>
      </c>
      <c r="AP24">
        <v>8</v>
      </c>
      <c r="AY24">
        <v>0</v>
      </c>
      <c r="AZ24">
        <v>184</v>
      </c>
      <c r="BD24" t="s">
        <v>1425</v>
      </c>
      <c r="BE24" t="s">
        <v>247</v>
      </c>
      <c r="BG24" t="s">
        <v>1426</v>
      </c>
    </row>
    <row r="25" spans="1:59" x14ac:dyDescent="0.15">
      <c r="A25" t="s">
        <v>1424</v>
      </c>
      <c r="B25" t="s">
        <v>148</v>
      </c>
      <c r="C25" t="s">
        <v>1269</v>
      </c>
      <c r="D25" t="s">
        <v>249</v>
      </c>
      <c r="E25" t="s">
        <v>154</v>
      </c>
      <c r="F25">
        <v>26123024</v>
      </c>
      <c r="G25" t="s">
        <v>250</v>
      </c>
      <c r="I25">
        <v>5.5</v>
      </c>
      <c r="J25">
        <v>10.5</v>
      </c>
      <c r="K25">
        <v>5.5</v>
      </c>
      <c r="L25">
        <v>7</v>
      </c>
      <c r="M25">
        <v>11</v>
      </c>
      <c r="N25">
        <v>11</v>
      </c>
      <c r="P25">
        <v>5.5</v>
      </c>
      <c r="Q25">
        <v>10</v>
      </c>
      <c r="R25">
        <v>4</v>
      </c>
      <c r="S25">
        <v>6</v>
      </c>
      <c r="T25">
        <v>11</v>
      </c>
      <c r="U25">
        <v>10.5</v>
      </c>
      <c r="V25">
        <v>6.5</v>
      </c>
      <c r="X25">
        <v>1</v>
      </c>
      <c r="AA25">
        <v>7</v>
      </c>
      <c r="AB25">
        <v>10.5</v>
      </c>
      <c r="AL25">
        <v>7</v>
      </c>
      <c r="AM25">
        <v>129.5</v>
      </c>
      <c r="AN25">
        <v>14.5</v>
      </c>
      <c r="AP25">
        <v>40</v>
      </c>
      <c r="AX25">
        <v>2</v>
      </c>
      <c r="AY25">
        <v>2</v>
      </c>
      <c r="AZ25">
        <v>188</v>
      </c>
      <c r="BD25" t="s">
        <v>1425</v>
      </c>
      <c r="BE25" t="s">
        <v>251</v>
      </c>
      <c r="BG25" t="s">
        <v>1426</v>
      </c>
    </row>
    <row r="26" spans="1:59" x14ac:dyDescent="0.15">
      <c r="A26" t="s">
        <v>1424</v>
      </c>
      <c r="B26" t="s">
        <v>133</v>
      </c>
      <c r="C26" t="s">
        <v>1270</v>
      </c>
      <c r="D26" t="s">
        <v>253</v>
      </c>
      <c r="E26" t="s">
        <v>131</v>
      </c>
      <c r="F26">
        <v>26123025</v>
      </c>
      <c r="G26" t="s">
        <v>254</v>
      </c>
      <c r="AM26">
        <v>0</v>
      </c>
      <c r="AY26">
        <v>0</v>
      </c>
      <c r="AZ26">
        <v>0</v>
      </c>
      <c r="BD26" t="s">
        <v>1425</v>
      </c>
      <c r="BE26" t="s">
        <v>255</v>
      </c>
      <c r="BF26" t="s">
        <v>239</v>
      </c>
      <c r="BG26" t="s">
        <v>1426</v>
      </c>
    </row>
    <row r="27" spans="1:59" x14ac:dyDescent="0.15">
      <c r="A27" t="s">
        <v>1424</v>
      </c>
      <c r="B27" t="s">
        <v>148</v>
      </c>
      <c r="C27" t="s">
        <v>1271</v>
      </c>
      <c r="D27" t="s">
        <v>257</v>
      </c>
      <c r="E27" t="s">
        <v>131</v>
      </c>
      <c r="F27">
        <v>26123026</v>
      </c>
      <c r="G27" t="s">
        <v>258</v>
      </c>
      <c r="H27">
        <v>8</v>
      </c>
      <c r="I27">
        <v>8</v>
      </c>
      <c r="J27">
        <v>8</v>
      </c>
      <c r="K27">
        <v>7.5</v>
      </c>
      <c r="L27">
        <v>8</v>
      </c>
      <c r="O27">
        <v>8</v>
      </c>
      <c r="P27">
        <v>8</v>
      </c>
      <c r="Q27">
        <v>8</v>
      </c>
      <c r="R27">
        <v>8</v>
      </c>
      <c r="S27">
        <v>7.5</v>
      </c>
      <c r="T27">
        <v>7</v>
      </c>
      <c r="V27">
        <v>8</v>
      </c>
      <c r="W27">
        <v>8</v>
      </c>
      <c r="X27">
        <v>8</v>
      </c>
      <c r="Y27">
        <v>7.5</v>
      </c>
      <c r="Z27">
        <v>8</v>
      </c>
      <c r="AB27">
        <v>4.5</v>
      </c>
      <c r="AC27">
        <v>7.5</v>
      </c>
      <c r="AD27">
        <v>8</v>
      </c>
      <c r="AE27">
        <v>8</v>
      </c>
      <c r="AF27">
        <v>8</v>
      </c>
      <c r="AG27">
        <v>7</v>
      </c>
      <c r="AH27">
        <v>7</v>
      </c>
      <c r="AJ27">
        <v>8</v>
      </c>
      <c r="AK27">
        <v>8</v>
      </c>
      <c r="AL27">
        <v>8</v>
      </c>
      <c r="AM27">
        <v>199.5</v>
      </c>
      <c r="AY27">
        <v>0</v>
      </c>
      <c r="AZ27">
        <v>199.5</v>
      </c>
      <c r="BD27" t="s">
        <v>1425</v>
      </c>
      <c r="BE27" t="s">
        <v>259</v>
      </c>
      <c r="BG27" t="s">
        <v>1426</v>
      </c>
    </row>
    <row r="28" spans="1:59" x14ac:dyDescent="0.15">
      <c r="A28" t="s">
        <v>1424</v>
      </c>
      <c r="B28" t="s">
        <v>133</v>
      </c>
      <c r="C28" t="s">
        <v>1272</v>
      </c>
      <c r="D28" t="s">
        <v>261</v>
      </c>
      <c r="E28" t="s">
        <v>131</v>
      </c>
      <c r="F28">
        <v>26123027</v>
      </c>
      <c r="G28" t="s">
        <v>262</v>
      </c>
      <c r="I28">
        <v>8</v>
      </c>
      <c r="J28">
        <v>7</v>
      </c>
      <c r="K28">
        <v>7.5</v>
      </c>
      <c r="L28">
        <v>7.5</v>
      </c>
      <c r="M28">
        <v>8</v>
      </c>
      <c r="N28">
        <v>10</v>
      </c>
      <c r="O28">
        <v>4</v>
      </c>
      <c r="P28">
        <v>10</v>
      </c>
      <c r="R28">
        <v>7</v>
      </c>
      <c r="S28">
        <v>7</v>
      </c>
      <c r="T28">
        <v>8</v>
      </c>
      <c r="U28">
        <v>8</v>
      </c>
      <c r="V28">
        <v>8</v>
      </c>
      <c r="W28">
        <v>7.5</v>
      </c>
      <c r="Z28">
        <v>7</v>
      </c>
      <c r="AA28">
        <v>8</v>
      </c>
      <c r="AB28">
        <v>8</v>
      </c>
      <c r="AD28">
        <v>7</v>
      </c>
      <c r="AE28">
        <v>7</v>
      </c>
      <c r="AF28">
        <v>7</v>
      </c>
      <c r="AH28">
        <v>7</v>
      </c>
      <c r="AI28">
        <v>7</v>
      </c>
      <c r="AJ28">
        <v>6.5</v>
      </c>
      <c r="AK28">
        <v>6.5</v>
      </c>
      <c r="AL28">
        <v>5</v>
      </c>
      <c r="AM28">
        <v>183.5</v>
      </c>
      <c r="AP28">
        <v>16</v>
      </c>
      <c r="AY28">
        <v>0</v>
      </c>
      <c r="AZ28">
        <v>199.5</v>
      </c>
      <c r="BD28" t="s">
        <v>1425</v>
      </c>
      <c r="BE28" t="s">
        <v>263</v>
      </c>
      <c r="BG28" t="s">
        <v>1426</v>
      </c>
    </row>
    <row r="29" spans="1:59" x14ac:dyDescent="0.15">
      <c r="A29" t="s">
        <v>1424</v>
      </c>
      <c r="B29" t="s">
        <v>166</v>
      </c>
      <c r="C29" t="s">
        <v>1273</v>
      </c>
      <c r="D29" t="s">
        <v>265</v>
      </c>
      <c r="E29" t="s">
        <v>154</v>
      </c>
      <c r="F29">
        <v>26123028</v>
      </c>
      <c r="G29" t="s">
        <v>266</v>
      </c>
      <c r="AM29">
        <v>0</v>
      </c>
      <c r="AY29">
        <v>0</v>
      </c>
      <c r="AZ29">
        <v>0</v>
      </c>
      <c r="BD29" t="s">
        <v>1425</v>
      </c>
      <c r="BE29" t="s">
        <v>267</v>
      </c>
      <c r="BG29" t="s">
        <v>1426</v>
      </c>
    </row>
    <row r="30" spans="1:59" x14ac:dyDescent="0.15">
      <c r="A30" t="s">
        <v>1424</v>
      </c>
      <c r="B30" t="s">
        <v>148</v>
      </c>
      <c r="C30" t="s">
        <v>1274</v>
      </c>
      <c r="D30" t="s">
        <v>269</v>
      </c>
      <c r="E30" t="s">
        <v>154</v>
      </c>
      <c r="F30">
        <v>26123029</v>
      </c>
      <c r="G30" t="s">
        <v>270</v>
      </c>
      <c r="H30">
        <v>8</v>
      </c>
      <c r="I30">
        <v>8</v>
      </c>
      <c r="J30">
        <v>8</v>
      </c>
      <c r="K30">
        <v>8</v>
      </c>
      <c r="AM30">
        <v>40</v>
      </c>
      <c r="AP30">
        <v>48</v>
      </c>
      <c r="AY30">
        <v>0</v>
      </c>
      <c r="AZ30">
        <v>88</v>
      </c>
      <c r="BB30">
        <v>8</v>
      </c>
      <c r="BD30" t="s">
        <v>1425</v>
      </c>
      <c r="BE30" t="s">
        <v>271</v>
      </c>
      <c r="BG30" t="s">
        <v>1426</v>
      </c>
    </row>
    <row r="31" spans="1:59" x14ac:dyDescent="0.15">
      <c r="A31" t="s">
        <v>1424</v>
      </c>
      <c r="B31" t="s">
        <v>133</v>
      </c>
      <c r="C31" t="s">
        <v>1275</v>
      </c>
      <c r="D31" t="s">
        <v>273</v>
      </c>
      <c r="E31" t="s">
        <v>154</v>
      </c>
      <c r="F31">
        <v>26123030</v>
      </c>
      <c r="G31" t="s">
        <v>274</v>
      </c>
      <c r="AM31">
        <v>0</v>
      </c>
      <c r="AY31">
        <v>0</v>
      </c>
      <c r="AZ31">
        <v>0</v>
      </c>
      <c r="BD31" t="s">
        <v>1425</v>
      </c>
      <c r="BE31" t="s">
        <v>275</v>
      </c>
      <c r="BG31" t="s">
        <v>1426</v>
      </c>
    </row>
    <row r="32" spans="1:59" x14ac:dyDescent="0.15">
      <c r="A32" t="s">
        <v>1424</v>
      </c>
      <c r="B32" t="s">
        <v>166</v>
      </c>
      <c r="C32" t="s">
        <v>1276</v>
      </c>
      <c r="D32" t="s">
        <v>277</v>
      </c>
      <c r="E32" t="s">
        <v>154</v>
      </c>
      <c r="F32">
        <v>26123031</v>
      </c>
      <c r="G32" t="s">
        <v>278</v>
      </c>
      <c r="T32">
        <v>8</v>
      </c>
      <c r="U32">
        <v>8</v>
      </c>
      <c r="V32">
        <v>8</v>
      </c>
      <c r="W32">
        <v>8</v>
      </c>
      <c r="X32">
        <v>8</v>
      </c>
      <c r="Y32">
        <v>8</v>
      </c>
      <c r="AA32">
        <v>8</v>
      </c>
      <c r="AB32">
        <v>8</v>
      </c>
      <c r="AD32">
        <v>8</v>
      </c>
      <c r="AE32">
        <v>8</v>
      </c>
      <c r="AF32">
        <v>8</v>
      </c>
      <c r="AG32">
        <v>8</v>
      </c>
      <c r="AH32">
        <v>8</v>
      </c>
      <c r="AI32">
        <v>8</v>
      </c>
      <c r="AJ32">
        <v>8</v>
      </c>
      <c r="AK32">
        <v>8</v>
      </c>
      <c r="AL32">
        <v>8</v>
      </c>
      <c r="AM32">
        <v>136</v>
      </c>
      <c r="AW32">
        <v>3</v>
      </c>
      <c r="AY32">
        <v>0</v>
      </c>
      <c r="AZ32">
        <v>139</v>
      </c>
      <c r="BD32" t="s">
        <v>1425</v>
      </c>
      <c r="BE32" t="s">
        <v>279</v>
      </c>
      <c r="BG32" t="s">
        <v>1426</v>
      </c>
    </row>
    <row r="33" spans="1:59" x14ac:dyDescent="0.15">
      <c r="A33" t="s">
        <v>1424</v>
      </c>
      <c r="B33" t="s">
        <v>148</v>
      </c>
      <c r="C33" t="s">
        <v>1277</v>
      </c>
      <c r="D33" t="s">
        <v>281</v>
      </c>
      <c r="E33" t="s">
        <v>154</v>
      </c>
      <c r="F33">
        <v>26123032</v>
      </c>
      <c r="G33" t="s">
        <v>282</v>
      </c>
      <c r="AM33">
        <v>0</v>
      </c>
      <c r="AY33">
        <v>0</v>
      </c>
      <c r="AZ33">
        <v>0</v>
      </c>
      <c r="BD33" t="s">
        <v>1427</v>
      </c>
      <c r="BE33" t="s">
        <v>283</v>
      </c>
      <c r="BG33" t="s">
        <v>1426</v>
      </c>
    </row>
    <row r="34" spans="1:59" x14ac:dyDescent="0.15">
      <c r="A34" t="s">
        <v>1424</v>
      </c>
      <c r="B34" t="s">
        <v>148</v>
      </c>
      <c r="C34" t="s">
        <v>1068</v>
      </c>
      <c r="D34" t="s">
        <v>285</v>
      </c>
      <c r="E34" t="s">
        <v>154</v>
      </c>
      <c r="F34">
        <v>26123033</v>
      </c>
      <c r="G34" t="s">
        <v>286</v>
      </c>
      <c r="AM34">
        <v>0</v>
      </c>
      <c r="AY34">
        <v>0</v>
      </c>
      <c r="AZ34">
        <v>0</v>
      </c>
      <c r="BD34" t="s">
        <v>1425</v>
      </c>
      <c r="BE34" t="s">
        <v>287</v>
      </c>
      <c r="BG34" t="s">
        <v>1426</v>
      </c>
    </row>
    <row r="35" spans="1:59" x14ac:dyDescent="0.15">
      <c r="A35" t="s">
        <v>1424</v>
      </c>
      <c r="B35" t="s">
        <v>290</v>
      </c>
      <c r="C35" t="s">
        <v>1278</v>
      </c>
      <c r="D35" t="s">
        <v>291</v>
      </c>
      <c r="E35" t="s">
        <v>154</v>
      </c>
      <c r="F35">
        <v>26123034</v>
      </c>
      <c r="G35" t="s">
        <v>293</v>
      </c>
      <c r="AM35">
        <v>0</v>
      </c>
      <c r="AR35">
        <v>152</v>
      </c>
      <c r="AY35">
        <v>0</v>
      </c>
      <c r="AZ35">
        <v>152</v>
      </c>
      <c r="BD35" t="s">
        <v>1425</v>
      </c>
      <c r="BE35" t="s">
        <v>294</v>
      </c>
      <c r="BG35" t="s">
        <v>1426</v>
      </c>
    </row>
    <row r="36" spans="1:59" x14ac:dyDescent="0.15">
      <c r="A36" t="s">
        <v>1424</v>
      </c>
      <c r="B36" t="s">
        <v>148</v>
      </c>
      <c r="C36" t="s">
        <v>1070</v>
      </c>
      <c r="D36" t="s">
        <v>296</v>
      </c>
      <c r="E36" t="s">
        <v>154</v>
      </c>
      <c r="F36">
        <v>26123035</v>
      </c>
      <c r="G36" t="s">
        <v>297</v>
      </c>
      <c r="AM36">
        <v>0</v>
      </c>
      <c r="AR36">
        <v>168</v>
      </c>
      <c r="AY36">
        <v>0</v>
      </c>
      <c r="AZ36">
        <v>168</v>
      </c>
      <c r="BD36" t="s">
        <v>1425</v>
      </c>
      <c r="BE36" t="s">
        <v>298</v>
      </c>
      <c r="BG36" t="s">
        <v>1426</v>
      </c>
    </row>
    <row r="37" spans="1:59" x14ac:dyDescent="0.15">
      <c r="A37" t="s">
        <v>1424</v>
      </c>
      <c r="B37" t="s">
        <v>290</v>
      </c>
      <c r="C37" t="s">
        <v>1069</v>
      </c>
      <c r="D37" t="s">
        <v>300</v>
      </c>
      <c r="E37" t="s">
        <v>154</v>
      </c>
      <c r="F37">
        <v>26123036</v>
      </c>
      <c r="G37" t="s">
        <v>301</v>
      </c>
      <c r="H37">
        <v>6</v>
      </c>
      <c r="I37">
        <v>6</v>
      </c>
      <c r="J37">
        <v>5.5</v>
      </c>
      <c r="K37">
        <v>5.5</v>
      </c>
      <c r="L37">
        <v>9</v>
      </c>
      <c r="M37">
        <v>9.5</v>
      </c>
      <c r="N37">
        <v>7</v>
      </c>
      <c r="O37">
        <v>5.5</v>
      </c>
      <c r="Z37">
        <v>7</v>
      </c>
      <c r="AA37">
        <v>8.5</v>
      </c>
      <c r="AB37">
        <v>8.5</v>
      </c>
      <c r="AC37">
        <v>5.5</v>
      </c>
      <c r="AD37">
        <v>6.5</v>
      </c>
      <c r="AE37">
        <v>9.5</v>
      </c>
      <c r="AF37">
        <v>7</v>
      </c>
      <c r="AG37">
        <v>5.5</v>
      </c>
      <c r="AH37">
        <v>7</v>
      </c>
      <c r="AI37">
        <v>7</v>
      </c>
      <c r="AJ37">
        <v>8.5</v>
      </c>
      <c r="AM37">
        <v>135</v>
      </c>
      <c r="AO37">
        <v>49</v>
      </c>
      <c r="AY37">
        <v>0</v>
      </c>
      <c r="AZ37">
        <v>184</v>
      </c>
      <c r="BB37">
        <v>0.5</v>
      </c>
      <c r="BD37" t="s">
        <v>1425</v>
      </c>
      <c r="BE37" t="s">
        <v>302</v>
      </c>
      <c r="BG37" t="s">
        <v>1426</v>
      </c>
    </row>
    <row r="38" spans="1:59" x14ac:dyDescent="0.15">
      <c r="A38" t="s">
        <v>1424</v>
      </c>
      <c r="B38" t="s">
        <v>210</v>
      </c>
      <c r="C38" t="s">
        <v>1279</v>
      </c>
      <c r="D38" t="s">
        <v>304</v>
      </c>
      <c r="E38" t="s">
        <v>154</v>
      </c>
      <c r="F38">
        <v>26123037</v>
      </c>
      <c r="G38" t="s">
        <v>305</v>
      </c>
      <c r="H38">
        <v>6</v>
      </c>
      <c r="I38">
        <v>8</v>
      </c>
      <c r="J38">
        <v>8</v>
      </c>
      <c r="K38">
        <v>8</v>
      </c>
      <c r="M38">
        <v>8</v>
      </c>
      <c r="O38">
        <v>8</v>
      </c>
      <c r="P38">
        <v>8</v>
      </c>
      <c r="Q38">
        <v>8.5</v>
      </c>
      <c r="R38">
        <v>8</v>
      </c>
      <c r="S38">
        <v>8</v>
      </c>
      <c r="T38">
        <v>8</v>
      </c>
      <c r="U38">
        <v>6</v>
      </c>
      <c r="V38">
        <v>8</v>
      </c>
      <c r="W38">
        <v>8</v>
      </c>
      <c r="X38">
        <v>8</v>
      </c>
      <c r="Y38">
        <v>7.5</v>
      </c>
      <c r="Z38">
        <v>6.5</v>
      </c>
      <c r="AA38">
        <v>8</v>
      </c>
      <c r="AB38">
        <v>8</v>
      </c>
      <c r="AC38">
        <v>8</v>
      </c>
      <c r="AD38">
        <v>7.5</v>
      </c>
      <c r="AE38">
        <v>8</v>
      </c>
      <c r="AG38">
        <v>5.5</v>
      </c>
      <c r="AK38">
        <v>4.5</v>
      </c>
      <c r="AL38">
        <v>9.5</v>
      </c>
      <c r="AM38">
        <v>189.5</v>
      </c>
      <c r="AY38">
        <v>0</v>
      </c>
      <c r="AZ38">
        <v>189.5</v>
      </c>
      <c r="BD38" t="s">
        <v>1425</v>
      </c>
      <c r="BE38" t="s">
        <v>275</v>
      </c>
      <c r="BG38" t="s">
        <v>1426</v>
      </c>
    </row>
    <row r="39" spans="1:59" x14ac:dyDescent="0.15">
      <c r="A39" t="s">
        <v>1424</v>
      </c>
      <c r="B39" t="s">
        <v>166</v>
      </c>
      <c r="C39" t="s">
        <v>1280</v>
      </c>
      <c r="D39" t="s">
        <v>307</v>
      </c>
      <c r="E39" t="s">
        <v>154</v>
      </c>
      <c r="F39">
        <v>26123038</v>
      </c>
      <c r="G39" t="s">
        <v>308</v>
      </c>
      <c r="H39">
        <v>8</v>
      </c>
      <c r="L39">
        <v>8</v>
      </c>
      <c r="M39">
        <v>8</v>
      </c>
      <c r="N39">
        <v>8</v>
      </c>
      <c r="O39">
        <v>8</v>
      </c>
      <c r="Q39">
        <v>8</v>
      </c>
      <c r="S39">
        <v>8</v>
      </c>
      <c r="T39">
        <v>8</v>
      </c>
      <c r="U39">
        <v>8</v>
      </c>
      <c r="W39">
        <v>8</v>
      </c>
      <c r="X39">
        <v>8</v>
      </c>
      <c r="Z39">
        <v>8</v>
      </c>
      <c r="AA39">
        <v>8</v>
      </c>
      <c r="AB39">
        <v>8</v>
      </c>
      <c r="AD39">
        <v>8</v>
      </c>
      <c r="AE39">
        <v>8</v>
      </c>
      <c r="AF39">
        <v>8</v>
      </c>
      <c r="AH39">
        <v>8</v>
      </c>
      <c r="AI39">
        <v>8</v>
      </c>
      <c r="AL39">
        <v>8</v>
      </c>
      <c r="AM39">
        <v>160</v>
      </c>
      <c r="AP39">
        <v>24</v>
      </c>
      <c r="AY39">
        <v>0</v>
      </c>
      <c r="AZ39">
        <v>184</v>
      </c>
      <c r="BD39" t="s">
        <v>1425</v>
      </c>
      <c r="BE39" t="s">
        <v>309</v>
      </c>
      <c r="BG39" t="s">
        <v>1426</v>
      </c>
    </row>
    <row r="40" spans="1:59" x14ac:dyDescent="0.15">
      <c r="A40" t="s">
        <v>1424</v>
      </c>
      <c r="B40" t="s">
        <v>312</v>
      </c>
      <c r="C40" t="s">
        <v>1281</v>
      </c>
      <c r="D40" t="s">
        <v>313</v>
      </c>
      <c r="E40" t="s">
        <v>154</v>
      </c>
      <c r="F40">
        <v>26123039</v>
      </c>
      <c r="G40" t="s">
        <v>315</v>
      </c>
      <c r="H40">
        <v>8</v>
      </c>
      <c r="I40">
        <v>8.5</v>
      </c>
      <c r="K40">
        <v>8.5</v>
      </c>
      <c r="M40">
        <v>8</v>
      </c>
      <c r="N40">
        <v>8.5</v>
      </c>
      <c r="O40">
        <v>6</v>
      </c>
      <c r="Q40">
        <v>6.5</v>
      </c>
      <c r="S40">
        <v>8.5</v>
      </c>
      <c r="T40">
        <v>9</v>
      </c>
      <c r="U40">
        <v>8.5</v>
      </c>
      <c r="V40">
        <v>8</v>
      </c>
      <c r="W40">
        <v>6.5</v>
      </c>
      <c r="X40">
        <v>5</v>
      </c>
      <c r="Y40">
        <v>8.5</v>
      </c>
      <c r="Z40">
        <v>8</v>
      </c>
      <c r="AA40">
        <v>7.5</v>
      </c>
      <c r="AB40">
        <v>8</v>
      </c>
      <c r="AD40">
        <v>6.5</v>
      </c>
      <c r="AE40">
        <v>8</v>
      </c>
      <c r="AF40">
        <v>7.5</v>
      </c>
      <c r="AM40">
        <v>153.5</v>
      </c>
      <c r="AO40">
        <v>30.5</v>
      </c>
      <c r="AY40">
        <v>0</v>
      </c>
      <c r="AZ40">
        <v>184</v>
      </c>
      <c r="BD40" t="s">
        <v>1425</v>
      </c>
      <c r="BE40" t="s">
        <v>316</v>
      </c>
      <c r="BG40" t="s">
        <v>1426</v>
      </c>
    </row>
    <row r="41" spans="1:59" x14ac:dyDescent="0.15">
      <c r="A41" t="s">
        <v>1424</v>
      </c>
      <c r="B41" t="s">
        <v>148</v>
      </c>
      <c r="C41" t="s">
        <v>1282</v>
      </c>
      <c r="D41" t="s">
        <v>318</v>
      </c>
      <c r="E41" t="s">
        <v>154</v>
      </c>
      <c r="F41">
        <v>26123040</v>
      </c>
      <c r="G41" t="s">
        <v>319</v>
      </c>
      <c r="H41">
        <v>8</v>
      </c>
      <c r="I41">
        <v>8</v>
      </c>
      <c r="K41">
        <v>8</v>
      </c>
      <c r="N41">
        <v>8</v>
      </c>
      <c r="O41">
        <v>8</v>
      </c>
      <c r="P41">
        <v>0</v>
      </c>
      <c r="Q41">
        <v>8</v>
      </c>
      <c r="R41">
        <v>8</v>
      </c>
      <c r="T41">
        <v>8</v>
      </c>
      <c r="U41">
        <v>8</v>
      </c>
      <c r="V41">
        <v>8</v>
      </c>
      <c r="X41">
        <v>8</v>
      </c>
      <c r="Y41">
        <v>8</v>
      </c>
      <c r="AB41">
        <v>8</v>
      </c>
      <c r="AD41">
        <v>8</v>
      </c>
      <c r="AE41">
        <v>8</v>
      </c>
      <c r="AF41">
        <v>8</v>
      </c>
      <c r="AG41">
        <v>8</v>
      </c>
      <c r="AH41">
        <v>8</v>
      </c>
      <c r="AI41">
        <v>8</v>
      </c>
      <c r="AJ41">
        <v>8</v>
      </c>
      <c r="AM41">
        <v>160</v>
      </c>
      <c r="AP41">
        <v>24</v>
      </c>
      <c r="AY41">
        <v>0</v>
      </c>
      <c r="AZ41">
        <v>184</v>
      </c>
      <c r="BD41" t="s">
        <v>1425</v>
      </c>
      <c r="BE41" t="s">
        <v>320</v>
      </c>
      <c r="BG41" t="s">
        <v>1426</v>
      </c>
    </row>
    <row r="42" spans="1:59" x14ac:dyDescent="0.15">
      <c r="A42" t="s">
        <v>1424</v>
      </c>
      <c r="B42" t="s">
        <v>323</v>
      </c>
      <c r="C42" t="s">
        <v>1283</v>
      </c>
      <c r="D42" t="s">
        <v>324</v>
      </c>
      <c r="E42" t="s">
        <v>154</v>
      </c>
      <c r="F42">
        <v>26123041</v>
      </c>
      <c r="G42" t="s">
        <v>326</v>
      </c>
      <c r="J42">
        <v>8</v>
      </c>
      <c r="K42">
        <v>9</v>
      </c>
      <c r="L42">
        <v>8</v>
      </c>
      <c r="M42">
        <v>8</v>
      </c>
      <c r="N42">
        <v>8</v>
      </c>
      <c r="Q42">
        <v>8</v>
      </c>
      <c r="R42">
        <v>8</v>
      </c>
      <c r="S42">
        <v>8</v>
      </c>
      <c r="U42">
        <v>8</v>
      </c>
      <c r="V42">
        <v>8</v>
      </c>
      <c r="X42">
        <v>8</v>
      </c>
      <c r="Y42">
        <v>8</v>
      </c>
      <c r="Z42">
        <v>8</v>
      </c>
      <c r="AA42">
        <v>8</v>
      </c>
      <c r="AG42">
        <v>8</v>
      </c>
      <c r="AH42">
        <v>8</v>
      </c>
      <c r="AI42">
        <v>8</v>
      </c>
      <c r="AJ42">
        <v>8</v>
      </c>
      <c r="AK42">
        <v>8</v>
      </c>
      <c r="AL42">
        <v>11</v>
      </c>
      <c r="AM42">
        <v>164</v>
      </c>
      <c r="AN42">
        <v>20</v>
      </c>
      <c r="AY42">
        <v>0</v>
      </c>
      <c r="AZ42">
        <v>184</v>
      </c>
      <c r="BD42" t="s">
        <v>1425</v>
      </c>
      <c r="BE42" t="s">
        <v>327</v>
      </c>
      <c r="BG42" t="s">
        <v>1426</v>
      </c>
    </row>
    <row r="43" spans="1:59" x14ac:dyDescent="0.15">
      <c r="A43" t="s">
        <v>1424</v>
      </c>
      <c r="B43" t="s">
        <v>166</v>
      </c>
      <c r="C43" t="s">
        <v>1284</v>
      </c>
      <c r="D43" t="s">
        <v>329</v>
      </c>
      <c r="E43" t="s">
        <v>154</v>
      </c>
      <c r="F43">
        <v>26123042</v>
      </c>
      <c r="G43" t="s">
        <v>330</v>
      </c>
      <c r="M43">
        <v>8</v>
      </c>
      <c r="N43">
        <v>8</v>
      </c>
      <c r="O43">
        <v>8</v>
      </c>
      <c r="Q43">
        <v>8</v>
      </c>
      <c r="S43">
        <v>8</v>
      </c>
      <c r="T43">
        <v>8</v>
      </c>
      <c r="U43">
        <v>8</v>
      </c>
      <c r="W43">
        <v>8</v>
      </c>
      <c r="Y43">
        <v>8</v>
      </c>
      <c r="Z43">
        <v>8</v>
      </c>
      <c r="AA43">
        <v>8</v>
      </c>
      <c r="AB43">
        <v>8</v>
      </c>
      <c r="AD43">
        <v>8</v>
      </c>
      <c r="AE43">
        <v>8</v>
      </c>
      <c r="AF43">
        <v>8</v>
      </c>
      <c r="AH43">
        <v>8</v>
      </c>
      <c r="AI43">
        <v>8</v>
      </c>
      <c r="AJ43">
        <v>8</v>
      </c>
      <c r="AK43">
        <v>8</v>
      </c>
      <c r="AL43">
        <v>8</v>
      </c>
      <c r="AM43">
        <v>160</v>
      </c>
      <c r="AP43">
        <v>24</v>
      </c>
      <c r="AY43">
        <v>0</v>
      </c>
      <c r="AZ43">
        <v>184</v>
      </c>
      <c r="BD43" t="s">
        <v>1425</v>
      </c>
      <c r="BE43" t="s">
        <v>331</v>
      </c>
      <c r="BG43" t="s">
        <v>1426</v>
      </c>
    </row>
    <row r="44" spans="1:59" x14ac:dyDescent="0.15">
      <c r="A44" t="s">
        <v>1424</v>
      </c>
      <c r="B44" t="s">
        <v>334</v>
      </c>
      <c r="C44" t="s">
        <v>1285</v>
      </c>
      <c r="D44" t="s">
        <v>335</v>
      </c>
      <c r="E44" t="s">
        <v>131</v>
      </c>
      <c r="F44">
        <v>26123043</v>
      </c>
      <c r="G44" t="s">
        <v>337</v>
      </c>
      <c r="AM44">
        <v>0</v>
      </c>
      <c r="AN44">
        <v>174</v>
      </c>
      <c r="AY44">
        <v>0</v>
      </c>
      <c r="AZ44">
        <v>174</v>
      </c>
      <c r="BD44" t="s">
        <v>1425</v>
      </c>
      <c r="BE44" t="s">
        <v>338</v>
      </c>
      <c r="BG44" t="s">
        <v>1426</v>
      </c>
    </row>
    <row r="45" spans="1:59" x14ac:dyDescent="0.15">
      <c r="A45" t="s">
        <v>1424</v>
      </c>
      <c r="B45" t="s">
        <v>340</v>
      </c>
      <c r="C45" t="s">
        <v>1286</v>
      </c>
      <c r="D45" t="s">
        <v>341</v>
      </c>
      <c r="E45" t="s">
        <v>154</v>
      </c>
      <c r="F45">
        <v>26123044</v>
      </c>
      <c r="G45" t="s">
        <v>342</v>
      </c>
      <c r="H45">
        <v>10</v>
      </c>
      <c r="P45">
        <v>7</v>
      </c>
      <c r="T45">
        <v>8</v>
      </c>
      <c r="U45">
        <v>7.5</v>
      </c>
      <c r="V45">
        <v>5.5</v>
      </c>
      <c r="W45">
        <v>7.5</v>
      </c>
      <c r="X45">
        <v>7</v>
      </c>
      <c r="Y45">
        <v>7.5</v>
      </c>
      <c r="AA45">
        <v>8.5</v>
      </c>
      <c r="AB45">
        <v>8</v>
      </c>
      <c r="AC45">
        <v>8</v>
      </c>
      <c r="AD45">
        <v>8.5</v>
      </c>
      <c r="AE45">
        <v>7</v>
      </c>
      <c r="AF45">
        <v>8.5</v>
      </c>
      <c r="AH45">
        <v>6</v>
      </c>
      <c r="AI45">
        <v>8</v>
      </c>
      <c r="AJ45">
        <v>7.5</v>
      </c>
      <c r="AL45">
        <v>11</v>
      </c>
      <c r="AM45">
        <v>141</v>
      </c>
      <c r="AN45">
        <v>40</v>
      </c>
      <c r="AY45">
        <v>0</v>
      </c>
      <c r="AZ45">
        <v>181</v>
      </c>
      <c r="BD45" t="s">
        <v>1425</v>
      </c>
      <c r="BE45" t="s">
        <v>343</v>
      </c>
      <c r="BG45" t="s">
        <v>1426</v>
      </c>
    </row>
    <row r="46" spans="1:59" x14ac:dyDescent="0.15">
      <c r="A46" t="s">
        <v>1424</v>
      </c>
      <c r="B46" t="s">
        <v>346</v>
      </c>
      <c r="C46" t="s">
        <v>1288</v>
      </c>
      <c r="D46" t="s">
        <v>347</v>
      </c>
      <c r="E46" t="s">
        <v>131</v>
      </c>
      <c r="F46">
        <v>26123045</v>
      </c>
      <c r="G46" t="s">
        <v>349</v>
      </c>
      <c r="I46">
        <v>8.5</v>
      </c>
      <c r="K46">
        <v>8</v>
      </c>
      <c r="L46">
        <v>8.5</v>
      </c>
      <c r="M46">
        <v>9.5</v>
      </c>
      <c r="N46">
        <v>10</v>
      </c>
      <c r="P46">
        <v>8</v>
      </c>
      <c r="R46">
        <v>7.5</v>
      </c>
      <c r="S46">
        <v>8</v>
      </c>
      <c r="T46">
        <v>10</v>
      </c>
      <c r="U46">
        <v>9.5</v>
      </c>
      <c r="X46">
        <v>8</v>
      </c>
      <c r="Y46">
        <v>7.5</v>
      </c>
      <c r="Z46">
        <v>4.5</v>
      </c>
      <c r="AF46">
        <v>8</v>
      </c>
      <c r="AG46">
        <v>8</v>
      </c>
      <c r="AI46">
        <v>9.5</v>
      </c>
      <c r="AK46">
        <v>8.5</v>
      </c>
      <c r="AL46">
        <v>11</v>
      </c>
      <c r="AM46">
        <v>152.5</v>
      </c>
      <c r="AN46">
        <v>31.5</v>
      </c>
      <c r="AY46">
        <v>0</v>
      </c>
      <c r="AZ46">
        <v>184</v>
      </c>
      <c r="BD46" t="s">
        <v>1425</v>
      </c>
      <c r="BE46" t="s">
        <v>343</v>
      </c>
      <c r="BG46" t="s">
        <v>1426</v>
      </c>
    </row>
    <row r="47" spans="1:59" x14ac:dyDescent="0.15">
      <c r="A47" t="s">
        <v>1424</v>
      </c>
      <c r="B47" t="s">
        <v>180</v>
      </c>
      <c r="C47" t="s">
        <v>1290</v>
      </c>
      <c r="D47" t="s">
        <v>352</v>
      </c>
      <c r="E47" t="s">
        <v>131</v>
      </c>
      <c r="F47">
        <v>26123046</v>
      </c>
      <c r="G47" t="s">
        <v>354</v>
      </c>
      <c r="AM47">
        <v>0</v>
      </c>
      <c r="AY47">
        <v>0</v>
      </c>
      <c r="AZ47">
        <v>0</v>
      </c>
      <c r="BD47" t="s">
        <v>1425</v>
      </c>
      <c r="BE47" t="s">
        <v>355</v>
      </c>
      <c r="BG47" t="s">
        <v>1426</v>
      </c>
    </row>
    <row r="48" spans="1:59" x14ac:dyDescent="0.15">
      <c r="A48" t="s">
        <v>1424</v>
      </c>
      <c r="B48" t="s">
        <v>166</v>
      </c>
      <c r="C48" t="s">
        <v>1291</v>
      </c>
      <c r="D48" t="s">
        <v>357</v>
      </c>
      <c r="E48" t="s">
        <v>154</v>
      </c>
      <c r="F48">
        <v>26123047</v>
      </c>
      <c r="G48" t="s">
        <v>358</v>
      </c>
      <c r="I48">
        <v>8</v>
      </c>
      <c r="J48">
        <v>8</v>
      </c>
      <c r="L48">
        <v>8</v>
      </c>
      <c r="M48">
        <v>8</v>
      </c>
      <c r="N48">
        <v>8</v>
      </c>
      <c r="P48">
        <v>8</v>
      </c>
      <c r="Q48">
        <v>8</v>
      </c>
      <c r="R48">
        <v>4</v>
      </c>
      <c r="S48">
        <v>8</v>
      </c>
      <c r="T48">
        <v>8</v>
      </c>
      <c r="U48">
        <v>8</v>
      </c>
      <c r="X48">
        <v>8</v>
      </c>
      <c r="Z48">
        <v>8</v>
      </c>
      <c r="AA48">
        <v>8</v>
      </c>
      <c r="AB48">
        <v>8</v>
      </c>
      <c r="AC48">
        <v>8</v>
      </c>
      <c r="AD48">
        <v>8</v>
      </c>
      <c r="AE48">
        <v>8</v>
      </c>
      <c r="AF48">
        <v>0</v>
      </c>
      <c r="AM48">
        <v>140</v>
      </c>
      <c r="AO48">
        <v>44</v>
      </c>
      <c r="AY48">
        <v>0</v>
      </c>
      <c r="AZ48">
        <v>184</v>
      </c>
      <c r="BD48" t="s">
        <v>1425</v>
      </c>
      <c r="BE48" t="s">
        <v>359</v>
      </c>
      <c r="BG48" t="s">
        <v>1426</v>
      </c>
    </row>
    <row r="49" spans="1:59" x14ac:dyDescent="0.15">
      <c r="A49" t="s">
        <v>1424</v>
      </c>
      <c r="B49" t="s">
        <v>312</v>
      </c>
      <c r="C49" t="s">
        <v>1292</v>
      </c>
      <c r="D49" t="s">
        <v>361</v>
      </c>
      <c r="E49" t="s">
        <v>154</v>
      </c>
      <c r="F49">
        <v>26123048</v>
      </c>
      <c r="G49" t="s">
        <v>362</v>
      </c>
      <c r="AM49">
        <v>0</v>
      </c>
      <c r="AY49">
        <v>0</v>
      </c>
      <c r="AZ49">
        <v>0</v>
      </c>
      <c r="BD49" t="s">
        <v>1425</v>
      </c>
      <c r="BE49" t="s">
        <v>363</v>
      </c>
      <c r="BG49" t="s">
        <v>1426</v>
      </c>
    </row>
    <row r="50" spans="1:59" x14ac:dyDescent="0.15">
      <c r="A50" t="s">
        <v>1424</v>
      </c>
      <c r="B50" t="s">
        <v>148</v>
      </c>
      <c r="C50" t="s">
        <v>1277</v>
      </c>
      <c r="D50" t="s">
        <v>281</v>
      </c>
      <c r="E50" t="s">
        <v>154</v>
      </c>
      <c r="F50">
        <v>26123049</v>
      </c>
      <c r="G50" t="s">
        <v>365</v>
      </c>
      <c r="AM50">
        <v>0</v>
      </c>
      <c r="AY50">
        <v>0</v>
      </c>
      <c r="AZ50">
        <v>0</v>
      </c>
      <c r="BD50" t="s">
        <v>1425</v>
      </c>
      <c r="BE50" t="s">
        <v>366</v>
      </c>
      <c r="BG50" t="s">
        <v>1426</v>
      </c>
    </row>
    <row r="51" spans="1:59" x14ac:dyDescent="0.15">
      <c r="A51" t="s">
        <v>1424</v>
      </c>
      <c r="B51" t="s">
        <v>133</v>
      </c>
      <c r="C51" t="s">
        <v>1293</v>
      </c>
      <c r="D51" t="s">
        <v>368</v>
      </c>
      <c r="E51" t="s">
        <v>131</v>
      </c>
      <c r="F51">
        <v>26123050</v>
      </c>
      <c r="G51" t="s">
        <v>369</v>
      </c>
      <c r="J51">
        <v>4</v>
      </c>
      <c r="K51">
        <v>4.5</v>
      </c>
      <c r="L51">
        <v>4</v>
      </c>
      <c r="N51">
        <v>4</v>
      </c>
      <c r="P51">
        <v>4</v>
      </c>
      <c r="Q51">
        <v>4.5</v>
      </c>
      <c r="R51">
        <v>4.5</v>
      </c>
      <c r="S51">
        <v>4</v>
      </c>
      <c r="T51">
        <v>4</v>
      </c>
      <c r="U51">
        <v>4</v>
      </c>
      <c r="V51">
        <v>4.5</v>
      </c>
      <c r="W51">
        <v>4</v>
      </c>
      <c r="X51">
        <v>5</v>
      </c>
      <c r="Z51">
        <v>4</v>
      </c>
      <c r="AB51">
        <v>4.5</v>
      </c>
      <c r="AC51">
        <v>4.5</v>
      </c>
      <c r="AF51">
        <v>4.5</v>
      </c>
      <c r="AG51">
        <v>4</v>
      </c>
      <c r="AH51">
        <v>4</v>
      </c>
      <c r="AI51">
        <v>4</v>
      </c>
      <c r="AL51">
        <v>8</v>
      </c>
      <c r="AM51">
        <v>92.5</v>
      </c>
      <c r="AW51">
        <v>2</v>
      </c>
      <c r="AY51">
        <v>0</v>
      </c>
      <c r="AZ51">
        <v>94.5</v>
      </c>
      <c r="BD51" t="s">
        <v>1425</v>
      </c>
      <c r="BE51" t="s">
        <v>370</v>
      </c>
      <c r="BG51" t="s">
        <v>1426</v>
      </c>
    </row>
    <row r="52" spans="1:59" x14ac:dyDescent="0.15">
      <c r="A52" t="s">
        <v>1424</v>
      </c>
      <c r="B52" t="s">
        <v>133</v>
      </c>
      <c r="C52" t="s">
        <v>1294</v>
      </c>
      <c r="D52" t="s">
        <v>372</v>
      </c>
      <c r="E52" t="s">
        <v>154</v>
      </c>
      <c r="F52">
        <v>26123051</v>
      </c>
      <c r="G52" t="s">
        <v>373</v>
      </c>
      <c r="J52">
        <v>8</v>
      </c>
      <c r="K52">
        <v>8</v>
      </c>
      <c r="L52">
        <v>8</v>
      </c>
      <c r="M52">
        <v>8</v>
      </c>
      <c r="N52">
        <v>8</v>
      </c>
      <c r="O52">
        <v>4</v>
      </c>
      <c r="P52">
        <v>8</v>
      </c>
      <c r="S52">
        <v>8</v>
      </c>
      <c r="T52">
        <v>8</v>
      </c>
      <c r="V52">
        <v>8</v>
      </c>
      <c r="X52">
        <v>8</v>
      </c>
      <c r="Y52">
        <v>8</v>
      </c>
      <c r="Z52">
        <v>8</v>
      </c>
      <c r="AA52">
        <v>8</v>
      </c>
      <c r="AD52">
        <v>4</v>
      </c>
      <c r="AE52">
        <v>8</v>
      </c>
      <c r="AF52">
        <v>8</v>
      </c>
      <c r="AG52">
        <v>8</v>
      </c>
      <c r="AI52">
        <v>8</v>
      </c>
      <c r="AJ52">
        <v>8</v>
      </c>
      <c r="AM52">
        <v>160</v>
      </c>
      <c r="AO52">
        <v>16</v>
      </c>
      <c r="AY52">
        <v>0</v>
      </c>
      <c r="AZ52">
        <v>176</v>
      </c>
      <c r="BB52">
        <v>8</v>
      </c>
      <c r="BD52" t="s">
        <v>1425</v>
      </c>
      <c r="BE52" t="s">
        <v>374</v>
      </c>
      <c r="BG52" t="s">
        <v>1426</v>
      </c>
    </row>
    <row r="53" spans="1:59" x14ac:dyDescent="0.15">
      <c r="A53" t="s">
        <v>1424</v>
      </c>
      <c r="B53" t="s">
        <v>148</v>
      </c>
      <c r="C53" t="s">
        <v>1070</v>
      </c>
      <c r="D53" t="s">
        <v>296</v>
      </c>
      <c r="E53" t="s">
        <v>154</v>
      </c>
      <c r="F53">
        <v>26123052</v>
      </c>
      <c r="G53" t="s">
        <v>376</v>
      </c>
      <c r="H53">
        <v>0</v>
      </c>
      <c r="N53">
        <v>8</v>
      </c>
      <c r="P53">
        <v>8</v>
      </c>
      <c r="Q53">
        <v>8</v>
      </c>
      <c r="R53">
        <v>0</v>
      </c>
      <c r="S53">
        <v>8</v>
      </c>
      <c r="T53">
        <v>8</v>
      </c>
      <c r="U53">
        <v>8</v>
      </c>
      <c r="V53">
        <v>0</v>
      </c>
      <c r="W53">
        <v>8</v>
      </c>
      <c r="X53">
        <v>8</v>
      </c>
      <c r="Y53">
        <v>0</v>
      </c>
      <c r="Z53">
        <v>8</v>
      </c>
      <c r="AA53">
        <v>8</v>
      </c>
      <c r="AB53">
        <v>8</v>
      </c>
      <c r="AC53">
        <v>0</v>
      </c>
      <c r="AD53">
        <v>4</v>
      </c>
      <c r="AE53">
        <v>8</v>
      </c>
      <c r="AF53">
        <v>8</v>
      </c>
      <c r="AG53">
        <v>8</v>
      </c>
      <c r="AH53">
        <v>8</v>
      </c>
      <c r="AK53">
        <v>8</v>
      </c>
      <c r="AL53">
        <v>8</v>
      </c>
      <c r="AM53">
        <v>140</v>
      </c>
      <c r="AO53">
        <v>12</v>
      </c>
      <c r="AP53">
        <v>32</v>
      </c>
      <c r="AY53">
        <v>0</v>
      </c>
      <c r="AZ53">
        <v>184</v>
      </c>
      <c r="BD53" t="s">
        <v>1425</v>
      </c>
      <c r="BE53" t="s">
        <v>378</v>
      </c>
      <c r="BG53" t="s">
        <v>1426</v>
      </c>
    </row>
    <row r="54" spans="1:59" x14ac:dyDescent="0.15">
      <c r="A54" t="s">
        <v>1424</v>
      </c>
      <c r="B54" t="s">
        <v>148</v>
      </c>
      <c r="C54" t="s">
        <v>1070</v>
      </c>
      <c r="D54" t="s">
        <v>296</v>
      </c>
      <c r="E54" t="s">
        <v>154</v>
      </c>
      <c r="F54">
        <v>26123053</v>
      </c>
      <c r="G54" t="s">
        <v>380</v>
      </c>
      <c r="H54">
        <v>8</v>
      </c>
      <c r="J54">
        <v>8</v>
      </c>
      <c r="K54">
        <v>8</v>
      </c>
      <c r="L54">
        <v>4</v>
      </c>
      <c r="M54">
        <v>8</v>
      </c>
      <c r="N54">
        <v>0</v>
      </c>
      <c r="O54">
        <v>8</v>
      </c>
      <c r="P54">
        <v>8</v>
      </c>
      <c r="R54">
        <v>8</v>
      </c>
      <c r="T54">
        <v>8</v>
      </c>
      <c r="V54">
        <v>8</v>
      </c>
      <c r="W54">
        <v>8</v>
      </c>
      <c r="X54">
        <v>8</v>
      </c>
      <c r="Y54">
        <v>8</v>
      </c>
      <c r="AC54">
        <v>8</v>
      </c>
      <c r="AD54">
        <v>8</v>
      </c>
      <c r="AE54">
        <v>8</v>
      </c>
      <c r="AF54">
        <v>8</v>
      </c>
      <c r="AH54">
        <v>8</v>
      </c>
      <c r="AJ54">
        <v>8</v>
      </c>
      <c r="AK54">
        <v>0</v>
      </c>
      <c r="AL54">
        <v>8</v>
      </c>
      <c r="AM54">
        <v>156</v>
      </c>
      <c r="AP54">
        <v>28</v>
      </c>
      <c r="AX54">
        <v>2</v>
      </c>
      <c r="AY54">
        <v>0</v>
      </c>
      <c r="AZ54">
        <v>186</v>
      </c>
      <c r="BD54" t="s">
        <v>1427</v>
      </c>
      <c r="BE54" t="s">
        <v>378</v>
      </c>
      <c r="BG54" t="s">
        <v>1426</v>
      </c>
    </row>
    <row r="55" spans="1:59" x14ac:dyDescent="0.15">
      <c r="A55" t="s">
        <v>1424</v>
      </c>
      <c r="B55" t="s">
        <v>148</v>
      </c>
      <c r="C55" t="s">
        <v>1295</v>
      </c>
      <c r="D55" t="s">
        <v>382</v>
      </c>
      <c r="E55" t="s">
        <v>154</v>
      </c>
      <c r="F55">
        <v>26123054</v>
      </c>
      <c r="G55" t="s">
        <v>383</v>
      </c>
      <c r="H55">
        <v>8.5</v>
      </c>
      <c r="I55">
        <v>9</v>
      </c>
      <c r="J55">
        <v>9</v>
      </c>
      <c r="K55">
        <v>11</v>
      </c>
      <c r="L55">
        <v>8.5</v>
      </c>
      <c r="M55">
        <v>9.5</v>
      </c>
      <c r="N55">
        <v>11</v>
      </c>
      <c r="O55">
        <v>8.5</v>
      </c>
      <c r="P55">
        <v>9</v>
      </c>
      <c r="Q55">
        <v>0.5</v>
      </c>
      <c r="R55">
        <v>7.5</v>
      </c>
      <c r="S55">
        <v>8.5</v>
      </c>
      <c r="T55">
        <v>9</v>
      </c>
      <c r="U55">
        <v>9</v>
      </c>
      <c r="V55">
        <v>9</v>
      </c>
      <c r="W55">
        <v>9</v>
      </c>
      <c r="X55">
        <v>9</v>
      </c>
      <c r="Y55">
        <v>0.5</v>
      </c>
      <c r="Z55">
        <v>7.5</v>
      </c>
      <c r="AA55">
        <v>11</v>
      </c>
      <c r="AB55">
        <v>8</v>
      </c>
      <c r="AD55">
        <v>4</v>
      </c>
      <c r="AE55">
        <v>8</v>
      </c>
      <c r="AM55">
        <v>189</v>
      </c>
      <c r="AP55">
        <v>12</v>
      </c>
      <c r="AY55">
        <v>0</v>
      </c>
      <c r="AZ55">
        <v>201</v>
      </c>
      <c r="BB55">
        <v>4.5</v>
      </c>
      <c r="BD55" t="s">
        <v>1425</v>
      </c>
      <c r="BE55" t="s">
        <v>378</v>
      </c>
      <c r="BG55" t="s">
        <v>1426</v>
      </c>
    </row>
    <row r="56" spans="1:59" x14ac:dyDescent="0.15">
      <c r="A56" t="s">
        <v>1424</v>
      </c>
      <c r="B56" t="s">
        <v>148</v>
      </c>
      <c r="C56" t="s">
        <v>1295</v>
      </c>
      <c r="D56" t="s">
        <v>382</v>
      </c>
      <c r="E56" t="s">
        <v>154</v>
      </c>
      <c r="F56">
        <v>26123055</v>
      </c>
      <c r="G56" t="s">
        <v>385</v>
      </c>
      <c r="AM56">
        <v>0</v>
      </c>
      <c r="AN56">
        <v>174</v>
      </c>
      <c r="AY56">
        <v>0</v>
      </c>
      <c r="AZ56">
        <v>174</v>
      </c>
      <c r="BD56" t="s">
        <v>1425</v>
      </c>
      <c r="BE56" t="s">
        <v>378</v>
      </c>
      <c r="BG56" t="s">
        <v>1426</v>
      </c>
    </row>
    <row r="57" spans="1:59" x14ac:dyDescent="0.15">
      <c r="A57" t="s">
        <v>1424</v>
      </c>
      <c r="B57" t="s">
        <v>148</v>
      </c>
      <c r="C57" t="s">
        <v>1295</v>
      </c>
      <c r="D57" t="s">
        <v>382</v>
      </c>
      <c r="E57" t="s">
        <v>154</v>
      </c>
      <c r="F57">
        <v>26123056</v>
      </c>
      <c r="G57" t="s">
        <v>387</v>
      </c>
      <c r="H57">
        <v>8</v>
      </c>
      <c r="J57">
        <v>8</v>
      </c>
      <c r="M57">
        <v>8</v>
      </c>
      <c r="N57">
        <v>8</v>
      </c>
      <c r="O57">
        <v>8</v>
      </c>
      <c r="Q57">
        <v>8</v>
      </c>
      <c r="S57">
        <v>8</v>
      </c>
      <c r="T57">
        <v>4</v>
      </c>
      <c r="U57">
        <v>4</v>
      </c>
      <c r="AB57">
        <v>4</v>
      </c>
      <c r="AC57">
        <v>8</v>
      </c>
      <c r="AD57">
        <v>8</v>
      </c>
      <c r="AG57">
        <v>4</v>
      </c>
      <c r="AH57">
        <v>4</v>
      </c>
      <c r="AJ57">
        <v>4</v>
      </c>
      <c r="AK57">
        <v>4</v>
      </c>
      <c r="AL57">
        <v>4</v>
      </c>
      <c r="AM57">
        <v>104</v>
      </c>
      <c r="AP57">
        <v>64</v>
      </c>
      <c r="AW57">
        <v>16</v>
      </c>
      <c r="AY57">
        <v>0</v>
      </c>
      <c r="AZ57">
        <v>184</v>
      </c>
      <c r="BD57" t="s">
        <v>1425</v>
      </c>
      <c r="BE57" t="s">
        <v>378</v>
      </c>
      <c r="BG57" t="s">
        <v>1426</v>
      </c>
    </row>
    <row r="58" spans="1:59" x14ac:dyDescent="0.15">
      <c r="A58" t="s">
        <v>1424</v>
      </c>
      <c r="B58" t="s">
        <v>166</v>
      </c>
      <c r="C58" t="s">
        <v>1296</v>
      </c>
      <c r="D58" t="s">
        <v>389</v>
      </c>
      <c r="E58" t="s">
        <v>154</v>
      </c>
      <c r="F58">
        <v>26123057</v>
      </c>
      <c r="G58" t="s">
        <v>390</v>
      </c>
      <c r="AM58">
        <v>0</v>
      </c>
      <c r="AP58">
        <v>40</v>
      </c>
      <c r="AY58">
        <v>0</v>
      </c>
      <c r="AZ58">
        <v>40</v>
      </c>
      <c r="BD58" t="s">
        <v>1425</v>
      </c>
      <c r="BE58" t="s">
        <v>378</v>
      </c>
      <c r="BG58" t="s">
        <v>1426</v>
      </c>
    </row>
    <row r="59" spans="1:59" x14ac:dyDescent="0.15">
      <c r="A59" t="s">
        <v>1424</v>
      </c>
      <c r="B59" t="s">
        <v>166</v>
      </c>
      <c r="C59" t="s">
        <v>1296</v>
      </c>
      <c r="D59" t="s">
        <v>389</v>
      </c>
      <c r="E59" t="s">
        <v>154</v>
      </c>
      <c r="F59">
        <v>26123058</v>
      </c>
      <c r="G59" t="s">
        <v>392</v>
      </c>
      <c r="I59">
        <v>8</v>
      </c>
      <c r="J59">
        <v>8</v>
      </c>
      <c r="N59">
        <v>8</v>
      </c>
      <c r="O59">
        <v>8</v>
      </c>
      <c r="P59">
        <v>8</v>
      </c>
      <c r="Q59">
        <v>8</v>
      </c>
      <c r="S59">
        <v>8</v>
      </c>
      <c r="U59">
        <v>8</v>
      </c>
      <c r="X59">
        <v>8</v>
      </c>
      <c r="Z59">
        <v>8</v>
      </c>
      <c r="AA59">
        <v>8</v>
      </c>
      <c r="AB59">
        <v>8</v>
      </c>
      <c r="AD59">
        <v>8</v>
      </c>
      <c r="AE59">
        <v>8</v>
      </c>
      <c r="AF59">
        <v>8</v>
      </c>
      <c r="AG59">
        <v>8</v>
      </c>
      <c r="AI59">
        <v>8</v>
      </c>
      <c r="AJ59">
        <v>8</v>
      </c>
      <c r="AK59">
        <v>8</v>
      </c>
      <c r="AL59">
        <v>8</v>
      </c>
      <c r="AM59">
        <v>184</v>
      </c>
      <c r="AY59">
        <v>0</v>
      </c>
      <c r="AZ59">
        <v>184</v>
      </c>
      <c r="BB59">
        <v>24</v>
      </c>
      <c r="BD59" t="s">
        <v>1425</v>
      </c>
      <c r="BE59" t="s">
        <v>378</v>
      </c>
      <c r="BG59" t="s">
        <v>1426</v>
      </c>
    </row>
    <row r="60" spans="1:59" x14ac:dyDescent="0.15">
      <c r="A60" t="s">
        <v>1424</v>
      </c>
      <c r="B60" t="s">
        <v>166</v>
      </c>
      <c r="C60" t="s">
        <v>1296</v>
      </c>
      <c r="D60" t="s">
        <v>389</v>
      </c>
      <c r="E60" t="s">
        <v>154</v>
      </c>
      <c r="F60">
        <v>26123059</v>
      </c>
      <c r="G60" t="s">
        <v>394</v>
      </c>
      <c r="H60">
        <v>8</v>
      </c>
      <c r="L60">
        <v>8</v>
      </c>
      <c r="M60">
        <v>8</v>
      </c>
      <c r="N60">
        <v>8</v>
      </c>
      <c r="P60">
        <v>8</v>
      </c>
      <c r="Q60">
        <v>8</v>
      </c>
      <c r="S60">
        <v>8</v>
      </c>
      <c r="T60">
        <v>8</v>
      </c>
      <c r="U60">
        <v>8</v>
      </c>
      <c r="V60">
        <v>8</v>
      </c>
      <c r="X60">
        <v>8</v>
      </c>
      <c r="Y60">
        <v>8</v>
      </c>
      <c r="Z60">
        <v>8</v>
      </c>
      <c r="AA60">
        <v>8</v>
      </c>
      <c r="AD60">
        <v>8</v>
      </c>
      <c r="AE60">
        <v>8</v>
      </c>
      <c r="AF60">
        <v>8</v>
      </c>
      <c r="AG60">
        <v>8</v>
      </c>
      <c r="AH60">
        <v>8</v>
      </c>
      <c r="AI60">
        <v>8</v>
      </c>
      <c r="AM60">
        <v>160</v>
      </c>
      <c r="AP60">
        <v>24</v>
      </c>
      <c r="AT60">
        <v>1</v>
      </c>
      <c r="AY60">
        <v>0</v>
      </c>
      <c r="AZ60">
        <v>185</v>
      </c>
      <c r="BD60" t="s">
        <v>1427</v>
      </c>
      <c r="BE60" t="s">
        <v>378</v>
      </c>
      <c r="BG60" t="s">
        <v>1426</v>
      </c>
    </row>
    <row r="61" spans="1:59" x14ac:dyDescent="0.15">
      <c r="A61" t="s">
        <v>1424</v>
      </c>
      <c r="B61" t="s">
        <v>290</v>
      </c>
      <c r="C61" t="s">
        <v>1297</v>
      </c>
      <c r="D61" t="s">
        <v>396</v>
      </c>
      <c r="E61" t="s">
        <v>154</v>
      </c>
      <c r="F61">
        <v>26123060</v>
      </c>
      <c r="G61" t="s">
        <v>397</v>
      </c>
      <c r="H61">
        <v>8</v>
      </c>
      <c r="I61">
        <v>8</v>
      </c>
      <c r="AM61">
        <v>16</v>
      </c>
      <c r="AY61">
        <v>0</v>
      </c>
      <c r="AZ61">
        <v>16</v>
      </c>
      <c r="BD61" t="s">
        <v>1427</v>
      </c>
      <c r="BE61" t="s">
        <v>398</v>
      </c>
      <c r="BG61" t="s">
        <v>1426</v>
      </c>
    </row>
    <row r="62" spans="1:59" x14ac:dyDescent="0.15">
      <c r="A62" t="s">
        <v>1424</v>
      </c>
      <c r="B62" t="s">
        <v>203</v>
      </c>
      <c r="C62" t="s">
        <v>1298</v>
      </c>
      <c r="D62" t="s">
        <v>400</v>
      </c>
      <c r="E62" t="s">
        <v>154</v>
      </c>
      <c r="F62">
        <v>26123061</v>
      </c>
      <c r="G62" t="s">
        <v>401</v>
      </c>
      <c r="I62">
        <v>8</v>
      </c>
      <c r="J62">
        <v>8</v>
      </c>
      <c r="K62">
        <v>8</v>
      </c>
      <c r="L62">
        <v>8</v>
      </c>
      <c r="M62">
        <v>8</v>
      </c>
      <c r="N62">
        <v>8</v>
      </c>
      <c r="O62">
        <v>8</v>
      </c>
      <c r="Q62">
        <v>8</v>
      </c>
      <c r="R62">
        <v>8</v>
      </c>
      <c r="T62">
        <v>8</v>
      </c>
      <c r="U62">
        <v>8</v>
      </c>
      <c r="W62">
        <v>8</v>
      </c>
      <c r="Z62">
        <v>8</v>
      </c>
      <c r="AA62">
        <v>8</v>
      </c>
      <c r="AB62">
        <v>8</v>
      </c>
      <c r="AD62">
        <v>8</v>
      </c>
      <c r="AE62">
        <v>8</v>
      </c>
      <c r="AG62">
        <v>8</v>
      </c>
      <c r="AH62">
        <v>8</v>
      </c>
      <c r="AJ62">
        <v>8</v>
      </c>
      <c r="AK62">
        <v>8</v>
      </c>
      <c r="AL62">
        <v>8</v>
      </c>
      <c r="AM62">
        <v>176</v>
      </c>
      <c r="AP62">
        <v>8</v>
      </c>
      <c r="AY62">
        <v>0</v>
      </c>
      <c r="AZ62">
        <v>184</v>
      </c>
      <c r="BD62" t="s">
        <v>1425</v>
      </c>
      <c r="BE62" t="s">
        <v>402</v>
      </c>
      <c r="BG62" t="s">
        <v>1426</v>
      </c>
    </row>
    <row r="63" spans="1:59" x14ac:dyDescent="0.15">
      <c r="A63" t="s">
        <v>1424</v>
      </c>
      <c r="B63" t="s">
        <v>405</v>
      </c>
      <c r="C63" t="s">
        <v>1299</v>
      </c>
      <c r="D63" t="s">
        <v>406</v>
      </c>
      <c r="E63" t="s">
        <v>131</v>
      </c>
      <c r="F63">
        <v>26123062</v>
      </c>
      <c r="G63" t="s">
        <v>408</v>
      </c>
      <c r="H63">
        <v>9</v>
      </c>
      <c r="I63">
        <v>9.5</v>
      </c>
      <c r="K63">
        <v>10</v>
      </c>
      <c r="L63">
        <v>10</v>
      </c>
      <c r="M63">
        <v>10.5</v>
      </c>
      <c r="O63">
        <v>9.5</v>
      </c>
      <c r="Q63">
        <v>9.5</v>
      </c>
      <c r="R63">
        <v>11</v>
      </c>
      <c r="S63">
        <v>10.5</v>
      </c>
      <c r="U63">
        <v>11</v>
      </c>
      <c r="W63">
        <v>9.5</v>
      </c>
      <c r="X63">
        <v>10.5</v>
      </c>
      <c r="Y63">
        <v>8</v>
      </c>
      <c r="Z63">
        <v>10.5</v>
      </c>
      <c r="AA63">
        <v>11</v>
      </c>
      <c r="AB63">
        <v>11</v>
      </c>
      <c r="AD63">
        <v>7</v>
      </c>
      <c r="AE63">
        <v>10.5</v>
      </c>
      <c r="AF63">
        <v>6.5</v>
      </c>
      <c r="AI63">
        <v>4</v>
      </c>
      <c r="AM63">
        <v>189</v>
      </c>
      <c r="AP63">
        <v>12</v>
      </c>
      <c r="AY63">
        <v>0</v>
      </c>
      <c r="AZ63">
        <v>201</v>
      </c>
      <c r="BD63" t="s">
        <v>1425</v>
      </c>
      <c r="BE63" t="s">
        <v>409</v>
      </c>
      <c r="BG63" t="s">
        <v>1426</v>
      </c>
    </row>
    <row r="64" spans="1:59" x14ac:dyDescent="0.15">
      <c r="A64" t="s">
        <v>1424</v>
      </c>
      <c r="B64" t="s">
        <v>412</v>
      </c>
      <c r="C64" t="s">
        <v>1300</v>
      </c>
      <c r="D64" t="s">
        <v>413</v>
      </c>
      <c r="E64" t="s">
        <v>131</v>
      </c>
      <c r="F64">
        <v>26123063</v>
      </c>
      <c r="G64" t="s">
        <v>415</v>
      </c>
      <c r="AM64">
        <v>0</v>
      </c>
      <c r="AY64">
        <v>0</v>
      </c>
      <c r="AZ64">
        <v>0</v>
      </c>
      <c r="BD64" t="s">
        <v>1425</v>
      </c>
      <c r="BE64" t="s">
        <v>416</v>
      </c>
      <c r="BG64" t="s">
        <v>1426</v>
      </c>
    </row>
    <row r="65" spans="1:59" x14ac:dyDescent="0.15">
      <c r="A65" t="s">
        <v>1424</v>
      </c>
      <c r="B65" t="s">
        <v>133</v>
      </c>
      <c r="C65" t="s">
        <v>1061</v>
      </c>
      <c r="D65" t="s">
        <v>418</v>
      </c>
      <c r="E65" t="s">
        <v>131</v>
      </c>
      <c r="F65">
        <v>26123064</v>
      </c>
      <c r="G65" t="s">
        <v>419</v>
      </c>
      <c r="AM65">
        <v>0</v>
      </c>
      <c r="AP65">
        <v>40</v>
      </c>
      <c r="AY65">
        <v>0</v>
      </c>
      <c r="AZ65">
        <v>40</v>
      </c>
      <c r="BD65" t="s">
        <v>1425</v>
      </c>
      <c r="BE65" t="s">
        <v>416</v>
      </c>
      <c r="BF65" t="s">
        <v>239</v>
      </c>
      <c r="BG65" t="s">
        <v>1426</v>
      </c>
    </row>
    <row r="66" spans="1:59" x14ac:dyDescent="0.15">
      <c r="A66" t="s">
        <v>1424</v>
      </c>
      <c r="B66" t="s">
        <v>148</v>
      </c>
      <c r="C66" t="s">
        <v>1301</v>
      </c>
      <c r="D66" t="s">
        <v>422</v>
      </c>
      <c r="E66" t="s">
        <v>154</v>
      </c>
      <c r="F66">
        <v>26123065</v>
      </c>
      <c r="G66" t="s">
        <v>423</v>
      </c>
      <c r="AM66">
        <v>0</v>
      </c>
      <c r="AO66">
        <v>176</v>
      </c>
      <c r="AY66">
        <v>0</v>
      </c>
      <c r="AZ66">
        <v>176</v>
      </c>
      <c r="BD66" t="s">
        <v>1425</v>
      </c>
      <c r="BE66" t="s">
        <v>424</v>
      </c>
      <c r="BG66" t="s">
        <v>1426</v>
      </c>
    </row>
    <row r="67" spans="1:59" x14ac:dyDescent="0.15">
      <c r="A67" t="s">
        <v>1424</v>
      </c>
      <c r="B67" t="s">
        <v>148</v>
      </c>
      <c r="C67" t="s">
        <v>1302</v>
      </c>
      <c r="D67" t="s">
        <v>426</v>
      </c>
      <c r="E67" t="s">
        <v>154</v>
      </c>
      <c r="F67">
        <v>26123066</v>
      </c>
      <c r="G67" t="s">
        <v>427</v>
      </c>
      <c r="Y67">
        <v>8</v>
      </c>
      <c r="Z67">
        <v>8</v>
      </c>
      <c r="AA67">
        <v>8</v>
      </c>
      <c r="AM67">
        <v>24</v>
      </c>
      <c r="AP67">
        <v>28</v>
      </c>
      <c r="AQ67">
        <v>80</v>
      </c>
      <c r="AY67">
        <v>0</v>
      </c>
      <c r="AZ67">
        <v>132</v>
      </c>
      <c r="BD67" t="s">
        <v>1425</v>
      </c>
      <c r="BE67" t="s">
        <v>424</v>
      </c>
      <c r="BG67" t="s">
        <v>1426</v>
      </c>
    </row>
    <row r="68" spans="1:59" x14ac:dyDescent="0.15">
      <c r="A68" t="s">
        <v>1424</v>
      </c>
      <c r="B68" t="s">
        <v>148</v>
      </c>
      <c r="C68" t="s">
        <v>1303</v>
      </c>
      <c r="D68" t="s">
        <v>429</v>
      </c>
      <c r="E68" t="s">
        <v>131</v>
      </c>
      <c r="F68">
        <v>26123067</v>
      </c>
      <c r="G68" t="s">
        <v>430</v>
      </c>
      <c r="O68">
        <v>8</v>
      </c>
      <c r="Q68">
        <v>8</v>
      </c>
      <c r="T68">
        <v>8</v>
      </c>
      <c r="U68">
        <v>8</v>
      </c>
      <c r="X68">
        <v>8</v>
      </c>
      <c r="Z68">
        <v>8</v>
      </c>
      <c r="AA68">
        <v>8</v>
      </c>
      <c r="AB68">
        <v>8</v>
      </c>
      <c r="AC68">
        <v>8</v>
      </c>
      <c r="AD68">
        <v>8</v>
      </c>
      <c r="AE68">
        <v>8</v>
      </c>
      <c r="AF68">
        <v>8</v>
      </c>
      <c r="AG68">
        <v>8</v>
      </c>
      <c r="AI68">
        <v>8</v>
      </c>
      <c r="AJ68">
        <v>8</v>
      </c>
      <c r="AL68">
        <v>8</v>
      </c>
      <c r="AM68">
        <v>128</v>
      </c>
      <c r="AN68">
        <v>56</v>
      </c>
      <c r="AS68">
        <v>2</v>
      </c>
      <c r="AY68">
        <v>0</v>
      </c>
      <c r="AZ68">
        <v>186</v>
      </c>
      <c r="BD68" t="s">
        <v>1425</v>
      </c>
      <c r="BE68" t="s">
        <v>431</v>
      </c>
      <c r="BG68" t="s">
        <v>1426</v>
      </c>
    </row>
    <row r="69" spans="1:59" x14ac:dyDescent="0.15">
      <c r="A69" t="s">
        <v>1424</v>
      </c>
      <c r="B69" t="s">
        <v>323</v>
      </c>
      <c r="C69" t="s">
        <v>1304</v>
      </c>
      <c r="D69" t="s">
        <v>433</v>
      </c>
      <c r="E69" t="s">
        <v>131</v>
      </c>
      <c r="F69">
        <v>26123068</v>
      </c>
      <c r="G69" t="s">
        <v>434</v>
      </c>
      <c r="AM69">
        <v>0</v>
      </c>
      <c r="AY69">
        <v>0</v>
      </c>
      <c r="AZ69">
        <v>0</v>
      </c>
      <c r="BD69" t="s">
        <v>1425</v>
      </c>
      <c r="BE69" t="s">
        <v>435</v>
      </c>
      <c r="BG69" t="s">
        <v>1426</v>
      </c>
    </row>
    <row r="70" spans="1:59" x14ac:dyDescent="0.15">
      <c r="A70" t="s">
        <v>1424</v>
      </c>
      <c r="B70" t="s">
        <v>438</v>
      </c>
      <c r="C70" t="s">
        <v>1305</v>
      </c>
      <c r="D70" t="s">
        <v>439</v>
      </c>
      <c r="E70" t="s">
        <v>154</v>
      </c>
      <c r="F70">
        <v>26123069</v>
      </c>
      <c r="G70" t="s">
        <v>441</v>
      </c>
      <c r="AM70">
        <v>0</v>
      </c>
      <c r="AY70">
        <v>0</v>
      </c>
      <c r="AZ70">
        <v>0</v>
      </c>
      <c r="BD70" t="s">
        <v>1425</v>
      </c>
      <c r="BE70" t="s">
        <v>442</v>
      </c>
      <c r="BG70" t="s">
        <v>1426</v>
      </c>
    </row>
    <row r="71" spans="1:59" x14ac:dyDescent="0.15">
      <c r="A71" t="s">
        <v>1424</v>
      </c>
      <c r="B71" t="s">
        <v>323</v>
      </c>
      <c r="C71" t="s">
        <v>1062</v>
      </c>
      <c r="D71" t="s">
        <v>444</v>
      </c>
      <c r="E71" t="s">
        <v>131</v>
      </c>
      <c r="F71">
        <v>26123070</v>
      </c>
      <c r="G71" t="s">
        <v>445</v>
      </c>
      <c r="J71">
        <v>0</v>
      </c>
      <c r="Y71">
        <v>8</v>
      </c>
      <c r="Z71">
        <v>8</v>
      </c>
      <c r="AA71">
        <v>8</v>
      </c>
      <c r="AM71">
        <v>0</v>
      </c>
      <c r="AP71">
        <v>28</v>
      </c>
      <c r="AY71">
        <v>0</v>
      </c>
      <c r="AZ71">
        <v>28</v>
      </c>
      <c r="BB71">
        <v>-24</v>
      </c>
      <c r="BD71" t="s">
        <v>1425</v>
      </c>
      <c r="BE71" t="s">
        <v>442</v>
      </c>
      <c r="BG71" t="s">
        <v>1426</v>
      </c>
    </row>
    <row r="72" spans="1:59" x14ac:dyDescent="0.15">
      <c r="A72" t="s">
        <v>1424</v>
      </c>
      <c r="B72" t="s">
        <v>448</v>
      </c>
      <c r="C72" t="s">
        <v>1306</v>
      </c>
      <c r="D72" t="s">
        <v>449</v>
      </c>
      <c r="E72" t="s">
        <v>154</v>
      </c>
      <c r="F72">
        <v>26123071</v>
      </c>
      <c r="G72" t="s">
        <v>451</v>
      </c>
      <c r="H72">
        <v>8</v>
      </c>
      <c r="I72">
        <v>7</v>
      </c>
      <c r="J72">
        <v>8</v>
      </c>
      <c r="K72">
        <v>7</v>
      </c>
      <c r="Q72">
        <v>7</v>
      </c>
      <c r="R72">
        <v>7</v>
      </c>
      <c r="S72">
        <v>7</v>
      </c>
      <c r="T72">
        <v>8</v>
      </c>
      <c r="U72">
        <v>8</v>
      </c>
      <c r="V72">
        <v>7.5</v>
      </c>
      <c r="W72">
        <v>7</v>
      </c>
      <c r="X72">
        <v>7</v>
      </c>
      <c r="Y72">
        <v>7</v>
      </c>
      <c r="AA72">
        <v>9</v>
      </c>
      <c r="AB72">
        <v>7</v>
      </c>
      <c r="AC72">
        <v>7</v>
      </c>
      <c r="AD72">
        <v>8</v>
      </c>
      <c r="AE72">
        <v>7</v>
      </c>
      <c r="AF72">
        <v>7</v>
      </c>
      <c r="AG72">
        <v>7</v>
      </c>
      <c r="AH72">
        <v>7</v>
      </c>
      <c r="AI72">
        <v>7</v>
      </c>
      <c r="AL72">
        <v>10</v>
      </c>
      <c r="AM72">
        <v>171.5</v>
      </c>
      <c r="AP72">
        <v>28</v>
      </c>
      <c r="AY72">
        <v>3</v>
      </c>
      <c r="AZ72">
        <v>202.5</v>
      </c>
      <c r="BD72" t="s">
        <v>1425</v>
      </c>
      <c r="BE72" t="s">
        <v>452</v>
      </c>
      <c r="BG72" t="s">
        <v>1426</v>
      </c>
    </row>
    <row r="73" spans="1:59" x14ac:dyDescent="0.15">
      <c r="A73" t="s">
        <v>1424</v>
      </c>
      <c r="B73" t="s">
        <v>148</v>
      </c>
      <c r="C73" t="s">
        <v>1071</v>
      </c>
      <c r="D73" t="s">
        <v>454</v>
      </c>
      <c r="E73" t="s">
        <v>154</v>
      </c>
      <c r="F73">
        <v>26123072</v>
      </c>
      <c r="G73" t="s">
        <v>455</v>
      </c>
      <c r="AM73">
        <v>0</v>
      </c>
      <c r="AY73">
        <v>0</v>
      </c>
      <c r="AZ73">
        <v>0</v>
      </c>
      <c r="BD73" t="s">
        <v>1425</v>
      </c>
      <c r="BE73" t="s">
        <v>456</v>
      </c>
      <c r="BG73" t="s">
        <v>1426</v>
      </c>
    </row>
    <row r="74" spans="1:59" x14ac:dyDescent="0.15">
      <c r="A74" t="s">
        <v>1424</v>
      </c>
      <c r="B74" t="s">
        <v>180</v>
      </c>
      <c r="C74" t="s">
        <v>1307</v>
      </c>
      <c r="D74" t="s">
        <v>458</v>
      </c>
      <c r="E74" t="s">
        <v>154</v>
      </c>
      <c r="F74">
        <v>26123073</v>
      </c>
      <c r="G74" t="s">
        <v>459</v>
      </c>
      <c r="AM74">
        <v>0</v>
      </c>
      <c r="AY74">
        <v>0</v>
      </c>
      <c r="AZ74">
        <v>0</v>
      </c>
      <c r="BD74" t="s">
        <v>1425</v>
      </c>
      <c r="BE74" t="s">
        <v>460</v>
      </c>
      <c r="BF74" t="s">
        <v>461</v>
      </c>
      <c r="BG74" t="s">
        <v>1426</v>
      </c>
    </row>
    <row r="75" spans="1:59" x14ac:dyDescent="0.15">
      <c r="A75" t="s">
        <v>1424</v>
      </c>
      <c r="B75" t="s">
        <v>463</v>
      </c>
      <c r="C75" t="s">
        <v>1308</v>
      </c>
      <c r="D75" t="s">
        <v>464</v>
      </c>
      <c r="E75" t="s">
        <v>154</v>
      </c>
      <c r="F75">
        <v>26123074</v>
      </c>
      <c r="G75" t="s">
        <v>465</v>
      </c>
      <c r="H75">
        <v>8</v>
      </c>
      <c r="J75">
        <v>8</v>
      </c>
      <c r="K75">
        <v>8</v>
      </c>
      <c r="L75">
        <v>8</v>
      </c>
      <c r="N75">
        <v>8</v>
      </c>
      <c r="P75">
        <v>8</v>
      </c>
      <c r="Q75">
        <v>8</v>
      </c>
      <c r="R75">
        <v>8</v>
      </c>
      <c r="S75">
        <v>8</v>
      </c>
      <c r="T75">
        <v>8</v>
      </c>
      <c r="U75">
        <v>8</v>
      </c>
      <c r="V75">
        <v>8</v>
      </c>
      <c r="W75">
        <v>8</v>
      </c>
      <c r="X75">
        <v>8</v>
      </c>
      <c r="Y75">
        <v>8</v>
      </c>
      <c r="Z75">
        <v>8</v>
      </c>
      <c r="AA75">
        <v>8</v>
      </c>
      <c r="AB75">
        <v>8</v>
      </c>
      <c r="AC75">
        <v>8</v>
      </c>
      <c r="AD75">
        <v>8</v>
      </c>
      <c r="AE75">
        <v>8</v>
      </c>
      <c r="AF75">
        <v>8</v>
      </c>
      <c r="AG75">
        <v>8</v>
      </c>
      <c r="AM75">
        <v>184</v>
      </c>
      <c r="AY75">
        <v>0</v>
      </c>
      <c r="AZ75">
        <v>184</v>
      </c>
      <c r="BD75" t="s">
        <v>1425</v>
      </c>
      <c r="BE75" t="s">
        <v>466</v>
      </c>
      <c r="BG75" t="s">
        <v>1426</v>
      </c>
    </row>
    <row r="76" spans="1:59" x14ac:dyDescent="0.15">
      <c r="A76" t="s">
        <v>1424</v>
      </c>
      <c r="B76" t="s">
        <v>148</v>
      </c>
      <c r="C76" t="s">
        <v>1282</v>
      </c>
      <c r="D76" t="s">
        <v>318</v>
      </c>
      <c r="E76" t="s">
        <v>154</v>
      </c>
      <c r="F76">
        <v>26123075</v>
      </c>
      <c r="G76" t="s">
        <v>468</v>
      </c>
      <c r="AM76">
        <v>0</v>
      </c>
      <c r="AN76">
        <v>160</v>
      </c>
      <c r="AP76">
        <v>16</v>
      </c>
      <c r="AY76">
        <v>0</v>
      </c>
      <c r="AZ76">
        <v>176</v>
      </c>
      <c r="BD76" t="s">
        <v>1425</v>
      </c>
      <c r="BE76" t="s">
        <v>469</v>
      </c>
      <c r="BG76" t="s">
        <v>1426</v>
      </c>
    </row>
    <row r="77" spans="1:59" x14ac:dyDescent="0.15">
      <c r="A77" t="s">
        <v>1424</v>
      </c>
      <c r="B77" t="s">
        <v>471</v>
      </c>
      <c r="C77" t="s">
        <v>1309</v>
      </c>
      <c r="D77" t="s">
        <v>472</v>
      </c>
      <c r="E77" t="s">
        <v>154</v>
      </c>
      <c r="F77">
        <v>26123076</v>
      </c>
      <c r="G77" t="s">
        <v>473</v>
      </c>
      <c r="I77">
        <v>8</v>
      </c>
      <c r="K77">
        <v>8</v>
      </c>
      <c r="M77">
        <v>8</v>
      </c>
      <c r="N77">
        <v>8</v>
      </c>
      <c r="O77">
        <v>6</v>
      </c>
      <c r="P77">
        <v>8</v>
      </c>
      <c r="S77">
        <v>8.5</v>
      </c>
      <c r="T77">
        <v>8</v>
      </c>
      <c r="U77">
        <v>8</v>
      </c>
      <c r="W77">
        <v>5</v>
      </c>
      <c r="X77">
        <v>8</v>
      </c>
      <c r="AA77">
        <v>6</v>
      </c>
      <c r="AB77">
        <v>10</v>
      </c>
      <c r="AC77">
        <v>10.5</v>
      </c>
      <c r="AD77">
        <v>9</v>
      </c>
      <c r="AE77">
        <v>10</v>
      </c>
      <c r="AF77">
        <v>10</v>
      </c>
      <c r="AG77">
        <v>9.5</v>
      </c>
      <c r="AH77">
        <v>10</v>
      </c>
      <c r="AI77">
        <v>10</v>
      </c>
      <c r="AJ77">
        <v>6.5</v>
      </c>
      <c r="AL77">
        <v>8</v>
      </c>
      <c r="AM77">
        <v>183</v>
      </c>
      <c r="AP77">
        <v>8</v>
      </c>
      <c r="AY77">
        <v>0</v>
      </c>
      <c r="AZ77">
        <v>191</v>
      </c>
      <c r="BD77" t="s">
        <v>1425</v>
      </c>
      <c r="BE77" t="s">
        <v>474</v>
      </c>
      <c r="BG77" t="s">
        <v>1426</v>
      </c>
    </row>
    <row r="78" spans="1:59" x14ac:dyDescent="0.15">
      <c r="A78" t="s">
        <v>1424</v>
      </c>
      <c r="B78" t="s">
        <v>148</v>
      </c>
      <c r="C78" t="s">
        <v>1310</v>
      </c>
      <c r="D78" t="s">
        <v>476</v>
      </c>
      <c r="E78" t="s">
        <v>154</v>
      </c>
      <c r="F78">
        <v>26123077</v>
      </c>
      <c r="G78" t="s">
        <v>477</v>
      </c>
      <c r="AM78">
        <v>0</v>
      </c>
      <c r="AN78">
        <v>96</v>
      </c>
      <c r="AP78">
        <v>8</v>
      </c>
      <c r="AW78">
        <v>80</v>
      </c>
      <c r="AY78">
        <v>0</v>
      </c>
      <c r="AZ78">
        <v>184</v>
      </c>
      <c r="BD78" t="s">
        <v>1425</v>
      </c>
      <c r="BE78" t="s">
        <v>478</v>
      </c>
      <c r="BG78" t="s">
        <v>1426</v>
      </c>
    </row>
    <row r="79" spans="1:59" x14ac:dyDescent="0.15">
      <c r="A79" t="s">
        <v>1424</v>
      </c>
      <c r="B79" t="s">
        <v>180</v>
      </c>
      <c r="C79" t="s">
        <v>1311</v>
      </c>
      <c r="D79" t="s">
        <v>480</v>
      </c>
      <c r="E79" t="s">
        <v>131</v>
      </c>
      <c r="F79">
        <v>26123078</v>
      </c>
      <c r="G79" t="s">
        <v>481</v>
      </c>
      <c r="I79">
        <v>8</v>
      </c>
      <c r="J79">
        <v>8</v>
      </c>
      <c r="L79">
        <v>8</v>
      </c>
      <c r="M79">
        <v>8</v>
      </c>
      <c r="N79">
        <v>8</v>
      </c>
      <c r="O79">
        <v>8</v>
      </c>
      <c r="X79">
        <v>8</v>
      </c>
      <c r="Y79">
        <v>8</v>
      </c>
      <c r="Z79">
        <v>8</v>
      </c>
      <c r="AA79">
        <v>8</v>
      </c>
      <c r="AB79">
        <v>8</v>
      </c>
      <c r="AE79">
        <v>8</v>
      </c>
      <c r="AG79">
        <v>8</v>
      </c>
      <c r="AH79">
        <v>8</v>
      </c>
      <c r="AI79">
        <v>8</v>
      </c>
      <c r="AJ79">
        <v>8</v>
      </c>
      <c r="AL79">
        <v>8</v>
      </c>
      <c r="AM79">
        <v>136</v>
      </c>
      <c r="AN79">
        <v>48</v>
      </c>
      <c r="AY79">
        <v>0</v>
      </c>
      <c r="AZ79">
        <v>184</v>
      </c>
      <c r="BD79" t="s">
        <v>1425</v>
      </c>
      <c r="BE79" t="s">
        <v>482</v>
      </c>
      <c r="BG79" t="s">
        <v>1426</v>
      </c>
    </row>
    <row r="80" spans="1:59" x14ac:dyDescent="0.15">
      <c r="A80" t="s">
        <v>1424</v>
      </c>
      <c r="B80" t="s">
        <v>148</v>
      </c>
      <c r="C80" t="s">
        <v>1312</v>
      </c>
      <c r="D80" t="s">
        <v>484</v>
      </c>
      <c r="E80" t="s">
        <v>131</v>
      </c>
      <c r="F80">
        <v>26123079</v>
      </c>
      <c r="G80" t="s">
        <v>485</v>
      </c>
      <c r="H80">
        <v>8</v>
      </c>
      <c r="J80">
        <v>8</v>
      </c>
      <c r="K80">
        <v>8</v>
      </c>
      <c r="L80">
        <v>8</v>
      </c>
      <c r="P80">
        <v>8</v>
      </c>
      <c r="Q80">
        <v>10</v>
      </c>
      <c r="R80">
        <v>8</v>
      </c>
      <c r="S80">
        <v>8</v>
      </c>
      <c r="T80">
        <v>8</v>
      </c>
      <c r="U80">
        <v>9</v>
      </c>
      <c r="W80">
        <v>8</v>
      </c>
      <c r="X80">
        <v>10.5</v>
      </c>
      <c r="Z80">
        <v>9</v>
      </c>
      <c r="AA80">
        <v>8</v>
      </c>
      <c r="AB80">
        <v>9</v>
      </c>
      <c r="AD80">
        <v>8</v>
      </c>
      <c r="AE80">
        <v>8.5</v>
      </c>
      <c r="AF80">
        <v>8</v>
      </c>
      <c r="AH80">
        <v>8</v>
      </c>
      <c r="AI80">
        <v>10</v>
      </c>
      <c r="AK80">
        <v>8</v>
      </c>
      <c r="AL80">
        <v>5</v>
      </c>
      <c r="AM80">
        <v>8</v>
      </c>
      <c r="AP80">
        <v>8</v>
      </c>
      <c r="AR80">
        <v>100</v>
      </c>
      <c r="AY80">
        <v>0</v>
      </c>
      <c r="AZ80">
        <v>116</v>
      </c>
      <c r="BD80" t="s">
        <v>1425</v>
      </c>
      <c r="BE80" t="s">
        <v>207</v>
      </c>
      <c r="BG80" t="s">
        <v>1426</v>
      </c>
    </row>
    <row r="81" spans="1:59" x14ac:dyDescent="0.15">
      <c r="A81" t="s">
        <v>1424</v>
      </c>
      <c r="B81" t="s">
        <v>290</v>
      </c>
      <c r="C81" t="s">
        <v>1297</v>
      </c>
      <c r="D81" t="s">
        <v>396</v>
      </c>
      <c r="E81" t="s">
        <v>154</v>
      </c>
      <c r="F81">
        <v>26123080</v>
      </c>
      <c r="G81" t="s">
        <v>487</v>
      </c>
      <c r="AK81">
        <v>8</v>
      </c>
      <c r="AL81">
        <v>8</v>
      </c>
      <c r="AM81">
        <v>16</v>
      </c>
      <c r="AU81">
        <v>2</v>
      </c>
      <c r="AY81">
        <v>0</v>
      </c>
      <c r="AZ81">
        <v>18</v>
      </c>
      <c r="BD81" t="s">
        <v>1425</v>
      </c>
      <c r="BE81" t="s">
        <v>488</v>
      </c>
      <c r="BF81" t="s">
        <v>489</v>
      </c>
      <c r="BG81" t="s">
        <v>1426</v>
      </c>
    </row>
    <row r="82" spans="1:59" x14ac:dyDescent="0.15">
      <c r="A82" t="s">
        <v>1424</v>
      </c>
      <c r="B82" t="s">
        <v>492</v>
      </c>
      <c r="C82" t="s">
        <v>1314</v>
      </c>
      <c r="D82" t="s">
        <v>493</v>
      </c>
      <c r="E82" t="s">
        <v>131</v>
      </c>
      <c r="F82">
        <v>26123081</v>
      </c>
      <c r="G82" t="s">
        <v>495</v>
      </c>
      <c r="H82">
        <v>5</v>
      </c>
      <c r="I82">
        <v>8.5</v>
      </c>
      <c r="J82">
        <v>8</v>
      </c>
      <c r="K82">
        <v>8</v>
      </c>
      <c r="L82">
        <v>8</v>
      </c>
      <c r="M82">
        <v>10.5</v>
      </c>
      <c r="N82">
        <v>8</v>
      </c>
      <c r="AM82">
        <v>56</v>
      </c>
      <c r="AN82">
        <v>88</v>
      </c>
      <c r="AO82">
        <v>40</v>
      </c>
      <c r="AY82">
        <v>0</v>
      </c>
      <c r="AZ82">
        <v>184</v>
      </c>
      <c r="BD82" t="s">
        <v>1425</v>
      </c>
      <c r="BE82" t="s">
        <v>374</v>
      </c>
      <c r="BG82" t="s">
        <v>1426</v>
      </c>
    </row>
    <row r="83" spans="1:59" x14ac:dyDescent="0.15">
      <c r="A83" t="s">
        <v>1424</v>
      </c>
      <c r="B83" t="s">
        <v>499</v>
      </c>
      <c r="C83" t="s">
        <v>1316</v>
      </c>
      <c r="D83" t="s">
        <v>500</v>
      </c>
      <c r="E83" t="s">
        <v>131</v>
      </c>
      <c r="F83">
        <v>26123082</v>
      </c>
      <c r="G83" t="s">
        <v>502</v>
      </c>
      <c r="AM83">
        <v>0</v>
      </c>
      <c r="AN83">
        <v>152</v>
      </c>
      <c r="AP83">
        <v>32</v>
      </c>
      <c r="AY83">
        <v>0</v>
      </c>
      <c r="AZ83">
        <v>184</v>
      </c>
      <c r="BD83" t="s">
        <v>1425</v>
      </c>
      <c r="BE83" t="s">
        <v>503</v>
      </c>
      <c r="BG83" t="s">
        <v>1426</v>
      </c>
    </row>
    <row r="84" spans="1:59" x14ac:dyDescent="0.15">
      <c r="A84" t="s">
        <v>1424</v>
      </c>
      <c r="B84" t="s">
        <v>506</v>
      </c>
      <c r="C84" t="s">
        <v>1317</v>
      </c>
      <c r="D84" t="s">
        <v>507</v>
      </c>
      <c r="E84" t="s">
        <v>131</v>
      </c>
      <c r="F84">
        <v>26123083</v>
      </c>
      <c r="G84" t="s">
        <v>509</v>
      </c>
      <c r="I84">
        <v>7</v>
      </c>
      <c r="J84">
        <v>9</v>
      </c>
      <c r="M84">
        <v>10</v>
      </c>
      <c r="O84">
        <v>8</v>
      </c>
      <c r="P84">
        <v>8</v>
      </c>
      <c r="Q84">
        <v>9</v>
      </c>
      <c r="S84">
        <v>8.5</v>
      </c>
      <c r="T84">
        <v>10</v>
      </c>
      <c r="W84">
        <v>9</v>
      </c>
      <c r="X84">
        <v>8</v>
      </c>
      <c r="Z84">
        <v>9.5</v>
      </c>
      <c r="AA84">
        <v>8</v>
      </c>
      <c r="AB84">
        <v>9</v>
      </c>
      <c r="AD84">
        <v>9</v>
      </c>
      <c r="AE84">
        <v>9.5</v>
      </c>
      <c r="AF84">
        <v>9</v>
      </c>
      <c r="AH84">
        <v>8.5</v>
      </c>
      <c r="AI84">
        <v>9</v>
      </c>
      <c r="AJ84">
        <v>8</v>
      </c>
      <c r="AK84">
        <v>9</v>
      </c>
      <c r="AL84">
        <v>8.5</v>
      </c>
      <c r="AM84">
        <v>183.5</v>
      </c>
      <c r="AP84">
        <v>16</v>
      </c>
      <c r="AY84">
        <v>0</v>
      </c>
      <c r="AZ84">
        <v>199.5</v>
      </c>
      <c r="BD84" t="s">
        <v>1425</v>
      </c>
      <c r="BE84" t="s">
        <v>510</v>
      </c>
      <c r="BG84" t="s">
        <v>1426</v>
      </c>
    </row>
    <row r="85" spans="1:59" x14ac:dyDescent="0.15">
      <c r="A85" t="s">
        <v>1424</v>
      </c>
      <c r="B85" t="s">
        <v>499</v>
      </c>
      <c r="C85" t="s">
        <v>1316</v>
      </c>
      <c r="D85" t="s">
        <v>500</v>
      </c>
      <c r="E85" t="s">
        <v>131</v>
      </c>
      <c r="F85">
        <v>26123084</v>
      </c>
      <c r="G85" t="s">
        <v>512</v>
      </c>
      <c r="H85">
        <v>9.5</v>
      </c>
      <c r="I85">
        <v>9.5</v>
      </c>
      <c r="K85">
        <v>9.5</v>
      </c>
      <c r="L85">
        <v>9.5</v>
      </c>
      <c r="N85">
        <v>10.5</v>
      </c>
      <c r="O85">
        <v>9.5</v>
      </c>
      <c r="Q85">
        <v>9.5</v>
      </c>
      <c r="R85">
        <v>9.5</v>
      </c>
      <c r="T85">
        <v>9.5</v>
      </c>
      <c r="U85">
        <v>9.5</v>
      </c>
      <c r="W85">
        <v>9.5</v>
      </c>
      <c r="X85">
        <v>9.5</v>
      </c>
      <c r="Z85">
        <v>10</v>
      </c>
      <c r="AA85">
        <v>9.5</v>
      </c>
      <c r="AC85">
        <v>4.5</v>
      </c>
      <c r="AD85">
        <v>9.5</v>
      </c>
      <c r="AF85">
        <v>9.5</v>
      </c>
      <c r="AG85">
        <v>10</v>
      </c>
      <c r="AI85">
        <v>5</v>
      </c>
      <c r="AM85">
        <v>173</v>
      </c>
      <c r="AP85">
        <v>24</v>
      </c>
      <c r="AY85">
        <v>0</v>
      </c>
      <c r="AZ85">
        <v>197</v>
      </c>
      <c r="BD85" t="s">
        <v>1425</v>
      </c>
      <c r="BE85" t="s">
        <v>513</v>
      </c>
      <c r="BG85" t="s">
        <v>1426</v>
      </c>
    </row>
    <row r="86" spans="1:59" x14ac:dyDescent="0.15">
      <c r="A86" t="s">
        <v>1424</v>
      </c>
      <c r="B86" t="s">
        <v>516</v>
      </c>
      <c r="C86" t="s">
        <v>1319</v>
      </c>
      <c r="D86" t="s">
        <v>517</v>
      </c>
      <c r="E86" t="s">
        <v>131</v>
      </c>
      <c r="F86">
        <v>26123085</v>
      </c>
      <c r="G86" t="s">
        <v>519</v>
      </c>
      <c r="H86">
        <v>6</v>
      </c>
      <c r="I86">
        <v>10</v>
      </c>
      <c r="J86">
        <v>8</v>
      </c>
      <c r="M86">
        <v>10</v>
      </c>
      <c r="N86">
        <v>8</v>
      </c>
      <c r="O86">
        <v>10</v>
      </c>
      <c r="P86">
        <v>8</v>
      </c>
      <c r="Q86">
        <v>8</v>
      </c>
      <c r="S86">
        <v>8</v>
      </c>
      <c r="T86">
        <v>9</v>
      </c>
      <c r="U86">
        <v>7</v>
      </c>
      <c r="Z86">
        <v>9.5</v>
      </c>
      <c r="AA86">
        <v>8</v>
      </c>
      <c r="AB86">
        <v>8</v>
      </c>
      <c r="AC86">
        <v>6</v>
      </c>
      <c r="AD86">
        <v>6</v>
      </c>
      <c r="AE86">
        <v>6</v>
      </c>
      <c r="AF86">
        <v>6</v>
      </c>
      <c r="AI86">
        <v>6</v>
      </c>
      <c r="AJ86">
        <v>7.5</v>
      </c>
      <c r="AK86">
        <v>7.5</v>
      </c>
      <c r="AL86">
        <v>4</v>
      </c>
      <c r="AM86">
        <v>166.5</v>
      </c>
      <c r="AN86">
        <v>9.5</v>
      </c>
      <c r="AP86">
        <v>8</v>
      </c>
      <c r="AY86">
        <v>0</v>
      </c>
      <c r="AZ86">
        <v>184</v>
      </c>
      <c r="BD86" t="s">
        <v>1425</v>
      </c>
      <c r="BE86" t="s">
        <v>520</v>
      </c>
      <c r="BG86" t="s">
        <v>1426</v>
      </c>
    </row>
    <row r="87" spans="1:59" x14ac:dyDescent="0.15">
      <c r="A87" t="s">
        <v>1424</v>
      </c>
      <c r="B87" t="s">
        <v>506</v>
      </c>
      <c r="C87" t="s">
        <v>1320</v>
      </c>
      <c r="D87" t="s">
        <v>522</v>
      </c>
      <c r="E87" t="s">
        <v>131</v>
      </c>
      <c r="F87">
        <v>26123086</v>
      </c>
      <c r="G87" t="s">
        <v>523</v>
      </c>
      <c r="AM87">
        <v>0</v>
      </c>
      <c r="AY87">
        <v>0</v>
      </c>
      <c r="AZ87">
        <v>0</v>
      </c>
      <c r="BD87" t="s">
        <v>1425</v>
      </c>
      <c r="BE87" t="s">
        <v>524</v>
      </c>
      <c r="BG87" t="s">
        <v>1426</v>
      </c>
    </row>
    <row r="88" spans="1:59" x14ac:dyDescent="0.15">
      <c r="A88" t="s">
        <v>1424</v>
      </c>
      <c r="B88" t="s">
        <v>527</v>
      </c>
      <c r="C88" t="s">
        <v>1321</v>
      </c>
      <c r="D88" t="s">
        <v>528</v>
      </c>
      <c r="E88" t="s">
        <v>131</v>
      </c>
      <c r="F88">
        <v>26123087</v>
      </c>
      <c r="G88" t="s">
        <v>530</v>
      </c>
      <c r="AM88">
        <v>0</v>
      </c>
      <c r="AY88">
        <v>0</v>
      </c>
      <c r="AZ88">
        <v>0</v>
      </c>
      <c r="BD88" t="s">
        <v>1425</v>
      </c>
      <c r="BE88" t="s">
        <v>531</v>
      </c>
      <c r="BG88" t="s">
        <v>1426</v>
      </c>
    </row>
    <row r="89" spans="1:59" x14ac:dyDescent="0.15">
      <c r="A89" t="s">
        <v>1424</v>
      </c>
      <c r="B89" t="s">
        <v>534</v>
      </c>
      <c r="C89" t="s">
        <v>1323</v>
      </c>
      <c r="D89" t="s">
        <v>535</v>
      </c>
      <c r="E89" t="s">
        <v>154</v>
      </c>
      <c r="F89">
        <v>26123088</v>
      </c>
      <c r="G89" t="s">
        <v>537</v>
      </c>
      <c r="AM89">
        <v>0</v>
      </c>
      <c r="AY89">
        <v>0</v>
      </c>
      <c r="AZ89">
        <v>0</v>
      </c>
      <c r="BD89" t="s">
        <v>1425</v>
      </c>
      <c r="BE89" t="s">
        <v>538</v>
      </c>
      <c r="BG89" t="s">
        <v>1426</v>
      </c>
    </row>
    <row r="90" spans="1:59" x14ac:dyDescent="0.15">
      <c r="A90" t="s">
        <v>1424</v>
      </c>
      <c r="B90" t="s">
        <v>166</v>
      </c>
      <c r="C90" t="s">
        <v>1324</v>
      </c>
      <c r="D90" t="s">
        <v>540</v>
      </c>
      <c r="E90" t="s">
        <v>154</v>
      </c>
      <c r="F90">
        <v>26123089</v>
      </c>
      <c r="G90" t="s">
        <v>541</v>
      </c>
      <c r="M90">
        <v>10</v>
      </c>
      <c r="N90">
        <v>8.5</v>
      </c>
      <c r="P90">
        <v>8</v>
      </c>
      <c r="Q90">
        <v>8</v>
      </c>
      <c r="S90">
        <v>8</v>
      </c>
      <c r="T90">
        <v>8</v>
      </c>
      <c r="U90">
        <v>8</v>
      </c>
      <c r="W90">
        <v>8</v>
      </c>
      <c r="X90">
        <v>8</v>
      </c>
      <c r="Z90">
        <v>8</v>
      </c>
      <c r="AA90">
        <v>7</v>
      </c>
      <c r="AB90">
        <v>7</v>
      </c>
      <c r="AD90">
        <v>7.5</v>
      </c>
      <c r="AE90">
        <v>8</v>
      </c>
      <c r="AF90">
        <v>7.5</v>
      </c>
      <c r="AG90">
        <v>7.5</v>
      </c>
      <c r="AH90">
        <v>7</v>
      </c>
      <c r="AI90">
        <v>8</v>
      </c>
      <c r="AK90">
        <v>7</v>
      </c>
      <c r="AL90">
        <v>8</v>
      </c>
      <c r="AM90">
        <v>157</v>
      </c>
      <c r="AP90">
        <v>40</v>
      </c>
      <c r="AY90">
        <v>0</v>
      </c>
      <c r="AZ90">
        <v>197</v>
      </c>
      <c r="BD90" t="s">
        <v>1425</v>
      </c>
      <c r="BE90" t="s">
        <v>542</v>
      </c>
      <c r="BG90" t="s">
        <v>1426</v>
      </c>
    </row>
    <row r="91" spans="1:59" x14ac:dyDescent="0.15">
      <c r="A91" t="s">
        <v>1424</v>
      </c>
      <c r="B91" t="s">
        <v>148</v>
      </c>
      <c r="C91" t="s">
        <v>1325</v>
      </c>
      <c r="D91" t="s">
        <v>544</v>
      </c>
      <c r="E91" t="s">
        <v>154</v>
      </c>
      <c r="F91">
        <v>26123090</v>
      </c>
      <c r="G91" t="s">
        <v>545</v>
      </c>
      <c r="AM91">
        <v>0</v>
      </c>
      <c r="AN91">
        <v>80</v>
      </c>
      <c r="AY91">
        <v>0</v>
      </c>
      <c r="AZ91">
        <v>80</v>
      </c>
      <c r="BD91" t="s">
        <v>1425</v>
      </c>
      <c r="BE91" t="s">
        <v>546</v>
      </c>
      <c r="BG91" t="s">
        <v>1426</v>
      </c>
    </row>
    <row r="92" spans="1:59" x14ac:dyDescent="0.15">
      <c r="A92" t="s">
        <v>1424</v>
      </c>
      <c r="B92" t="s">
        <v>549</v>
      </c>
      <c r="C92" t="s">
        <v>1326</v>
      </c>
      <c r="D92" t="s">
        <v>550</v>
      </c>
      <c r="E92" t="s">
        <v>154</v>
      </c>
      <c r="F92">
        <v>26123091</v>
      </c>
      <c r="G92" t="s">
        <v>552</v>
      </c>
      <c r="AM92">
        <v>0</v>
      </c>
      <c r="AY92">
        <v>0</v>
      </c>
      <c r="AZ92">
        <v>0</v>
      </c>
      <c r="BD92" t="s">
        <v>1425</v>
      </c>
      <c r="BE92" t="s">
        <v>553</v>
      </c>
      <c r="BG92" t="s">
        <v>1426</v>
      </c>
    </row>
    <row r="93" spans="1:59" x14ac:dyDescent="0.15">
      <c r="A93" t="s">
        <v>1424</v>
      </c>
      <c r="B93" t="s">
        <v>506</v>
      </c>
      <c r="C93" t="s">
        <v>1320</v>
      </c>
      <c r="D93" t="s">
        <v>522</v>
      </c>
      <c r="E93" t="s">
        <v>154</v>
      </c>
      <c r="F93">
        <v>26123092</v>
      </c>
      <c r="G93" t="s">
        <v>555</v>
      </c>
      <c r="AM93">
        <v>0</v>
      </c>
      <c r="AY93">
        <v>0</v>
      </c>
      <c r="AZ93">
        <v>0</v>
      </c>
      <c r="BD93" t="s">
        <v>1425</v>
      </c>
      <c r="BE93" t="s">
        <v>553</v>
      </c>
      <c r="BG93" t="s">
        <v>1426</v>
      </c>
    </row>
    <row r="94" spans="1:59" x14ac:dyDescent="0.15">
      <c r="A94" t="s">
        <v>1424</v>
      </c>
      <c r="B94" t="s">
        <v>506</v>
      </c>
      <c r="C94" t="s">
        <v>1327</v>
      </c>
      <c r="D94" t="s">
        <v>557</v>
      </c>
      <c r="E94" t="s">
        <v>131</v>
      </c>
      <c r="F94">
        <v>26123093</v>
      </c>
      <c r="G94" t="s">
        <v>558</v>
      </c>
      <c r="Q94">
        <v>8</v>
      </c>
      <c r="R94">
        <v>8</v>
      </c>
      <c r="S94">
        <v>8</v>
      </c>
      <c r="T94">
        <v>8</v>
      </c>
      <c r="V94">
        <v>8</v>
      </c>
      <c r="W94">
        <v>8</v>
      </c>
      <c r="X94">
        <v>8</v>
      </c>
      <c r="Y94">
        <v>8</v>
      </c>
      <c r="Z94">
        <v>8</v>
      </c>
      <c r="AA94">
        <v>8</v>
      </c>
      <c r="AB94">
        <v>8</v>
      </c>
      <c r="AC94">
        <v>8</v>
      </c>
      <c r="AD94">
        <v>8</v>
      </c>
      <c r="AE94">
        <v>8</v>
      </c>
      <c r="AL94">
        <v>8</v>
      </c>
      <c r="AM94">
        <v>120</v>
      </c>
      <c r="AX94">
        <v>24</v>
      </c>
      <c r="AY94">
        <v>0</v>
      </c>
      <c r="AZ94">
        <v>144</v>
      </c>
      <c r="BD94" t="s">
        <v>1425</v>
      </c>
      <c r="BE94" t="s">
        <v>559</v>
      </c>
      <c r="BG94" t="s">
        <v>1426</v>
      </c>
    </row>
    <row r="95" spans="1:59" x14ac:dyDescent="0.15">
      <c r="A95" t="s">
        <v>1424</v>
      </c>
      <c r="B95" t="s">
        <v>506</v>
      </c>
      <c r="C95" t="s">
        <v>1328</v>
      </c>
      <c r="D95" t="s">
        <v>561</v>
      </c>
      <c r="E95" t="s">
        <v>154</v>
      </c>
      <c r="F95">
        <v>26123094</v>
      </c>
      <c r="G95" t="s">
        <v>562</v>
      </c>
      <c r="I95">
        <v>8</v>
      </c>
      <c r="K95">
        <v>8</v>
      </c>
      <c r="L95">
        <v>8</v>
      </c>
      <c r="M95">
        <v>8</v>
      </c>
      <c r="N95">
        <v>8</v>
      </c>
      <c r="P95">
        <v>8</v>
      </c>
      <c r="R95">
        <v>8</v>
      </c>
      <c r="T95">
        <v>8</v>
      </c>
      <c r="U95">
        <v>8</v>
      </c>
      <c r="W95">
        <v>8</v>
      </c>
      <c r="Y95">
        <v>8</v>
      </c>
      <c r="Z95">
        <v>8</v>
      </c>
      <c r="AA95">
        <v>8</v>
      </c>
      <c r="AB95">
        <v>8</v>
      </c>
      <c r="AC95">
        <v>8</v>
      </c>
      <c r="AE95">
        <v>8</v>
      </c>
      <c r="AF95">
        <v>8</v>
      </c>
      <c r="AH95">
        <v>8</v>
      </c>
      <c r="AM95">
        <v>144</v>
      </c>
      <c r="AO95">
        <v>8</v>
      </c>
      <c r="AY95">
        <v>8</v>
      </c>
      <c r="AZ95">
        <v>160</v>
      </c>
      <c r="BD95" t="s">
        <v>1427</v>
      </c>
      <c r="BE95" t="s">
        <v>563</v>
      </c>
      <c r="BG95" t="s">
        <v>1426</v>
      </c>
    </row>
    <row r="96" spans="1:59" x14ac:dyDescent="0.15">
      <c r="A96" t="s">
        <v>1424</v>
      </c>
      <c r="B96" t="s">
        <v>565</v>
      </c>
      <c r="C96" t="s">
        <v>1329</v>
      </c>
      <c r="D96" t="s">
        <v>566</v>
      </c>
      <c r="E96" t="s">
        <v>131</v>
      </c>
      <c r="F96">
        <v>26123095</v>
      </c>
      <c r="G96" t="s">
        <v>567</v>
      </c>
      <c r="K96">
        <v>4</v>
      </c>
      <c r="M96">
        <v>8</v>
      </c>
      <c r="N96">
        <v>8</v>
      </c>
      <c r="P96">
        <v>4</v>
      </c>
      <c r="Q96">
        <v>8</v>
      </c>
      <c r="R96">
        <v>8</v>
      </c>
      <c r="S96">
        <v>8</v>
      </c>
      <c r="T96">
        <v>8</v>
      </c>
      <c r="AE96">
        <v>8</v>
      </c>
      <c r="AF96">
        <v>8</v>
      </c>
      <c r="AG96">
        <v>8</v>
      </c>
      <c r="AH96">
        <v>8</v>
      </c>
      <c r="AI96">
        <v>8</v>
      </c>
      <c r="AJ96">
        <v>8</v>
      </c>
      <c r="AK96">
        <v>8</v>
      </c>
      <c r="AL96">
        <v>8</v>
      </c>
      <c r="AM96">
        <v>160</v>
      </c>
      <c r="AO96">
        <v>8</v>
      </c>
      <c r="AP96">
        <v>16</v>
      </c>
      <c r="AY96">
        <v>0</v>
      </c>
      <c r="AZ96">
        <v>184</v>
      </c>
      <c r="BB96">
        <v>40</v>
      </c>
      <c r="BD96" t="s">
        <v>1425</v>
      </c>
      <c r="BE96" t="s">
        <v>568</v>
      </c>
      <c r="BG96" t="s">
        <v>1426</v>
      </c>
    </row>
    <row r="97" spans="1:59" x14ac:dyDescent="0.15">
      <c r="A97" t="s">
        <v>1424</v>
      </c>
      <c r="B97" t="s">
        <v>570</v>
      </c>
      <c r="C97" t="s">
        <v>1330</v>
      </c>
      <c r="D97" t="s">
        <v>571</v>
      </c>
      <c r="E97" t="s">
        <v>154</v>
      </c>
      <c r="F97">
        <v>26123096</v>
      </c>
      <c r="G97" t="s">
        <v>572</v>
      </c>
      <c r="I97">
        <v>8</v>
      </c>
      <c r="J97">
        <v>8</v>
      </c>
      <c r="K97">
        <v>8</v>
      </c>
      <c r="M97">
        <v>8</v>
      </c>
      <c r="N97">
        <v>8</v>
      </c>
      <c r="O97">
        <v>8</v>
      </c>
      <c r="Q97">
        <v>8</v>
      </c>
      <c r="S97">
        <v>8</v>
      </c>
      <c r="T97">
        <v>8</v>
      </c>
      <c r="V97">
        <v>8</v>
      </c>
      <c r="W97">
        <v>8</v>
      </c>
      <c r="X97">
        <v>8</v>
      </c>
      <c r="Z97">
        <v>8</v>
      </c>
      <c r="AA97">
        <v>8</v>
      </c>
      <c r="AB97">
        <v>8</v>
      </c>
      <c r="AG97">
        <v>8</v>
      </c>
      <c r="AH97">
        <v>8</v>
      </c>
      <c r="AI97">
        <v>8</v>
      </c>
      <c r="AJ97">
        <v>8</v>
      </c>
      <c r="AL97">
        <v>8</v>
      </c>
      <c r="AM97">
        <v>160</v>
      </c>
      <c r="AO97">
        <v>24</v>
      </c>
      <c r="AY97">
        <v>0</v>
      </c>
      <c r="AZ97">
        <v>184</v>
      </c>
      <c r="BD97" t="s">
        <v>1425</v>
      </c>
      <c r="BE97" t="s">
        <v>573</v>
      </c>
      <c r="BG97" t="s">
        <v>1426</v>
      </c>
    </row>
    <row r="98" spans="1:59" x14ac:dyDescent="0.15">
      <c r="A98" t="s">
        <v>1424</v>
      </c>
      <c r="B98" t="s">
        <v>166</v>
      </c>
      <c r="C98" t="s">
        <v>1331</v>
      </c>
      <c r="D98" t="s">
        <v>575</v>
      </c>
      <c r="E98" t="s">
        <v>154</v>
      </c>
      <c r="F98">
        <v>26123097</v>
      </c>
      <c r="G98" t="s">
        <v>576</v>
      </c>
      <c r="AD98">
        <v>8</v>
      </c>
      <c r="AE98">
        <v>8</v>
      </c>
      <c r="AF98">
        <v>8</v>
      </c>
      <c r="AH98">
        <v>8</v>
      </c>
      <c r="AI98">
        <v>8</v>
      </c>
      <c r="AK98">
        <v>8</v>
      </c>
      <c r="AL98">
        <v>8</v>
      </c>
      <c r="AM98">
        <v>56</v>
      </c>
      <c r="AN98">
        <v>112</v>
      </c>
      <c r="AP98">
        <v>16</v>
      </c>
      <c r="AY98">
        <v>0</v>
      </c>
      <c r="AZ98">
        <v>184</v>
      </c>
      <c r="BD98" t="s">
        <v>1425</v>
      </c>
      <c r="BE98" t="s">
        <v>577</v>
      </c>
      <c r="BG98" t="s">
        <v>1426</v>
      </c>
    </row>
    <row r="99" spans="1:59" x14ac:dyDescent="0.15">
      <c r="A99" t="s">
        <v>1424</v>
      </c>
      <c r="B99" t="s">
        <v>580</v>
      </c>
      <c r="C99" t="s">
        <v>1332</v>
      </c>
      <c r="D99" t="s">
        <v>581</v>
      </c>
      <c r="E99" t="s">
        <v>131</v>
      </c>
      <c r="F99">
        <v>26123098</v>
      </c>
      <c r="G99" t="s">
        <v>583</v>
      </c>
      <c r="M99">
        <v>8</v>
      </c>
      <c r="N99">
        <v>8</v>
      </c>
      <c r="P99">
        <v>10</v>
      </c>
      <c r="Q99">
        <v>11</v>
      </c>
      <c r="R99">
        <v>3</v>
      </c>
      <c r="S99">
        <v>10</v>
      </c>
      <c r="T99">
        <v>8.5</v>
      </c>
      <c r="U99">
        <v>8.5</v>
      </c>
      <c r="V99">
        <v>10</v>
      </c>
      <c r="W99">
        <v>10</v>
      </c>
      <c r="X99">
        <v>11</v>
      </c>
      <c r="Y99">
        <v>11</v>
      </c>
      <c r="Z99">
        <v>11</v>
      </c>
      <c r="AA99">
        <v>11</v>
      </c>
      <c r="AB99">
        <v>11</v>
      </c>
      <c r="AC99">
        <v>8</v>
      </c>
      <c r="AD99">
        <v>8</v>
      </c>
      <c r="AE99">
        <v>6.5</v>
      </c>
      <c r="AF99">
        <v>9.5</v>
      </c>
      <c r="AG99">
        <v>8</v>
      </c>
      <c r="AH99">
        <v>8.5</v>
      </c>
      <c r="AI99">
        <v>4</v>
      </c>
      <c r="AM99">
        <v>194.5</v>
      </c>
      <c r="AY99">
        <v>0</v>
      </c>
      <c r="AZ99">
        <v>194.5</v>
      </c>
      <c r="BD99" t="s">
        <v>1425</v>
      </c>
      <c r="BE99" t="s">
        <v>584</v>
      </c>
      <c r="BG99" t="s">
        <v>1426</v>
      </c>
    </row>
    <row r="100" spans="1:59" x14ac:dyDescent="0.15">
      <c r="A100" t="s">
        <v>1424</v>
      </c>
      <c r="B100" t="s">
        <v>587</v>
      </c>
      <c r="C100" t="s">
        <v>1334</v>
      </c>
      <c r="D100" t="s">
        <v>588</v>
      </c>
      <c r="E100" t="s">
        <v>131</v>
      </c>
      <c r="F100">
        <v>26123099</v>
      </c>
      <c r="G100" t="s">
        <v>590</v>
      </c>
      <c r="AM100">
        <v>0</v>
      </c>
      <c r="AY100">
        <v>0</v>
      </c>
      <c r="AZ100">
        <v>0</v>
      </c>
      <c r="BD100" t="s">
        <v>1425</v>
      </c>
      <c r="BE100" t="s">
        <v>591</v>
      </c>
      <c r="BF100" t="s">
        <v>592</v>
      </c>
      <c r="BG100" t="s">
        <v>1426</v>
      </c>
    </row>
    <row r="101" spans="1:59" x14ac:dyDescent="0.15">
      <c r="A101" t="s">
        <v>1424</v>
      </c>
      <c r="B101" t="s">
        <v>148</v>
      </c>
      <c r="C101" t="s">
        <v>1335</v>
      </c>
      <c r="D101" t="s">
        <v>594</v>
      </c>
      <c r="E101" t="s">
        <v>154</v>
      </c>
      <c r="F101">
        <v>26123100</v>
      </c>
      <c r="G101" t="s">
        <v>595</v>
      </c>
      <c r="H101">
        <v>8</v>
      </c>
      <c r="K101">
        <v>8</v>
      </c>
      <c r="L101">
        <v>8</v>
      </c>
      <c r="N101">
        <v>8</v>
      </c>
      <c r="O101">
        <v>8</v>
      </c>
      <c r="P101">
        <v>8</v>
      </c>
      <c r="R101">
        <v>8</v>
      </c>
      <c r="S101">
        <v>8</v>
      </c>
      <c r="T101">
        <v>8</v>
      </c>
      <c r="U101">
        <v>8</v>
      </c>
      <c r="V101">
        <v>8</v>
      </c>
      <c r="W101">
        <v>8</v>
      </c>
      <c r="Y101">
        <v>8</v>
      </c>
      <c r="AA101">
        <v>8</v>
      </c>
      <c r="AB101">
        <v>8</v>
      </c>
      <c r="AC101">
        <v>8</v>
      </c>
      <c r="AD101">
        <v>8</v>
      </c>
      <c r="AE101">
        <v>8</v>
      </c>
      <c r="AF101">
        <v>8</v>
      </c>
      <c r="AG101">
        <v>8</v>
      </c>
      <c r="AI101">
        <v>8</v>
      </c>
      <c r="AJ101">
        <v>8</v>
      </c>
      <c r="AL101">
        <v>8</v>
      </c>
      <c r="AM101">
        <v>184</v>
      </c>
      <c r="AY101">
        <v>0</v>
      </c>
      <c r="AZ101">
        <v>184</v>
      </c>
      <c r="BD101" t="s">
        <v>1425</v>
      </c>
      <c r="BE101" t="s">
        <v>596</v>
      </c>
      <c r="BG101" t="s">
        <v>1426</v>
      </c>
    </row>
    <row r="102" spans="1:59" x14ac:dyDescent="0.15">
      <c r="A102" t="s">
        <v>1424</v>
      </c>
      <c r="B102" t="s">
        <v>148</v>
      </c>
      <c r="C102" t="s">
        <v>1336</v>
      </c>
      <c r="D102" t="s">
        <v>598</v>
      </c>
      <c r="E102" t="s">
        <v>154</v>
      </c>
      <c r="F102">
        <v>26123101</v>
      </c>
      <c r="G102" t="s">
        <v>599</v>
      </c>
      <c r="J102">
        <v>6.5</v>
      </c>
      <c r="K102">
        <v>7</v>
      </c>
      <c r="L102">
        <v>6</v>
      </c>
      <c r="P102">
        <v>8</v>
      </c>
      <c r="R102">
        <v>8</v>
      </c>
      <c r="S102">
        <v>7.5</v>
      </c>
      <c r="T102">
        <v>8</v>
      </c>
      <c r="U102">
        <v>9</v>
      </c>
      <c r="V102">
        <v>8</v>
      </c>
      <c r="W102">
        <v>8.5</v>
      </c>
      <c r="X102">
        <v>8</v>
      </c>
      <c r="Y102">
        <v>2</v>
      </c>
      <c r="AJ102">
        <v>8</v>
      </c>
      <c r="AK102">
        <v>8</v>
      </c>
      <c r="AM102">
        <v>102.5</v>
      </c>
      <c r="AN102">
        <v>40</v>
      </c>
      <c r="AP102">
        <v>8</v>
      </c>
      <c r="AY102">
        <v>0</v>
      </c>
      <c r="AZ102">
        <v>150.5</v>
      </c>
      <c r="BD102" t="s">
        <v>1425</v>
      </c>
      <c r="BE102" t="s">
        <v>600</v>
      </c>
      <c r="BG102" t="s">
        <v>1426</v>
      </c>
    </row>
    <row r="103" spans="1:59" x14ac:dyDescent="0.15">
      <c r="A103" t="s">
        <v>1424</v>
      </c>
      <c r="B103" t="s">
        <v>174</v>
      </c>
      <c r="C103" t="s">
        <v>1337</v>
      </c>
      <c r="D103" t="s">
        <v>603</v>
      </c>
      <c r="E103" t="s">
        <v>131</v>
      </c>
      <c r="F103">
        <v>26123102</v>
      </c>
      <c r="G103" t="s">
        <v>605</v>
      </c>
      <c r="H103">
        <v>8</v>
      </c>
      <c r="J103">
        <v>8</v>
      </c>
      <c r="L103">
        <v>8</v>
      </c>
      <c r="M103">
        <v>8</v>
      </c>
      <c r="R103">
        <v>8</v>
      </c>
      <c r="S103">
        <v>8</v>
      </c>
      <c r="T103">
        <v>8</v>
      </c>
      <c r="V103">
        <v>8</v>
      </c>
      <c r="Z103">
        <v>8</v>
      </c>
      <c r="AB103">
        <v>8</v>
      </c>
      <c r="AC103">
        <v>8</v>
      </c>
      <c r="AE103">
        <v>8</v>
      </c>
      <c r="AG103">
        <v>8</v>
      </c>
      <c r="AH103">
        <v>8</v>
      </c>
      <c r="AI103">
        <v>8</v>
      </c>
      <c r="AK103">
        <v>8</v>
      </c>
      <c r="AL103">
        <v>8</v>
      </c>
      <c r="AM103">
        <v>160</v>
      </c>
      <c r="AP103">
        <v>8</v>
      </c>
      <c r="AW103">
        <v>24</v>
      </c>
      <c r="AY103">
        <v>0</v>
      </c>
      <c r="AZ103">
        <v>192</v>
      </c>
      <c r="BB103">
        <v>24</v>
      </c>
      <c r="BD103" t="s">
        <v>1425</v>
      </c>
      <c r="BE103" t="s">
        <v>606</v>
      </c>
      <c r="BG103" t="s">
        <v>1426</v>
      </c>
    </row>
    <row r="104" spans="1:59" x14ac:dyDescent="0.15">
      <c r="A104" t="s">
        <v>1424</v>
      </c>
      <c r="B104" t="s">
        <v>609</v>
      </c>
      <c r="C104" t="s">
        <v>1339</v>
      </c>
      <c r="D104" t="s">
        <v>610</v>
      </c>
      <c r="E104" t="s">
        <v>154</v>
      </c>
      <c r="F104">
        <v>26123103</v>
      </c>
      <c r="G104" t="s">
        <v>612</v>
      </c>
      <c r="AM104">
        <v>160</v>
      </c>
      <c r="AU104">
        <v>2</v>
      </c>
      <c r="AY104">
        <v>12</v>
      </c>
      <c r="AZ104">
        <v>174</v>
      </c>
      <c r="BD104" t="s">
        <v>1425</v>
      </c>
      <c r="BE104" t="s">
        <v>613</v>
      </c>
      <c r="BG104" t="s">
        <v>1426</v>
      </c>
    </row>
    <row r="105" spans="1:59" x14ac:dyDescent="0.15">
      <c r="A105" t="s">
        <v>1424</v>
      </c>
      <c r="B105" t="s">
        <v>609</v>
      </c>
      <c r="C105" t="s">
        <v>1339</v>
      </c>
      <c r="D105" t="s">
        <v>610</v>
      </c>
      <c r="E105" t="s">
        <v>154</v>
      </c>
      <c r="F105">
        <v>26123104</v>
      </c>
      <c r="G105" t="s">
        <v>616</v>
      </c>
      <c r="AM105">
        <v>160</v>
      </c>
      <c r="AY105">
        <v>12</v>
      </c>
      <c r="AZ105">
        <v>172</v>
      </c>
      <c r="BD105" t="s">
        <v>1425</v>
      </c>
      <c r="BE105" t="s">
        <v>613</v>
      </c>
      <c r="BG105" t="s">
        <v>1426</v>
      </c>
    </row>
    <row r="106" spans="1:59" x14ac:dyDescent="0.15">
      <c r="A106" t="s">
        <v>1424</v>
      </c>
      <c r="B106" t="s">
        <v>609</v>
      </c>
      <c r="C106" t="s">
        <v>1339</v>
      </c>
      <c r="D106" t="s">
        <v>610</v>
      </c>
      <c r="E106" t="s">
        <v>154</v>
      </c>
      <c r="F106">
        <v>26123105</v>
      </c>
      <c r="G106" t="s">
        <v>617</v>
      </c>
      <c r="AM106">
        <v>160</v>
      </c>
      <c r="AV106">
        <v>1</v>
      </c>
      <c r="AW106">
        <v>24</v>
      </c>
      <c r="AY106">
        <v>12</v>
      </c>
      <c r="AZ106">
        <v>197</v>
      </c>
      <c r="BD106" t="s">
        <v>1425</v>
      </c>
      <c r="BE106" t="s">
        <v>613</v>
      </c>
      <c r="BG106" t="s">
        <v>1426</v>
      </c>
    </row>
    <row r="107" spans="1:59" x14ac:dyDescent="0.15">
      <c r="A107" t="s">
        <v>1424</v>
      </c>
      <c r="B107" t="s">
        <v>609</v>
      </c>
      <c r="C107" t="s">
        <v>1339</v>
      </c>
      <c r="D107" t="s">
        <v>610</v>
      </c>
      <c r="E107" t="s">
        <v>154</v>
      </c>
      <c r="F107">
        <v>26123106</v>
      </c>
      <c r="G107" t="s">
        <v>618</v>
      </c>
      <c r="AM107">
        <v>160</v>
      </c>
      <c r="AY107">
        <v>12</v>
      </c>
      <c r="AZ107">
        <v>172</v>
      </c>
      <c r="BD107" t="s">
        <v>1425</v>
      </c>
      <c r="BE107" t="s">
        <v>613</v>
      </c>
      <c r="BG107" t="s">
        <v>1426</v>
      </c>
    </row>
    <row r="108" spans="1:59" x14ac:dyDescent="0.15">
      <c r="A108" t="s">
        <v>1424</v>
      </c>
      <c r="B108" t="s">
        <v>609</v>
      </c>
      <c r="C108" t="s">
        <v>1339</v>
      </c>
      <c r="D108" t="s">
        <v>610</v>
      </c>
      <c r="E108" t="s">
        <v>154</v>
      </c>
      <c r="F108">
        <v>26123107</v>
      </c>
      <c r="G108" t="s">
        <v>619</v>
      </c>
      <c r="AM108">
        <v>160</v>
      </c>
      <c r="AV108">
        <v>1</v>
      </c>
      <c r="AY108">
        <v>12</v>
      </c>
      <c r="AZ108">
        <v>173</v>
      </c>
      <c r="BD108" t="s">
        <v>1425</v>
      </c>
      <c r="BE108" t="s">
        <v>613</v>
      </c>
      <c r="BG108" t="s">
        <v>1426</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7"/>
  <sheetViews>
    <sheetView workbookViewId="0"/>
  </sheetViews>
  <sheetFormatPr defaultRowHeight="13.5" x14ac:dyDescent="0.15"/>
  <sheetData>
    <row r="1" spans="1:7" x14ac:dyDescent="0.15">
      <c r="A1" s="1" t="s">
        <v>1024</v>
      </c>
      <c r="B1" s="1" t="s">
        <v>615</v>
      </c>
      <c r="C1" s="1" t="s">
        <v>1428</v>
      </c>
      <c r="D1" s="1" t="s">
        <v>1429</v>
      </c>
      <c r="E1" s="1" t="s">
        <v>1430</v>
      </c>
      <c r="F1" s="1" t="s">
        <v>4</v>
      </c>
      <c r="G1" s="1" t="s">
        <v>15</v>
      </c>
    </row>
    <row r="2" spans="1:7" x14ac:dyDescent="0.15">
      <c r="A2">
        <v>26123001</v>
      </c>
      <c r="B2" t="s">
        <v>127</v>
      </c>
      <c r="C2" t="s">
        <v>36</v>
      </c>
      <c r="D2">
        <v>9000</v>
      </c>
      <c r="E2">
        <v>9000</v>
      </c>
      <c r="F2" t="s">
        <v>1058</v>
      </c>
      <c r="G2" t="s">
        <v>131</v>
      </c>
    </row>
    <row r="3" spans="1:7" x14ac:dyDescent="0.15">
      <c r="A3">
        <v>26123001</v>
      </c>
      <c r="B3" t="s">
        <v>127</v>
      </c>
      <c r="C3" t="s">
        <v>23</v>
      </c>
      <c r="D3">
        <v>25.5</v>
      </c>
      <c r="E3">
        <v>25.5</v>
      </c>
      <c r="F3" t="s">
        <v>1058</v>
      </c>
      <c r="G3" t="s">
        <v>131</v>
      </c>
    </row>
    <row r="4" spans="1:7" x14ac:dyDescent="0.15">
      <c r="A4">
        <v>26123001</v>
      </c>
      <c r="B4" t="s">
        <v>127</v>
      </c>
      <c r="C4" t="s">
        <v>1431</v>
      </c>
      <c r="D4">
        <v>1733.79</v>
      </c>
      <c r="E4">
        <v>1733.79</v>
      </c>
      <c r="F4" t="s">
        <v>1058</v>
      </c>
      <c r="G4" t="s">
        <v>131</v>
      </c>
    </row>
    <row r="5" spans="1:7" x14ac:dyDescent="0.15">
      <c r="A5">
        <v>26123001</v>
      </c>
      <c r="B5" t="s">
        <v>127</v>
      </c>
      <c r="C5" t="s">
        <v>34</v>
      </c>
      <c r="E5">
        <v>2000</v>
      </c>
    </row>
    <row r="6" spans="1:7" x14ac:dyDescent="0.15">
      <c r="A6">
        <v>26123001</v>
      </c>
      <c r="B6" t="s">
        <v>127</v>
      </c>
      <c r="C6" t="s">
        <v>35</v>
      </c>
      <c r="E6">
        <v>1500</v>
      </c>
      <c r="F6" t="s">
        <v>1063</v>
      </c>
      <c r="G6" t="s">
        <v>154</v>
      </c>
    </row>
    <row r="7" spans="1:7" x14ac:dyDescent="0.15">
      <c r="A7">
        <v>26123002</v>
      </c>
      <c r="B7" t="s">
        <v>135</v>
      </c>
      <c r="C7" t="s">
        <v>38</v>
      </c>
      <c r="D7">
        <v>200</v>
      </c>
      <c r="E7">
        <v>200</v>
      </c>
      <c r="F7" t="s">
        <v>1058</v>
      </c>
      <c r="G7" t="s">
        <v>131</v>
      </c>
    </row>
    <row r="8" spans="1:7" x14ac:dyDescent="0.15">
      <c r="A8">
        <v>26123002</v>
      </c>
      <c r="B8" t="s">
        <v>135</v>
      </c>
      <c r="C8" t="s">
        <v>36</v>
      </c>
      <c r="D8">
        <v>9000</v>
      </c>
      <c r="E8">
        <v>7000</v>
      </c>
    </row>
    <row r="9" spans="1:7" x14ac:dyDescent="0.15">
      <c r="A9">
        <v>26123002</v>
      </c>
      <c r="B9" t="s">
        <v>135</v>
      </c>
      <c r="C9" t="s">
        <v>37</v>
      </c>
      <c r="D9">
        <v>100</v>
      </c>
      <c r="E9">
        <v>100</v>
      </c>
    </row>
    <row r="10" spans="1:7" x14ac:dyDescent="0.15">
      <c r="A10">
        <v>26123002</v>
      </c>
      <c r="B10" t="s">
        <v>135</v>
      </c>
      <c r="C10" t="s">
        <v>23</v>
      </c>
      <c r="D10">
        <v>7</v>
      </c>
      <c r="E10">
        <v>7</v>
      </c>
    </row>
    <row r="11" spans="1:7" x14ac:dyDescent="0.15">
      <c r="A11">
        <v>26123002</v>
      </c>
      <c r="B11" t="s">
        <v>135</v>
      </c>
      <c r="C11" t="s">
        <v>34</v>
      </c>
      <c r="E11">
        <v>1500</v>
      </c>
    </row>
    <row r="12" spans="1:7" x14ac:dyDescent="0.15">
      <c r="A12">
        <v>26123002</v>
      </c>
      <c r="B12" t="s">
        <v>135</v>
      </c>
      <c r="C12" t="s">
        <v>35</v>
      </c>
      <c r="E12">
        <v>1000</v>
      </c>
      <c r="F12" t="s">
        <v>1063</v>
      </c>
      <c r="G12" t="s">
        <v>154</v>
      </c>
    </row>
    <row r="13" spans="1:7" x14ac:dyDescent="0.15">
      <c r="A13">
        <v>26123003</v>
      </c>
      <c r="B13" t="s">
        <v>139</v>
      </c>
      <c r="C13" t="s">
        <v>38</v>
      </c>
      <c r="D13">
        <v>200</v>
      </c>
      <c r="E13">
        <v>200</v>
      </c>
      <c r="F13" t="s">
        <v>1063</v>
      </c>
      <c r="G13" t="s">
        <v>154</v>
      </c>
    </row>
    <row r="14" spans="1:7" x14ac:dyDescent="0.15">
      <c r="A14">
        <v>26123003</v>
      </c>
      <c r="B14" t="s">
        <v>139</v>
      </c>
      <c r="C14" t="s">
        <v>37</v>
      </c>
      <c r="D14">
        <v>212.5</v>
      </c>
      <c r="E14">
        <v>212.5</v>
      </c>
    </row>
    <row r="15" spans="1:7" x14ac:dyDescent="0.15">
      <c r="A15">
        <v>26123003</v>
      </c>
      <c r="B15" t="s">
        <v>139</v>
      </c>
      <c r="C15" t="s">
        <v>23</v>
      </c>
      <c r="D15">
        <v>11.5</v>
      </c>
      <c r="E15">
        <v>11.5</v>
      </c>
    </row>
    <row r="16" spans="1:7" x14ac:dyDescent="0.15">
      <c r="A16">
        <v>26123004</v>
      </c>
      <c r="B16" t="s">
        <v>144</v>
      </c>
      <c r="C16" t="s">
        <v>23</v>
      </c>
      <c r="D16">
        <v>53</v>
      </c>
      <c r="E16">
        <v>53</v>
      </c>
    </row>
    <row r="17" spans="1:7" x14ac:dyDescent="0.15">
      <c r="A17">
        <v>26123004</v>
      </c>
      <c r="B17" t="s">
        <v>144</v>
      </c>
      <c r="C17" t="s">
        <v>33</v>
      </c>
      <c r="D17">
        <v>250</v>
      </c>
      <c r="E17">
        <v>250</v>
      </c>
    </row>
    <row r="18" spans="1:7" x14ac:dyDescent="0.15">
      <c r="A18">
        <v>26123004</v>
      </c>
      <c r="B18" t="s">
        <v>144</v>
      </c>
      <c r="C18" t="s">
        <v>1431</v>
      </c>
      <c r="D18">
        <v>1456.81</v>
      </c>
      <c r="E18">
        <v>1456.81</v>
      </c>
    </row>
    <row r="19" spans="1:7" x14ac:dyDescent="0.15">
      <c r="A19">
        <v>26123006</v>
      </c>
      <c r="B19" t="s">
        <v>158</v>
      </c>
      <c r="C19" t="s">
        <v>37</v>
      </c>
      <c r="D19">
        <v>80</v>
      </c>
      <c r="E19">
        <v>80</v>
      </c>
    </row>
    <row r="20" spans="1:7" x14ac:dyDescent="0.15">
      <c r="A20">
        <v>26123006</v>
      </c>
      <c r="B20" t="s">
        <v>158</v>
      </c>
      <c r="C20" t="s">
        <v>23</v>
      </c>
      <c r="D20">
        <v>19</v>
      </c>
      <c r="E20">
        <v>19</v>
      </c>
    </row>
    <row r="21" spans="1:7" x14ac:dyDescent="0.15">
      <c r="A21">
        <v>26123006</v>
      </c>
      <c r="B21" t="s">
        <v>158</v>
      </c>
      <c r="C21" t="s">
        <v>1431</v>
      </c>
      <c r="D21">
        <v>692.2</v>
      </c>
      <c r="E21">
        <v>692.2</v>
      </c>
      <c r="F21" t="s">
        <v>1063</v>
      </c>
      <c r="G21" t="s">
        <v>154</v>
      </c>
    </row>
    <row r="22" spans="1:7" x14ac:dyDescent="0.15">
      <c r="A22">
        <v>26123007</v>
      </c>
      <c r="B22" t="s">
        <v>162</v>
      </c>
      <c r="C22" t="s">
        <v>36</v>
      </c>
      <c r="D22">
        <v>9000</v>
      </c>
      <c r="E22">
        <v>6000</v>
      </c>
      <c r="F22" t="s">
        <v>1058</v>
      </c>
      <c r="G22" t="s">
        <v>131</v>
      </c>
    </row>
    <row r="23" spans="1:7" x14ac:dyDescent="0.15">
      <c r="A23">
        <v>26123007</v>
      </c>
      <c r="B23" t="s">
        <v>162</v>
      </c>
      <c r="C23" t="s">
        <v>23</v>
      </c>
      <c r="D23">
        <v>11.5</v>
      </c>
      <c r="E23">
        <v>11.5</v>
      </c>
      <c r="F23" t="s">
        <v>1058</v>
      </c>
      <c r="G23" t="s">
        <v>131</v>
      </c>
    </row>
    <row r="24" spans="1:7" x14ac:dyDescent="0.15">
      <c r="A24">
        <v>26123007</v>
      </c>
      <c r="B24" t="s">
        <v>162</v>
      </c>
      <c r="C24" t="s">
        <v>38</v>
      </c>
      <c r="D24">
        <v>800</v>
      </c>
      <c r="E24">
        <v>800</v>
      </c>
      <c r="F24" t="s">
        <v>1058</v>
      </c>
      <c r="G24" t="s">
        <v>131</v>
      </c>
    </row>
    <row r="25" spans="1:7" x14ac:dyDescent="0.15">
      <c r="A25">
        <v>26123007</v>
      </c>
      <c r="B25" t="s">
        <v>162</v>
      </c>
      <c r="C25" t="s">
        <v>37</v>
      </c>
      <c r="D25">
        <v>100</v>
      </c>
      <c r="E25">
        <v>100</v>
      </c>
      <c r="F25" t="s">
        <v>1058</v>
      </c>
      <c r="G25" t="s">
        <v>131</v>
      </c>
    </row>
    <row r="26" spans="1:7" x14ac:dyDescent="0.15">
      <c r="A26">
        <v>26123009</v>
      </c>
      <c r="B26" t="s">
        <v>177</v>
      </c>
      <c r="C26" t="s">
        <v>34</v>
      </c>
      <c r="E26">
        <v>1500</v>
      </c>
      <c r="F26" t="s">
        <v>1058</v>
      </c>
      <c r="G26" t="s">
        <v>131</v>
      </c>
    </row>
    <row r="27" spans="1:7" x14ac:dyDescent="0.15">
      <c r="A27">
        <v>26123009</v>
      </c>
      <c r="B27" t="s">
        <v>177</v>
      </c>
      <c r="C27" t="s">
        <v>35</v>
      </c>
      <c r="E27">
        <v>1500</v>
      </c>
      <c r="F27" t="s">
        <v>1058</v>
      </c>
      <c r="G27" t="s">
        <v>131</v>
      </c>
    </row>
    <row r="28" spans="1:7" x14ac:dyDescent="0.15">
      <c r="A28">
        <v>26123012</v>
      </c>
      <c r="B28" t="s">
        <v>191</v>
      </c>
      <c r="C28" t="s">
        <v>23</v>
      </c>
      <c r="D28">
        <v>102</v>
      </c>
      <c r="E28">
        <v>102</v>
      </c>
      <c r="F28" t="s">
        <v>1058</v>
      </c>
      <c r="G28" t="s">
        <v>131</v>
      </c>
    </row>
    <row r="29" spans="1:7" x14ac:dyDescent="0.15">
      <c r="A29">
        <v>26123012</v>
      </c>
      <c r="B29" t="s">
        <v>191</v>
      </c>
      <c r="C29" t="s">
        <v>1431</v>
      </c>
      <c r="D29">
        <v>1733.79</v>
      </c>
      <c r="E29">
        <v>1733.79</v>
      </c>
      <c r="F29" t="s">
        <v>1058</v>
      </c>
      <c r="G29" t="s">
        <v>131</v>
      </c>
    </row>
    <row r="30" spans="1:7" x14ac:dyDescent="0.15">
      <c r="A30">
        <v>26123012</v>
      </c>
      <c r="B30" t="s">
        <v>191</v>
      </c>
      <c r="C30" t="s">
        <v>37</v>
      </c>
      <c r="D30">
        <v>150</v>
      </c>
      <c r="E30">
        <v>150</v>
      </c>
      <c r="F30" t="s">
        <v>1063</v>
      </c>
      <c r="G30" t="s">
        <v>154</v>
      </c>
    </row>
    <row r="31" spans="1:7" x14ac:dyDescent="0.15">
      <c r="A31">
        <v>26123013</v>
      </c>
      <c r="B31" t="s">
        <v>195</v>
      </c>
      <c r="C31" t="s">
        <v>34</v>
      </c>
      <c r="E31">
        <v>1500</v>
      </c>
      <c r="F31" t="s">
        <v>1063</v>
      </c>
      <c r="G31" t="s">
        <v>154</v>
      </c>
    </row>
    <row r="32" spans="1:7" x14ac:dyDescent="0.15">
      <c r="A32">
        <v>26123014</v>
      </c>
      <c r="B32" t="s">
        <v>199</v>
      </c>
      <c r="C32" t="s">
        <v>23</v>
      </c>
      <c r="D32">
        <v>25.5</v>
      </c>
      <c r="E32">
        <v>25.5</v>
      </c>
      <c r="F32" t="s">
        <v>1058</v>
      </c>
      <c r="G32" t="s">
        <v>154</v>
      </c>
    </row>
    <row r="33" spans="1:7" x14ac:dyDescent="0.15">
      <c r="A33">
        <v>26123015</v>
      </c>
      <c r="B33" t="s">
        <v>206</v>
      </c>
      <c r="C33" t="s">
        <v>38</v>
      </c>
      <c r="D33">
        <v>200</v>
      </c>
      <c r="E33">
        <v>200</v>
      </c>
      <c r="F33" t="s">
        <v>1058</v>
      </c>
      <c r="G33" t="s">
        <v>154</v>
      </c>
    </row>
    <row r="34" spans="1:7" x14ac:dyDescent="0.15">
      <c r="A34">
        <v>26123016</v>
      </c>
      <c r="B34" t="s">
        <v>213</v>
      </c>
      <c r="C34" t="s">
        <v>37</v>
      </c>
      <c r="D34">
        <v>212.5</v>
      </c>
      <c r="E34">
        <v>212.5</v>
      </c>
      <c r="F34" t="s">
        <v>1058</v>
      </c>
      <c r="G34" t="s">
        <v>154</v>
      </c>
    </row>
    <row r="35" spans="1:7" x14ac:dyDescent="0.15">
      <c r="A35">
        <v>26123017</v>
      </c>
      <c r="B35" t="s">
        <v>217</v>
      </c>
      <c r="C35" t="s">
        <v>38</v>
      </c>
      <c r="D35">
        <v>700</v>
      </c>
      <c r="E35">
        <v>700</v>
      </c>
      <c r="F35" t="s">
        <v>1058</v>
      </c>
      <c r="G35" t="s">
        <v>154</v>
      </c>
    </row>
    <row r="36" spans="1:7" x14ac:dyDescent="0.15">
      <c r="A36">
        <v>26123018</v>
      </c>
      <c r="B36" t="s">
        <v>222</v>
      </c>
      <c r="C36" t="s">
        <v>37</v>
      </c>
      <c r="D36">
        <v>140</v>
      </c>
      <c r="E36">
        <v>140</v>
      </c>
      <c r="F36" t="s">
        <v>1063</v>
      </c>
      <c r="G36" t="s">
        <v>154</v>
      </c>
    </row>
    <row r="37" spans="1:7" x14ac:dyDescent="0.15">
      <c r="A37">
        <v>26123019</v>
      </c>
      <c r="B37" t="s">
        <v>226</v>
      </c>
      <c r="C37" t="s">
        <v>36</v>
      </c>
      <c r="D37">
        <v>9000</v>
      </c>
      <c r="E37">
        <v>6500</v>
      </c>
      <c r="F37" t="s">
        <v>1063</v>
      </c>
      <c r="G37" t="s">
        <v>154</v>
      </c>
    </row>
    <row r="38" spans="1:7" x14ac:dyDescent="0.15">
      <c r="A38">
        <v>26123020</v>
      </c>
      <c r="B38" t="s">
        <v>233</v>
      </c>
      <c r="C38" t="s">
        <v>23</v>
      </c>
      <c r="D38">
        <v>11.5</v>
      </c>
      <c r="E38">
        <v>11.5</v>
      </c>
      <c r="F38" t="s">
        <v>1063</v>
      </c>
      <c r="G38" t="s">
        <v>154</v>
      </c>
    </row>
    <row r="39" spans="1:7" x14ac:dyDescent="0.15">
      <c r="A39">
        <v>26123021</v>
      </c>
      <c r="B39" t="s">
        <v>237</v>
      </c>
      <c r="C39" t="s">
        <v>1431</v>
      </c>
      <c r="D39">
        <v>1733.79</v>
      </c>
      <c r="E39">
        <v>1655.36</v>
      </c>
      <c r="F39" t="s">
        <v>1063</v>
      </c>
      <c r="G39" t="s">
        <v>154</v>
      </c>
    </row>
    <row r="40" spans="1:7" x14ac:dyDescent="0.15">
      <c r="A40">
        <v>26123023</v>
      </c>
      <c r="B40" t="s">
        <v>246</v>
      </c>
      <c r="C40" t="s">
        <v>38</v>
      </c>
      <c r="D40">
        <v>800</v>
      </c>
      <c r="E40">
        <v>800</v>
      </c>
      <c r="F40" t="s">
        <v>1058</v>
      </c>
      <c r="G40" t="s">
        <v>154</v>
      </c>
    </row>
    <row r="41" spans="1:7" x14ac:dyDescent="0.15">
      <c r="A41">
        <v>26123025</v>
      </c>
      <c r="B41" t="s">
        <v>254</v>
      </c>
      <c r="C41" t="s">
        <v>37</v>
      </c>
      <c r="D41">
        <v>100</v>
      </c>
      <c r="E41">
        <v>100</v>
      </c>
      <c r="F41" t="s">
        <v>1058</v>
      </c>
      <c r="G41" t="s">
        <v>154</v>
      </c>
    </row>
    <row r="42" spans="1:7" x14ac:dyDescent="0.15">
      <c r="A42">
        <v>26123026</v>
      </c>
      <c r="B42" t="s">
        <v>258</v>
      </c>
      <c r="C42" t="s">
        <v>37</v>
      </c>
      <c r="D42">
        <v>150</v>
      </c>
      <c r="E42">
        <v>150</v>
      </c>
      <c r="F42" t="s">
        <v>1063</v>
      </c>
      <c r="G42" t="s">
        <v>154</v>
      </c>
    </row>
    <row r="43" spans="1:7" x14ac:dyDescent="0.15">
      <c r="A43">
        <v>26123027</v>
      </c>
      <c r="B43" t="s">
        <v>262</v>
      </c>
      <c r="C43" t="s">
        <v>23</v>
      </c>
      <c r="D43">
        <v>12.5</v>
      </c>
      <c r="E43">
        <v>12.5</v>
      </c>
      <c r="F43" t="s">
        <v>1063</v>
      </c>
      <c r="G43" t="s">
        <v>154</v>
      </c>
    </row>
    <row r="44" spans="1:7" x14ac:dyDescent="0.15">
      <c r="A44">
        <v>26123043</v>
      </c>
      <c r="B44" t="s">
        <v>337</v>
      </c>
      <c r="C44" t="s">
        <v>23</v>
      </c>
      <c r="D44">
        <v>53</v>
      </c>
      <c r="E44">
        <v>53</v>
      </c>
      <c r="F44" t="s">
        <v>1058</v>
      </c>
      <c r="G44" t="s">
        <v>154</v>
      </c>
    </row>
    <row r="45" spans="1:7" x14ac:dyDescent="0.15">
      <c r="A45">
        <v>26123045</v>
      </c>
      <c r="B45" t="s">
        <v>349</v>
      </c>
      <c r="C45" t="s">
        <v>23</v>
      </c>
      <c r="D45">
        <v>49.5</v>
      </c>
      <c r="E45">
        <v>49.5</v>
      </c>
      <c r="F45" t="s">
        <v>1058</v>
      </c>
      <c r="G45" t="s">
        <v>154</v>
      </c>
    </row>
    <row r="46" spans="1:7" x14ac:dyDescent="0.15">
      <c r="A46">
        <v>26123046</v>
      </c>
      <c r="B46" t="s">
        <v>354</v>
      </c>
      <c r="C46" t="s">
        <v>23</v>
      </c>
      <c r="D46">
        <v>3</v>
      </c>
      <c r="E46">
        <v>3</v>
      </c>
      <c r="F46" t="s">
        <v>1058</v>
      </c>
      <c r="G46" t="s">
        <v>131</v>
      </c>
    </row>
    <row r="47" spans="1:7" x14ac:dyDescent="0.15">
      <c r="A47">
        <v>26123050</v>
      </c>
      <c r="B47" t="s">
        <v>369</v>
      </c>
      <c r="C47" t="s">
        <v>34</v>
      </c>
      <c r="E47">
        <v>1500</v>
      </c>
      <c r="F47" t="s">
        <v>1063</v>
      </c>
      <c r="G47" t="s">
        <v>154</v>
      </c>
    </row>
    <row r="48" spans="1:7" x14ac:dyDescent="0.15">
      <c r="A48">
        <v>26123062</v>
      </c>
      <c r="B48" t="s">
        <v>408</v>
      </c>
      <c r="C48" t="s">
        <v>35</v>
      </c>
      <c r="E48">
        <v>1200</v>
      </c>
      <c r="F48" t="s">
        <v>1063</v>
      </c>
      <c r="G48" t="s">
        <v>154</v>
      </c>
    </row>
    <row r="49" spans="1:7" x14ac:dyDescent="0.15">
      <c r="A49">
        <v>26123063</v>
      </c>
      <c r="B49" t="s">
        <v>415</v>
      </c>
      <c r="C49" t="s">
        <v>23</v>
      </c>
      <c r="D49">
        <v>102</v>
      </c>
      <c r="E49">
        <v>102</v>
      </c>
      <c r="F49" t="s">
        <v>1058</v>
      </c>
      <c r="G49" t="s">
        <v>131</v>
      </c>
    </row>
    <row r="50" spans="1:7" x14ac:dyDescent="0.15">
      <c r="A50">
        <v>26123064</v>
      </c>
      <c r="B50" t="s">
        <v>419</v>
      </c>
      <c r="C50" t="s">
        <v>33</v>
      </c>
      <c r="D50">
        <v>250</v>
      </c>
      <c r="E50">
        <v>250</v>
      </c>
      <c r="F50" t="s">
        <v>1058</v>
      </c>
      <c r="G50" t="s">
        <v>131</v>
      </c>
    </row>
    <row r="51" spans="1:7" x14ac:dyDescent="0.15">
      <c r="A51">
        <v>26123067</v>
      </c>
      <c r="B51" t="s">
        <v>430</v>
      </c>
      <c r="C51" t="s">
        <v>38</v>
      </c>
      <c r="D51">
        <v>100</v>
      </c>
      <c r="E51">
        <v>100</v>
      </c>
      <c r="F51" t="s">
        <v>1058</v>
      </c>
      <c r="G51" t="s">
        <v>154</v>
      </c>
    </row>
    <row r="52" spans="1:7" x14ac:dyDescent="0.15">
      <c r="A52">
        <v>26123068</v>
      </c>
      <c r="B52" t="s">
        <v>434</v>
      </c>
      <c r="C52" t="s">
        <v>37</v>
      </c>
      <c r="D52">
        <v>240</v>
      </c>
      <c r="E52">
        <v>240</v>
      </c>
      <c r="F52" t="s">
        <v>1058</v>
      </c>
      <c r="G52" t="s">
        <v>154</v>
      </c>
    </row>
    <row r="53" spans="1:7" x14ac:dyDescent="0.15">
      <c r="A53">
        <v>26123070</v>
      </c>
      <c r="B53" t="s">
        <v>445</v>
      </c>
      <c r="C53" t="s">
        <v>23</v>
      </c>
      <c r="D53">
        <v>9.5</v>
      </c>
      <c r="E53">
        <v>9.5</v>
      </c>
      <c r="F53" t="s">
        <v>1058</v>
      </c>
      <c r="G53" t="s">
        <v>154</v>
      </c>
    </row>
    <row r="54" spans="1:7" x14ac:dyDescent="0.15">
      <c r="A54">
        <v>26123078</v>
      </c>
      <c r="B54" t="s">
        <v>481</v>
      </c>
      <c r="C54" t="s">
        <v>23</v>
      </c>
      <c r="D54">
        <v>10.5</v>
      </c>
      <c r="E54">
        <v>10.5</v>
      </c>
      <c r="F54" t="s">
        <v>1058</v>
      </c>
      <c r="G54" t="s">
        <v>131</v>
      </c>
    </row>
    <row r="55" spans="1:7" x14ac:dyDescent="0.15">
      <c r="A55">
        <v>26123079</v>
      </c>
      <c r="B55" t="s">
        <v>485</v>
      </c>
      <c r="C55" t="s">
        <v>36</v>
      </c>
      <c r="D55">
        <v>9000</v>
      </c>
      <c r="E55">
        <v>6666.66</v>
      </c>
      <c r="F55" t="s">
        <v>1058</v>
      </c>
      <c r="G55" t="s">
        <v>131</v>
      </c>
    </row>
    <row r="56" spans="1:7" x14ac:dyDescent="0.15">
      <c r="A56">
        <v>26123081</v>
      </c>
      <c r="B56" t="s">
        <v>495</v>
      </c>
      <c r="C56" t="s">
        <v>23</v>
      </c>
      <c r="D56">
        <v>3.5</v>
      </c>
      <c r="E56">
        <v>3.5</v>
      </c>
      <c r="F56" t="s">
        <v>1058</v>
      </c>
      <c r="G56" t="s">
        <v>131</v>
      </c>
    </row>
    <row r="57" spans="1:7" x14ac:dyDescent="0.15">
      <c r="A57">
        <v>26123082</v>
      </c>
      <c r="B57" t="s">
        <v>502</v>
      </c>
      <c r="C57" t="s">
        <v>37</v>
      </c>
      <c r="D57">
        <v>40</v>
      </c>
      <c r="E57">
        <v>40</v>
      </c>
      <c r="F57" t="s">
        <v>1063</v>
      </c>
      <c r="G57" t="s">
        <v>154</v>
      </c>
    </row>
    <row r="58" spans="1:7" x14ac:dyDescent="0.15">
      <c r="A58">
        <v>26123083</v>
      </c>
      <c r="B58" t="s">
        <v>509</v>
      </c>
      <c r="C58" t="s">
        <v>1431</v>
      </c>
      <c r="D58">
        <v>692.2</v>
      </c>
      <c r="E58">
        <v>692.2</v>
      </c>
      <c r="F58" t="s">
        <v>1063</v>
      </c>
      <c r="G58" t="s">
        <v>154</v>
      </c>
    </row>
    <row r="59" spans="1:7" x14ac:dyDescent="0.15">
      <c r="A59">
        <v>26123084</v>
      </c>
      <c r="B59" t="s">
        <v>512</v>
      </c>
      <c r="C59" t="s">
        <v>37</v>
      </c>
      <c r="D59">
        <v>2910</v>
      </c>
      <c r="E59">
        <v>2910</v>
      </c>
      <c r="F59" t="s">
        <v>1063</v>
      </c>
      <c r="G59" t="s">
        <v>154</v>
      </c>
    </row>
    <row r="60" spans="1:7" x14ac:dyDescent="0.15">
      <c r="A60">
        <v>26123085</v>
      </c>
      <c r="B60" t="s">
        <v>519</v>
      </c>
      <c r="C60" t="s">
        <v>38</v>
      </c>
      <c r="D60">
        <v>2000</v>
      </c>
      <c r="E60">
        <v>2000</v>
      </c>
      <c r="F60" t="s">
        <v>1063</v>
      </c>
      <c r="G60" t="s">
        <v>154</v>
      </c>
    </row>
    <row r="61" spans="1:7" x14ac:dyDescent="0.15">
      <c r="A61">
        <v>26123086</v>
      </c>
      <c r="B61" t="s">
        <v>523</v>
      </c>
      <c r="C61" t="s">
        <v>23</v>
      </c>
      <c r="D61">
        <v>25.5</v>
      </c>
      <c r="E61">
        <v>25.5</v>
      </c>
      <c r="F61" t="s">
        <v>1058</v>
      </c>
      <c r="G61" t="s">
        <v>131</v>
      </c>
    </row>
    <row r="62" spans="1:7" x14ac:dyDescent="0.15">
      <c r="A62">
        <v>26123005</v>
      </c>
      <c r="B62" t="s">
        <v>151</v>
      </c>
      <c r="C62" t="s">
        <v>32</v>
      </c>
      <c r="D62">
        <v>3</v>
      </c>
      <c r="E62">
        <v>3</v>
      </c>
      <c r="F62" t="s">
        <v>1058</v>
      </c>
      <c r="G62" t="s">
        <v>131</v>
      </c>
    </row>
    <row r="63" spans="1:7" x14ac:dyDescent="0.15">
      <c r="A63">
        <v>26123005</v>
      </c>
      <c r="B63" t="s">
        <v>151</v>
      </c>
      <c r="C63" t="s">
        <v>1431</v>
      </c>
      <c r="D63">
        <v>1456.81</v>
      </c>
      <c r="E63">
        <v>1456.81</v>
      </c>
    </row>
    <row r="64" spans="1:7" x14ac:dyDescent="0.15">
      <c r="A64">
        <v>26123008</v>
      </c>
      <c r="B64" t="s">
        <v>169</v>
      </c>
      <c r="C64" t="s">
        <v>32</v>
      </c>
      <c r="D64">
        <v>96</v>
      </c>
      <c r="E64">
        <v>96</v>
      </c>
      <c r="F64" t="s">
        <v>1058</v>
      </c>
      <c r="G64" t="s">
        <v>154</v>
      </c>
    </row>
    <row r="65" spans="1:5" x14ac:dyDescent="0.15">
      <c r="A65">
        <v>26123010</v>
      </c>
      <c r="B65" t="s">
        <v>182</v>
      </c>
      <c r="C65" t="s">
        <v>32</v>
      </c>
      <c r="D65">
        <v>9</v>
      </c>
      <c r="E65">
        <v>9</v>
      </c>
    </row>
    <row r="66" spans="1:5" x14ac:dyDescent="0.15">
      <c r="A66">
        <v>26123011</v>
      </c>
      <c r="B66" t="s">
        <v>186</v>
      </c>
      <c r="C66" t="s">
        <v>32</v>
      </c>
      <c r="D66">
        <v>36</v>
      </c>
      <c r="E66">
        <v>36</v>
      </c>
    </row>
    <row r="67" spans="1:5" x14ac:dyDescent="0.15">
      <c r="A67">
        <v>26123022</v>
      </c>
      <c r="B67" t="s">
        <v>242</v>
      </c>
      <c r="C67" t="s">
        <v>32</v>
      </c>
      <c r="D67">
        <v>6</v>
      </c>
      <c r="E67">
        <v>6</v>
      </c>
    </row>
    <row r="68" spans="1:5" x14ac:dyDescent="0.15">
      <c r="A68">
        <v>26123024</v>
      </c>
      <c r="B68" t="s">
        <v>250</v>
      </c>
      <c r="C68" t="s">
        <v>32</v>
      </c>
      <c r="D68">
        <v>909</v>
      </c>
      <c r="E68">
        <v>909</v>
      </c>
    </row>
    <row r="69" spans="1:5" x14ac:dyDescent="0.15">
      <c r="A69">
        <v>26123028</v>
      </c>
      <c r="B69" t="s">
        <v>266</v>
      </c>
      <c r="C69" t="s">
        <v>32</v>
      </c>
      <c r="D69">
        <v>96</v>
      </c>
      <c r="E69">
        <v>96</v>
      </c>
    </row>
    <row r="70" spans="1:5" x14ac:dyDescent="0.15">
      <c r="A70">
        <v>26123029</v>
      </c>
      <c r="B70" t="s">
        <v>270</v>
      </c>
      <c r="C70" t="s">
        <v>32</v>
      </c>
      <c r="D70">
        <v>252</v>
      </c>
      <c r="E70">
        <v>252</v>
      </c>
    </row>
    <row r="71" spans="1:5" x14ac:dyDescent="0.15">
      <c r="A71">
        <v>26123030</v>
      </c>
      <c r="B71" t="s">
        <v>274</v>
      </c>
      <c r="C71" t="s">
        <v>23</v>
      </c>
      <c r="D71">
        <v>25.5</v>
      </c>
      <c r="E71">
        <v>25.5</v>
      </c>
    </row>
    <row r="72" spans="1:5" x14ac:dyDescent="0.15">
      <c r="A72">
        <v>26123031</v>
      </c>
      <c r="B72" t="s">
        <v>278</v>
      </c>
      <c r="C72" t="s">
        <v>32</v>
      </c>
      <c r="D72">
        <v>519</v>
      </c>
      <c r="E72">
        <v>519</v>
      </c>
    </row>
    <row r="73" spans="1:5" x14ac:dyDescent="0.15">
      <c r="A73">
        <v>26123032</v>
      </c>
      <c r="B73" t="s">
        <v>282</v>
      </c>
      <c r="C73" t="s">
        <v>23</v>
      </c>
      <c r="D73">
        <v>55.5</v>
      </c>
      <c r="E73">
        <v>55.5</v>
      </c>
    </row>
    <row r="74" spans="1:5" x14ac:dyDescent="0.15">
      <c r="A74">
        <v>26123033</v>
      </c>
      <c r="B74" t="s">
        <v>286</v>
      </c>
      <c r="C74" t="s">
        <v>32</v>
      </c>
      <c r="D74">
        <v>273</v>
      </c>
      <c r="E74">
        <v>273</v>
      </c>
    </row>
    <row r="75" spans="1:5" x14ac:dyDescent="0.15">
      <c r="A75">
        <v>26123034</v>
      </c>
      <c r="B75" t="s">
        <v>293</v>
      </c>
      <c r="C75" t="s">
        <v>23</v>
      </c>
      <c r="D75">
        <v>7</v>
      </c>
      <c r="E75">
        <v>7</v>
      </c>
    </row>
    <row r="76" spans="1:5" x14ac:dyDescent="0.15">
      <c r="A76">
        <v>26123035</v>
      </c>
      <c r="B76" t="s">
        <v>297</v>
      </c>
      <c r="C76" t="s">
        <v>32</v>
      </c>
      <c r="D76">
        <v>1626</v>
      </c>
      <c r="E76">
        <v>1626</v>
      </c>
    </row>
    <row r="77" spans="1:5" x14ac:dyDescent="0.15">
      <c r="A77">
        <v>26123036</v>
      </c>
      <c r="B77" t="s">
        <v>301</v>
      </c>
      <c r="C77" t="s">
        <v>23</v>
      </c>
      <c r="D77">
        <v>126.5</v>
      </c>
      <c r="E77">
        <v>126.5</v>
      </c>
    </row>
    <row r="78" spans="1:5" x14ac:dyDescent="0.15">
      <c r="A78">
        <v>26123036</v>
      </c>
      <c r="B78" t="s">
        <v>301</v>
      </c>
      <c r="C78" t="s">
        <v>32</v>
      </c>
      <c r="D78">
        <v>645</v>
      </c>
      <c r="E78">
        <v>666</v>
      </c>
    </row>
    <row r="79" spans="1:5" x14ac:dyDescent="0.15">
      <c r="A79">
        <v>26123037</v>
      </c>
      <c r="B79" t="s">
        <v>305</v>
      </c>
      <c r="C79" t="s">
        <v>32</v>
      </c>
      <c r="D79">
        <v>645</v>
      </c>
      <c r="E79">
        <v>645</v>
      </c>
    </row>
    <row r="80" spans="1:5" x14ac:dyDescent="0.15">
      <c r="A80">
        <v>26123038</v>
      </c>
      <c r="B80" t="s">
        <v>308</v>
      </c>
      <c r="C80" t="s">
        <v>32</v>
      </c>
      <c r="D80">
        <v>276</v>
      </c>
      <c r="E80">
        <v>276</v>
      </c>
    </row>
    <row r="81" spans="1:5" x14ac:dyDescent="0.15">
      <c r="A81">
        <v>26123039</v>
      </c>
      <c r="B81" t="s">
        <v>315</v>
      </c>
      <c r="C81" t="s">
        <v>1431</v>
      </c>
      <c r="D81">
        <v>1456.81</v>
      </c>
      <c r="E81">
        <v>1456.81</v>
      </c>
    </row>
    <row r="82" spans="1:5" x14ac:dyDescent="0.15">
      <c r="A82">
        <v>26123040</v>
      </c>
      <c r="B82" t="s">
        <v>319</v>
      </c>
      <c r="C82" t="s">
        <v>32</v>
      </c>
      <c r="D82">
        <v>252</v>
      </c>
      <c r="E82">
        <v>252</v>
      </c>
    </row>
    <row r="83" spans="1:5" x14ac:dyDescent="0.15">
      <c r="A83">
        <v>26123041</v>
      </c>
      <c r="B83" t="s">
        <v>326</v>
      </c>
      <c r="C83" t="s">
        <v>23</v>
      </c>
      <c r="D83">
        <v>25.5</v>
      </c>
      <c r="E83">
        <v>25.5</v>
      </c>
    </row>
    <row r="84" spans="1:5" x14ac:dyDescent="0.15">
      <c r="A84">
        <v>26123042</v>
      </c>
      <c r="B84" t="s">
        <v>330</v>
      </c>
      <c r="C84" t="s">
        <v>37</v>
      </c>
      <c r="D84">
        <v>80</v>
      </c>
      <c r="E84">
        <v>80</v>
      </c>
    </row>
    <row r="85" spans="1:5" x14ac:dyDescent="0.15">
      <c r="A85">
        <v>26123044</v>
      </c>
      <c r="B85" t="s">
        <v>342</v>
      </c>
      <c r="C85" t="s">
        <v>32</v>
      </c>
      <c r="D85">
        <v>138</v>
      </c>
      <c r="E85">
        <v>138</v>
      </c>
    </row>
    <row r="86" spans="1:5" x14ac:dyDescent="0.15">
      <c r="A86">
        <v>26123047</v>
      </c>
      <c r="B86" t="s">
        <v>358</v>
      </c>
      <c r="C86" t="s">
        <v>23</v>
      </c>
      <c r="D86">
        <v>19</v>
      </c>
      <c r="E86">
        <v>19</v>
      </c>
    </row>
    <row r="87" spans="1:5" x14ac:dyDescent="0.15">
      <c r="A87">
        <v>26123048</v>
      </c>
      <c r="B87" t="s">
        <v>362</v>
      </c>
      <c r="C87" t="s">
        <v>32</v>
      </c>
      <c r="D87">
        <v>156</v>
      </c>
      <c r="E87">
        <v>156</v>
      </c>
    </row>
    <row r="88" spans="1:5" x14ac:dyDescent="0.15">
      <c r="A88">
        <v>26123049</v>
      </c>
      <c r="B88" t="s">
        <v>365</v>
      </c>
      <c r="C88" t="s">
        <v>32</v>
      </c>
      <c r="D88">
        <v>30</v>
      </c>
      <c r="E88">
        <v>30</v>
      </c>
    </row>
    <row r="89" spans="1:5" x14ac:dyDescent="0.15">
      <c r="A89">
        <v>26123051</v>
      </c>
      <c r="B89" t="s">
        <v>373</v>
      </c>
      <c r="C89" t="s">
        <v>38</v>
      </c>
      <c r="D89">
        <v>100</v>
      </c>
      <c r="E89">
        <v>100</v>
      </c>
    </row>
    <row r="90" spans="1:5" x14ac:dyDescent="0.15">
      <c r="A90">
        <v>26123051</v>
      </c>
      <c r="B90" t="s">
        <v>373</v>
      </c>
      <c r="C90" t="s">
        <v>37</v>
      </c>
      <c r="D90">
        <v>80</v>
      </c>
      <c r="E90">
        <v>66.66</v>
      </c>
    </row>
    <row r="91" spans="1:5" x14ac:dyDescent="0.15">
      <c r="A91">
        <v>26123052</v>
      </c>
      <c r="B91" t="s">
        <v>376</v>
      </c>
      <c r="C91" t="s">
        <v>38</v>
      </c>
      <c r="D91">
        <v>200</v>
      </c>
      <c r="E91">
        <v>200</v>
      </c>
    </row>
    <row r="92" spans="1:5" x14ac:dyDescent="0.15">
      <c r="A92">
        <v>26123053</v>
      </c>
      <c r="B92" t="s">
        <v>380</v>
      </c>
      <c r="C92" t="s">
        <v>38</v>
      </c>
      <c r="D92">
        <v>100</v>
      </c>
      <c r="E92">
        <v>100</v>
      </c>
    </row>
    <row r="93" spans="1:5" x14ac:dyDescent="0.15">
      <c r="A93">
        <v>26123054</v>
      </c>
      <c r="B93" t="s">
        <v>383</v>
      </c>
      <c r="C93" t="s">
        <v>38</v>
      </c>
      <c r="D93">
        <v>100</v>
      </c>
      <c r="E93">
        <v>100</v>
      </c>
    </row>
    <row r="94" spans="1:5" x14ac:dyDescent="0.15">
      <c r="A94">
        <v>26123055</v>
      </c>
      <c r="B94" t="s">
        <v>385</v>
      </c>
      <c r="C94" t="s">
        <v>32</v>
      </c>
      <c r="D94">
        <v>120</v>
      </c>
      <c r="E94">
        <v>120</v>
      </c>
    </row>
    <row r="95" spans="1:5" x14ac:dyDescent="0.15">
      <c r="A95">
        <v>26123056</v>
      </c>
      <c r="B95" t="s">
        <v>387</v>
      </c>
      <c r="C95" t="s">
        <v>34</v>
      </c>
      <c r="E95">
        <v>1000</v>
      </c>
    </row>
    <row r="96" spans="1:5" x14ac:dyDescent="0.15">
      <c r="A96">
        <v>26123056</v>
      </c>
      <c r="B96" t="s">
        <v>387</v>
      </c>
      <c r="C96" t="s">
        <v>34</v>
      </c>
      <c r="E96">
        <v>1000</v>
      </c>
    </row>
    <row r="97" spans="1:5" x14ac:dyDescent="0.15">
      <c r="A97">
        <v>26123057</v>
      </c>
      <c r="B97" t="s">
        <v>390</v>
      </c>
      <c r="C97" t="s">
        <v>35</v>
      </c>
      <c r="E97">
        <v>1200</v>
      </c>
    </row>
    <row r="98" spans="1:5" x14ac:dyDescent="0.15">
      <c r="A98">
        <v>26123058</v>
      </c>
      <c r="B98" t="s">
        <v>392</v>
      </c>
      <c r="C98" t="s">
        <v>32</v>
      </c>
      <c r="D98">
        <v>96</v>
      </c>
      <c r="E98">
        <v>96</v>
      </c>
    </row>
    <row r="99" spans="1:5" x14ac:dyDescent="0.15">
      <c r="A99">
        <v>26123059</v>
      </c>
      <c r="B99" t="s">
        <v>394</v>
      </c>
      <c r="C99" t="s">
        <v>32</v>
      </c>
      <c r="D99">
        <v>9</v>
      </c>
      <c r="E99">
        <v>9</v>
      </c>
    </row>
    <row r="100" spans="1:5" x14ac:dyDescent="0.15">
      <c r="A100">
        <v>26123060</v>
      </c>
      <c r="B100" t="s">
        <v>397</v>
      </c>
      <c r="C100" t="s">
        <v>32</v>
      </c>
      <c r="D100">
        <v>36</v>
      </c>
      <c r="E100">
        <v>36</v>
      </c>
    </row>
    <row r="101" spans="1:5" x14ac:dyDescent="0.15">
      <c r="A101">
        <v>26123061</v>
      </c>
      <c r="B101" t="s">
        <v>401</v>
      </c>
      <c r="C101" t="s">
        <v>32</v>
      </c>
      <c r="D101">
        <v>6</v>
      </c>
      <c r="E101">
        <v>6</v>
      </c>
    </row>
    <row r="102" spans="1:5" x14ac:dyDescent="0.15">
      <c r="A102">
        <v>26123065</v>
      </c>
      <c r="B102" t="s">
        <v>423</v>
      </c>
      <c r="C102" t="s">
        <v>32</v>
      </c>
      <c r="D102">
        <v>909</v>
      </c>
      <c r="E102">
        <v>909</v>
      </c>
    </row>
    <row r="103" spans="1:5" x14ac:dyDescent="0.15">
      <c r="A103">
        <v>26123066</v>
      </c>
      <c r="B103" t="s">
        <v>427</v>
      </c>
      <c r="C103" t="s">
        <v>32</v>
      </c>
      <c r="D103">
        <v>96</v>
      </c>
      <c r="E103">
        <v>96</v>
      </c>
    </row>
    <row r="104" spans="1:5" x14ac:dyDescent="0.15">
      <c r="A104">
        <v>26123066</v>
      </c>
      <c r="B104" t="s">
        <v>427</v>
      </c>
      <c r="C104" t="s">
        <v>23</v>
      </c>
      <c r="D104">
        <v>126.5</v>
      </c>
      <c r="E104">
        <v>6.6</v>
      </c>
    </row>
    <row r="105" spans="1:5" x14ac:dyDescent="0.15">
      <c r="A105">
        <v>26123069</v>
      </c>
      <c r="B105" t="s">
        <v>441</v>
      </c>
      <c r="C105" t="s">
        <v>23</v>
      </c>
      <c r="D105">
        <v>126.5</v>
      </c>
      <c r="E105">
        <v>126.5</v>
      </c>
    </row>
    <row r="106" spans="1:5" x14ac:dyDescent="0.15">
      <c r="A106">
        <v>26123002</v>
      </c>
      <c r="B106" t="s">
        <v>135</v>
      </c>
      <c r="C106" t="s">
        <v>42</v>
      </c>
      <c r="E106">
        <v>1000</v>
      </c>
    </row>
    <row r="107" spans="1:5" x14ac:dyDescent="0.15">
      <c r="A107">
        <v>26123002</v>
      </c>
      <c r="B107" t="s">
        <v>135</v>
      </c>
      <c r="C107" t="s">
        <v>43</v>
      </c>
      <c r="E107">
        <v>200</v>
      </c>
    </row>
    <row r="108" spans="1:5" x14ac:dyDescent="0.15">
      <c r="A108">
        <v>26123003</v>
      </c>
      <c r="B108" t="s">
        <v>139</v>
      </c>
      <c r="C108" t="s">
        <v>44</v>
      </c>
      <c r="E108">
        <v>111</v>
      </c>
    </row>
    <row r="109" spans="1:5" x14ac:dyDescent="0.15">
      <c r="A109">
        <v>26123102</v>
      </c>
      <c r="B109" t="s">
        <v>605</v>
      </c>
      <c r="C109" t="s">
        <v>42</v>
      </c>
      <c r="E109">
        <v>1200</v>
      </c>
    </row>
    <row r="110" spans="1:5" x14ac:dyDescent="0.15">
      <c r="A110">
        <v>26123102</v>
      </c>
      <c r="B110" t="s">
        <v>605</v>
      </c>
      <c r="C110" t="s">
        <v>43</v>
      </c>
      <c r="E110">
        <v>600</v>
      </c>
    </row>
    <row r="111" spans="1:5" x14ac:dyDescent="0.15">
      <c r="A111">
        <v>26123102</v>
      </c>
      <c r="B111" t="s">
        <v>605</v>
      </c>
      <c r="C111" t="s">
        <v>44</v>
      </c>
      <c r="E111">
        <v>222.77</v>
      </c>
    </row>
    <row r="112" spans="1:5" x14ac:dyDescent="0.15">
      <c r="A112">
        <v>26123024</v>
      </c>
      <c r="B112" t="s">
        <v>250</v>
      </c>
      <c r="C112" t="s">
        <v>42</v>
      </c>
      <c r="E112">
        <v>1200</v>
      </c>
    </row>
    <row r="113" spans="1:5" x14ac:dyDescent="0.15">
      <c r="A113">
        <v>26123024</v>
      </c>
      <c r="B113" t="s">
        <v>250</v>
      </c>
      <c r="C113" t="s">
        <v>43</v>
      </c>
      <c r="E113">
        <v>600</v>
      </c>
    </row>
    <row r="114" spans="1:5" x14ac:dyDescent="0.15">
      <c r="A114">
        <v>26123024</v>
      </c>
      <c r="B114" t="s">
        <v>250</v>
      </c>
      <c r="C114" t="s">
        <v>44</v>
      </c>
      <c r="E114">
        <v>111</v>
      </c>
    </row>
    <row r="115" spans="1:5" x14ac:dyDescent="0.15">
      <c r="A115">
        <v>26123028</v>
      </c>
      <c r="B115" t="s">
        <v>266</v>
      </c>
      <c r="C115" t="s">
        <v>42</v>
      </c>
      <c r="E115">
        <v>1200</v>
      </c>
    </row>
    <row r="116" spans="1:5" x14ac:dyDescent="0.15">
      <c r="A116">
        <v>26123028</v>
      </c>
      <c r="B116" t="s">
        <v>266</v>
      </c>
      <c r="C116" t="s">
        <v>43</v>
      </c>
      <c r="E116">
        <v>600</v>
      </c>
    </row>
    <row r="117" spans="1:5" x14ac:dyDescent="0.15">
      <c r="A117">
        <v>26123028</v>
      </c>
      <c r="B117" t="s">
        <v>266</v>
      </c>
      <c r="C117" t="s">
        <v>44</v>
      </c>
      <c r="E117">
        <v>222</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80"/>
  <sheetViews>
    <sheetView workbookViewId="0"/>
  </sheetViews>
  <sheetFormatPr defaultRowHeight="13.5" x14ac:dyDescent="0.15"/>
  <sheetData>
    <row r="1" spans="1:14" x14ac:dyDescent="0.15">
      <c r="A1" s="1" t="s">
        <v>1024</v>
      </c>
      <c r="B1" s="1" t="s">
        <v>615</v>
      </c>
      <c r="C1" s="1" t="s">
        <v>36</v>
      </c>
      <c r="D1" s="1" t="s">
        <v>35</v>
      </c>
      <c r="E1" s="1" t="s">
        <v>33</v>
      </c>
      <c r="F1" s="1" t="s">
        <v>37</v>
      </c>
      <c r="G1" s="1" t="s">
        <v>38</v>
      </c>
      <c r="H1" s="1" t="s">
        <v>23</v>
      </c>
      <c r="I1" s="1" t="s">
        <v>1431</v>
      </c>
      <c r="J1" s="1" t="s">
        <v>32</v>
      </c>
      <c r="K1" s="1" t="s">
        <v>34</v>
      </c>
      <c r="L1" s="1" t="s">
        <v>42</v>
      </c>
      <c r="M1" s="1" t="s">
        <v>43</v>
      </c>
      <c r="N1" s="1" t="s">
        <v>44</v>
      </c>
    </row>
    <row r="2" spans="1:14" x14ac:dyDescent="0.15">
      <c r="A2">
        <v>26123001</v>
      </c>
      <c r="B2" t="s">
        <v>127</v>
      </c>
      <c r="C2">
        <v>9000</v>
      </c>
      <c r="D2">
        <v>1500</v>
      </c>
      <c r="H2">
        <v>25.5</v>
      </c>
      <c r="I2">
        <v>1733.79</v>
      </c>
      <c r="K2">
        <v>2000</v>
      </c>
    </row>
    <row r="3" spans="1:14" x14ac:dyDescent="0.15">
      <c r="A3">
        <v>26123002</v>
      </c>
      <c r="B3" t="s">
        <v>135</v>
      </c>
      <c r="C3">
        <v>7000</v>
      </c>
      <c r="D3">
        <v>1000</v>
      </c>
      <c r="F3">
        <v>100</v>
      </c>
      <c r="G3">
        <v>200</v>
      </c>
      <c r="H3">
        <v>7</v>
      </c>
      <c r="K3">
        <v>1500</v>
      </c>
      <c r="L3">
        <v>1000</v>
      </c>
      <c r="M3">
        <v>200</v>
      </c>
    </row>
    <row r="4" spans="1:14" x14ac:dyDescent="0.15">
      <c r="A4">
        <v>26123007</v>
      </c>
      <c r="B4" t="s">
        <v>162</v>
      </c>
      <c r="C4">
        <v>6000</v>
      </c>
      <c r="F4">
        <v>100</v>
      </c>
      <c r="G4">
        <v>800</v>
      </c>
      <c r="H4">
        <v>11.5</v>
      </c>
    </row>
    <row r="5" spans="1:14" x14ac:dyDescent="0.15">
      <c r="A5">
        <v>26123019</v>
      </c>
      <c r="B5" t="s">
        <v>226</v>
      </c>
      <c r="C5">
        <v>6500</v>
      </c>
    </row>
    <row r="6" spans="1:14" x14ac:dyDescent="0.15">
      <c r="A6">
        <v>26123079</v>
      </c>
      <c r="B6" t="s">
        <v>485</v>
      </c>
      <c r="C6">
        <v>6666.66</v>
      </c>
    </row>
    <row r="7" spans="1:14" x14ac:dyDescent="0.15">
      <c r="A7">
        <v>26123009</v>
      </c>
      <c r="B7" t="s">
        <v>177</v>
      </c>
      <c r="D7">
        <v>1500</v>
      </c>
      <c r="K7">
        <v>1500</v>
      </c>
    </row>
    <row r="8" spans="1:14" x14ac:dyDescent="0.15">
      <c r="A8">
        <v>26123062</v>
      </c>
      <c r="B8" t="s">
        <v>408</v>
      </c>
      <c r="D8">
        <v>1200</v>
      </c>
    </row>
    <row r="9" spans="1:14" x14ac:dyDescent="0.15">
      <c r="A9">
        <v>26123057</v>
      </c>
      <c r="B9" t="s">
        <v>390</v>
      </c>
      <c r="D9">
        <v>1200</v>
      </c>
    </row>
    <row r="10" spans="1:14" x14ac:dyDescent="0.15">
      <c r="A10">
        <v>26123004</v>
      </c>
      <c r="B10" t="s">
        <v>144</v>
      </c>
      <c r="E10">
        <v>250</v>
      </c>
      <c r="H10">
        <v>53</v>
      </c>
      <c r="I10">
        <v>1456.81</v>
      </c>
    </row>
    <row r="11" spans="1:14" x14ac:dyDescent="0.15">
      <c r="A11">
        <v>26123064</v>
      </c>
      <c r="B11" t="s">
        <v>419</v>
      </c>
      <c r="E11">
        <v>250</v>
      </c>
    </row>
    <row r="12" spans="1:14" x14ac:dyDescent="0.15">
      <c r="A12">
        <v>26123003</v>
      </c>
      <c r="B12" t="s">
        <v>139</v>
      </c>
      <c r="F12">
        <v>212.5</v>
      </c>
      <c r="G12">
        <v>200</v>
      </c>
      <c r="H12">
        <v>11.5</v>
      </c>
      <c r="N12">
        <v>111</v>
      </c>
    </row>
    <row r="13" spans="1:14" x14ac:dyDescent="0.15">
      <c r="A13">
        <v>26123006</v>
      </c>
      <c r="B13" t="s">
        <v>158</v>
      </c>
      <c r="F13">
        <v>80</v>
      </c>
      <c r="H13">
        <v>19</v>
      </c>
      <c r="I13">
        <v>692.2</v>
      </c>
    </row>
    <row r="14" spans="1:14" x14ac:dyDescent="0.15">
      <c r="A14">
        <v>26123012</v>
      </c>
      <c r="B14" t="s">
        <v>191</v>
      </c>
      <c r="F14">
        <v>150</v>
      </c>
      <c r="H14">
        <v>102</v>
      </c>
      <c r="I14">
        <v>1733.79</v>
      </c>
    </row>
    <row r="15" spans="1:14" x14ac:dyDescent="0.15">
      <c r="A15">
        <v>26123016</v>
      </c>
      <c r="B15" t="s">
        <v>213</v>
      </c>
      <c r="F15">
        <v>212.5</v>
      </c>
    </row>
    <row r="16" spans="1:14" x14ac:dyDescent="0.15">
      <c r="A16">
        <v>26123018</v>
      </c>
      <c r="B16" t="s">
        <v>222</v>
      </c>
      <c r="F16">
        <v>140</v>
      </c>
    </row>
    <row r="17" spans="1:8" x14ac:dyDescent="0.15">
      <c r="A17">
        <v>26123025</v>
      </c>
      <c r="B17" t="s">
        <v>254</v>
      </c>
      <c r="F17">
        <v>100</v>
      </c>
    </row>
    <row r="18" spans="1:8" x14ac:dyDescent="0.15">
      <c r="A18">
        <v>26123026</v>
      </c>
      <c r="B18" t="s">
        <v>258</v>
      </c>
      <c r="F18">
        <v>150</v>
      </c>
    </row>
    <row r="19" spans="1:8" x14ac:dyDescent="0.15">
      <c r="A19">
        <v>26123068</v>
      </c>
      <c r="B19" t="s">
        <v>434</v>
      </c>
      <c r="F19">
        <v>240</v>
      </c>
    </row>
    <row r="20" spans="1:8" x14ac:dyDescent="0.15">
      <c r="A20">
        <v>26123082</v>
      </c>
      <c r="B20" t="s">
        <v>502</v>
      </c>
      <c r="F20">
        <v>40</v>
      </c>
    </row>
    <row r="21" spans="1:8" x14ac:dyDescent="0.15">
      <c r="A21">
        <v>26123084</v>
      </c>
      <c r="B21" t="s">
        <v>512</v>
      </c>
      <c r="F21">
        <v>2910</v>
      </c>
    </row>
    <row r="22" spans="1:8" x14ac:dyDescent="0.15">
      <c r="A22">
        <v>26123042</v>
      </c>
      <c r="B22" t="s">
        <v>330</v>
      </c>
      <c r="F22">
        <v>80</v>
      </c>
    </row>
    <row r="23" spans="1:8" x14ac:dyDescent="0.15">
      <c r="A23">
        <v>26123051</v>
      </c>
      <c r="B23" t="s">
        <v>373</v>
      </c>
      <c r="F23">
        <v>66.66</v>
      </c>
      <c r="G23">
        <v>100</v>
      </c>
    </row>
    <row r="24" spans="1:8" x14ac:dyDescent="0.15">
      <c r="A24">
        <v>26123015</v>
      </c>
      <c r="B24" t="s">
        <v>206</v>
      </c>
      <c r="G24">
        <v>200</v>
      </c>
    </row>
    <row r="25" spans="1:8" x14ac:dyDescent="0.15">
      <c r="A25">
        <v>26123017</v>
      </c>
      <c r="B25" t="s">
        <v>217</v>
      </c>
      <c r="G25">
        <v>700</v>
      </c>
    </row>
    <row r="26" spans="1:8" x14ac:dyDescent="0.15">
      <c r="A26">
        <v>26123023</v>
      </c>
      <c r="B26" t="s">
        <v>246</v>
      </c>
      <c r="G26">
        <v>800</v>
      </c>
    </row>
    <row r="27" spans="1:8" x14ac:dyDescent="0.15">
      <c r="A27">
        <v>26123067</v>
      </c>
      <c r="B27" t="s">
        <v>430</v>
      </c>
      <c r="G27">
        <v>100</v>
      </c>
    </row>
    <row r="28" spans="1:8" x14ac:dyDescent="0.15">
      <c r="A28">
        <v>26123085</v>
      </c>
      <c r="B28" t="s">
        <v>519</v>
      </c>
      <c r="G28">
        <v>2000</v>
      </c>
    </row>
    <row r="29" spans="1:8" x14ac:dyDescent="0.15">
      <c r="A29">
        <v>26123052</v>
      </c>
      <c r="B29" t="s">
        <v>376</v>
      </c>
      <c r="G29">
        <v>200</v>
      </c>
    </row>
    <row r="30" spans="1:8" x14ac:dyDescent="0.15">
      <c r="A30">
        <v>26123053</v>
      </c>
      <c r="B30" t="s">
        <v>380</v>
      </c>
      <c r="G30">
        <v>100</v>
      </c>
    </row>
    <row r="31" spans="1:8" x14ac:dyDescent="0.15">
      <c r="A31">
        <v>26123054</v>
      </c>
      <c r="B31" t="s">
        <v>383</v>
      </c>
      <c r="G31">
        <v>100</v>
      </c>
    </row>
    <row r="32" spans="1:8" x14ac:dyDescent="0.15">
      <c r="A32">
        <v>26123014</v>
      </c>
      <c r="B32" t="s">
        <v>199</v>
      </c>
      <c r="H32">
        <v>25.5</v>
      </c>
    </row>
    <row r="33" spans="1:10" x14ac:dyDescent="0.15">
      <c r="A33">
        <v>26123020</v>
      </c>
      <c r="B33" t="s">
        <v>233</v>
      </c>
      <c r="H33">
        <v>11.5</v>
      </c>
    </row>
    <row r="34" spans="1:10" x14ac:dyDescent="0.15">
      <c r="A34">
        <v>26123027</v>
      </c>
      <c r="B34" t="s">
        <v>262</v>
      </c>
      <c r="H34">
        <v>12.5</v>
      </c>
    </row>
    <row r="35" spans="1:10" x14ac:dyDescent="0.15">
      <c r="A35">
        <v>26123043</v>
      </c>
      <c r="B35" t="s">
        <v>337</v>
      </c>
      <c r="H35">
        <v>53</v>
      </c>
    </row>
    <row r="36" spans="1:10" x14ac:dyDescent="0.15">
      <c r="A36">
        <v>26123045</v>
      </c>
      <c r="B36" t="s">
        <v>349</v>
      </c>
      <c r="H36">
        <v>49.5</v>
      </c>
    </row>
    <row r="37" spans="1:10" x14ac:dyDescent="0.15">
      <c r="A37">
        <v>26123046</v>
      </c>
      <c r="B37" t="s">
        <v>354</v>
      </c>
      <c r="H37">
        <v>3</v>
      </c>
    </row>
    <row r="38" spans="1:10" x14ac:dyDescent="0.15">
      <c r="A38">
        <v>26123063</v>
      </c>
      <c r="B38" t="s">
        <v>415</v>
      </c>
      <c r="H38">
        <v>102</v>
      </c>
    </row>
    <row r="39" spans="1:10" x14ac:dyDescent="0.15">
      <c r="A39">
        <v>26123070</v>
      </c>
      <c r="B39" t="s">
        <v>445</v>
      </c>
      <c r="H39">
        <v>9.5</v>
      </c>
    </row>
    <row r="40" spans="1:10" x14ac:dyDescent="0.15">
      <c r="A40">
        <v>26123078</v>
      </c>
      <c r="B40" t="s">
        <v>481</v>
      </c>
      <c r="H40">
        <v>10.5</v>
      </c>
    </row>
    <row r="41" spans="1:10" x14ac:dyDescent="0.15">
      <c r="A41">
        <v>26123081</v>
      </c>
      <c r="B41" t="s">
        <v>495</v>
      </c>
      <c r="H41">
        <v>3.5</v>
      </c>
    </row>
    <row r="42" spans="1:10" x14ac:dyDescent="0.15">
      <c r="A42">
        <v>26123086</v>
      </c>
      <c r="B42" t="s">
        <v>523</v>
      </c>
      <c r="H42">
        <v>25.5</v>
      </c>
    </row>
    <row r="43" spans="1:10" x14ac:dyDescent="0.15">
      <c r="A43">
        <v>26123030</v>
      </c>
      <c r="B43" t="s">
        <v>274</v>
      </c>
      <c r="H43">
        <v>25.5</v>
      </c>
    </row>
    <row r="44" spans="1:10" x14ac:dyDescent="0.15">
      <c r="A44">
        <v>26123032</v>
      </c>
      <c r="B44" t="s">
        <v>282</v>
      </c>
      <c r="H44">
        <v>55.5</v>
      </c>
    </row>
    <row r="45" spans="1:10" x14ac:dyDescent="0.15">
      <c r="A45">
        <v>26123034</v>
      </c>
      <c r="B45" t="s">
        <v>293</v>
      </c>
      <c r="H45">
        <v>7</v>
      </c>
    </row>
    <row r="46" spans="1:10" x14ac:dyDescent="0.15">
      <c r="A46">
        <v>26123036</v>
      </c>
      <c r="B46" t="s">
        <v>301</v>
      </c>
      <c r="H46">
        <v>126.5</v>
      </c>
      <c r="J46">
        <v>666</v>
      </c>
    </row>
    <row r="47" spans="1:10" x14ac:dyDescent="0.15">
      <c r="A47">
        <v>26123041</v>
      </c>
      <c r="B47" t="s">
        <v>326</v>
      </c>
      <c r="H47">
        <v>25.5</v>
      </c>
    </row>
    <row r="48" spans="1:10" x14ac:dyDescent="0.15">
      <c r="A48">
        <v>26123047</v>
      </c>
      <c r="B48" t="s">
        <v>358</v>
      </c>
      <c r="H48">
        <v>19</v>
      </c>
    </row>
    <row r="49" spans="1:14" x14ac:dyDescent="0.15">
      <c r="A49">
        <v>26123066</v>
      </c>
      <c r="B49" t="s">
        <v>427</v>
      </c>
      <c r="H49">
        <v>6.6</v>
      </c>
      <c r="J49">
        <v>96</v>
      </c>
    </row>
    <row r="50" spans="1:14" x14ac:dyDescent="0.15">
      <c r="A50">
        <v>26123069</v>
      </c>
      <c r="B50" t="s">
        <v>441</v>
      </c>
      <c r="H50">
        <v>126.5</v>
      </c>
    </row>
    <row r="51" spans="1:14" x14ac:dyDescent="0.15">
      <c r="A51">
        <v>26123021</v>
      </c>
      <c r="B51" t="s">
        <v>237</v>
      </c>
      <c r="I51">
        <v>1655.36</v>
      </c>
    </row>
    <row r="52" spans="1:14" x14ac:dyDescent="0.15">
      <c r="A52">
        <v>26123083</v>
      </c>
      <c r="B52" t="s">
        <v>509</v>
      </c>
      <c r="I52">
        <v>692.2</v>
      </c>
    </row>
    <row r="53" spans="1:14" x14ac:dyDescent="0.15">
      <c r="A53">
        <v>26123005</v>
      </c>
      <c r="B53" t="s">
        <v>151</v>
      </c>
      <c r="I53">
        <v>1456.81</v>
      </c>
      <c r="J53">
        <v>3</v>
      </c>
    </row>
    <row r="54" spans="1:14" x14ac:dyDescent="0.15">
      <c r="A54">
        <v>26123039</v>
      </c>
      <c r="B54" t="s">
        <v>315</v>
      </c>
      <c r="I54">
        <v>1456.81</v>
      </c>
    </row>
    <row r="55" spans="1:14" x14ac:dyDescent="0.15">
      <c r="A55">
        <v>26123008</v>
      </c>
      <c r="B55" t="s">
        <v>169</v>
      </c>
      <c r="J55">
        <v>96</v>
      </c>
    </row>
    <row r="56" spans="1:14" x14ac:dyDescent="0.15">
      <c r="A56">
        <v>26123010</v>
      </c>
      <c r="B56" t="s">
        <v>182</v>
      </c>
      <c r="J56">
        <v>9</v>
      </c>
    </row>
    <row r="57" spans="1:14" x14ac:dyDescent="0.15">
      <c r="A57">
        <v>26123011</v>
      </c>
      <c r="B57" t="s">
        <v>186</v>
      </c>
      <c r="J57">
        <v>36</v>
      </c>
    </row>
    <row r="58" spans="1:14" x14ac:dyDescent="0.15">
      <c r="A58">
        <v>26123022</v>
      </c>
      <c r="B58" t="s">
        <v>242</v>
      </c>
      <c r="J58">
        <v>6</v>
      </c>
    </row>
    <row r="59" spans="1:14" x14ac:dyDescent="0.15">
      <c r="A59">
        <v>26123024</v>
      </c>
      <c r="B59" t="s">
        <v>250</v>
      </c>
      <c r="J59">
        <v>909</v>
      </c>
      <c r="L59">
        <v>1200</v>
      </c>
      <c r="M59">
        <v>600</v>
      </c>
      <c r="N59">
        <v>111</v>
      </c>
    </row>
    <row r="60" spans="1:14" x14ac:dyDescent="0.15">
      <c r="A60">
        <v>26123028</v>
      </c>
      <c r="B60" t="s">
        <v>266</v>
      </c>
      <c r="J60">
        <v>96</v>
      </c>
      <c r="L60">
        <v>1200</v>
      </c>
      <c r="M60">
        <v>600</v>
      </c>
      <c r="N60">
        <v>222</v>
      </c>
    </row>
    <row r="61" spans="1:14" x14ac:dyDescent="0.15">
      <c r="A61">
        <v>26123029</v>
      </c>
      <c r="B61" t="s">
        <v>270</v>
      </c>
      <c r="J61">
        <v>252</v>
      </c>
    </row>
    <row r="62" spans="1:14" x14ac:dyDescent="0.15">
      <c r="A62">
        <v>26123031</v>
      </c>
      <c r="B62" t="s">
        <v>278</v>
      </c>
      <c r="J62">
        <v>519</v>
      </c>
    </row>
    <row r="63" spans="1:14" x14ac:dyDescent="0.15">
      <c r="A63">
        <v>26123033</v>
      </c>
      <c r="B63" t="s">
        <v>286</v>
      </c>
      <c r="J63">
        <v>273</v>
      </c>
    </row>
    <row r="64" spans="1:14" x14ac:dyDescent="0.15">
      <c r="A64">
        <v>26123035</v>
      </c>
      <c r="B64" t="s">
        <v>297</v>
      </c>
      <c r="J64">
        <v>1626</v>
      </c>
    </row>
    <row r="65" spans="1:14" x14ac:dyDescent="0.15">
      <c r="A65">
        <v>26123037</v>
      </c>
      <c r="B65" t="s">
        <v>305</v>
      </c>
      <c r="J65">
        <v>645</v>
      </c>
    </row>
    <row r="66" spans="1:14" x14ac:dyDescent="0.15">
      <c r="A66">
        <v>26123038</v>
      </c>
      <c r="B66" t="s">
        <v>308</v>
      </c>
      <c r="J66">
        <v>276</v>
      </c>
    </row>
    <row r="67" spans="1:14" x14ac:dyDescent="0.15">
      <c r="A67">
        <v>26123040</v>
      </c>
      <c r="B67" t="s">
        <v>319</v>
      </c>
      <c r="J67">
        <v>252</v>
      </c>
    </row>
    <row r="68" spans="1:14" x14ac:dyDescent="0.15">
      <c r="A68">
        <v>26123044</v>
      </c>
      <c r="B68" t="s">
        <v>342</v>
      </c>
      <c r="J68">
        <v>138</v>
      </c>
    </row>
    <row r="69" spans="1:14" x14ac:dyDescent="0.15">
      <c r="A69">
        <v>26123048</v>
      </c>
      <c r="B69" t="s">
        <v>362</v>
      </c>
      <c r="J69">
        <v>156</v>
      </c>
    </row>
    <row r="70" spans="1:14" x14ac:dyDescent="0.15">
      <c r="A70">
        <v>26123049</v>
      </c>
      <c r="B70" t="s">
        <v>365</v>
      </c>
      <c r="J70">
        <v>30</v>
      </c>
    </row>
    <row r="71" spans="1:14" x14ac:dyDescent="0.15">
      <c r="A71">
        <v>26123055</v>
      </c>
      <c r="B71" t="s">
        <v>385</v>
      </c>
      <c r="J71">
        <v>120</v>
      </c>
    </row>
    <row r="72" spans="1:14" x14ac:dyDescent="0.15">
      <c r="A72">
        <v>26123058</v>
      </c>
      <c r="B72" t="s">
        <v>392</v>
      </c>
      <c r="J72">
        <v>96</v>
      </c>
    </row>
    <row r="73" spans="1:14" x14ac:dyDescent="0.15">
      <c r="A73">
        <v>26123059</v>
      </c>
      <c r="B73" t="s">
        <v>394</v>
      </c>
      <c r="J73">
        <v>9</v>
      </c>
    </row>
    <row r="74" spans="1:14" x14ac:dyDescent="0.15">
      <c r="A74">
        <v>26123060</v>
      </c>
      <c r="B74" t="s">
        <v>397</v>
      </c>
      <c r="J74">
        <v>36</v>
      </c>
    </row>
    <row r="75" spans="1:14" x14ac:dyDescent="0.15">
      <c r="A75">
        <v>26123061</v>
      </c>
      <c r="B75" t="s">
        <v>401</v>
      </c>
      <c r="J75">
        <v>6</v>
      </c>
    </row>
    <row r="76" spans="1:14" x14ac:dyDescent="0.15">
      <c r="A76">
        <v>26123065</v>
      </c>
      <c r="B76" t="s">
        <v>423</v>
      </c>
      <c r="J76">
        <v>909</v>
      </c>
    </row>
    <row r="77" spans="1:14" x14ac:dyDescent="0.15">
      <c r="A77">
        <v>26123013</v>
      </c>
      <c r="B77" t="s">
        <v>195</v>
      </c>
      <c r="K77">
        <v>1500</v>
      </c>
    </row>
    <row r="78" spans="1:14" x14ac:dyDescent="0.15">
      <c r="A78">
        <v>26123050</v>
      </c>
      <c r="B78" t="s">
        <v>369</v>
      </c>
      <c r="K78">
        <v>1500</v>
      </c>
    </row>
    <row r="79" spans="1:14" x14ac:dyDescent="0.15">
      <c r="A79">
        <v>26123056</v>
      </c>
      <c r="B79" t="s">
        <v>387</v>
      </c>
      <c r="K79">
        <v>2000</v>
      </c>
    </row>
    <row r="80" spans="1:14" x14ac:dyDescent="0.15">
      <c r="A80">
        <v>26123102</v>
      </c>
      <c r="B80" t="s">
        <v>605</v>
      </c>
      <c r="L80">
        <v>1200</v>
      </c>
      <c r="M80">
        <v>600</v>
      </c>
      <c r="N80">
        <v>222.77</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44"/>
  <sheetViews>
    <sheetView workbookViewId="0"/>
  </sheetViews>
  <sheetFormatPr defaultRowHeight="13.5" x14ac:dyDescent="0.15"/>
  <sheetData>
    <row r="1" spans="1:29" x14ac:dyDescent="0.15">
      <c r="A1" s="1" t="s">
        <v>1432</v>
      </c>
      <c r="B1" s="1" t="s">
        <v>1433</v>
      </c>
      <c r="C1" s="1" t="s">
        <v>1434</v>
      </c>
      <c r="D1" s="1" t="s">
        <v>1435</v>
      </c>
      <c r="E1" s="1" t="s">
        <v>1436</v>
      </c>
      <c r="F1" s="1" t="s">
        <v>1437</v>
      </c>
      <c r="G1" s="1" t="s">
        <v>1438</v>
      </c>
      <c r="H1" s="1" t="s">
        <v>1439</v>
      </c>
      <c r="I1" s="1" t="s">
        <v>1440</v>
      </c>
      <c r="J1" s="1" t="s">
        <v>1441</v>
      </c>
      <c r="K1" s="1" t="s">
        <v>1442</v>
      </c>
      <c r="L1" s="1" t="s">
        <v>1443</v>
      </c>
      <c r="M1" s="1" t="s">
        <v>1444</v>
      </c>
      <c r="N1" s="1" t="s">
        <v>1445</v>
      </c>
      <c r="O1" s="1" t="s">
        <v>1446</v>
      </c>
      <c r="P1" s="1" t="s">
        <v>1447</v>
      </c>
      <c r="Q1" s="1" t="s">
        <v>1448</v>
      </c>
      <c r="R1" s="1" t="s">
        <v>1449</v>
      </c>
      <c r="S1" s="1" t="s">
        <v>1450</v>
      </c>
      <c r="T1" s="1" t="s">
        <v>1451</v>
      </c>
      <c r="U1" s="1" t="s">
        <v>1452</v>
      </c>
      <c r="V1" s="1" t="s">
        <v>1453</v>
      </c>
      <c r="W1" s="1" t="s">
        <v>1454</v>
      </c>
      <c r="X1" s="1" t="s">
        <v>1455</v>
      </c>
      <c r="Y1" s="1" t="s">
        <v>1456</v>
      </c>
      <c r="Z1" s="1" t="s">
        <v>1457</v>
      </c>
      <c r="AA1" s="1" t="s">
        <v>1458</v>
      </c>
      <c r="AB1" s="1" t="s">
        <v>1459</v>
      </c>
      <c r="AC1" s="1" t="s">
        <v>1460</v>
      </c>
    </row>
    <row r="2" spans="1:29" x14ac:dyDescent="0.15">
      <c r="A2">
        <v>26123013</v>
      </c>
      <c r="B2" t="s">
        <v>195</v>
      </c>
      <c r="C2" t="s">
        <v>1461</v>
      </c>
      <c r="D2" t="s">
        <v>1462</v>
      </c>
      <c r="E2" t="s">
        <v>1463</v>
      </c>
      <c r="F2" t="s">
        <v>123</v>
      </c>
      <c r="G2" t="s">
        <v>1464</v>
      </c>
      <c r="H2" t="s">
        <v>7</v>
      </c>
      <c r="I2" t="s">
        <v>516</v>
      </c>
      <c r="J2" t="s">
        <v>1465</v>
      </c>
      <c r="K2" t="s">
        <v>1466</v>
      </c>
      <c r="L2" t="s">
        <v>131</v>
      </c>
      <c r="U2">
        <v>7418.55</v>
      </c>
      <c r="Z2" t="s">
        <v>1467</v>
      </c>
      <c r="AA2" t="s">
        <v>1468</v>
      </c>
      <c r="AB2" t="s">
        <v>1469</v>
      </c>
    </row>
    <row r="3" spans="1:29" x14ac:dyDescent="0.15">
      <c r="A3">
        <v>26123014</v>
      </c>
      <c r="B3" t="s">
        <v>199</v>
      </c>
      <c r="C3" t="s">
        <v>1470</v>
      </c>
      <c r="D3" t="s">
        <v>1462</v>
      </c>
      <c r="E3" t="s">
        <v>1463</v>
      </c>
      <c r="F3" t="s">
        <v>123</v>
      </c>
      <c r="G3" t="s">
        <v>1464</v>
      </c>
      <c r="H3" t="s">
        <v>7</v>
      </c>
      <c r="I3" t="s">
        <v>516</v>
      </c>
      <c r="J3" t="s">
        <v>1465</v>
      </c>
      <c r="K3" t="s">
        <v>1466</v>
      </c>
      <c r="L3" t="s">
        <v>131</v>
      </c>
      <c r="Q3">
        <v>100</v>
      </c>
      <c r="R3">
        <v>66</v>
      </c>
      <c r="AA3" t="s">
        <v>1468</v>
      </c>
      <c r="AB3" t="s">
        <v>1469</v>
      </c>
    </row>
    <row r="4" spans="1:29" x14ac:dyDescent="0.15">
      <c r="A4">
        <v>26123015</v>
      </c>
      <c r="B4" t="s">
        <v>206</v>
      </c>
      <c r="C4" t="s">
        <v>1471</v>
      </c>
      <c r="D4" t="s">
        <v>1462</v>
      </c>
      <c r="E4" t="s">
        <v>1463</v>
      </c>
      <c r="F4" t="s">
        <v>123</v>
      </c>
      <c r="G4" t="s">
        <v>1464</v>
      </c>
      <c r="H4" t="s">
        <v>7</v>
      </c>
      <c r="I4" t="s">
        <v>516</v>
      </c>
      <c r="J4" t="s">
        <v>1465</v>
      </c>
      <c r="K4" t="s">
        <v>1466</v>
      </c>
      <c r="L4" t="s">
        <v>131</v>
      </c>
      <c r="O4">
        <v>1000</v>
      </c>
      <c r="T4">
        <v>100</v>
      </c>
      <c r="Y4">
        <v>600</v>
      </c>
      <c r="AA4" t="s">
        <v>1468</v>
      </c>
      <c r="AB4" t="s">
        <v>1469</v>
      </c>
    </row>
    <row r="5" spans="1:29" x14ac:dyDescent="0.15">
      <c r="A5">
        <v>26123016</v>
      </c>
      <c r="B5" t="s">
        <v>213</v>
      </c>
      <c r="C5" t="s">
        <v>1472</v>
      </c>
      <c r="D5" t="s">
        <v>1462</v>
      </c>
      <c r="E5" t="s">
        <v>1463</v>
      </c>
      <c r="F5" t="s">
        <v>123</v>
      </c>
      <c r="G5" t="s">
        <v>1464</v>
      </c>
      <c r="H5" t="s">
        <v>7</v>
      </c>
      <c r="I5" t="s">
        <v>516</v>
      </c>
      <c r="J5" t="s">
        <v>1465</v>
      </c>
      <c r="K5" t="s">
        <v>1466</v>
      </c>
      <c r="L5" t="s">
        <v>131</v>
      </c>
      <c r="N5">
        <v>300</v>
      </c>
      <c r="R5">
        <v>222.22</v>
      </c>
      <c r="V5">
        <v>111.11</v>
      </c>
      <c r="W5">
        <v>111.11</v>
      </c>
      <c r="X5">
        <v>111.11</v>
      </c>
      <c r="AA5" t="s">
        <v>1468</v>
      </c>
      <c r="AB5" t="s">
        <v>1469</v>
      </c>
    </row>
    <row r="6" spans="1:29" x14ac:dyDescent="0.15">
      <c r="A6">
        <v>26123017</v>
      </c>
      <c r="B6" t="s">
        <v>217</v>
      </c>
      <c r="C6" t="s">
        <v>1473</v>
      </c>
      <c r="D6" t="s">
        <v>1462</v>
      </c>
      <c r="E6" t="s">
        <v>1463</v>
      </c>
      <c r="F6" t="s">
        <v>123</v>
      </c>
      <c r="G6" t="s">
        <v>1464</v>
      </c>
      <c r="H6" t="s">
        <v>7</v>
      </c>
      <c r="I6" t="s">
        <v>516</v>
      </c>
      <c r="J6" t="s">
        <v>1465</v>
      </c>
      <c r="K6" t="s">
        <v>1466</v>
      </c>
      <c r="L6" t="s">
        <v>131</v>
      </c>
      <c r="M6">
        <v>666</v>
      </c>
      <c r="Q6">
        <v>100</v>
      </c>
      <c r="AA6" t="s">
        <v>1468</v>
      </c>
      <c r="AB6" t="s">
        <v>1469</v>
      </c>
    </row>
    <row r="7" spans="1:29" x14ac:dyDescent="0.15">
      <c r="A7">
        <v>26123018</v>
      </c>
      <c r="B7" t="s">
        <v>222</v>
      </c>
      <c r="C7" t="s">
        <v>1474</v>
      </c>
      <c r="D7" t="s">
        <v>1462</v>
      </c>
      <c r="E7" t="s">
        <v>1463</v>
      </c>
      <c r="F7" t="s">
        <v>123</v>
      </c>
      <c r="G7" t="s">
        <v>1464</v>
      </c>
      <c r="H7" t="s">
        <v>7</v>
      </c>
      <c r="I7" t="s">
        <v>516</v>
      </c>
      <c r="J7" t="s">
        <v>1465</v>
      </c>
      <c r="K7" t="s">
        <v>1466</v>
      </c>
      <c r="L7" t="s">
        <v>131</v>
      </c>
      <c r="Q7">
        <v>100</v>
      </c>
      <c r="S7">
        <v>300</v>
      </c>
      <c r="Z7" t="s">
        <v>1410</v>
      </c>
      <c r="AA7" t="s">
        <v>1468</v>
      </c>
      <c r="AB7" t="s">
        <v>1469</v>
      </c>
    </row>
    <row r="8" spans="1:29" x14ac:dyDescent="0.15">
      <c r="A8">
        <v>26123019</v>
      </c>
      <c r="B8" t="s">
        <v>226</v>
      </c>
      <c r="C8" t="s">
        <v>1475</v>
      </c>
      <c r="D8" t="s">
        <v>1462</v>
      </c>
      <c r="E8" t="s">
        <v>1463</v>
      </c>
      <c r="F8" t="s">
        <v>123</v>
      </c>
      <c r="G8" t="s">
        <v>1464</v>
      </c>
      <c r="H8" t="s">
        <v>7</v>
      </c>
      <c r="I8" t="s">
        <v>516</v>
      </c>
      <c r="J8" t="s">
        <v>1465</v>
      </c>
      <c r="K8" t="s">
        <v>1466</v>
      </c>
      <c r="L8" t="s">
        <v>131</v>
      </c>
      <c r="V8">
        <v>200</v>
      </c>
      <c r="W8">
        <v>100</v>
      </c>
      <c r="AA8" t="s">
        <v>1468</v>
      </c>
      <c r="AB8" t="s">
        <v>1469</v>
      </c>
    </row>
    <row r="9" spans="1:29" x14ac:dyDescent="0.15">
      <c r="A9">
        <v>26123020</v>
      </c>
      <c r="B9" t="s">
        <v>233</v>
      </c>
      <c r="C9" t="s">
        <v>1476</v>
      </c>
      <c r="D9" t="s">
        <v>1462</v>
      </c>
      <c r="E9" t="s">
        <v>1463</v>
      </c>
      <c r="F9" t="s">
        <v>123</v>
      </c>
      <c r="G9" t="s">
        <v>1464</v>
      </c>
      <c r="H9" t="s">
        <v>7</v>
      </c>
      <c r="I9" t="s">
        <v>516</v>
      </c>
      <c r="J9" t="s">
        <v>1465</v>
      </c>
      <c r="K9" t="s">
        <v>1466</v>
      </c>
      <c r="L9" t="s">
        <v>131</v>
      </c>
      <c r="N9">
        <v>200</v>
      </c>
      <c r="P9">
        <v>200</v>
      </c>
      <c r="AA9" t="s">
        <v>1468</v>
      </c>
      <c r="AB9" t="s">
        <v>1469</v>
      </c>
    </row>
    <row r="10" spans="1:29" x14ac:dyDescent="0.15">
      <c r="A10">
        <v>26123021</v>
      </c>
      <c r="B10" t="s">
        <v>237</v>
      </c>
      <c r="C10" t="s">
        <v>1477</v>
      </c>
      <c r="D10" t="s">
        <v>1462</v>
      </c>
      <c r="E10" t="s">
        <v>1463</v>
      </c>
      <c r="F10" t="s">
        <v>123</v>
      </c>
      <c r="G10" t="s">
        <v>1464</v>
      </c>
      <c r="H10" t="s">
        <v>7</v>
      </c>
      <c r="I10" t="s">
        <v>516</v>
      </c>
      <c r="J10" t="s">
        <v>1465</v>
      </c>
      <c r="K10" t="s">
        <v>1466</v>
      </c>
      <c r="L10" t="s">
        <v>131</v>
      </c>
      <c r="Q10">
        <v>100</v>
      </c>
      <c r="AA10" t="s">
        <v>1468</v>
      </c>
      <c r="AB10" t="s">
        <v>1469</v>
      </c>
    </row>
    <row r="11" spans="1:29" x14ac:dyDescent="0.15">
      <c r="A11">
        <v>26123023</v>
      </c>
      <c r="B11" t="s">
        <v>246</v>
      </c>
      <c r="C11" t="s">
        <v>1478</v>
      </c>
      <c r="D11" t="s">
        <v>1462</v>
      </c>
      <c r="E11" t="s">
        <v>1463</v>
      </c>
      <c r="F11" t="s">
        <v>123</v>
      </c>
      <c r="G11" t="s">
        <v>1464</v>
      </c>
      <c r="H11" t="s">
        <v>7</v>
      </c>
      <c r="I11" t="s">
        <v>516</v>
      </c>
      <c r="J11" t="s">
        <v>1465</v>
      </c>
      <c r="K11" t="s">
        <v>1466</v>
      </c>
      <c r="L11" t="s">
        <v>131</v>
      </c>
      <c r="M11">
        <v>111.11</v>
      </c>
      <c r="Y11">
        <v>700</v>
      </c>
      <c r="AA11" t="s">
        <v>1468</v>
      </c>
      <c r="AB11" t="s">
        <v>1469</v>
      </c>
    </row>
    <row r="12" spans="1:29" x14ac:dyDescent="0.15">
      <c r="A12">
        <v>26123025</v>
      </c>
      <c r="B12" t="s">
        <v>254</v>
      </c>
      <c r="C12" t="s">
        <v>1479</v>
      </c>
      <c r="D12" t="s">
        <v>1462</v>
      </c>
      <c r="E12" t="s">
        <v>1463</v>
      </c>
      <c r="F12" t="s">
        <v>123</v>
      </c>
      <c r="G12" t="s">
        <v>1464</v>
      </c>
      <c r="H12" t="s">
        <v>7</v>
      </c>
      <c r="I12" t="s">
        <v>516</v>
      </c>
      <c r="J12" t="s">
        <v>1465</v>
      </c>
      <c r="K12" t="s">
        <v>1466</v>
      </c>
      <c r="L12" t="s">
        <v>131</v>
      </c>
      <c r="R12">
        <v>666.66</v>
      </c>
      <c r="AA12" t="s">
        <v>1468</v>
      </c>
      <c r="AB12" t="s">
        <v>1469</v>
      </c>
    </row>
    <row r="13" spans="1:29" x14ac:dyDescent="0.15">
      <c r="A13">
        <v>26123026</v>
      </c>
      <c r="B13" t="s">
        <v>258</v>
      </c>
      <c r="C13" t="s">
        <v>1480</v>
      </c>
      <c r="D13" t="s">
        <v>1462</v>
      </c>
      <c r="E13" t="s">
        <v>1463</v>
      </c>
      <c r="F13" t="s">
        <v>123</v>
      </c>
      <c r="G13" t="s">
        <v>1464</v>
      </c>
      <c r="H13" t="s">
        <v>7</v>
      </c>
      <c r="I13" t="s">
        <v>516</v>
      </c>
      <c r="J13" t="s">
        <v>1465</v>
      </c>
      <c r="K13" t="s">
        <v>1466</v>
      </c>
      <c r="L13" t="s">
        <v>131</v>
      </c>
      <c r="Q13">
        <v>200</v>
      </c>
      <c r="X13">
        <v>100</v>
      </c>
      <c r="AA13" t="s">
        <v>1468</v>
      </c>
      <c r="AB13" t="s">
        <v>1469</v>
      </c>
    </row>
    <row r="14" spans="1:29" x14ac:dyDescent="0.15">
      <c r="A14">
        <v>26123079</v>
      </c>
      <c r="B14" t="s">
        <v>485</v>
      </c>
      <c r="C14" t="s">
        <v>1481</v>
      </c>
      <c r="D14" t="s">
        <v>1462</v>
      </c>
      <c r="E14" t="s">
        <v>1463</v>
      </c>
      <c r="F14" t="s">
        <v>123</v>
      </c>
      <c r="G14" t="s">
        <v>1464</v>
      </c>
      <c r="H14" t="s">
        <v>7</v>
      </c>
      <c r="I14" t="s">
        <v>516</v>
      </c>
      <c r="J14" t="s">
        <v>1465</v>
      </c>
      <c r="K14" t="s">
        <v>1466</v>
      </c>
      <c r="L14" t="s">
        <v>131</v>
      </c>
      <c r="S14">
        <v>1500</v>
      </c>
      <c r="Z14" t="s">
        <v>1410</v>
      </c>
      <c r="AA14" t="s">
        <v>1468</v>
      </c>
      <c r="AB14" t="s">
        <v>1469</v>
      </c>
    </row>
    <row r="15" spans="1:29" x14ac:dyDescent="0.15">
      <c r="A15">
        <v>26123081</v>
      </c>
      <c r="B15" t="s">
        <v>495</v>
      </c>
      <c r="C15" t="s">
        <v>1482</v>
      </c>
      <c r="D15" t="s">
        <v>1462</v>
      </c>
      <c r="E15" t="s">
        <v>1463</v>
      </c>
      <c r="F15" t="s">
        <v>123</v>
      </c>
      <c r="G15" t="s">
        <v>1464</v>
      </c>
      <c r="H15" t="s">
        <v>7</v>
      </c>
      <c r="I15" t="s">
        <v>516</v>
      </c>
      <c r="J15" t="s">
        <v>1465</v>
      </c>
      <c r="K15" t="s">
        <v>1466</v>
      </c>
      <c r="L15" t="s">
        <v>131</v>
      </c>
      <c r="N15">
        <v>100</v>
      </c>
      <c r="AA15" t="s">
        <v>1468</v>
      </c>
      <c r="AB15" t="s">
        <v>1469</v>
      </c>
    </row>
    <row r="16" spans="1:29" x14ac:dyDescent="0.15">
      <c r="A16">
        <v>26123082</v>
      </c>
      <c r="B16" t="s">
        <v>502</v>
      </c>
      <c r="C16" t="s">
        <v>1483</v>
      </c>
      <c r="D16" t="s">
        <v>1462</v>
      </c>
      <c r="E16" t="s">
        <v>1463</v>
      </c>
      <c r="F16" t="s">
        <v>123</v>
      </c>
      <c r="G16" t="s">
        <v>1464</v>
      </c>
      <c r="H16" t="s">
        <v>7</v>
      </c>
      <c r="I16" t="s">
        <v>516</v>
      </c>
      <c r="J16" t="s">
        <v>1465</v>
      </c>
      <c r="K16" t="s">
        <v>1466</v>
      </c>
      <c r="L16" t="s">
        <v>131</v>
      </c>
      <c r="Q16">
        <v>100</v>
      </c>
      <c r="AA16" t="s">
        <v>1468</v>
      </c>
      <c r="AB16" t="s">
        <v>1469</v>
      </c>
    </row>
    <row r="17" spans="1:28" x14ac:dyDescent="0.15">
      <c r="A17">
        <v>26123083</v>
      </c>
      <c r="B17" t="s">
        <v>509</v>
      </c>
      <c r="C17" t="s">
        <v>1484</v>
      </c>
      <c r="D17" t="s">
        <v>1462</v>
      </c>
      <c r="E17" t="s">
        <v>1463</v>
      </c>
      <c r="F17" t="s">
        <v>123</v>
      </c>
      <c r="G17" t="s">
        <v>1464</v>
      </c>
      <c r="H17" t="s">
        <v>7</v>
      </c>
      <c r="I17" t="s">
        <v>516</v>
      </c>
      <c r="J17" t="s">
        <v>1465</v>
      </c>
      <c r="K17" t="s">
        <v>1466</v>
      </c>
      <c r="L17" t="s">
        <v>131</v>
      </c>
      <c r="N17">
        <v>300</v>
      </c>
      <c r="AA17" t="s">
        <v>1468</v>
      </c>
      <c r="AB17" t="s">
        <v>1469</v>
      </c>
    </row>
    <row r="18" spans="1:28" x14ac:dyDescent="0.15">
      <c r="A18">
        <v>26123084</v>
      </c>
      <c r="B18" t="s">
        <v>512</v>
      </c>
      <c r="C18" t="s">
        <v>1485</v>
      </c>
      <c r="D18" t="s">
        <v>1462</v>
      </c>
      <c r="E18" t="s">
        <v>1463</v>
      </c>
      <c r="F18" t="s">
        <v>123</v>
      </c>
      <c r="G18" t="s">
        <v>1464</v>
      </c>
      <c r="H18" t="s">
        <v>7</v>
      </c>
      <c r="I18" t="s">
        <v>516</v>
      </c>
      <c r="J18" t="s">
        <v>1465</v>
      </c>
      <c r="K18" t="s">
        <v>1466</v>
      </c>
      <c r="L18" t="s">
        <v>131</v>
      </c>
      <c r="U18">
        <v>6325</v>
      </c>
      <c r="AA18" t="s">
        <v>1468</v>
      </c>
      <c r="AB18" t="s">
        <v>1469</v>
      </c>
    </row>
    <row r="19" spans="1:28" x14ac:dyDescent="0.15">
      <c r="A19">
        <v>26123085</v>
      </c>
      <c r="B19" t="s">
        <v>519</v>
      </c>
      <c r="C19" t="s">
        <v>1486</v>
      </c>
      <c r="D19" t="s">
        <v>1462</v>
      </c>
      <c r="E19" t="s">
        <v>1463</v>
      </c>
      <c r="F19" t="s">
        <v>123</v>
      </c>
      <c r="G19" t="s">
        <v>1464</v>
      </c>
      <c r="H19" t="s">
        <v>7</v>
      </c>
      <c r="I19" t="s">
        <v>516</v>
      </c>
      <c r="J19" t="s">
        <v>1465</v>
      </c>
      <c r="K19" t="s">
        <v>1466</v>
      </c>
      <c r="L19" t="s">
        <v>131</v>
      </c>
      <c r="R19">
        <v>200</v>
      </c>
      <c r="AA19" t="s">
        <v>1468</v>
      </c>
      <c r="AB19" t="s">
        <v>1469</v>
      </c>
    </row>
    <row r="20" spans="1:28" x14ac:dyDescent="0.15">
      <c r="A20">
        <v>26123086</v>
      </c>
      <c r="B20" t="s">
        <v>523</v>
      </c>
      <c r="C20" t="s">
        <v>1487</v>
      </c>
      <c r="D20" t="s">
        <v>1462</v>
      </c>
      <c r="E20" t="s">
        <v>1463</v>
      </c>
      <c r="F20" t="s">
        <v>123</v>
      </c>
      <c r="G20" t="s">
        <v>1464</v>
      </c>
      <c r="H20" t="s">
        <v>7</v>
      </c>
      <c r="I20" t="s">
        <v>516</v>
      </c>
      <c r="J20" t="s">
        <v>1465</v>
      </c>
      <c r="K20" t="s">
        <v>1466</v>
      </c>
      <c r="L20" t="s">
        <v>131</v>
      </c>
      <c r="Q20">
        <v>300</v>
      </c>
      <c r="AA20" t="s">
        <v>1468</v>
      </c>
      <c r="AB20" t="s">
        <v>1469</v>
      </c>
    </row>
    <row r="21" spans="1:28" x14ac:dyDescent="0.15">
      <c r="A21">
        <v>26123087</v>
      </c>
      <c r="B21" t="s">
        <v>530</v>
      </c>
      <c r="C21" t="s">
        <v>1488</v>
      </c>
      <c r="D21" t="s">
        <v>1462</v>
      </c>
      <c r="E21" t="s">
        <v>1463</v>
      </c>
      <c r="F21" t="s">
        <v>123</v>
      </c>
      <c r="G21" t="s">
        <v>1464</v>
      </c>
      <c r="H21" t="s">
        <v>7</v>
      </c>
      <c r="I21" t="s">
        <v>516</v>
      </c>
      <c r="J21" t="s">
        <v>1465</v>
      </c>
      <c r="K21" t="s">
        <v>1466</v>
      </c>
      <c r="L21" t="s">
        <v>131</v>
      </c>
      <c r="N21">
        <v>100</v>
      </c>
      <c r="P21">
        <v>222</v>
      </c>
      <c r="AA21" t="s">
        <v>1468</v>
      </c>
      <c r="AB21" t="s">
        <v>1469</v>
      </c>
    </row>
    <row r="22" spans="1:28" x14ac:dyDescent="0.15">
      <c r="A22">
        <v>26123098</v>
      </c>
      <c r="B22" t="s">
        <v>583</v>
      </c>
      <c r="C22" t="s">
        <v>1489</v>
      </c>
      <c r="D22" t="s">
        <v>1462</v>
      </c>
      <c r="E22" t="s">
        <v>1463</v>
      </c>
      <c r="F22" t="s">
        <v>123</v>
      </c>
      <c r="G22" t="s">
        <v>1464</v>
      </c>
      <c r="H22" t="s">
        <v>7</v>
      </c>
      <c r="I22" t="s">
        <v>516</v>
      </c>
      <c r="J22" t="s">
        <v>1465</v>
      </c>
      <c r="K22" t="s">
        <v>1466</v>
      </c>
      <c r="L22" t="s">
        <v>131</v>
      </c>
      <c r="N22">
        <v>200</v>
      </c>
      <c r="AA22" t="s">
        <v>1468</v>
      </c>
      <c r="AB22" t="s">
        <v>1469</v>
      </c>
    </row>
    <row r="23" spans="1:28" x14ac:dyDescent="0.15">
      <c r="A23">
        <v>26123099</v>
      </c>
      <c r="B23" t="s">
        <v>590</v>
      </c>
      <c r="C23" t="s">
        <v>1490</v>
      </c>
      <c r="D23" t="s">
        <v>1462</v>
      </c>
      <c r="E23" t="s">
        <v>1463</v>
      </c>
      <c r="F23" t="s">
        <v>123</v>
      </c>
      <c r="G23" t="s">
        <v>1464</v>
      </c>
      <c r="H23" t="s">
        <v>7</v>
      </c>
      <c r="I23" t="s">
        <v>516</v>
      </c>
      <c r="J23" t="s">
        <v>1465</v>
      </c>
      <c r="K23" t="s">
        <v>1466</v>
      </c>
      <c r="L23" t="s">
        <v>131</v>
      </c>
      <c r="T23">
        <v>200</v>
      </c>
      <c r="AA23" t="s">
        <v>1468</v>
      </c>
      <c r="AB23" t="s">
        <v>1469</v>
      </c>
    </row>
    <row r="24" spans="1:28" x14ac:dyDescent="0.15">
      <c r="A24">
        <v>26123102</v>
      </c>
      <c r="B24" t="s">
        <v>605</v>
      </c>
      <c r="C24" t="s">
        <v>1491</v>
      </c>
      <c r="D24" t="s">
        <v>1462</v>
      </c>
      <c r="E24" t="s">
        <v>1463</v>
      </c>
      <c r="F24" t="s">
        <v>123</v>
      </c>
      <c r="G24" t="s">
        <v>1464</v>
      </c>
      <c r="H24" t="s">
        <v>7</v>
      </c>
      <c r="I24" t="s">
        <v>516</v>
      </c>
      <c r="J24" t="s">
        <v>1465</v>
      </c>
      <c r="K24" t="s">
        <v>1466</v>
      </c>
      <c r="L24" t="s">
        <v>131</v>
      </c>
      <c r="M24">
        <v>110</v>
      </c>
      <c r="V24">
        <v>100</v>
      </c>
      <c r="AA24" t="s">
        <v>1468</v>
      </c>
      <c r="AB24" t="s">
        <v>1469</v>
      </c>
    </row>
    <row r="25" spans="1:28" x14ac:dyDescent="0.15">
      <c r="A25">
        <v>26123031</v>
      </c>
      <c r="B25" t="s">
        <v>278</v>
      </c>
      <c r="C25" t="s">
        <v>1492</v>
      </c>
      <c r="D25" t="s">
        <v>1462</v>
      </c>
      <c r="E25" t="s">
        <v>1463</v>
      </c>
      <c r="F25" t="s">
        <v>123</v>
      </c>
      <c r="G25" t="s">
        <v>1464</v>
      </c>
      <c r="H25" t="s">
        <v>7</v>
      </c>
      <c r="I25" t="s">
        <v>516</v>
      </c>
      <c r="J25" t="s">
        <v>1465</v>
      </c>
      <c r="K25" t="s">
        <v>1466</v>
      </c>
      <c r="L25" t="s">
        <v>154</v>
      </c>
      <c r="Q25">
        <v>200</v>
      </c>
      <c r="U25">
        <v>6512.36</v>
      </c>
      <c r="AA25" t="s">
        <v>1468</v>
      </c>
      <c r="AB25" t="s">
        <v>1469</v>
      </c>
    </row>
    <row r="26" spans="1:28" x14ac:dyDescent="0.15">
      <c r="A26">
        <v>26123032</v>
      </c>
      <c r="B26" t="s">
        <v>282</v>
      </c>
      <c r="C26" t="s">
        <v>1493</v>
      </c>
      <c r="D26" t="s">
        <v>1462</v>
      </c>
      <c r="E26" t="s">
        <v>1463</v>
      </c>
      <c r="F26" t="s">
        <v>123</v>
      </c>
      <c r="G26" t="s">
        <v>1464</v>
      </c>
      <c r="H26" t="s">
        <v>7</v>
      </c>
      <c r="I26" t="s">
        <v>516</v>
      </c>
      <c r="J26" t="s">
        <v>1465</v>
      </c>
      <c r="K26" t="s">
        <v>1466</v>
      </c>
      <c r="L26" t="s">
        <v>154</v>
      </c>
      <c r="M26">
        <v>222.22</v>
      </c>
      <c r="V26">
        <v>100</v>
      </c>
      <c r="W26">
        <v>100</v>
      </c>
      <c r="X26">
        <v>100</v>
      </c>
      <c r="Y26">
        <v>200</v>
      </c>
      <c r="AA26" t="s">
        <v>1468</v>
      </c>
      <c r="AB26" t="s">
        <v>1469</v>
      </c>
    </row>
    <row r="27" spans="1:28" x14ac:dyDescent="0.15">
      <c r="A27">
        <v>26123033</v>
      </c>
      <c r="B27" t="s">
        <v>286</v>
      </c>
      <c r="C27" t="s">
        <v>1494</v>
      </c>
      <c r="D27" t="s">
        <v>1462</v>
      </c>
      <c r="E27" t="s">
        <v>1463</v>
      </c>
      <c r="F27" t="s">
        <v>123</v>
      </c>
      <c r="G27" t="s">
        <v>1464</v>
      </c>
      <c r="H27" t="s">
        <v>7</v>
      </c>
      <c r="I27" t="s">
        <v>516</v>
      </c>
      <c r="J27" t="s">
        <v>1465</v>
      </c>
      <c r="K27" t="s">
        <v>1466</v>
      </c>
      <c r="L27" t="s">
        <v>154</v>
      </c>
      <c r="N27">
        <v>200</v>
      </c>
      <c r="AA27" t="s">
        <v>1468</v>
      </c>
      <c r="AB27" t="s">
        <v>1469</v>
      </c>
    </row>
    <row r="28" spans="1:28" x14ac:dyDescent="0.15">
      <c r="A28">
        <v>26123034</v>
      </c>
      <c r="B28" t="s">
        <v>293</v>
      </c>
      <c r="C28" t="s">
        <v>1495</v>
      </c>
      <c r="D28" t="s">
        <v>1462</v>
      </c>
      <c r="E28" t="s">
        <v>1463</v>
      </c>
      <c r="F28" t="s">
        <v>123</v>
      </c>
      <c r="G28" t="s">
        <v>1464</v>
      </c>
      <c r="H28" t="s">
        <v>7</v>
      </c>
      <c r="I28" t="s">
        <v>516</v>
      </c>
      <c r="J28" t="s">
        <v>1465</v>
      </c>
      <c r="K28" t="s">
        <v>1466</v>
      </c>
      <c r="L28" t="s">
        <v>154</v>
      </c>
      <c r="O28">
        <v>666</v>
      </c>
      <c r="Q28">
        <v>100</v>
      </c>
      <c r="S28">
        <v>5560</v>
      </c>
      <c r="Z28" t="s">
        <v>1410</v>
      </c>
      <c r="AA28" t="s">
        <v>1468</v>
      </c>
      <c r="AB28" t="s">
        <v>1469</v>
      </c>
    </row>
    <row r="29" spans="1:28" x14ac:dyDescent="0.15">
      <c r="A29">
        <v>26123035</v>
      </c>
      <c r="B29" t="s">
        <v>297</v>
      </c>
      <c r="C29" t="s">
        <v>1496</v>
      </c>
      <c r="D29" t="s">
        <v>1462</v>
      </c>
      <c r="E29" t="s">
        <v>1463</v>
      </c>
      <c r="F29" t="s">
        <v>123</v>
      </c>
      <c r="G29" t="s">
        <v>1464</v>
      </c>
      <c r="H29" t="s">
        <v>7</v>
      </c>
      <c r="I29" t="s">
        <v>516</v>
      </c>
      <c r="J29" t="s">
        <v>1465</v>
      </c>
      <c r="K29" t="s">
        <v>1466</v>
      </c>
      <c r="L29" t="s">
        <v>154</v>
      </c>
      <c r="M29">
        <v>100</v>
      </c>
      <c r="S29">
        <v>3600</v>
      </c>
      <c r="Z29" t="s">
        <v>1410</v>
      </c>
      <c r="AA29" t="s">
        <v>1468</v>
      </c>
      <c r="AB29" t="s">
        <v>1469</v>
      </c>
    </row>
    <row r="30" spans="1:28" x14ac:dyDescent="0.15">
      <c r="A30">
        <v>26123036</v>
      </c>
      <c r="B30" t="s">
        <v>301</v>
      </c>
      <c r="C30" t="s">
        <v>1497</v>
      </c>
      <c r="D30" t="s">
        <v>1462</v>
      </c>
      <c r="E30" t="s">
        <v>1463</v>
      </c>
      <c r="F30" t="s">
        <v>123</v>
      </c>
      <c r="G30" t="s">
        <v>1464</v>
      </c>
      <c r="H30" t="s">
        <v>7</v>
      </c>
      <c r="I30" t="s">
        <v>516</v>
      </c>
      <c r="J30" t="s">
        <v>1465</v>
      </c>
      <c r="K30" t="s">
        <v>1466</v>
      </c>
      <c r="L30" t="s">
        <v>154</v>
      </c>
      <c r="N30">
        <v>333.33</v>
      </c>
      <c r="Q30">
        <v>200</v>
      </c>
      <c r="R30">
        <v>222.22</v>
      </c>
      <c r="AA30" t="s">
        <v>1468</v>
      </c>
      <c r="AB30" t="s">
        <v>1469</v>
      </c>
    </row>
    <row r="31" spans="1:28" x14ac:dyDescent="0.15">
      <c r="A31">
        <v>26123058</v>
      </c>
      <c r="B31" t="s">
        <v>392</v>
      </c>
      <c r="C31" t="s">
        <v>1498</v>
      </c>
      <c r="D31" t="s">
        <v>1462</v>
      </c>
      <c r="E31" t="s">
        <v>1463</v>
      </c>
      <c r="F31" t="s">
        <v>123</v>
      </c>
      <c r="G31" t="s">
        <v>1464</v>
      </c>
      <c r="H31" t="s">
        <v>7</v>
      </c>
      <c r="I31" t="s">
        <v>516</v>
      </c>
      <c r="J31" t="s">
        <v>1465</v>
      </c>
      <c r="K31" t="s">
        <v>1466</v>
      </c>
      <c r="L31" t="s">
        <v>154</v>
      </c>
      <c r="M31">
        <v>360.52</v>
      </c>
      <c r="N31">
        <v>200</v>
      </c>
      <c r="AA31" t="s">
        <v>1468</v>
      </c>
      <c r="AB31" t="s">
        <v>1469</v>
      </c>
    </row>
    <row r="32" spans="1:28" x14ac:dyDescent="0.15">
      <c r="A32">
        <v>26123059</v>
      </c>
      <c r="B32" t="s">
        <v>394</v>
      </c>
      <c r="C32" t="s">
        <v>1499</v>
      </c>
      <c r="D32" t="s">
        <v>1462</v>
      </c>
      <c r="E32" t="s">
        <v>1463</v>
      </c>
      <c r="F32" t="s">
        <v>123</v>
      </c>
      <c r="G32" t="s">
        <v>1464</v>
      </c>
      <c r="H32" t="s">
        <v>7</v>
      </c>
      <c r="I32" t="s">
        <v>516</v>
      </c>
      <c r="J32" t="s">
        <v>1465</v>
      </c>
      <c r="K32" t="s">
        <v>1466</v>
      </c>
      <c r="L32" t="s">
        <v>154</v>
      </c>
      <c r="R32">
        <v>666</v>
      </c>
      <c r="AA32" t="s">
        <v>1468</v>
      </c>
      <c r="AB32" t="s">
        <v>1469</v>
      </c>
    </row>
    <row r="33" spans="1:28" x14ac:dyDescent="0.15">
      <c r="A33">
        <v>26123060</v>
      </c>
      <c r="B33" t="s">
        <v>397</v>
      </c>
      <c r="C33" t="s">
        <v>1500</v>
      </c>
      <c r="D33" t="s">
        <v>1462</v>
      </c>
      <c r="E33" t="s">
        <v>1463</v>
      </c>
      <c r="F33" t="s">
        <v>123</v>
      </c>
      <c r="G33" t="s">
        <v>1464</v>
      </c>
      <c r="H33" t="s">
        <v>7</v>
      </c>
      <c r="I33" t="s">
        <v>516</v>
      </c>
      <c r="J33" t="s">
        <v>1465</v>
      </c>
      <c r="K33" t="s">
        <v>1466</v>
      </c>
      <c r="L33" t="s">
        <v>154</v>
      </c>
      <c r="N33">
        <v>200</v>
      </c>
      <c r="Q33">
        <v>200</v>
      </c>
      <c r="Y33">
        <v>300</v>
      </c>
      <c r="AA33" t="s">
        <v>1468</v>
      </c>
      <c r="AB33" t="s">
        <v>1469</v>
      </c>
    </row>
    <row r="34" spans="1:28" x14ac:dyDescent="0.15">
      <c r="A34">
        <v>26123061</v>
      </c>
      <c r="B34" t="s">
        <v>401</v>
      </c>
      <c r="C34" t="s">
        <v>1501</v>
      </c>
      <c r="D34" t="s">
        <v>1462</v>
      </c>
      <c r="E34" t="s">
        <v>1463</v>
      </c>
      <c r="F34" t="s">
        <v>123</v>
      </c>
      <c r="G34" t="s">
        <v>1464</v>
      </c>
      <c r="H34" t="s">
        <v>7</v>
      </c>
      <c r="I34" t="s">
        <v>516</v>
      </c>
      <c r="J34" t="s">
        <v>1465</v>
      </c>
      <c r="K34" t="s">
        <v>1466</v>
      </c>
      <c r="L34" t="s">
        <v>154</v>
      </c>
      <c r="R34">
        <v>360</v>
      </c>
      <c r="T34">
        <v>200</v>
      </c>
      <c r="V34">
        <v>200</v>
      </c>
      <c r="AA34" t="s">
        <v>1468</v>
      </c>
      <c r="AB34" t="s">
        <v>1469</v>
      </c>
    </row>
    <row r="35" spans="1:28" x14ac:dyDescent="0.15">
      <c r="A35">
        <v>26123065</v>
      </c>
      <c r="B35" t="s">
        <v>423</v>
      </c>
      <c r="C35" t="s">
        <v>1502</v>
      </c>
      <c r="D35" t="s">
        <v>1462</v>
      </c>
      <c r="E35" t="s">
        <v>1463</v>
      </c>
      <c r="F35" t="s">
        <v>123</v>
      </c>
      <c r="G35" t="s">
        <v>1464</v>
      </c>
      <c r="H35" t="s">
        <v>7</v>
      </c>
      <c r="I35" t="s">
        <v>516</v>
      </c>
      <c r="J35" t="s">
        <v>1465</v>
      </c>
      <c r="K35" t="s">
        <v>1466</v>
      </c>
      <c r="L35" t="s">
        <v>154</v>
      </c>
      <c r="N35">
        <v>200</v>
      </c>
      <c r="V35">
        <v>120</v>
      </c>
      <c r="W35">
        <v>11.11</v>
      </c>
      <c r="AA35" t="s">
        <v>1468</v>
      </c>
      <c r="AB35" t="s">
        <v>1469</v>
      </c>
    </row>
    <row r="36" spans="1:28" x14ac:dyDescent="0.15">
      <c r="A36">
        <v>26123066</v>
      </c>
      <c r="B36" t="s">
        <v>427</v>
      </c>
      <c r="C36" t="s">
        <v>1503</v>
      </c>
      <c r="D36" t="s">
        <v>1462</v>
      </c>
      <c r="E36" t="s">
        <v>1463</v>
      </c>
      <c r="F36" t="s">
        <v>123</v>
      </c>
      <c r="G36" t="s">
        <v>1464</v>
      </c>
      <c r="H36" t="s">
        <v>7</v>
      </c>
      <c r="I36" t="s">
        <v>516</v>
      </c>
      <c r="J36" t="s">
        <v>1465</v>
      </c>
      <c r="K36" t="s">
        <v>1466</v>
      </c>
      <c r="L36" t="s">
        <v>154</v>
      </c>
      <c r="V36">
        <v>100</v>
      </c>
      <c r="AA36" t="s">
        <v>1468</v>
      </c>
      <c r="AB36" t="s">
        <v>1469</v>
      </c>
    </row>
    <row r="37" spans="1:28" x14ac:dyDescent="0.15">
      <c r="A37">
        <v>26123091</v>
      </c>
      <c r="B37" t="s">
        <v>552</v>
      </c>
      <c r="C37" t="s">
        <v>1504</v>
      </c>
      <c r="D37" t="s">
        <v>1462</v>
      </c>
      <c r="E37" t="s">
        <v>1463</v>
      </c>
      <c r="F37" t="s">
        <v>123</v>
      </c>
      <c r="G37" t="s">
        <v>1464</v>
      </c>
      <c r="H37" t="s">
        <v>7</v>
      </c>
      <c r="I37" t="s">
        <v>516</v>
      </c>
      <c r="J37" t="s">
        <v>1465</v>
      </c>
      <c r="K37" t="s">
        <v>1466</v>
      </c>
      <c r="L37" t="s">
        <v>154</v>
      </c>
      <c r="N37">
        <v>300</v>
      </c>
      <c r="AA37" t="s">
        <v>1468</v>
      </c>
      <c r="AB37" t="s">
        <v>1469</v>
      </c>
    </row>
    <row r="38" spans="1:28" x14ac:dyDescent="0.15">
      <c r="A38">
        <v>26123092</v>
      </c>
      <c r="B38" t="s">
        <v>555</v>
      </c>
      <c r="C38" t="s">
        <v>1505</v>
      </c>
      <c r="D38" t="s">
        <v>1462</v>
      </c>
      <c r="E38" t="s">
        <v>1463</v>
      </c>
      <c r="F38" t="s">
        <v>123</v>
      </c>
      <c r="G38" t="s">
        <v>1464</v>
      </c>
      <c r="H38" t="s">
        <v>7</v>
      </c>
      <c r="I38" t="s">
        <v>516</v>
      </c>
      <c r="J38" t="s">
        <v>1465</v>
      </c>
      <c r="K38" t="s">
        <v>1466</v>
      </c>
      <c r="L38" t="s">
        <v>154</v>
      </c>
      <c r="T38">
        <v>666.66</v>
      </c>
      <c r="AA38" t="s">
        <v>1468</v>
      </c>
      <c r="AB38" t="s">
        <v>1469</v>
      </c>
    </row>
    <row r="39" spans="1:28" x14ac:dyDescent="0.15">
      <c r="A39">
        <v>26123094</v>
      </c>
      <c r="B39" t="s">
        <v>562</v>
      </c>
      <c r="C39" t="s">
        <v>1506</v>
      </c>
      <c r="D39" t="s">
        <v>1462</v>
      </c>
      <c r="E39" t="s">
        <v>1463</v>
      </c>
      <c r="F39" t="s">
        <v>123</v>
      </c>
      <c r="G39" t="s">
        <v>1464</v>
      </c>
      <c r="H39" t="s">
        <v>7</v>
      </c>
      <c r="I39" t="s">
        <v>516</v>
      </c>
      <c r="J39" t="s">
        <v>1465</v>
      </c>
      <c r="K39" t="s">
        <v>1466</v>
      </c>
      <c r="L39" t="s">
        <v>154</v>
      </c>
      <c r="U39">
        <v>5623</v>
      </c>
      <c r="AA39" t="s">
        <v>1468</v>
      </c>
      <c r="AB39" t="s">
        <v>1469</v>
      </c>
    </row>
    <row r="40" spans="1:28" x14ac:dyDescent="0.15">
      <c r="A40">
        <v>26123096</v>
      </c>
      <c r="B40" t="s">
        <v>572</v>
      </c>
      <c r="C40" t="s">
        <v>1507</v>
      </c>
      <c r="D40" t="s">
        <v>1462</v>
      </c>
      <c r="E40" t="s">
        <v>1463</v>
      </c>
      <c r="F40" t="s">
        <v>123</v>
      </c>
      <c r="G40" t="s">
        <v>1464</v>
      </c>
      <c r="H40" t="s">
        <v>7</v>
      </c>
      <c r="I40" t="s">
        <v>516</v>
      </c>
      <c r="J40" t="s">
        <v>1465</v>
      </c>
      <c r="K40" t="s">
        <v>1466</v>
      </c>
      <c r="L40" t="s">
        <v>154</v>
      </c>
      <c r="M40">
        <v>600</v>
      </c>
      <c r="X40">
        <v>22.22</v>
      </c>
      <c r="AA40" t="s">
        <v>1468</v>
      </c>
      <c r="AB40" t="s">
        <v>1469</v>
      </c>
    </row>
    <row r="41" spans="1:28" x14ac:dyDescent="0.15">
      <c r="A41">
        <v>26123097</v>
      </c>
      <c r="B41" t="s">
        <v>576</v>
      </c>
      <c r="C41" t="s">
        <v>1508</v>
      </c>
      <c r="D41" t="s">
        <v>1462</v>
      </c>
      <c r="E41" t="s">
        <v>1463</v>
      </c>
      <c r="F41" t="s">
        <v>123</v>
      </c>
      <c r="G41" t="s">
        <v>1464</v>
      </c>
      <c r="H41" t="s">
        <v>7</v>
      </c>
      <c r="I41" t="s">
        <v>516</v>
      </c>
      <c r="J41" t="s">
        <v>1465</v>
      </c>
      <c r="K41" t="s">
        <v>1466</v>
      </c>
      <c r="L41" t="s">
        <v>154</v>
      </c>
      <c r="M41">
        <v>200</v>
      </c>
      <c r="AA41" t="s">
        <v>1468</v>
      </c>
      <c r="AB41" t="s">
        <v>1469</v>
      </c>
    </row>
    <row r="42" spans="1:28" x14ac:dyDescent="0.15">
      <c r="A42">
        <v>26123100</v>
      </c>
      <c r="B42" t="s">
        <v>595</v>
      </c>
      <c r="C42" t="s">
        <v>1509</v>
      </c>
      <c r="D42" t="s">
        <v>1462</v>
      </c>
      <c r="E42" t="s">
        <v>1463</v>
      </c>
      <c r="F42" t="s">
        <v>123</v>
      </c>
      <c r="G42" t="s">
        <v>1464</v>
      </c>
      <c r="H42" t="s">
        <v>7</v>
      </c>
      <c r="I42" t="s">
        <v>516</v>
      </c>
      <c r="J42" t="s">
        <v>1465</v>
      </c>
      <c r="K42" t="s">
        <v>1466</v>
      </c>
      <c r="L42" t="s">
        <v>154</v>
      </c>
      <c r="Y42">
        <v>230</v>
      </c>
      <c r="AA42" t="s">
        <v>1468</v>
      </c>
      <c r="AB42" t="s">
        <v>1469</v>
      </c>
    </row>
    <row r="43" spans="1:28" x14ac:dyDescent="0.15">
      <c r="A43">
        <v>26123101</v>
      </c>
      <c r="B43" t="s">
        <v>599</v>
      </c>
      <c r="C43" t="s">
        <v>1510</v>
      </c>
      <c r="D43" t="s">
        <v>1462</v>
      </c>
      <c r="E43" t="s">
        <v>1463</v>
      </c>
      <c r="F43" t="s">
        <v>123</v>
      </c>
      <c r="G43" t="s">
        <v>1464</v>
      </c>
      <c r="H43" t="s">
        <v>7</v>
      </c>
      <c r="I43" t="s">
        <v>516</v>
      </c>
      <c r="J43" t="s">
        <v>1465</v>
      </c>
      <c r="K43" t="s">
        <v>1466</v>
      </c>
      <c r="L43" t="s">
        <v>154</v>
      </c>
      <c r="Q43">
        <v>100</v>
      </c>
      <c r="AA43" t="s">
        <v>1468</v>
      </c>
      <c r="AB43" t="s">
        <v>1469</v>
      </c>
    </row>
    <row r="44" spans="1:28" x14ac:dyDescent="0.15">
      <c r="A44">
        <v>26123103</v>
      </c>
      <c r="B44" t="s">
        <v>612</v>
      </c>
      <c r="C44" t="s">
        <v>1511</v>
      </c>
      <c r="D44" t="s">
        <v>1462</v>
      </c>
      <c r="E44" t="s">
        <v>1463</v>
      </c>
      <c r="F44" t="s">
        <v>123</v>
      </c>
      <c r="G44" t="s">
        <v>1464</v>
      </c>
      <c r="H44" t="s">
        <v>7</v>
      </c>
      <c r="I44" t="s">
        <v>516</v>
      </c>
      <c r="J44" t="s">
        <v>1465</v>
      </c>
      <c r="K44" t="s">
        <v>1466</v>
      </c>
      <c r="L44" t="s">
        <v>154</v>
      </c>
      <c r="Q44">
        <v>100</v>
      </c>
      <c r="AA44" t="s">
        <v>1468</v>
      </c>
      <c r="AB44" t="s">
        <v>1469</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D104"/>
  <sheetViews>
    <sheetView workbookViewId="0"/>
  </sheetViews>
  <sheetFormatPr defaultRowHeight="13.5" x14ac:dyDescent="0.15"/>
  <sheetData>
    <row r="1" spans="1:82" x14ac:dyDescent="0.15">
      <c r="A1" s="1" t="s">
        <v>1512</v>
      </c>
      <c r="B1" s="1" t="s">
        <v>615</v>
      </c>
      <c r="C1" s="1" t="s">
        <v>1032</v>
      </c>
      <c r="D1" s="1" t="s">
        <v>1513</v>
      </c>
      <c r="E1" s="1" t="s">
        <v>100</v>
      </c>
      <c r="F1" s="1" t="s">
        <v>101</v>
      </c>
      <c r="G1" s="1" t="s">
        <v>102</v>
      </c>
      <c r="H1" s="1" t="s">
        <v>103</v>
      </c>
      <c r="I1" s="1" t="s">
        <v>99</v>
      </c>
      <c r="J1" s="1" t="s">
        <v>1514</v>
      </c>
      <c r="K1" s="1" t="s">
        <v>1515</v>
      </c>
      <c r="L1" s="1" t="s">
        <v>1516</v>
      </c>
      <c r="M1" s="1" t="s">
        <v>1517</v>
      </c>
      <c r="N1" s="1" t="s">
        <v>1518</v>
      </c>
      <c r="O1" s="1" t="s">
        <v>1519</v>
      </c>
      <c r="P1" s="1" t="s">
        <v>1520</v>
      </c>
      <c r="Q1" s="1" t="s">
        <v>1521</v>
      </c>
      <c r="R1" s="1" t="s">
        <v>1522</v>
      </c>
      <c r="S1" s="1" t="s">
        <v>1523</v>
      </c>
      <c r="T1" s="1" t="s">
        <v>1524</v>
      </c>
      <c r="U1" s="1" t="s">
        <v>1525</v>
      </c>
      <c r="V1" s="1" t="s">
        <v>1526</v>
      </c>
      <c r="W1" s="1" t="s">
        <v>1527</v>
      </c>
      <c r="X1" s="1" t="s">
        <v>1528</v>
      </c>
      <c r="Y1" s="1" t="s">
        <v>1529</v>
      </c>
      <c r="Z1" s="1" t="s">
        <v>1530</v>
      </c>
      <c r="AA1" s="1" t="s">
        <v>1531</v>
      </c>
      <c r="AB1" s="1" t="s">
        <v>1532</v>
      </c>
      <c r="AC1" s="1" t="s">
        <v>1533</v>
      </c>
      <c r="AD1" s="1" t="s">
        <v>1534</v>
      </c>
      <c r="AE1" s="1" t="s">
        <v>1535</v>
      </c>
      <c r="AF1" s="1" t="s">
        <v>1536</v>
      </c>
      <c r="AG1" s="1" t="s">
        <v>1537</v>
      </c>
      <c r="AH1" s="1" t="s">
        <v>1538</v>
      </c>
      <c r="AI1" s="1" t="s">
        <v>1539</v>
      </c>
      <c r="AJ1" s="1" t="s">
        <v>1540</v>
      </c>
      <c r="AK1" s="1" t="s">
        <v>1541</v>
      </c>
      <c r="AL1" s="1" t="s">
        <v>1542</v>
      </c>
      <c r="AM1" s="1" t="s">
        <v>1543</v>
      </c>
      <c r="AN1" s="1" t="s">
        <v>1544</v>
      </c>
      <c r="AO1" s="1" t="s">
        <v>1545</v>
      </c>
      <c r="AP1" s="1" t="s">
        <v>1546</v>
      </c>
      <c r="AQ1" s="1" t="s">
        <v>1547</v>
      </c>
      <c r="AR1" s="1" t="s">
        <v>1548</v>
      </c>
      <c r="AS1" s="1" t="s">
        <v>1549</v>
      </c>
      <c r="AT1" s="1" t="s">
        <v>1550</v>
      </c>
      <c r="AU1" s="1" t="s">
        <v>1551</v>
      </c>
      <c r="AV1" s="1" t="s">
        <v>1552</v>
      </c>
      <c r="AW1" s="1" t="s">
        <v>1553</v>
      </c>
      <c r="AX1" s="1" t="s">
        <v>1554</v>
      </c>
      <c r="AY1" s="1" t="s">
        <v>1555</v>
      </c>
      <c r="AZ1" s="1" t="s">
        <v>1556</v>
      </c>
      <c r="BA1" s="1" t="s">
        <v>1557</v>
      </c>
      <c r="BB1" s="1" t="s">
        <v>1558</v>
      </c>
      <c r="BC1" s="1" t="s">
        <v>1559</v>
      </c>
      <c r="BD1" s="1" t="s">
        <v>1560</v>
      </c>
      <c r="BE1" s="1" t="s">
        <v>1561</v>
      </c>
      <c r="BF1" s="1" t="s">
        <v>1562</v>
      </c>
      <c r="BG1" s="1" t="s">
        <v>1563</v>
      </c>
      <c r="BH1" s="1" t="s">
        <v>1564</v>
      </c>
      <c r="BI1" s="1" t="s">
        <v>1565</v>
      </c>
      <c r="BJ1" s="1" t="s">
        <v>1566</v>
      </c>
      <c r="BK1" s="1" t="s">
        <v>1567</v>
      </c>
      <c r="BL1" s="1" t="s">
        <v>1568</v>
      </c>
      <c r="BM1" s="1" t="s">
        <v>1569</v>
      </c>
      <c r="BN1" s="1" t="s">
        <v>1570</v>
      </c>
      <c r="BO1" s="1" t="s">
        <v>1571</v>
      </c>
      <c r="BP1" s="1" t="s">
        <v>1572</v>
      </c>
      <c r="BQ1" s="1" t="s">
        <v>1573</v>
      </c>
      <c r="BR1" s="1" t="s">
        <v>1574</v>
      </c>
      <c r="BS1" s="1" t="s">
        <v>1575</v>
      </c>
      <c r="BT1" s="1" t="s">
        <v>1576</v>
      </c>
      <c r="BU1" s="1" t="s">
        <v>1577</v>
      </c>
      <c r="BV1" s="1" t="s">
        <v>1578</v>
      </c>
      <c r="BW1" s="1" t="s">
        <v>1579</v>
      </c>
      <c r="BX1" s="1" t="s">
        <v>1580</v>
      </c>
      <c r="BY1" s="1" t="s">
        <v>1581</v>
      </c>
      <c r="BZ1" s="1" t="s">
        <v>1582</v>
      </c>
      <c r="CA1" s="1" t="s">
        <v>1583</v>
      </c>
      <c r="CB1" s="1" t="s">
        <v>1584</v>
      </c>
      <c r="CC1" s="1" t="s">
        <v>1585</v>
      </c>
      <c r="CD1" s="1" t="s">
        <v>1586</v>
      </c>
    </row>
    <row r="2" spans="1:82" x14ac:dyDescent="0.15">
      <c r="A2" t="s">
        <v>126</v>
      </c>
      <c r="B2" t="s">
        <v>127</v>
      </c>
      <c r="C2" t="s">
        <v>132</v>
      </c>
      <c r="D2">
        <v>9787</v>
      </c>
      <c r="E2">
        <v>9787</v>
      </c>
      <c r="F2">
        <v>9787</v>
      </c>
      <c r="G2">
        <v>9787</v>
      </c>
      <c r="I2">
        <v>9787</v>
      </c>
      <c r="J2">
        <v>0.16</v>
      </c>
      <c r="K2">
        <v>0.08</v>
      </c>
      <c r="L2">
        <v>0.09</v>
      </c>
      <c r="M2">
        <v>0.02</v>
      </c>
      <c r="N2">
        <v>5.0000000000000001E-3</v>
      </c>
      <c r="O2">
        <v>5.0000000000000001E-3</v>
      </c>
      <c r="P2">
        <v>3.2000000000000002E-3</v>
      </c>
      <c r="Q2">
        <v>0</v>
      </c>
      <c r="R2">
        <v>7.0000000000000007E-2</v>
      </c>
      <c r="S2">
        <v>7.0000000000000007E-2</v>
      </c>
      <c r="T2">
        <v>1565.92</v>
      </c>
      <c r="U2">
        <v>880.83</v>
      </c>
      <c r="V2">
        <v>48.935000000000002</v>
      </c>
      <c r="W2">
        <v>31.3184</v>
      </c>
      <c r="X2">
        <v>0</v>
      </c>
      <c r="Z2">
        <v>685.09</v>
      </c>
      <c r="AA2">
        <v>3212.0934000000002</v>
      </c>
      <c r="AB2">
        <v>782.96</v>
      </c>
      <c r="AC2">
        <v>195.74</v>
      </c>
      <c r="AD2">
        <v>48.935000000000002</v>
      </c>
      <c r="AF2">
        <v>685.09</v>
      </c>
      <c r="AG2">
        <v>1712.7249999999999</v>
      </c>
      <c r="AH2">
        <v>1500.92</v>
      </c>
      <c r="AI2">
        <v>800.83</v>
      </c>
      <c r="AJ2">
        <v>40.935000000000002</v>
      </c>
      <c r="AK2">
        <v>30.3184</v>
      </c>
      <c r="AL2">
        <v>0</v>
      </c>
      <c r="AN2">
        <v>600.09</v>
      </c>
      <c r="AO2">
        <v>2973.0934000000002</v>
      </c>
      <c r="AP2">
        <v>700.96</v>
      </c>
      <c r="AQ2">
        <v>100.74</v>
      </c>
      <c r="AR2">
        <v>40.935000000000002</v>
      </c>
      <c r="AT2">
        <v>600.09</v>
      </c>
      <c r="AU2">
        <v>1442.7249999999999</v>
      </c>
      <c r="BC2">
        <v>0</v>
      </c>
      <c r="BJ2">
        <v>3066.84</v>
      </c>
      <c r="BK2">
        <v>1681.66</v>
      </c>
      <c r="BL2">
        <v>89.87</v>
      </c>
      <c r="BM2">
        <v>61.636800000000001</v>
      </c>
      <c r="BN2">
        <v>0</v>
      </c>
      <c r="BO2">
        <v>0</v>
      </c>
      <c r="BP2">
        <v>1285.18</v>
      </c>
      <c r="BT2">
        <v>6185.1868000000004</v>
      </c>
      <c r="BU2">
        <v>1483.92</v>
      </c>
      <c r="BV2">
        <v>296.48</v>
      </c>
      <c r="BW2">
        <v>89.87</v>
      </c>
      <c r="BX2">
        <v>0</v>
      </c>
      <c r="BY2">
        <v>1285.18</v>
      </c>
      <c r="BZ2">
        <v>3155.45</v>
      </c>
      <c r="CA2">
        <v>3155.45</v>
      </c>
      <c r="CD2">
        <v>2</v>
      </c>
    </row>
    <row r="3" spans="1:82" x14ac:dyDescent="0.15">
      <c r="A3" t="s">
        <v>126</v>
      </c>
      <c r="B3" t="s">
        <v>135</v>
      </c>
      <c r="C3" t="s">
        <v>137</v>
      </c>
      <c r="D3">
        <v>9971</v>
      </c>
      <c r="E3">
        <v>9971</v>
      </c>
      <c r="F3">
        <v>9971</v>
      </c>
      <c r="G3">
        <v>9971</v>
      </c>
      <c r="I3">
        <v>9971</v>
      </c>
      <c r="J3">
        <v>0.16</v>
      </c>
      <c r="K3">
        <v>0.08</v>
      </c>
      <c r="L3">
        <v>0.09</v>
      </c>
      <c r="M3">
        <v>0.02</v>
      </c>
      <c r="N3">
        <v>5.0000000000000001E-3</v>
      </c>
      <c r="O3">
        <v>5.0000000000000001E-3</v>
      </c>
      <c r="P3">
        <v>3.2000000000000002E-3</v>
      </c>
      <c r="Q3">
        <v>0</v>
      </c>
      <c r="R3">
        <v>7.0000000000000007E-2</v>
      </c>
      <c r="S3">
        <v>7.0000000000000007E-2</v>
      </c>
      <c r="T3">
        <v>1595.36</v>
      </c>
      <c r="U3">
        <v>897.39</v>
      </c>
      <c r="V3">
        <v>49.854999999999997</v>
      </c>
      <c r="W3">
        <v>31.9072</v>
      </c>
      <c r="X3">
        <v>0</v>
      </c>
      <c r="Z3">
        <v>697.97</v>
      </c>
      <c r="AA3">
        <v>3272.4821999999999</v>
      </c>
      <c r="AB3">
        <v>797.68</v>
      </c>
      <c r="AC3">
        <v>199.42</v>
      </c>
      <c r="AD3">
        <v>49.854999999999997</v>
      </c>
      <c r="AF3">
        <v>697.97</v>
      </c>
      <c r="AG3">
        <v>1744.925</v>
      </c>
      <c r="AO3">
        <v>0</v>
      </c>
      <c r="AU3">
        <v>0</v>
      </c>
      <c r="AV3">
        <v>1500.92</v>
      </c>
      <c r="AW3">
        <v>800.83</v>
      </c>
      <c r="AX3">
        <v>40.935000000000002</v>
      </c>
      <c r="AY3">
        <v>30.3184</v>
      </c>
      <c r="AZ3">
        <v>0</v>
      </c>
      <c r="BB3">
        <v>600.09</v>
      </c>
      <c r="BC3">
        <v>2973.0934000000002</v>
      </c>
      <c r="BD3">
        <v>700.96</v>
      </c>
      <c r="BE3">
        <v>100.74</v>
      </c>
      <c r="BF3">
        <v>40.935000000000002</v>
      </c>
      <c r="BH3">
        <v>600.09</v>
      </c>
      <c r="BI3">
        <v>1442.7249999999999</v>
      </c>
      <c r="BJ3">
        <v>1595.36</v>
      </c>
      <c r="BK3">
        <v>897.39</v>
      </c>
      <c r="BL3">
        <v>49.854999999999997</v>
      </c>
      <c r="BM3">
        <v>31.9072</v>
      </c>
      <c r="BN3">
        <v>0</v>
      </c>
      <c r="BO3">
        <v>0</v>
      </c>
      <c r="BP3">
        <v>697.97</v>
      </c>
      <c r="BT3">
        <v>3272.4821999999999</v>
      </c>
      <c r="BU3">
        <v>797.68</v>
      </c>
      <c r="BV3">
        <v>199.42</v>
      </c>
      <c r="BW3">
        <v>49.854999999999997</v>
      </c>
      <c r="BX3">
        <v>0</v>
      </c>
      <c r="BY3">
        <v>697.97</v>
      </c>
      <c r="BZ3">
        <v>1744.925</v>
      </c>
      <c r="CA3">
        <v>1744.925</v>
      </c>
      <c r="CD3">
        <v>2</v>
      </c>
    </row>
    <row r="4" spans="1:82" x14ac:dyDescent="0.15">
      <c r="A4" t="s">
        <v>126</v>
      </c>
      <c r="B4" t="s">
        <v>139</v>
      </c>
      <c r="C4" t="s">
        <v>142</v>
      </c>
      <c r="D4">
        <v>7460</v>
      </c>
      <c r="E4">
        <v>7460</v>
      </c>
      <c r="F4">
        <v>7460</v>
      </c>
      <c r="G4">
        <v>7460</v>
      </c>
      <c r="I4">
        <v>7284</v>
      </c>
      <c r="J4">
        <v>0.15</v>
      </c>
      <c r="K4">
        <v>7.0000000000000007E-2</v>
      </c>
      <c r="L4">
        <v>0.08</v>
      </c>
      <c r="M4">
        <v>0.01</v>
      </c>
      <c r="N4">
        <v>5.0000000000000001E-3</v>
      </c>
      <c r="O4">
        <v>5.0000000000000001E-3</v>
      </c>
      <c r="P4">
        <v>3.2000000000000002E-3</v>
      </c>
      <c r="Q4">
        <v>0</v>
      </c>
      <c r="R4">
        <v>0.06</v>
      </c>
      <c r="S4">
        <v>0.06</v>
      </c>
      <c r="T4">
        <v>1119</v>
      </c>
      <c r="U4">
        <v>596.79999999999995</v>
      </c>
      <c r="V4">
        <v>37.299999999999997</v>
      </c>
      <c r="W4">
        <v>23.872</v>
      </c>
      <c r="X4">
        <v>0</v>
      </c>
      <c r="Z4">
        <v>437.04</v>
      </c>
      <c r="AA4">
        <v>2214.0120000000002</v>
      </c>
      <c r="AB4">
        <v>522.20000000000005</v>
      </c>
      <c r="AC4">
        <v>74.599999999999994</v>
      </c>
      <c r="AD4">
        <v>37.299999999999997</v>
      </c>
      <c r="AF4">
        <v>437.04</v>
      </c>
      <c r="AG4">
        <v>1071.1400000000001</v>
      </c>
      <c r="AO4">
        <v>0</v>
      </c>
      <c r="AU4">
        <v>0</v>
      </c>
      <c r="BC4">
        <v>0</v>
      </c>
      <c r="BJ4">
        <v>1119</v>
      </c>
      <c r="BK4">
        <v>596.79999999999995</v>
      </c>
      <c r="BL4">
        <v>37.299999999999997</v>
      </c>
      <c r="BM4">
        <v>23.872</v>
      </c>
      <c r="BN4">
        <v>0</v>
      </c>
      <c r="BO4">
        <v>0</v>
      </c>
      <c r="BP4">
        <v>437.04</v>
      </c>
      <c r="BT4">
        <v>2214.0120000000002</v>
      </c>
      <c r="BU4">
        <v>522.20000000000005</v>
      </c>
      <c r="BV4">
        <v>74.599999999999994</v>
      </c>
      <c r="BW4">
        <v>37.299999999999997</v>
      </c>
      <c r="BX4">
        <v>0</v>
      </c>
      <c r="BY4">
        <v>437.04</v>
      </c>
      <c r="BZ4">
        <v>1071.1400000000001</v>
      </c>
      <c r="CA4">
        <v>1071.1400000000001</v>
      </c>
      <c r="CD4">
        <v>2</v>
      </c>
    </row>
    <row r="5" spans="1:82" x14ac:dyDescent="0.15">
      <c r="A5" t="s">
        <v>126</v>
      </c>
      <c r="B5" t="s">
        <v>144</v>
      </c>
      <c r="C5" t="s">
        <v>146</v>
      </c>
      <c r="D5">
        <v>8397</v>
      </c>
      <c r="E5">
        <v>8397</v>
      </c>
      <c r="F5">
        <v>8397</v>
      </c>
      <c r="G5">
        <v>8397</v>
      </c>
      <c r="I5">
        <v>8397</v>
      </c>
      <c r="J5">
        <v>0.16</v>
      </c>
      <c r="K5">
        <v>0.08</v>
      </c>
      <c r="L5">
        <v>0.09</v>
      </c>
      <c r="M5">
        <v>0.02</v>
      </c>
      <c r="N5">
        <v>5.0000000000000001E-3</v>
      </c>
      <c r="O5">
        <v>5.0000000000000001E-3</v>
      </c>
      <c r="P5">
        <v>3.2000000000000002E-3</v>
      </c>
      <c r="Q5">
        <v>0</v>
      </c>
      <c r="R5">
        <v>7.0000000000000007E-2</v>
      </c>
      <c r="S5">
        <v>7.0000000000000007E-2</v>
      </c>
      <c r="T5">
        <v>1343.52</v>
      </c>
      <c r="U5">
        <v>755.73</v>
      </c>
      <c r="V5">
        <v>41.984999999999999</v>
      </c>
      <c r="W5">
        <v>26.8704</v>
      </c>
      <c r="X5">
        <v>0</v>
      </c>
      <c r="Z5">
        <v>587.79</v>
      </c>
      <c r="AA5">
        <v>2755.8953999999999</v>
      </c>
      <c r="AB5">
        <v>671.76</v>
      </c>
      <c r="AC5">
        <v>167.94</v>
      </c>
      <c r="AD5">
        <v>41.984999999999999</v>
      </c>
      <c r="AF5">
        <v>587.79</v>
      </c>
      <c r="AG5">
        <v>1469.4749999999999</v>
      </c>
      <c r="AO5">
        <v>0</v>
      </c>
      <c r="AU5">
        <v>0</v>
      </c>
      <c r="BC5">
        <v>0</v>
      </c>
      <c r="BJ5">
        <v>1343.52</v>
      </c>
      <c r="BK5">
        <v>755.73</v>
      </c>
      <c r="BL5">
        <v>41.984999999999999</v>
      </c>
      <c r="BM5">
        <v>26.8704</v>
      </c>
      <c r="BN5">
        <v>0</v>
      </c>
      <c r="BO5">
        <v>0</v>
      </c>
      <c r="BP5">
        <v>587.79</v>
      </c>
      <c r="BT5">
        <v>2755.8953999999999</v>
      </c>
      <c r="BU5">
        <v>671.76</v>
      </c>
      <c r="BV5">
        <v>167.94</v>
      </c>
      <c r="BW5">
        <v>41.984999999999999</v>
      </c>
      <c r="BX5">
        <v>0</v>
      </c>
      <c r="BY5">
        <v>587.79</v>
      </c>
      <c r="BZ5">
        <v>1469.4749999999999</v>
      </c>
      <c r="CA5">
        <v>1469.4749999999999</v>
      </c>
      <c r="CD5">
        <v>2</v>
      </c>
    </row>
    <row r="6" spans="1:82" x14ac:dyDescent="0.15">
      <c r="A6" t="s">
        <v>150</v>
      </c>
      <c r="B6" t="s">
        <v>151</v>
      </c>
      <c r="C6" t="s">
        <v>155</v>
      </c>
      <c r="D6">
        <v>7162</v>
      </c>
      <c r="E6">
        <v>7162</v>
      </c>
      <c r="F6">
        <v>7162</v>
      </c>
      <c r="G6">
        <v>7162</v>
      </c>
      <c r="I6">
        <v>5881</v>
      </c>
      <c r="J6">
        <v>0.15</v>
      </c>
      <c r="K6">
        <v>7.0000000000000007E-2</v>
      </c>
      <c r="L6">
        <v>0.08</v>
      </c>
      <c r="M6">
        <v>0.01</v>
      </c>
      <c r="N6">
        <v>5.0000000000000001E-3</v>
      </c>
      <c r="O6">
        <v>5.0000000000000001E-3</v>
      </c>
      <c r="P6">
        <v>3.2000000000000002E-3</v>
      </c>
      <c r="Q6">
        <v>0</v>
      </c>
      <c r="R6">
        <v>0.06</v>
      </c>
      <c r="S6">
        <v>0.06</v>
      </c>
      <c r="T6">
        <v>1074.3</v>
      </c>
      <c r="U6">
        <v>572.96</v>
      </c>
      <c r="V6">
        <v>35.81</v>
      </c>
      <c r="W6">
        <v>22.918399999999998</v>
      </c>
      <c r="X6">
        <v>0</v>
      </c>
      <c r="Z6">
        <v>352.86</v>
      </c>
      <c r="AA6">
        <v>2058.8483999999999</v>
      </c>
      <c r="AB6">
        <v>501.34</v>
      </c>
      <c r="AC6">
        <v>71.62</v>
      </c>
      <c r="AD6">
        <v>35.81</v>
      </c>
      <c r="AF6">
        <v>352.86</v>
      </c>
      <c r="AG6">
        <v>961.63</v>
      </c>
      <c r="AO6">
        <v>0</v>
      </c>
      <c r="AU6">
        <v>0</v>
      </c>
      <c r="BC6">
        <v>0</v>
      </c>
      <c r="BJ6">
        <v>1074.3</v>
      </c>
      <c r="BK6">
        <v>572.96</v>
      </c>
      <c r="BL6">
        <v>35.81</v>
      </c>
      <c r="BM6">
        <v>22.918399999999998</v>
      </c>
      <c r="BN6">
        <v>0</v>
      </c>
      <c r="BO6">
        <v>0</v>
      </c>
      <c r="BP6">
        <v>352.86</v>
      </c>
      <c r="BT6">
        <v>2058.8483999999999</v>
      </c>
      <c r="BU6">
        <v>501.34</v>
      </c>
      <c r="BV6">
        <v>71.62</v>
      </c>
      <c r="BW6">
        <v>35.81</v>
      </c>
      <c r="BX6">
        <v>0</v>
      </c>
      <c r="BY6">
        <v>352.86</v>
      </c>
      <c r="BZ6">
        <v>961.63</v>
      </c>
      <c r="CA6">
        <v>961.63</v>
      </c>
      <c r="CD6">
        <v>2</v>
      </c>
    </row>
    <row r="7" spans="1:82" x14ac:dyDescent="0.15">
      <c r="A7" t="s">
        <v>126</v>
      </c>
      <c r="B7" t="s">
        <v>158</v>
      </c>
      <c r="C7" t="s">
        <v>160</v>
      </c>
      <c r="D7">
        <v>9784</v>
      </c>
      <c r="E7">
        <v>9784</v>
      </c>
      <c r="F7">
        <v>9784</v>
      </c>
      <c r="G7">
        <v>9784</v>
      </c>
      <c r="I7">
        <v>9784</v>
      </c>
      <c r="J7">
        <v>0.16</v>
      </c>
      <c r="K7">
        <v>0.08</v>
      </c>
      <c r="L7">
        <v>0.09</v>
      </c>
      <c r="M7">
        <v>0.02</v>
      </c>
      <c r="N7">
        <v>5.0000000000000001E-3</v>
      </c>
      <c r="O7">
        <v>5.0000000000000001E-3</v>
      </c>
      <c r="P7">
        <v>3.2000000000000002E-3</v>
      </c>
      <c r="Q7">
        <v>0</v>
      </c>
      <c r="R7">
        <v>7.0000000000000007E-2</v>
      </c>
      <c r="S7">
        <v>7.0000000000000007E-2</v>
      </c>
      <c r="T7">
        <v>1565.44</v>
      </c>
      <c r="U7">
        <v>880.56</v>
      </c>
      <c r="V7">
        <v>48.92</v>
      </c>
      <c r="W7">
        <v>31.308800000000002</v>
      </c>
      <c r="X7">
        <v>0</v>
      </c>
      <c r="Z7">
        <v>684.88</v>
      </c>
      <c r="AA7">
        <v>3211.1088</v>
      </c>
      <c r="AB7">
        <v>782.72</v>
      </c>
      <c r="AC7">
        <v>195.68</v>
      </c>
      <c r="AD7">
        <v>48.92</v>
      </c>
      <c r="AF7">
        <v>684.88</v>
      </c>
      <c r="AG7">
        <v>1712.2</v>
      </c>
      <c r="AO7">
        <v>0</v>
      </c>
      <c r="AU7">
        <v>0</v>
      </c>
      <c r="BC7">
        <v>0</v>
      </c>
      <c r="BJ7">
        <v>1565.44</v>
      </c>
      <c r="BK7">
        <v>880.56</v>
      </c>
      <c r="BL7">
        <v>48.92</v>
      </c>
      <c r="BM7">
        <v>31.308800000000002</v>
      </c>
      <c r="BN7">
        <v>0</v>
      </c>
      <c r="BO7">
        <v>0</v>
      </c>
      <c r="BP7">
        <v>684.88</v>
      </c>
      <c r="BT7">
        <v>3211.1088</v>
      </c>
      <c r="BU7">
        <v>782.72</v>
      </c>
      <c r="BV7">
        <v>195.68</v>
      </c>
      <c r="BW7">
        <v>48.92</v>
      </c>
      <c r="BX7">
        <v>0</v>
      </c>
      <c r="BY7">
        <v>684.88</v>
      </c>
      <c r="BZ7">
        <v>1712.2</v>
      </c>
      <c r="CA7">
        <v>1712.2</v>
      </c>
      <c r="CD7">
        <v>2</v>
      </c>
    </row>
    <row r="8" spans="1:82" x14ac:dyDescent="0.15">
      <c r="A8" t="s">
        <v>150</v>
      </c>
      <c r="B8" t="s">
        <v>162</v>
      </c>
      <c r="C8" t="s">
        <v>164</v>
      </c>
      <c r="D8">
        <v>7162</v>
      </c>
      <c r="E8">
        <v>7162</v>
      </c>
      <c r="F8">
        <v>7162</v>
      </c>
      <c r="G8">
        <v>7162</v>
      </c>
      <c r="I8">
        <v>6384</v>
      </c>
      <c r="J8">
        <v>0.15</v>
      </c>
      <c r="K8">
        <v>7.0000000000000007E-2</v>
      </c>
      <c r="L8">
        <v>0.08</v>
      </c>
      <c r="M8">
        <v>0.01</v>
      </c>
      <c r="N8">
        <v>5.0000000000000001E-3</v>
      </c>
      <c r="O8">
        <v>5.0000000000000001E-3</v>
      </c>
      <c r="P8">
        <v>3.2000000000000002E-3</v>
      </c>
      <c r="Q8">
        <v>0</v>
      </c>
      <c r="R8">
        <v>0.06</v>
      </c>
      <c r="S8">
        <v>0.06</v>
      </c>
      <c r="T8">
        <v>1074.3</v>
      </c>
      <c r="U8">
        <v>572.96</v>
      </c>
      <c r="V8">
        <v>35.81</v>
      </c>
      <c r="W8">
        <v>22.918399999999998</v>
      </c>
      <c r="X8">
        <v>0</v>
      </c>
      <c r="Z8">
        <v>383.04</v>
      </c>
      <c r="AA8">
        <v>2089.0284000000001</v>
      </c>
      <c r="AB8">
        <v>501.34</v>
      </c>
      <c r="AC8">
        <v>71.62</v>
      </c>
      <c r="AD8">
        <v>35.81</v>
      </c>
      <c r="AF8">
        <v>383.04</v>
      </c>
      <c r="AG8">
        <v>991.81</v>
      </c>
      <c r="AO8">
        <v>0</v>
      </c>
      <c r="AU8">
        <v>0</v>
      </c>
      <c r="BC8">
        <v>0</v>
      </c>
      <c r="BJ8">
        <v>1074.3</v>
      </c>
      <c r="BK8">
        <v>572.96</v>
      </c>
      <c r="BL8">
        <v>35.81</v>
      </c>
      <c r="BM8">
        <v>22.918399999999998</v>
      </c>
      <c r="BN8">
        <v>0</v>
      </c>
      <c r="BO8">
        <v>0</v>
      </c>
      <c r="BP8">
        <v>383.04</v>
      </c>
      <c r="BT8">
        <v>2089.0284000000001</v>
      </c>
      <c r="BU8">
        <v>501.34</v>
      </c>
      <c r="BV8">
        <v>71.62</v>
      </c>
      <c r="BW8">
        <v>35.81</v>
      </c>
      <c r="BX8">
        <v>0</v>
      </c>
      <c r="BY8">
        <v>383.04</v>
      </c>
      <c r="BZ8">
        <v>991.81</v>
      </c>
      <c r="CA8">
        <v>991.81</v>
      </c>
      <c r="CD8">
        <v>2</v>
      </c>
    </row>
    <row r="9" spans="1:82" x14ac:dyDescent="0.15">
      <c r="A9" t="s">
        <v>168</v>
      </c>
      <c r="B9" t="s">
        <v>169</v>
      </c>
      <c r="C9" t="s">
        <v>172</v>
      </c>
      <c r="D9">
        <v>5124</v>
      </c>
      <c r="E9">
        <v>5124</v>
      </c>
      <c r="F9">
        <v>5124</v>
      </c>
      <c r="G9">
        <v>5124</v>
      </c>
      <c r="I9">
        <v>4215</v>
      </c>
      <c r="J9">
        <v>0.15</v>
      </c>
      <c r="K9">
        <v>7.0000000000000007E-2</v>
      </c>
      <c r="L9">
        <v>0.08</v>
      </c>
      <c r="M9">
        <v>0.01</v>
      </c>
      <c r="N9">
        <v>5.0000000000000001E-3</v>
      </c>
      <c r="O9">
        <v>5.0000000000000001E-3</v>
      </c>
      <c r="P9">
        <v>3.2000000000000002E-3</v>
      </c>
      <c r="Q9">
        <v>0</v>
      </c>
      <c r="R9">
        <v>0.06</v>
      </c>
      <c r="S9">
        <v>0.06</v>
      </c>
      <c r="T9">
        <v>768.6</v>
      </c>
      <c r="U9">
        <v>409.92</v>
      </c>
      <c r="V9">
        <v>25.62</v>
      </c>
      <c r="W9">
        <v>16.396799999999999</v>
      </c>
      <c r="X9">
        <v>0</v>
      </c>
      <c r="Z9">
        <v>252.9</v>
      </c>
      <c r="AA9">
        <v>1473.4367999999999</v>
      </c>
      <c r="AB9">
        <v>358.68</v>
      </c>
      <c r="AC9">
        <v>51.24</v>
      </c>
      <c r="AD9">
        <v>25.62</v>
      </c>
      <c r="AF9">
        <v>252.9</v>
      </c>
      <c r="AG9">
        <v>688.44</v>
      </c>
      <c r="AO9">
        <v>0</v>
      </c>
      <c r="AU9">
        <v>0</v>
      </c>
      <c r="BC9">
        <v>0</v>
      </c>
      <c r="BJ9">
        <v>768.6</v>
      </c>
      <c r="BK9">
        <v>409.92</v>
      </c>
      <c r="BL9">
        <v>25.62</v>
      </c>
      <c r="BM9">
        <v>16.396799999999999</v>
      </c>
      <c r="BN9">
        <v>0</v>
      </c>
      <c r="BO9">
        <v>0</v>
      </c>
      <c r="BP9">
        <v>252.9</v>
      </c>
      <c r="BT9">
        <v>1473.4367999999999</v>
      </c>
      <c r="BU9">
        <v>358.68</v>
      </c>
      <c r="BV9">
        <v>51.24</v>
      </c>
      <c r="BW9">
        <v>25.62</v>
      </c>
      <c r="BX9">
        <v>0</v>
      </c>
      <c r="BY9">
        <v>252.9</v>
      </c>
      <c r="BZ9">
        <v>688.44</v>
      </c>
      <c r="CA9">
        <v>688.44</v>
      </c>
      <c r="CD9">
        <v>2</v>
      </c>
    </row>
    <row r="10" spans="1:82" x14ac:dyDescent="0.15">
      <c r="A10" t="s">
        <v>176</v>
      </c>
      <c r="B10" t="s">
        <v>177</v>
      </c>
      <c r="C10" t="s">
        <v>179</v>
      </c>
      <c r="D10">
        <v>6890</v>
      </c>
      <c r="E10">
        <v>6890</v>
      </c>
      <c r="F10">
        <v>6890</v>
      </c>
      <c r="G10">
        <v>6890</v>
      </c>
      <c r="I10">
        <v>6890</v>
      </c>
      <c r="J10">
        <v>0.15</v>
      </c>
      <c r="K10">
        <v>7.0000000000000007E-2</v>
      </c>
      <c r="L10">
        <v>0.08</v>
      </c>
      <c r="M10">
        <v>0.01</v>
      </c>
      <c r="N10">
        <v>5.0000000000000001E-3</v>
      </c>
      <c r="O10">
        <v>5.0000000000000001E-3</v>
      </c>
      <c r="P10">
        <v>3.2000000000000002E-3</v>
      </c>
      <c r="Q10">
        <v>0</v>
      </c>
      <c r="R10">
        <v>0.06</v>
      </c>
      <c r="S10">
        <v>0.06</v>
      </c>
      <c r="T10">
        <v>1033.5</v>
      </c>
      <c r="U10">
        <v>551.20000000000005</v>
      </c>
      <c r="V10">
        <v>34.450000000000003</v>
      </c>
      <c r="W10">
        <v>22.047999999999998</v>
      </c>
      <c r="X10">
        <v>0</v>
      </c>
      <c r="Z10">
        <v>413.4</v>
      </c>
      <c r="AA10">
        <v>2054.598</v>
      </c>
      <c r="AB10">
        <v>482.3</v>
      </c>
      <c r="AC10">
        <v>68.900000000000006</v>
      </c>
      <c r="AD10">
        <v>34.450000000000003</v>
      </c>
      <c r="AF10">
        <v>413.4</v>
      </c>
      <c r="AG10">
        <v>999.05</v>
      </c>
      <c r="AO10">
        <v>0</v>
      </c>
      <c r="AU10">
        <v>0</v>
      </c>
      <c r="BC10">
        <v>0</v>
      </c>
      <c r="BJ10">
        <v>1033.5</v>
      </c>
      <c r="BK10">
        <v>551.20000000000005</v>
      </c>
      <c r="BL10">
        <v>34.450000000000003</v>
      </c>
      <c r="BM10">
        <v>22.047999999999998</v>
      </c>
      <c r="BN10">
        <v>0</v>
      </c>
      <c r="BO10">
        <v>0</v>
      </c>
      <c r="BP10">
        <v>413.4</v>
      </c>
      <c r="BT10">
        <v>2054.598</v>
      </c>
      <c r="BU10">
        <v>482.3</v>
      </c>
      <c r="BV10">
        <v>68.900000000000006</v>
      </c>
      <c r="BW10">
        <v>34.450000000000003</v>
      </c>
      <c r="BX10">
        <v>0</v>
      </c>
      <c r="BY10">
        <v>413.4</v>
      </c>
      <c r="BZ10">
        <v>999.05</v>
      </c>
      <c r="CA10">
        <v>999.05</v>
      </c>
      <c r="CD10">
        <v>2</v>
      </c>
    </row>
    <row r="11" spans="1:82" x14ac:dyDescent="0.15">
      <c r="A11" t="s">
        <v>150</v>
      </c>
      <c r="B11" t="s">
        <v>182</v>
      </c>
      <c r="C11" t="s">
        <v>184</v>
      </c>
      <c r="D11">
        <v>7162</v>
      </c>
      <c r="E11">
        <v>7162</v>
      </c>
      <c r="F11">
        <v>7162</v>
      </c>
      <c r="G11">
        <v>7162</v>
      </c>
      <c r="I11">
        <v>4488</v>
      </c>
      <c r="J11">
        <v>0.15</v>
      </c>
      <c r="K11">
        <v>7.0000000000000007E-2</v>
      </c>
      <c r="L11">
        <v>0.08</v>
      </c>
      <c r="M11">
        <v>0.01</v>
      </c>
      <c r="N11">
        <v>5.0000000000000001E-3</v>
      </c>
      <c r="O11">
        <v>5.0000000000000001E-3</v>
      </c>
      <c r="P11">
        <v>3.2000000000000002E-3</v>
      </c>
      <c r="Q11">
        <v>0</v>
      </c>
      <c r="R11">
        <v>0.06</v>
      </c>
      <c r="S11">
        <v>0.06</v>
      </c>
      <c r="T11">
        <v>1074.3</v>
      </c>
      <c r="U11">
        <v>572.96</v>
      </c>
      <c r="V11">
        <v>35.81</v>
      </c>
      <c r="W11">
        <v>22.918399999999998</v>
      </c>
      <c r="X11">
        <v>0</v>
      </c>
      <c r="Z11">
        <v>269.27999999999997</v>
      </c>
      <c r="AA11">
        <v>1975.2683999999999</v>
      </c>
      <c r="AB11">
        <v>501.34</v>
      </c>
      <c r="AC11">
        <v>71.62</v>
      </c>
      <c r="AD11">
        <v>35.81</v>
      </c>
      <c r="AF11">
        <v>269.27999999999997</v>
      </c>
      <c r="AG11">
        <v>878.05</v>
      </c>
      <c r="AO11">
        <v>0</v>
      </c>
      <c r="AU11">
        <v>0</v>
      </c>
      <c r="BC11">
        <v>0</v>
      </c>
      <c r="BJ11">
        <v>1074.3</v>
      </c>
      <c r="BK11">
        <v>572.96</v>
      </c>
      <c r="BL11">
        <v>35.81</v>
      </c>
      <c r="BM11">
        <v>22.918399999999998</v>
      </c>
      <c r="BN11">
        <v>0</v>
      </c>
      <c r="BO11">
        <v>0</v>
      </c>
      <c r="BP11">
        <v>269.27999999999997</v>
      </c>
      <c r="BT11">
        <v>1975.2683999999999</v>
      </c>
      <c r="BU11">
        <v>501.34</v>
      </c>
      <c r="BV11">
        <v>71.62</v>
      </c>
      <c r="BW11">
        <v>35.81</v>
      </c>
      <c r="BX11">
        <v>0</v>
      </c>
      <c r="BY11">
        <v>269.27999999999997</v>
      </c>
      <c r="BZ11">
        <v>878.05</v>
      </c>
      <c r="CA11">
        <v>878.05</v>
      </c>
      <c r="CD11">
        <v>2</v>
      </c>
    </row>
    <row r="12" spans="1:82" x14ac:dyDescent="0.15">
      <c r="A12" t="s">
        <v>126</v>
      </c>
      <c r="B12" t="s">
        <v>186</v>
      </c>
      <c r="C12" t="s">
        <v>189</v>
      </c>
      <c r="D12">
        <v>7460</v>
      </c>
      <c r="E12">
        <v>7460</v>
      </c>
      <c r="F12">
        <v>7460</v>
      </c>
      <c r="G12">
        <v>7460</v>
      </c>
      <c r="I12">
        <v>4685</v>
      </c>
      <c r="J12">
        <v>0.15</v>
      </c>
      <c r="K12">
        <v>7.0000000000000007E-2</v>
      </c>
      <c r="L12">
        <v>0.08</v>
      </c>
      <c r="M12">
        <v>0.01</v>
      </c>
      <c r="N12">
        <v>5.0000000000000001E-3</v>
      </c>
      <c r="O12">
        <v>5.0000000000000001E-3</v>
      </c>
      <c r="P12">
        <v>3.2000000000000002E-3</v>
      </c>
      <c r="Q12">
        <v>0</v>
      </c>
      <c r="R12">
        <v>0.06</v>
      </c>
      <c r="S12">
        <v>0.06</v>
      </c>
      <c r="T12">
        <v>1119</v>
      </c>
      <c r="U12">
        <v>596.79999999999995</v>
      </c>
      <c r="V12">
        <v>37.299999999999997</v>
      </c>
      <c r="W12">
        <v>23.872</v>
      </c>
      <c r="X12">
        <v>0</v>
      </c>
      <c r="Z12">
        <v>281.10000000000002</v>
      </c>
      <c r="AA12">
        <v>2058.0720000000001</v>
      </c>
      <c r="AB12">
        <v>522.20000000000005</v>
      </c>
      <c r="AC12">
        <v>74.599999999999994</v>
      </c>
      <c r="AD12">
        <v>37.299999999999997</v>
      </c>
      <c r="AF12">
        <v>281.10000000000002</v>
      </c>
      <c r="AG12">
        <v>915.2</v>
      </c>
      <c r="AO12">
        <v>0</v>
      </c>
      <c r="AU12">
        <v>0</v>
      </c>
      <c r="BC12">
        <v>0</v>
      </c>
      <c r="BJ12">
        <v>1119</v>
      </c>
      <c r="BK12">
        <v>596.79999999999995</v>
      </c>
      <c r="BL12">
        <v>37.299999999999997</v>
      </c>
      <c r="BM12">
        <v>23.872</v>
      </c>
      <c r="BN12">
        <v>0</v>
      </c>
      <c r="BO12">
        <v>0</v>
      </c>
      <c r="BP12">
        <v>281.10000000000002</v>
      </c>
      <c r="BT12">
        <v>2058.0720000000001</v>
      </c>
      <c r="BU12">
        <v>522.20000000000005</v>
      </c>
      <c r="BV12">
        <v>74.599999999999994</v>
      </c>
      <c r="BW12">
        <v>37.299999999999997</v>
      </c>
      <c r="BX12">
        <v>0</v>
      </c>
      <c r="BY12">
        <v>281.10000000000002</v>
      </c>
      <c r="BZ12">
        <v>915.2</v>
      </c>
      <c r="CA12">
        <v>915.2</v>
      </c>
      <c r="CD12">
        <v>2</v>
      </c>
    </row>
    <row r="13" spans="1:82" x14ac:dyDescent="0.15">
      <c r="A13" t="s">
        <v>168</v>
      </c>
      <c r="B13" t="s">
        <v>191</v>
      </c>
      <c r="C13" t="s">
        <v>193</v>
      </c>
      <c r="D13">
        <v>7959</v>
      </c>
      <c r="E13">
        <v>7959</v>
      </c>
      <c r="F13">
        <v>7959</v>
      </c>
      <c r="G13">
        <v>7959</v>
      </c>
      <c r="I13">
        <v>7959</v>
      </c>
      <c r="J13">
        <v>0.15</v>
      </c>
      <c r="K13">
        <v>7.0000000000000007E-2</v>
      </c>
      <c r="L13">
        <v>0.08</v>
      </c>
      <c r="M13">
        <v>0.01</v>
      </c>
      <c r="N13">
        <v>5.0000000000000001E-3</v>
      </c>
      <c r="O13">
        <v>5.0000000000000001E-3</v>
      </c>
      <c r="P13">
        <v>3.2000000000000002E-3</v>
      </c>
      <c r="Q13">
        <v>0</v>
      </c>
      <c r="R13">
        <v>0.06</v>
      </c>
      <c r="S13">
        <v>0.06</v>
      </c>
      <c r="T13">
        <v>1193.8499999999999</v>
      </c>
      <c r="U13">
        <v>636.72</v>
      </c>
      <c r="V13">
        <v>39.795000000000002</v>
      </c>
      <c r="W13">
        <v>25.468800000000002</v>
      </c>
      <c r="X13">
        <v>0</v>
      </c>
      <c r="Z13">
        <v>477.54</v>
      </c>
      <c r="AA13">
        <v>2373.3737999999998</v>
      </c>
      <c r="AB13">
        <v>557.13</v>
      </c>
      <c r="AC13">
        <v>79.59</v>
      </c>
      <c r="AD13">
        <v>39.795000000000002</v>
      </c>
      <c r="AF13">
        <v>477.54</v>
      </c>
      <c r="AG13">
        <v>1154.0550000000001</v>
      </c>
      <c r="AO13">
        <v>0</v>
      </c>
      <c r="AU13">
        <v>0</v>
      </c>
      <c r="BC13">
        <v>0</v>
      </c>
      <c r="BJ13">
        <v>1193.8499999999999</v>
      </c>
      <c r="BK13">
        <v>636.72</v>
      </c>
      <c r="BL13">
        <v>39.795000000000002</v>
      </c>
      <c r="BM13">
        <v>25.468800000000002</v>
      </c>
      <c r="BN13">
        <v>0</v>
      </c>
      <c r="BO13">
        <v>0</v>
      </c>
      <c r="BP13">
        <v>477.54</v>
      </c>
      <c r="BT13">
        <v>2373.3737999999998</v>
      </c>
      <c r="BU13">
        <v>557.13</v>
      </c>
      <c r="BV13">
        <v>79.59</v>
      </c>
      <c r="BW13">
        <v>39.795000000000002</v>
      </c>
      <c r="BX13">
        <v>0</v>
      </c>
      <c r="BY13">
        <v>477.54</v>
      </c>
      <c r="BZ13">
        <v>1154.0550000000001</v>
      </c>
      <c r="CA13">
        <v>1154.0550000000001</v>
      </c>
      <c r="CD13">
        <v>2</v>
      </c>
    </row>
    <row r="14" spans="1:82" x14ac:dyDescent="0.15">
      <c r="A14" t="s">
        <v>150</v>
      </c>
      <c r="B14" t="s">
        <v>195</v>
      </c>
      <c r="C14" t="s">
        <v>197</v>
      </c>
      <c r="D14">
        <v>9324</v>
      </c>
      <c r="E14">
        <v>9324</v>
      </c>
      <c r="F14">
        <v>9324</v>
      </c>
      <c r="G14">
        <v>9324</v>
      </c>
      <c r="I14">
        <v>9324</v>
      </c>
      <c r="J14">
        <v>0.16</v>
      </c>
      <c r="K14">
        <v>0.08</v>
      </c>
      <c r="L14">
        <v>0.09</v>
      </c>
      <c r="M14">
        <v>0.02</v>
      </c>
      <c r="N14">
        <v>5.0000000000000001E-3</v>
      </c>
      <c r="O14">
        <v>5.0000000000000001E-3</v>
      </c>
      <c r="P14">
        <v>3.2000000000000002E-3</v>
      </c>
      <c r="Q14">
        <v>0</v>
      </c>
      <c r="R14">
        <v>7.0000000000000007E-2</v>
      </c>
      <c r="S14">
        <v>7.0000000000000007E-2</v>
      </c>
      <c r="T14">
        <v>1491.84</v>
      </c>
      <c r="U14">
        <v>839.16</v>
      </c>
      <c r="V14">
        <v>46.62</v>
      </c>
      <c r="W14">
        <v>29.8368</v>
      </c>
      <c r="X14">
        <v>0</v>
      </c>
      <c r="Z14">
        <v>652.67999999999995</v>
      </c>
      <c r="AA14">
        <v>3060.1368000000002</v>
      </c>
      <c r="AB14">
        <v>745.92</v>
      </c>
      <c r="AC14">
        <v>186.48</v>
      </c>
      <c r="AD14">
        <v>46.62</v>
      </c>
      <c r="AF14">
        <v>652.67999999999995</v>
      </c>
      <c r="AG14">
        <v>1631.7</v>
      </c>
      <c r="AO14">
        <v>0</v>
      </c>
      <c r="AU14">
        <v>0</v>
      </c>
      <c r="BC14">
        <v>0</v>
      </c>
      <c r="BJ14">
        <v>1491.84</v>
      </c>
      <c r="BK14">
        <v>839.16</v>
      </c>
      <c r="BL14">
        <v>46.62</v>
      </c>
      <c r="BM14">
        <v>29.8368</v>
      </c>
      <c r="BN14">
        <v>0</v>
      </c>
      <c r="BO14">
        <v>0</v>
      </c>
      <c r="BP14">
        <v>652.67999999999995</v>
      </c>
      <c r="BT14">
        <v>3060.1368000000002</v>
      </c>
      <c r="BU14">
        <v>745.92</v>
      </c>
      <c r="BV14">
        <v>186.48</v>
      </c>
      <c r="BW14">
        <v>46.62</v>
      </c>
      <c r="BX14">
        <v>0</v>
      </c>
      <c r="BY14">
        <v>652.67999999999995</v>
      </c>
      <c r="BZ14">
        <v>1631.7</v>
      </c>
      <c r="CA14">
        <v>1631.7</v>
      </c>
      <c r="CD14">
        <v>2</v>
      </c>
    </row>
    <row r="15" spans="1:82" x14ac:dyDescent="0.15">
      <c r="A15" t="s">
        <v>176</v>
      </c>
      <c r="B15" t="s">
        <v>199</v>
      </c>
      <c r="C15" t="s">
        <v>201</v>
      </c>
      <c r="D15">
        <v>8842</v>
      </c>
      <c r="E15">
        <v>8842</v>
      </c>
      <c r="F15">
        <v>8842</v>
      </c>
      <c r="G15">
        <v>8842</v>
      </c>
      <c r="I15">
        <v>8842</v>
      </c>
      <c r="J15">
        <v>0.16</v>
      </c>
      <c r="K15">
        <v>0.08</v>
      </c>
      <c r="L15">
        <v>0.09</v>
      </c>
      <c r="M15">
        <v>0.02</v>
      </c>
      <c r="N15">
        <v>5.0000000000000001E-3</v>
      </c>
      <c r="O15">
        <v>5.0000000000000001E-3</v>
      </c>
      <c r="P15">
        <v>3.2000000000000002E-3</v>
      </c>
      <c r="Q15">
        <v>0</v>
      </c>
      <c r="R15">
        <v>7.0000000000000007E-2</v>
      </c>
      <c r="S15">
        <v>7.0000000000000007E-2</v>
      </c>
      <c r="T15">
        <v>1414.72</v>
      </c>
      <c r="U15">
        <v>795.78</v>
      </c>
      <c r="V15">
        <v>44.21</v>
      </c>
      <c r="W15">
        <v>28.2944</v>
      </c>
      <c r="X15">
        <v>0</v>
      </c>
      <c r="Z15">
        <v>618.94000000000005</v>
      </c>
      <c r="AA15">
        <v>2901.9443999999999</v>
      </c>
      <c r="AB15">
        <v>707.36</v>
      </c>
      <c r="AC15">
        <v>176.84</v>
      </c>
      <c r="AD15">
        <v>44.21</v>
      </c>
      <c r="AF15">
        <v>618.94000000000005</v>
      </c>
      <c r="AG15">
        <v>1547.35</v>
      </c>
      <c r="AO15">
        <v>0</v>
      </c>
      <c r="AU15">
        <v>0</v>
      </c>
      <c r="BC15">
        <v>0</v>
      </c>
      <c r="BJ15">
        <v>1414.72</v>
      </c>
      <c r="BK15">
        <v>795.78</v>
      </c>
      <c r="BL15">
        <v>44.21</v>
      </c>
      <c r="BM15">
        <v>28.2944</v>
      </c>
      <c r="BN15">
        <v>0</v>
      </c>
      <c r="BO15">
        <v>0</v>
      </c>
      <c r="BP15">
        <v>618.94000000000005</v>
      </c>
      <c r="BT15">
        <v>2901.9443999999999</v>
      </c>
      <c r="BU15">
        <v>707.36</v>
      </c>
      <c r="BV15">
        <v>176.84</v>
      </c>
      <c r="BW15">
        <v>44.21</v>
      </c>
      <c r="BX15">
        <v>0</v>
      </c>
      <c r="BY15">
        <v>618.94000000000005</v>
      </c>
      <c r="BZ15">
        <v>1547.35</v>
      </c>
      <c r="CA15">
        <v>1547.35</v>
      </c>
      <c r="CD15">
        <v>2</v>
      </c>
    </row>
    <row r="16" spans="1:82" x14ac:dyDescent="0.15">
      <c r="A16" t="s">
        <v>205</v>
      </c>
      <c r="B16" t="s">
        <v>206</v>
      </c>
      <c r="C16" t="s">
        <v>208</v>
      </c>
      <c r="D16">
        <v>6212</v>
      </c>
      <c r="E16">
        <v>6212</v>
      </c>
      <c r="F16">
        <v>6212</v>
      </c>
      <c r="G16">
        <v>6212</v>
      </c>
      <c r="I16">
        <v>6212</v>
      </c>
      <c r="J16">
        <v>0.15</v>
      </c>
      <c r="K16">
        <v>7.0000000000000007E-2</v>
      </c>
      <c r="L16">
        <v>0.08</v>
      </c>
      <c r="M16">
        <v>0.01</v>
      </c>
      <c r="N16">
        <v>5.0000000000000001E-3</v>
      </c>
      <c r="O16">
        <v>5.0000000000000001E-3</v>
      </c>
      <c r="P16">
        <v>3.2000000000000002E-3</v>
      </c>
      <c r="Q16">
        <v>0</v>
      </c>
      <c r="R16">
        <v>0.06</v>
      </c>
      <c r="S16">
        <v>0.06</v>
      </c>
      <c r="T16">
        <v>931.8</v>
      </c>
      <c r="U16">
        <v>496.96</v>
      </c>
      <c r="V16">
        <v>31.06</v>
      </c>
      <c r="W16">
        <v>19.878399999999999</v>
      </c>
      <c r="X16">
        <v>0</v>
      </c>
      <c r="Z16">
        <v>372.72</v>
      </c>
      <c r="AA16">
        <v>1852.4184</v>
      </c>
      <c r="AB16">
        <v>434.84</v>
      </c>
      <c r="AC16">
        <v>62.12</v>
      </c>
      <c r="AD16">
        <v>31.06</v>
      </c>
      <c r="AF16">
        <v>372.72</v>
      </c>
      <c r="AG16">
        <v>900.74</v>
      </c>
      <c r="AO16">
        <v>0</v>
      </c>
      <c r="AU16">
        <v>0</v>
      </c>
      <c r="BC16">
        <v>0</v>
      </c>
      <c r="BJ16">
        <v>931.8</v>
      </c>
      <c r="BK16">
        <v>496.96</v>
      </c>
      <c r="BL16">
        <v>31.06</v>
      </c>
      <c r="BM16">
        <v>19.878399999999999</v>
      </c>
      <c r="BN16">
        <v>0</v>
      </c>
      <c r="BO16">
        <v>0</v>
      </c>
      <c r="BP16">
        <v>372.72</v>
      </c>
      <c r="BT16">
        <v>1852.4184</v>
      </c>
      <c r="BU16">
        <v>434.84</v>
      </c>
      <c r="BV16">
        <v>62.12</v>
      </c>
      <c r="BW16">
        <v>31.06</v>
      </c>
      <c r="BX16">
        <v>0</v>
      </c>
      <c r="BY16">
        <v>372.72</v>
      </c>
      <c r="BZ16">
        <v>900.74</v>
      </c>
      <c r="CA16">
        <v>900.74</v>
      </c>
      <c r="CD16">
        <v>2</v>
      </c>
    </row>
    <row r="17" spans="1:82" x14ac:dyDescent="0.15">
      <c r="A17" t="s">
        <v>212</v>
      </c>
      <c r="B17" t="s">
        <v>213</v>
      </c>
      <c r="C17" t="s">
        <v>215</v>
      </c>
      <c r="D17">
        <v>7361</v>
      </c>
      <c r="E17">
        <v>7361</v>
      </c>
      <c r="F17">
        <v>7361</v>
      </c>
      <c r="G17">
        <v>7361</v>
      </c>
      <c r="I17">
        <v>7361</v>
      </c>
      <c r="J17">
        <v>0.15</v>
      </c>
      <c r="K17">
        <v>7.0000000000000007E-2</v>
      </c>
      <c r="L17">
        <v>0.08</v>
      </c>
      <c r="M17">
        <v>0.01</v>
      </c>
      <c r="N17">
        <v>5.0000000000000001E-3</v>
      </c>
      <c r="O17">
        <v>5.0000000000000001E-3</v>
      </c>
      <c r="P17">
        <v>3.2000000000000002E-3</v>
      </c>
      <c r="Q17">
        <v>0</v>
      </c>
      <c r="R17">
        <v>0.06</v>
      </c>
      <c r="S17">
        <v>0.06</v>
      </c>
      <c r="T17">
        <v>1104.1500000000001</v>
      </c>
      <c r="U17">
        <v>588.88</v>
      </c>
      <c r="V17">
        <v>36.805</v>
      </c>
      <c r="W17">
        <v>23.555199999999999</v>
      </c>
      <c r="X17">
        <v>0</v>
      </c>
      <c r="Z17">
        <v>441.66</v>
      </c>
      <c r="AA17">
        <v>2195.0502000000001</v>
      </c>
      <c r="AB17">
        <v>515.27</v>
      </c>
      <c r="AC17">
        <v>73.61</v>
      </c>
      <c r="AD17">
        <v>36.805</v>
      </c>
      <c r="AF17">
        <v>441.66</v>
      </c>
      <c r="AG17">
        <v>1067.345</v>
      </c>
      <c r="AO17">
        <v>0</v>
      </c>
      <c r="AU17">
        <v>0</v>
      </c>
      <c r="BC17">
        <v>0</v>
      </c>
      <c r="BJ17">
        <v>1104.1500000000001</v>
      </c>
      <c r="BK17">
        <v>588.88</v>
      </c>
      <c r="BL17">
        <v>36.805</v>
      </c>
      <c r="BM17">
        <v>23.555199999999999</v>
      </c>
      <c r="BN17">
        <v>0</v>
      </c>
      <c r="BO17">
        <v>0</v>
      </c>
      <c r="BP17">
        <v>441.66</v>
      </c>
      <c r="BT17">
        <v>2195.0502000000001</v>
      </c>
      <c r="BU17">
        <v>515.27</v>
      </c>
      <c r="BV17">
        <v>73.61</v>
      </c>
      <c r="BW17">
        <v>36.805</v>
      </c>
      <c r="BX17">
        <v>0</v>
      </c>
      <c r="BY17">
        <v>441.66</v>
      </c>
      <c r="BZ17">
        <v>1067.345</v>
      </c>
      <c r="CA17">
        <v>1067.345</v>
      </c>
      <c r="CD17">
        <v>2</v>
      </c>
    </row>
    <row r="18" spans="1:82" x14ac:dyDescent="0.15">
      <c r="A18" t="s">
        <v>126</v>
      </c>
      <c r="B18" t="s">
        <v>217</v>
      </c>
      <c r="C18" t="s">
        <v>220</v>
      </c>
      <c r="D18">
        <v>7460</v>
      </c>
      <c r="E18">
        <v>7460</v>
      </c>
      <c r="F18">
        <v>7460</v>
      </c>
      <c r="G18">
        <v>7460</v>
      </c>
      <c r="I18">
        <v>7382</v>
      </c>
      <c r="J18">
        <v>0.15</v>
      </c>
      <c r="K18">
        <v>7.0000000000000007E-2</v>
      </c>
      <c r="L18">
        <v>0.08</v>
      </c>
      <c r="M18">
        <v>0.01</v>
      </c>
      <c r="N18">
        <v>5.0000000000000001E-3</v>
      </c>
      <c r="O18">
        <v>5.0000000000000001E-3</v>
      </c>
      <c r="P18">
        <v>3.2000000000000002E-3</v>
      </c>
      <c r="Q18">
        <v>0</v>
      </c>
      <c r="R18">
        <v>0.06</v>
      </c>
      <c r="S18">
        <v>0.06</v>
      </c>
      <c r="T18">
        <v>1119</v>
      </c>
      <c r="U18">
        <v>596.79999999999995</v>
      </c>
      <c r="V18">
        <v>37.299999999999997</v>
      </c>
      <c r="W18">
        <v>23.872</v>
      </c>
      <c r="X18">
        <v>0</v>
      </c>
      <c r="Z18">
        <v>442.92</v>
      </c>
      <c r="AA18">
        <v>2219.8919999999998</v>
      </c>
      <c r="AB18">
        <v>522.20000000000005</v>
      </c>
      <c r="AC18">
        <v>74.599999999999994</v>
      </c>
      <c r="AD18">
        <v>37.299999999999997</v>
      </c>
      <c r="AF18">
        <v>442.92</v>
      </c>
      <c r="AG18">
        <v>1077.02</v>
      </c>
      <c r="AO18">
        <v>0</v>
      </c>
      <c r="AU18">
        <v>0</v>
      </c>
      <c r="BC18">
        <v>0</v>
      </c>
      <c r="BJ18">
        <v>1119</v>
      </c>
      <c r="BK18">
        <v>596.79999999999995</v>
      </c>
      <c r="BL18">
        <v>37.299999999999997</v>
      </c>
      <c r="BM18">
        <v>23.872</v>
      </c>
      <c r="BN18">
        <v>0</v>
      </c>
      <c r="BO18">
        <v>0</v>
      </c>
      <c r="BP18">
        <v>442.92</v>
      </c>
      <c r="BT18">
        <v>2219.8919999999998</v>
      </c>
      <c r="BU18">
        <v>522.20000000000005</v>
      </c>
      <c r="BV18">
        <v>74.599999999999994</v>
      </c>
      <c r="BW18">
        <v>37.299999999999997</v>
      </c>
      <c r="BX18">
        <v>0</v>
      </c>
      <c r="BY18">
        <v>442.92</v>
      </c>
      <c r="BZ18">
        <v>1077.02</v>
      </c>
      <c r="CA18">
        <v>1077.02</v>
      </c>
      <c r="CD18">
        <v>2</v>
      </c>
    </row>
    <row r="19" spans="1:82" x14ac:dyDescent="0.15">
      <c r="A19" t="s">
        <v>126</v>
      </c>
      <c r="B19" t="s">
        <v>222</v>
      </c>
      <c r="C19" t="s">
        <v>224</v>
      </c>
      <c r="D19">
        <v>7460</v>
      </c>
      <c r="E19">
        <v>7460</v>
      </c>
      <c r="F19">
        <v>7460</v>
      </c>
      <c r="G19">
        <v>7460</v>
      </c>
      <c r="I19">
        <v>6087</v>
      </c>
      <c r="J19">
        <v>0.15</v>
      </c>
      <c r="K19">
        <v>7.0000000000000007E-2</v>
      </c>
      <c r="L19">
        <v>0.08</v>
      </c>
      <c r="M19">
        <v>0.01</v>
      </c>
      <c r="N19">
        <v>5.0000000000000001E-3</v>
      </c>
      <c r="O19">
        <v>5.0000000000000001E-3</v>
      </c>
      <c r="P19">
        <v>3.2000000000000002E-3</v>
      </c>
      <c r="Q19">
        <v>0</v>
      </c>
      <c r="R19">
        <v>0.06</v>
      </c>
      <c r="S19">
        <v>0.06</v>
      </c>
      <c r="T19">
        <v>1119</v>
      </c>
      <c r="U19">
        <v>596.79999999999995</v>
      </c>
      <c r="V19">
        <v>37.299999999999997</v>
      </c>
      <c r="W19">
        <v>23.872</v>
      </c>
      <c r="X19">
        <v>0</v>
      </c>
      <c r="Z19">
        <v>365.22</v>
      </c>
      <c r="AA19">
        <v>2142.192</v>
      </c>
      <c r="AB19">
        <v>522.20000000000005</v>
      </c>
      <c r="AC19">
        <v>74.599999999999994</v>
      </c>
      <c r="AD19">
        <v>37.299999999999997</v>
      </c>
      <c r="AF19">
        <v>365.22</v>
      </c>
      <c r="AG19">
        <v>999.32</v>
      </c>
      <c r="AO19">
        <v>0</v>
      </c>
      <c r="AU19">
        <v>0</v>
      </c>
      <c r="BC19">
        <v>0</v>
      </c>
      <c r="BJ19">
        <v>1119</v>
      </c>
      <c r="BK19">
        <v>596.79999999999995</v>
      </c>
      <c r="BL19">
        <v>37.299999999999997</v>
      </c>
      <c r="BM19">
        <v>23.872</v>
      </c>
      <c r="BN19">
        <v>0</v>
      </c>
      <c r="BO19">
        <v>0</v>
      </c>
      <c r="BP19">
        <v>365.22</v>
      </c>
      <c r="BT19">
        <v>2142.192</v>
      </c>
      <c r="BU19">
        <v>522.20000000000005</v>
      </c>
      <c r="BV19">
        <v>74.599999999999994</v>
      </c>
      <c r="BW19">
        <v>37.299999999999997</v>
      </c>
      <c r="BX19">
        <v>0</v>
      </c>
      <c r="BY19">
        <v>365.22</v>
      </c>
      <c r="BZ19">
        <v>999.32</v>
      </c>
      <c r="CA19">
        <v>999.32</v>
      </c>
      <c r="CD19">
        <v>2</v>
      </c>
    </row>
    <row r="20" spans="1:82" x14ac:dyDescent="0.15">
      <c r="A20" t="s">
        <v>126</v>
      </c>
      <c r="B20" t="s">
        <v>226</v>
      </c>
      <c r="C20" t="s">
        <v>228</v>
      </c>
      <c r="D20">
        <v>7460</v>
      </c>
      <c r="E20">
        <v>7460</v>
      </c>
      <c r="F20">
        <v>7460</v>
      </c>
      <c r="G20">
        <v>7460</v>
      </c>
      <c r="I20">
        <v>5867</v>
      </c>
      <c r="J20">
        <v>0.15</v>
      </c>
      <c r="K20">
        <v>7.0000000000000007E-2</v>
      </c>
      <c r="L20">
        <v>0.08</v>
      </c>
      <c r="M20">
        <v>0.01</v>
      </c>
      <c r="N20">
        <v>5.0000000000000001E-3</v>
      </c>
      <c r="O20">
        <v>5.0000000000000001E-3</v>
      </c>
      <c r="P20">
        <v>3.2000000000000002E-3</v>
      </c>
      <c r="Q20">
        <v>0</v>
      </c>
      <c r="R20">
        <v>0.06</v>
      </c>
      <c r="S20">
        <v>0.06</v>
      </c>
      <c r="T20">
        <v>1119</v>
      </c>
      <c r="U20">
        <v>596.79999999999995</v>
      </c>
      <c r="V20">
        <v>37.299999999999997</v>
      </c>
      <c r="W20">
        <v>23.872</v>
      </c>
      <c r="X20">
        <v>0</v>
      </c>
      <c r="Z20">
        <v>352.02</v>
      </c>
      <c r="AA20">
        <v>2128.9920000000002</v>
      </c>
      <c r="AB20">
        <v>522.20000000000005</v>
      </c>
      <c r="AC20">
        <v>74.599999999999994</v>
      </c>
      <c r="AD20">
        <v>37.299999999999997</v>
      </c>
      <c r="AF20">
        <v>352.02</v>
      </c>
      <c r="AG20">
        <v>986.12</v>
      </c>
      <c r="AO20">
        <v>0</v>
      </c>
      <c r="AU20">
        <v>0</v>
      </c>
      <c r="BC20">
        <v>0</v>
      </c>
      <c r="BJ20">
        <v>1119</v>
      </c>
      <c r="BK20">
        <v>596.79999999999995</v>
      </c>
      <c r="BL20">
        <v>37.299999999999997</v>
      </c>
      <c r="BM20">
        <v>23.872</v>
      </c>
      <c r="BN20">
        <v>0</v>
      </c>
      <c r="BO20">
        <v>0</v>
      </c>
      <c r="BP20">
        <v>352.02</v>
      </c>
      <c r="BT20">
        <v>2128.9920000000002</v>
      </c>
      <c r="BU20">
        <v>522.20000000000005</v>
      </c>
      <c r="BV20">
        <v>74.599999999999994</v>
      </c>
      <c r="BW20">
        <v>37.299999999999997</v>
      </c>
      <c r="BX20">
        <v>0</v>
      </c>
      <c r="BY20">
        <v>352.02</v>
      </c>
      <c r="BZ20">
        <v>986.12</v>
      </c>
      <c r="CA20">
        <v>986.12</v>
      </c>
      <c r="CD20">
        <v>2</v>
      </c>
    </row>
    <row r="21" spans="1:82" x14ac:dyDescent="0.15">
      <c r="A21" t="s">
        <v>232</v>
      </c>
      <c r="B21" t="s">
        <v>233</v>
      </c>
      <c r="C21" t="s">
        <v>235</v>
      </c>
      <c r="D21">
        <v>7713</v>
      </c>
      <c r="E21">
        <v>7713</v>
      </c>
      <c r="F21">
        <v>7713</v>
      </c>
      <c r="G21">
        <v>7713</v>
      </c>
      <c r="I21">
        <v>7713</v>
      </c>
      <c r="J21">
        <v>0.15</v>
      </c>
      <c r="K21">
        <v>7.0000000000000007E-2</v>
      </c>
      <c r="L21">
        <v>0.08</v>
      </c>
      <c r="M21">
        <v>0.01</v>
      </c>
      <c r="N21">
        <v>5.0000000000000001E-3</v>
      </c>
      <c r="O21">
        <v>5.0000000000000001E-3</v>
      </c>
      <c r="P21">
        <v>3.2000000000000002E-3</v>
      </c>
      <c r="Q21">
        <v>0</v>
      </c>
      <c r="R21">
        <v>0.06</v>
      </c>
      <c r="S21">
        <v>0.06</v>
      </c>
      <c r="T21">
        <v>1156.95</v>
      </c>
      <c r="U21">
        <v>617.04</v>
      </c>
      <c r="V21">
        <v>38.564999999999998</v>
      </c>
      <c r="W21">
        <v>24.6816</v>
      </c>
      <c r="X21">
        <v>0</v>
      </c>
      <c r="Z21">
        <v>462.78</v>
      </c>
      <c r="AA21">
        <v>2300.0165999999999</v>
      </c>
      <c r="AB21">
        <v>539.91</v>
      </c>
      <c r="AC21">
        <v>77.13</v>
      </c>
      <c r="AD21">
        <v>38.564999999999998</v>
      </c>
      <c r="AF21">
        <v>462.78</v>
      </c>
      <c r="AG21">
        <v>1118.385</v>
      </c>
      <c r="AO21">
        <v>0</v>
      </c>
      <c r="AU21">
        <v>0</v>
      </c>
      <c r="BC21">
        <v>0</v>
      </c>
      <c r="BJ21">
        <v>1156.95</v>
      </c>
      <c r="BK21">
        <v>617.04</v>
      </c>
      <c r="BL21">
        <v>38.564999999999998</v>
      </c>
      <c r="BM21">
        <v>24.6816</v>
      </c>
      <c r="BN21">
        <v>0</v>
      </c>
      <c r="BO21">
        <v>0</v>
      </c>
      <c r="BP21">
        <v>462.78</v>
      </c>
      <c r="BT21">
        <v>2300.0165999999999</v>
      </c>
      <c r="BU21">
        <v>539.91</v>
      </c>
      <c r="BV21">
        <v>77.13</v>
      </c>
      <c r="BW21">
        <v>38.564999999999998</v>
      </c>
      <c r="BX21">
        <v>0</v>
      </c>
      <c r="BY21">
        <v>462.78</v>
      </c>
      <c r="BZ21">
        <v>1118.385</v>
      </c>
      <c r="CA21">
        <v>1118.385</v>
      </c>
      <c r="CD21">
        <v>2</v>
      </c>
    </row>
    <row r="22" spans="1:82" x14ac:dyDescent="0.15">
      <c r="A22" t="s">
        <v>212</v>
      </c>
      <c r="B22" t="s">
        <v>237</v>
      </c>
      <c r="C22" t="s">
        <v>240</v>
      </c>
      <c r="D22">
        <v>7527</v>
      </c>
      <c r="E22">
        <v>7527</v>
      </c>
      <c r="F22">
        <v>7527</v>
      </c>
      <c r="G22">
        <v>7527</v>
      </c>
      <c r="I22">
        <v>7527</v>
      </c>
      <c r="J22">
        <v>0.15</v>
      </c>
      <c r="K22">
        <v>7.0000000000000007E-2</v>
      </c>
      <c r="L22">
        <v>0.08</v>
      </c>
      <c r="M22">
        <v>0.01</v>
      </c>
      <c r="N22">
        <v>5.0000000000000001E-3</v>
      </c>
      <c r="O22">
        <v>5.0000000000000001E-3</v>
      </c>
      <c r="P22">
        <v>3.2000000000000002E-3</v>
      </c>
      <c r="Q22">
        <v>0</v>
      </c>
      <c r="R22">
        <v>0.06</v>
      </c>
      <c r="S22">
        <v>0.06</v>
      </c>
      <c r="T22">
        <v>1129.05</v>
      </c>
      <c r="U22">
        <v>602.16</v>
      </c>
      <c r="V22">
        <v>37.634999999999998</v>
      </c>
      <c r="W22">
        <v>24.086400000000001</v>
      </c>
      <c r="X22">
        <v>0</v>
      </c>
      <c r="Z22">
        <v>451.62</v>
      </c>
      <c r="AA22">
        <v>2244.5513999999998</v>
      </c>
      <c r="AB22">
        <v>526.89</v>
      </c>
      <c r="AC22">
        <v>75.27</v>
      </c>
      <c r="AD22">
        <v>37.634999999999998</v>
      </c>
      <c r="AF22">
        <v>451.62</v>
      </c>
      <c r="AG22">
        <v>1091.415</v>
      </c>
      <c r="AO22">
        <v>0</v>
      </c>
      <c r="AU22">
        <v>0</v>
      </c>
      <c r="BC22">
        <v>0</v>
      </c>
      <c r="BJ22">
        <v>1129.05</v>
      </c>
      <c r="BK22">
        <v>602.16</v>
      </c>
      <c r="BL22">
        <v>37.634999999999998</v>
      </c>
      <c r="BM22">
        <v>24.086400000000001</v>
      </c>
      <c r="BN22">
        <v>0</v>
      </c>
      <c r="BO22">
        <v>0</v>
      </c>
      <c r="BP22">
        <v>451.62</v>
      </c>
      <c r="BT22">
        <v>2244.5513999999998</v>
      </c>
      <c r="BU22">
        <v>526.89</v>
      </c>
      <c r="BV22">
        <v>75.27</v>
      </c>
      <c r="BW22">
        <v>37.634999999999998</v>
      </c>
      <c r="BX22">
        <v>0</v>
      </c>
      <c r="BY22">
        <v>451.62</v>
      </c>
      <c r="BZ22">
        <v>1091.415</v>
      </c>
      <c r="CA22">
        <v>1091.415</v>
      </c>
      <c r="CD22">
        <v>2</v>
      </c>
    </row>
    <row r="23" spans="1:82" x14ac:dyDescent="0.15">
      <c r="A23" t="s">
        <v>150</v>
      </c>
      <c r="B23" t="s">
        <v>242</v>
      </c>
      <c r="C23" t="s">
        <v>244</v>
      </c>
      <c r="D23">
        <v>7162</v>
      </c>
      <c r="E23">
        <v>7162</v>
      </c>
      <c r="F23">
        <v>7162</v>
      </c>
      <c r="G23">
        <v>7162</v>
      </c>
      <c r="I23">
        <v>4651</v>
      </c>
      <c r="J23">
        <v>0.15</v>
      </c>
      <c r="K23">
        <v>7.0000000000000007E-2</v>
      </c>
      <c r="L23">
        <v>0.08</v>
      </c>
      <c r="M23">
        <v>0.01</v>
      </c>
      <c r="N23">
        <v>5.0000000000000001E-3</v>
      </c>
      <c r="O23">
        <v>5.0000000000000001E-3</v>
      </c>
      <c r="P23">
        <v>3.2000000000000002E-3</v>
      </c>
      <c r="Q23">
        <v>0</v>
      </c>
      <c r="R23">
        <v>0.06</v>
      </c>
      <c r="S23">
        <v>0.06</v>
      </c>
      <c r="T23">
        <v>1074.3</v>
      </c>
      <c r="U23">
        <v>572.96</v>
      </c>
      <c r="V23">
        <v>35.81</v>
      </c>
      <c r="W23">
        <v>22.918399999999998</v>
      </c>
      <c r="X23">
        <v>0</v>
      </c>
      <c r="Z23">
        <v>279.06</v>
      </c>
      <c r="AA23">
        <v>1985.0483999999999</v>
      </c>
      <c r="AB23">
        <v>501.34</v>
      </c>
      <c r="AC23">
        <v>71.62</v>
      </c>
      <c r="AD23">
        <v>35.81</v>
      </c>
      <c r="AF23">
        <v>279.06</v>
      </c>
      <c r="AG23">
        <v>887.83</v>
      </c>
      <c r="AO23">
        <v>0</v>
      </c>
      <c r="AU23">
        <v>0</v>
      </c>
      <c r="BC23">
        <v>0</v>
      </c>
      <c r="BJ23">
        <v>1074.3</v>
      </c>
      <c r="BK23">
        <v>572.96</v>
      </c>
      <c r="BL23">
        <v>35.81</v>
      </c>
      <c r="BM23">
        <v>22.918399999999998</v>
      </c>
      <c r="BN23">
        <v>0</v>
      </c>
      <c r="BO23">
        <v>0</v>
      </c>
      <c r="BP23">
        <v>279.06</v>
      </c>
      <c r="BT23">
        <v>1985.0483999999999</v>
      </c>
      <c r="BU23">
        <v>501.34</v>
      </c>
      <c r="BV23">
        <v>71.62</v>
      </c>
      <c r="BW23">
        <v>35.81</v>
      </c>
      <c r="BX23">
        <v>0</v>
      </c>
      <c r="BY23">
        <v>279.06</v>
      </c>
      <c r="BZ23">
        <v>887.83</v>
      </c>
      <c r="CA23">
        <v>887.83</v>
      </c>
      <c r="CD23">
        <v>2</v>
      </c>
    </row>
    <row r="24" spans="1:82" x14ac:dyDescent="0.15">
      <c r="A24" t="s">
        <v>168</v>
      </c>
      <c r="B24" t="s">
        <v>246</v>
      </c>
      <c r="C24" t="s">
        <v>248</v>
      </c>
      <c r="D24">
        <v>6573</v>
      </c>
      <c r="E24">
        <v>6573</v>
      </c>
      <c r="F24">
        <v>6573</v>
      </c>
      <c r="G24">
        <v>6573</v>
      </c>
      <c r="I24">
        <v>6573</v>
      </c>
      <c r="J24">
        <v>0.15</v>
      </c>
      <c r="K24">
        <v>7.0000000000000007E-2</v>
      </c>
      <c r="L24">
        <v>0.08</v>
      </c>
      <c r="M24">
        <v>0.01</v>
      </c>
      <c r="N24">
        <v>5.0000000000000001E-3</v>
      </c>
      <c r="O24">
        <v>5.0000000000000001E-3</v>
      </c>
      <c r="P24">
        <v>3.2000000000000002E-3</v>
      </c>
      <c r="Q24">
        <v>0</v>
      </c>
      <c r="R24">
        <v>0.06</v>
      </c>
      <c r="S24">
        <v>0.06</v>
      </c>
      <c r="T24">
        <v>985.95</v>
      </c>
      <c r="U24">
        <v>525.84</v>
      </c>
      <c r="V24">
        <v>32.865000000000002</v>
      </c>
      <c r="W24">
        <v>21.0336</v>
      </c>
      <c r="X24">
        <v>0</v>
      </c>
      <c r="Z24">
        <v>394.38</v>
      </c>
      <c r="AA24">
        <v>1960.0686000000001</v>
      </c>
      <c r="AB24">
        <v>460.11</v>
      </c>
      <c r="AC24">
        <v>65.73</v>
      </c>
      <c r="AD24">
        <v>32.865000000000002</v>
      </c>
      <c r="AF24">
        <v>394.38</v>
      </c>
      <c r="AG24">
        <v>953.08500000000004</v>
      </c>
      <c r="AO24">
        <v>0</v>
      </c>
      <c r="AU24">
        <v>0</v>
      </c>
      <c r="BC24">
        <v>0</v>
      </c>
      <c r="BJ24">
        <v>985.95</v>
      </c>
      <c r="BK24">
        <v>525.84</v>
      </c>
      <c r="BL24">
        <v>32.865000000000002</v>
      </c>
      <c r="BM24">
        <v>21.0336</v>
      </c>
      <c r="BN24">
        <v>0</v>
      </c>
      <c r="BO24">
        <v>0</v>
      </c>
      <c r="BP24">
        <v>394.38</v>
      </c>
      <c r="BT24">
        <v>1960.0686000000001</v>
      </c>
      <c r="BU24">
        <v>460.11</v>
      </c>
      <c r="BV24">
        <v>65.73</v>
      </c>
      <c r="BW24">
        <v>32.865000000000002</v>
      </c>
      <c r="BX24">
        <v>0</v>
      </c>
      <c r="BY24">
        <v>394.38</v>
      </c>
      <c r="BZ24">
        <v>953.08500000000004</v>
      </c>
      <c r="CA24">
        <v>953.08500000000004</v>
      </c>
      <c r="CD24">
        <v>2</v>
      </c>
    </row>
    <row r="25" spans="1:82" x14ac:dyDescent="0.15">
      <c r="A25" t="s">
        <v>150</v>
      </c>
      <c r="B25" t="s">
        <v>250</v>
      </c>
      <c r="C25" t="s">
        <v>252</v>
      </c>
      <c r="D25">
        <v>7162</v>
      </c>
      <c r="E25">
        <v>7162</v>
      </c>
      <c r="F25">
        <v>7162</v>
      </c>
      <c r="G25">
        <v>7162</v>
      </c>
      <c r="I25">
        <v>4540</v>
      </c>
      <c r="J25">
        <v>0.15</v>
      </c>
      <c r="K25">
        <v>7.0000000000000007E-2</v>
      </c>
      <c r="L25">
        <v>0.08</v>
      </c>
      <c r="M25">
        <v>0.01</v>
      </c>
      <c r="N25">
        <v>5.0000000000000001E-3</v>
      </c>
      <c r="O25">
        <v>5.0000000000000001E-3</v>
      </c>
      <c r="P25">
        <v>3.2000000000000002E-3</v>
      </c>
      <c r="Q25">
        <v>0</v>
      </c>
      <c r="R25">
        <v>0.06</v>
      </c>
      <c r="S25">
        <v>0.06</v>
      </c>
      <c r="T25">
        <v>1074.3</v>
      </c>
      <c r="U25">
        <v>572.96</v>
      </c>
      <c r="V25">
        <v>35.81</v>
      </c>
      <c r="W25">
        <v>22.918399999999998</v>
      </c>
      <c r="X25">
        <v>0</v>
      </c>
      <c r="Z25">
        <v>272.39999999999998</v>
      </c>
      <c r="AA25">
        <v>1978.3884</v>
      </c>
      <c r="AB25">
        <v>501.34</v>
      </c>
      <c r="AC25">
        <v>71.62</v>
      </c>
      <c r="AD25">
        <v>35.81</v>
      </c>
      <c r="AF25">
        <v>272.39999999999998</v>
      </c>
      <c r="AG25">
        <v>881.17</v>
      </c>
      <c r="AO25">
        <v>0</v>
      </c>
      <c r="AU25">
        <v>0</v>
      </c>
      <c r="BC25">
        <v>0</v>
      </c>
      <c r="BJ25">
        <v>1074.3</v>
      </c>
      <c r="BK25">
        <v>572.96</v>
      </c>
      <c r="BL25">
        <v>35.81</v>
      </c>
      <c r="BM25">
        <v>22.918399999999998</v>
      </c>
      <c r="BN25">
        <v>0</v>
      </c>
      <c r="BO25">
        <v>0</v>
      </c>
      <c r="BP25">
        <v>272.39999999999998</v>
      </c>
      <c r="BT25">
        <v>1978.3884</v>
      </c>
      <c r="BU25">
        <v>501.34</v>
      </c>
      <c r="BV25">
        <v>71.62</v>
      </c>
      <c r="BW25">
        <v>35.81</v>
      </c>
      <c r="BX25">
        <v>0</v>
      </c>
      <c r="BY25">
        <v>272.39999999999998</v>
      </c>
      <c r="BZ25">
        <v>881.17</v>
      </c>
      <c r="CA25">
        <v>881.17</v>
      </c>
      <c r="CD25">
        <v>2</v>
      </c>
    </row>
    <row r="26" spans="1:82" x14ac:dyDescent="0.15">
      <c r="A26" t="s">
        <v>126</v>
      </c>
      <c r="B26" t="s">
        <v>254</v>
      </c>
      <c r="C26" t="s">
        <v>256</v>
      </c>
      <c r="D26">
        <v>7460</v>
      </c>
      <c r="E26">
        <v>7460</v>
      </c>
      <c r="F26">
        <v>7460</v>
      </c>
      <c r="G26">
        <v>7460</v>
      </c>
      <c r="I26">
        <v>6751</v>
      </c>
      <c r="J26">
        <v>0.15</v>
      </c>
      <c r="K26">
        <v>7.0000000000000007E-2</v>
      </c>
      <c r="L26">
        <v>0.08</v>
      </c>
      <c r="M26">
        <v>0.01</v>
      </c>
      <c r="N26">
        <v>5.0000000000000001E-3</v>
      </c>
      <c r="O26">
        <v>5.0000000000000001E-3</v>
      </c>
      <c r="P26">
        <v>3.2000000000000002E-3</v>
      </c>
      <c r="Q26">
        <v>0</v>
      </c>
      <c r="R26">
        <v>0.06</v>
      </c>
      <c r="S26">
        <v>0.06</v>
      </c>
      <c r="T26">
        <v>1119</v>
      </c>
      <c r="U26">
        <v>596.79999999999995</v>
      </c>
      <c r="V26">
        <v>37.299999999999997</v>
      </c>
      <c r="W26">
        <v>23.872</v>
      </c>
      <c r="X26">
        <v>0</v>
      </c>
      <c r="Z26">
        <v>405.06</v>
      </c>
      <c r="AA26">
        <v>2182.0320000000002</v>
      </c>
      <c r="AB26">
        <v>522.20000000000005</v>
      </c>
      <c r="AC26">
        <v>74.599999999999994</v>
      </c>
      <c r="AD26">
        <v>37.299999999999997</v>
      </c>
      <c r="AF26">
        <v>405.06</v>
      </c>
      <c r="AG26">
        <v>1039.1600000000001</v>
      </c>
      <c r="AO26">
        <v>0</v>
      </c>
      <c r="AU26">
        <v>0</v>
      </c>
      <c r="BC26">
        <v>0</v>
      </c>
      <c r="BJ26">
        <v>1119</v>
      </c>
      <c r="BK26">
        <v>596.79999999999995</v>
      </c>
      <c r="BL26">
        <v>37.299999999999997</v>
      </c>
      <c r="BM26">
        <v>23.872</v>
      </c>
      <c r="BN26">
        <v>0</v>
      </c>
      <c r="BO26">
        <v>0</v>
      </c>
      <c r="BP26">
        <v>405.06</v>
      </c>
      <c r="BT26">
        <v>2182.0320000000002</v>
      </c>
      <c r="BU26">
        <v>522.20000000000005</v>
      </c>
      <c r="BV26">
        <v>74.599999999999994</v>
      </c>
      <c r="BW26">
        <v>37.299999999999997</v>
      </c>
      <c r="BX26">
        <v>0</v>
      </c>
      <c r="BY26">
        <v>405.06</v>
      </c>
      <c r="BZ26">
        <v>1039.1600000000001</v>
      </c>
      <c r="CA26">
        <v>1039.1600000000001</v>
      </c>
      <c r="CD26">
        <v>2</v>
      </c>
    </row>
    <row r="27" spans="1:82" x14ac:dyDescent="0.15">
      <c r="A27" t="s">
        <v>150</v>
      </c>
      <c r="B27" t="s">
        <v>258</v>
      </c>
      <c r="C27" t="s">
        <v>260</v>
      </c>
      <c r="D27">
        <v>7281</v>
      </c>
      <c r="E27">
        <v>7281</v>
      </c>
      <c r="F27">
        <v>7281</v>
      </c>
      <c r="G27">
        <v>7281</v>
      </c>
      <c r="I27">
        <v>7281</v>
      </c>
      <c r="J27">
        <v>0.15</v>
      </c>
      <c r="K27">
        <v>7.0000000000000007E-2</v>
      </c>
      <c r="L27">
        <v>0.08</v>
      </c>
      <c r="M27">
        <v>0.01</v>
      </c>
      <c r="N27">
        <v>5.0000000000000001E-3</v>
      </c>
      <c r="O27">
        <v>5.0000000000000001E-3</v>
      </c>
      <c r="P27">
        <v>3.2000000000000002E-3</v>
      </c>
      <c r="Q27">
        <v>0</v>
      </c>
      <c r="R27">
        <v>0.06</v>
      </c>
      <c r="S27">
        <v>0.06</v>
      </c>
      <c r="T27">
        <v>1092.1500000000001</v>
      </c>
      <c r="U27">
        <v>582.48</v>
      </c>
      <c r="V27">
        <v>36.405000000000001</v>
      </c>
      <c r="W27">
        <v>23.299199999999999</v>
      </c>
      <c r="X27">
        <v>0</v>
      </c>
      <c r="Z27">
        <v>436.86</v>
      </c>
      <c r="AA27">
        <v>2171.1941999999999</v>
      </c>
      <c r="AB27">
        <v>509.67</v>
      </c>
      <c r="AC27">
        <v>72.81</v>
      </c>
      <c r="AD27">
        <v>36.405000000000001</v>
      </c>
      <c r="AF27">
        <v>436.86</v>
      </c>
      <c r="AG27">
        <v>1055.7449999999999</v>
      </c>
      <c r="AO27">
        <v>0</v>
      </c>
      <c r="AU27">
        <v>0</v>
      </c>
      <c r="BC27">
        <v>0</v>
      </c>
      <c r="BJ27">
        <v>1092.1500000000001</v>
      </c>
      <c r="BK27">
        <v>582.48</v>
      </c>
      <c r="BL27">
        <v>36.405000000000001</v>
      </c>
      <c r="BM27">
        <v>23.299199999999999</v>
      </c>
      <c r="BN27">
        <v>0</v>
      </c>
      <c r="BO27">
        <v>0</v>
      </c>
      <c r="BP27">
        <v>436.86</v>
      </c>
      <c r="BT27">
        <v>2171.1941999999999</v>
      </c>
      <c r="BU27">
        <v>509.67</v>
      </c>
      <c r="BV27">
        <v>72.81</v>
      </c>
      <c r="BW27">
        <v>36.405000000000001</v>
      </c>
      <c r="BX27">
        <v>0</v>
      </c>
      <c r="BY27">
        <v>436.86</v>
      </c>
      <c r="BZ27">
        <v>1055.7449999999999</v>
      </c>
      <c r="CA27">
        <v>1055.7449999999999</v>
      </c>
      <c r="CD27">
        <v>2</v>
      </c>
    </row>
    <row r="28" spans="1:82" x14ac:dyDescent="0.15">
      <c r="A28" t="s">
        <v>126</v>
      </c>
      <c r="B28" t="s">
        <v>262</v>
      </c>
      <c r="C28" t="s">
        <v>264</v>
      </c>
      <c r="D28">
        <v>8381</v>
      </c>
      <c r="E28">
        <v>8381</v>
      </c>
      <c r="F28">
        <v>8381</v>
      </c>
      <c r="G28">
        <v>8381</v>
      </c>
      <c r="I28">
        <v>8381</v>
      </c>
      <c r="J28">
        <v>0.16</v>
      </c>
      <c r="K28">
        <v>0.08</v>
      </c>
      <c r="L28">
        <v>0.09</v>
      </c>
      <c r="M28">
        <v>0.02</v>
      </c>
      <c r="N28">
        <v>5.0000000000000001E-3</v>
      </c>
      <c r="O28">
        <v>5.0000000000000001E-3</v>
      </c>
      <c r="P28">
        <v>3.2000000000000002E-3</v>
      </c>
      <c r="Q28">
        <v>0</v>
      </c>
      <c r="R28">
        <v>7.0000000000000007E-2</v>
      </c>
      <c r="S28">
        <v>7.0000000000000007E-2</v>
      </c>
      <c r="T28">
        <v>1340.96</v>
      </c>
      <c r="U28">
        <v>754.29</v>
      </c>
      <c r="V28">
        <v>41.905000000000001</v>
      </c>
      <c r="W28">
        <v>26.819199999999999</v>
      </c>
      <c r="X28">
        <v>0</v>
      </c>
      <c r="Z28">
        <v>586.66999999999996</v>
      </c>
      <c r="AA28">
        <v>2750.6442000000002</v>
      </c>
      <c r="AB28">
        <v>670.48</v>
      </c>
      <c r="AC28">
        <v>167.62</v>
      </c>
      <c r="AD28">
        <v>41.905000000000001</v>
      </c>
      <c r="AF28">
        <v>586.66999999999996</v>
      </c>
      <c r="AG28">
        <v>1466.675</v>
      </c>
      <c r="AO28">
        <v>0</v>
      </c>
      <c r="AU28">
        <v>0</v>
      </c>
      <c r="BC28">
        <v>0</v>
      </c>
      <c r="BJ28">
        <v>1340.96</v>
      </c>
      <c r="BK28">
        <v>754.29</v>
      </c>
      <c r="BL28">
        <v>41.905000000000001</v>
      </c>
      <c r="BM28">
        <v>26.819199999999999</v>
      </c>
      <c r="BN28">
        <v>0</v>
      </c>
      <c r="BO28">
        <v>0</v>
      </c>
      <c r="BP28">
        <v>586.66999999999996</v>
      </c>
      <c r="BT28">
        <v>2750.6442000000002</v>
      </c>
      <c r="BU28">
        <v>670.48</v>
      </c>
      <c r="BV28">
        <v>167.62</v>
      </c>
      <c r="BW28">
        <v>41.905000000000001</v>
      </c>
      <c r="BX28">
        <v>0</v>
      </c>
      <c r="BY28">
        <v>586.66999999999996</v>
      </c>
      <c r="BZ28">
        <v>1466.675</v>
      </c>
      <c r="CA28">
        <v>1466.675</v>
      </c>
      <c r="CD28">
        <v>2</v>
      </c>
    </row>
    <row r="29" spans="1:82" x14ac:dyDescent="0.15">
      <c r="A29" t="s">
        <v>168</v>
      </c>
      <c r="B29" t="s">
        <v>266</v>
      </c>
      <c r="C29" t="s">
        <v>268</v>
      </c>
      <c r="D29">
        <v>5563</v>
      </c>
      <c r="E29">
        <v>5563</v>
      </c>
      <c r="F29">
        <v>5563</v>
      </c>
      <c r="G29">
        <v>5563</v>
      </c>
      <c r="I29">
        <v>5563</v>
      </c>
      <c r="J29">
        <v>0.15</v>
      </c>
      <c r="K29">
        <v>7.0000000000000007E-2</v>
      </c>
      <c r="L29">
        <v>0.08</v>
      </c>
      <c r="M29">
        <v>0.01</v>
      </c>
      <c r="N29">
        <v>5.0000000000000001E-3</v>
      </c>
      <c r="O29">
        <v>5.0000000000000001E-3</v>
      </c>
      <c r="P29">
        <v>3.2000000000000002E-3</v>
      </c>
      <c r="Q29">
        <v>0</v>
      </c>
      <c r="R29">
        <v>0.06</v>
      </c>
      <c r="S29">
        <v>0.06</v>
      </c>
      <c r="T29">
        <v>834.45</v>
      </c>
      <c r="U29">
        <v>445.04</v>
      </c>
      <c r="V29">
        <v>27.815000000000001</v>
      </c>
      <c r="W29">
        <v>17.801600000000001</v>
      </c>
      <c r="X29">
        <v>0</v>
      </c>
      <c r="Z29">
        <v>333.78</v>
      </c>
      <c r="AA29">
        <v>1658.8866</v>
      </c>
      <c r="AB29">
        <v>389.41</v>
      </c>
      <c r="AC29">
        <v>55.63</v>
      </c>
      <c r="AD29">
        <v>27.815000000000001</v>
      </c>
      <c r="AF29">
        <v>333.78</v>
      </c>
      <c r="AG29">
        <v>806.63499999999999</v>
      </c>
      <c r="AO29">
        <v>0</v>
      </c>
      <c r="AU29">
        <v>0</v>
      </c>
      <c r="BC29">
        <v>0</v>
      </c>
      <c r="BJ29">
        <v>834.45</v>
      </c>
      <c r="BK29">
        <v>445.04</v>
      </c>
      <c r="BL29">
        <v>27.815000000000001</v>
      </c>
      <c r="BM29">
        <v>17.801600000000001</v>
      </c>
      <c r="BN29">
        <v>0</v>
      </c>
      <c r="BO29">
        <v>0</v>
      </c>
      <c r="BP29">
        <v>333.78</v>
      </c>
      <c r="BT29">
        <v>1658.8866</v>
      </c>
      <c r="BU29">
        <v>389.41</v>
      </c>
      <c r="BV29">
        <v>55.63</v>
      </c>
      <c r="BW29">
        <v>27.815000000000001</v>
      </c>
      <c r="BX29">
        <v>0</v>
      </c>
      <c r="BY29">
        <v>333.78</v>
      </c>
      <c r="BZ29">
        <v>806.63499999999999</v>
      </c>
      <c r="CA29">
        <v>806.63499999999999</v>
      </c>
      <c r="CD29">
        <v>2</v>
      </c>
    </row>
    <row r="30" spans="1:82" x14ac:dyDescent="0.15">
      <c r="A30" t="s">
        <v>150</v>
      </c>
      <c r="B30" t="s">
        <v>270</v>
      </c>
      <c r="C30" t="s">
        <v>272</v>
      </c>
      <c r="D30">
        <v>7162</v>
      </c>
      <c r="E30">
        <v>7162</v>
      </c>
      <c r="F30">
        <v>7162</v>
      </c>
      <c r="G30">
        <v>7162</v>
      </c>
      <c r="I30">
        <v>3618</v>
      </c>
      <c r="J30">
        <v>0.15</v>
      </c>
      <c r="K30">
        <v>7.0000000000000007E-2</v>
      </c>
      <c r="L30">
        <v>0.08</v>
      </c>
      <c r="M30">
        <v>0.01</v>
      </c>
      <c r="N30">
        <v>5.0000000000000001E-3</v>
      </c>
      <c r="O30">
        <v>5.0000000000000001E-3</v>
      </c>
      <c r="P30">
        <v>3.2000000000000002E-3</v>
      </c>
      <c r="Q30">
        <v>0</v>
      </c>
      <c r="R30">
        <v>0.06</v>
      </c>
      <c r="S30">
        <v>0.06</v>
      </c>
      <c r="T30">
        <v>1074.3</v>
      </c>
      <c r="U30">
        <v>572.96</v>
      </c>
      <c r="V30">
        <v>35.81</v>
      </c>
      <c r="W30">
        <v>22.918399999999998</v>
      </c>
      <c r="X30">
        <v>0</v>
      </c>
      <c r="Z30">
        <v>217.08</v>
      </c>
      <c r="AA30">
        <v>1923.0684000000001</v>
      </c>
      <c r="AB30">
        <v>501.34</v>
      </c>
      <c r="AC30">
        <v>71.62</v>
      </c>
      <c r="AD30">
        <v>35.81</v>
      </c>
      <c r="AF30">
        <v>217.08</v>
      </c>
      <c r="AG30">
        <v>825.85</v>
      </c>
      <c r="AO30">
        <v>0</v>
      </c>
      <c r="AU30">
        <v>0</v>
      </c>
      <c r="BC30">
        <v>0</v>
      </c>
      <c r="BJ30">
        <v>1074.3</v>
      </c>
      <c r="BK30">
        <v>572.96</v>
      </c>
      <c r="BL30">
        <v>35.81</v>
      </c>
      <c r="BM30">
        <v>22.918399999999998</v>
      </c>
      <c r="BN30">
        <v>0</v>
      </c>
      <c r="BO30">
        <v>0</v>
      </c>
      <c r="BP30">
        <v>217.08</v>
      </c>
      <c r="BT30">
        <v>1923.0684000000001</v>
      </c>
      <c r="BU30">
        <v>501.34</v>
      </c>
      <c r="BV30">
        <v>71.62</v>
      </c>
      <c r="BW30">
        <v>35.81</v>
      </c>
      <c r="BX30">
        <v>0</v>
      </c>
      <c r="BY30">
        <v>217.08</v>
      </c>
      <c r="BZ30">
        <v>825.85</v>
      </c>
      <c r="CA30">
        <v>825.85</v>
      </c>
      <c r="CD30">
        <v>2</v>
      </c>
    </row>
    <row r="31" spans="1:82" x14ac:dyDescent="0.15">
      <c r="A31" t="s">
        <v>126</v>
      </c>
      <c r="B31" t="s">
        <v>274</v>
      </c>
      <c r="C31" t="s">
        <v>276</v>
      </c>
      <c r="D31">
        <v>7460</v>
      </c>
      <c r="E31">
        <v>7460</v>
      </c>
      <c r="F31">
        <v>7460</v>
      </c>
      <c r="G31">
        <v>7460</v>
      </c>
      <c r="I31">
        <v>6474</v>
      </c>
      <c r="J31">
        <v>0.15</v>
      </c>
      <c r="K31">
        <v>7.0000000000000007E-2</v>
      </c>
      <c r="L31">
        <v>0.08</v>
      </c>
      <c r="M31">
        <v>0.01</v>
      </c>
      <c r="N31">
        <v>5.0000000000000001E-3</v>
      </c>
      <c r="O31">
        <v>5.0000000000000001E-3</v>
      </c>
      <c r="P31">
        <v>3.2000000000000002E-3</v>
      </c>
      <c r="Q31">
        <v>0</v>
      </c>
      <c r="R31">
        <v>0.06</v>
      </c>
      <c r="S31">
        <v>0.06</v>
      </c>
      <c r="T31">
        <v>1119</v>
      </c>
      <c r="U31">
        <v>596.79999999999995</v>
      </c>
      <c r="V31">
        <v>37.299999999999997</v>
      </c>
      <c r="W31">
        <v>23.872</v>
      </c>
      <c r="X31">
        <v>0</v>
      </c>
      <c r="Z31">
        <v>388.44</v>
      </c>
      <c r="AA31">
        <v>2165.4119999999998</v>
      </c>
      <c r="AB31">
        <v>522.20000000000005</v>
      </c>
      <c r="AC31">
        <v>74.599999999999994</v>
      </c>
      <c r="AD31">
        <v>37.299999999999997</v>
      </c>
      <c r="AF31">
        <v>388.44</v>
      </c>
      <c r="AG31">
        <v>1022.54</v>
      </c>
      <c r="AO31">
        <v>0</v>
      </c>
      <c r="AU31">
        <v>0</v>
      </c>
      <c r="BC31">
        <v>0</v>
      </c>
      <c r="BJ31">
        <v>1119</v>
      </c>
      <c r="BK31">
        <v>596.79999999999995</v>
      </c>
      <c r="BL31">
        <v>37.299999999999997</v>
      </c>
      <c r="BM31">
        <v>23.872</v>
      </c>
      <c r="BN31">
        <v>0</v>
      </c>
      <c r="BO31">
        <v>0</v>
      </c>
      <c r="BP31">
        <v>388.44</v>
      </c>
      <c r="BT31">
        <v>2165.4119999999998</v>
      </c>
      <c r="BU31">
        <v>522.20000000000005</v>
      </c>
      <c r="BV31">
        <v>74.599999999999994</v>
      </c>
      <c r="BW31">
        <v>37.299999999999997</v>
      </c>
      <c r="BX31">
        <v>0</v>
      </c>
      <c r="BY31">
        <v>388.44</v>
      </c>
      <c r="BZ31">
        <v>1022.54</v>
      </c>
      <c r="CA31">
        <v>1022.54</v>
      </c>
      <c r="CD31">
        <v>2</v>
      </c>
    </row>
    <row r="32" spans="1:82" x14ac:dyDescent="0.15">
      <c r="A32" t="s">
        <v>168</v>
      </c>
      <c r="B32" t="s">
        <v>278</v>
      </c>
      <c r="C32" t="s">
        <v>280</v>
      </c>
      <c r="D32">
        <v>5124</v>
      </c>
      <c r="E32">
        <v>5124</v>
      </c>
      <c r="F32">
        <v>5124</v>
      </c>
      <c r="G32">
        <v>5124</v>
      </c>
      <c r="I32">
        <v>3734</v>
      </c>
      <c r="J32">
        <v>0.15</v>
      </c>
      <c r="K32">
        <v>7.0000000000000007E-2</v>
      </c>
      <c r="L32">
        <v>0.08</v>
      </c>
      <c r="M32">
        <v>0.01</v>
      </c>
      <c r="N32">
        <v>5.0000000000000001E-3</v>
      </c>
      <c r="O32">
        <v>5.0000000000000001E-3</v>
      </c>
      <c r="P32">
        <v>3.2000000000000002E-3</v>
      </c>
      <c r="Q32">
        <v>0</v>
      </c>
      <c r="R32">
        <v>0.06</v>
      </c>
      <c r="S32">
        <v>0.06</v>
      </c>
      <c r="T32">
        <v>768.6</v>
      </c>
      <c r="U32">
        <v>409.92</v>
      </c>
      <c r="V32">
        <v>25.62</v>
      </c>
      <c r="W32">
        <v>16.396799999999999</v>
      </c>
      <c r="X32">
        <v>0</v>
      </c>
      <c r="Z32">
        <v>224.04</v>
      </c>
      <c r="AA32">
        <v>1444.5768</v>
      </c>
      <c r="AB32">
        <v>358.68</v>
      </c>
      <c r="AC32">
        <v>51.24</v>
      </c>
      <c r="AD32">
        <v>25.62</v>
      </c>
      <c r="AF32">
        <v>224.04</v>
      </c>
      <c r="AG32">
        <v>659.58</v>
      </c>
      <c r="AO32">
        <v>0</v>
      </c>
      <c r="AU32">
        <v>0</v>
      </c>
      <c r="BC32">
        <v>0</v>
      </c>
      <c r="BJ32">
        <v>768.6</v>
      </c>
      <c r="BK32">
        <v>409.92</v>
      </c>
      <c r="BL32">
        <v>25.62</v>
      </c>
      <c r="BM32">
        <v>16.396799999999999</v>
      </c>
      <c r="BN32">
        <v>0</v>
      </c>
      <c r="BO32">
        <v>0</v>
      </c>
      <c r="BP32">
        <v>224.04</v>
      </c>
      <c r="BT32">
        <v>1444.5768</v>
      </c>
      <c r="BU32">
        <v>358.68</v>
      </c>
      <c r="BV32">
        <v>51.24</v>
      </c>
      <c r="BW32">
        <v>25.62</v>
      </c>
      <c r="BX32">
        <v>0</v>
      </c>
      <c r="BY32">
        <v>224.04</v>
      </c>
      <c r="BZ32">
        <v>659.58</v>
      </c>
      <c r="CA32">
        <v>659.58</v>
      </c>
      <c r="CD32">
        <v>2</v>
      </c>
    </row>
    <row r="33" spans="1:82" x14ac:dyDescent="0.15">
      <c r="A33" t="s">
        <v>150</v>
      </c>
      <c r="B33" t="s">
        <v>282</v>
      </c>
      <c r="C33" t="s">
        <v>284</v>
      </c>
      <c r="D33">
        <v>7162</v>
      </c>
      <c r="E33">
        <v>7162</v>
      </c>
      <c r="F33">
        <v>7162</v>
      </c>
      <c r="G33">
        <v>7162</v>
      </c>
      <c r="I33">
        <v>2722</v>
      </c>
      <c r="J33">
        <v>0.15</v>
      </c>
      <c r="K33">
        <v>7.0000000000000007E-2</v>
      </c>
      <c r="L33">
        <v>0.08</v>
      </c>
      <c r="M33">
        <v>0.01</v>
      </c>
      <c r="N33">
        <v>5.0000000000000001E-3</v>
      </c>
      <c r="O33">
        <v>5.0000000000000001E-3</v>
      </c>
      <c r="P33">
        <v>3.2000000000000002E-3</v>
      </c>
      <c r="Q33">
        <v>0</v>
      </c>
      <c r="R33">
        <v>0.06</v>
      </c>
      <c r="S33">
        <v>0.06</v>
      </c>
      <c r="T33">
        <v>1074.3</v>
      </c>
      <c r="U33">
        <v>572.96</v>
      </c>
      <c r="V33">
        <v>35.81</v>
      </c>
      <c r="W33">
        <v>22.918399999999998</v>
      </c>
      <c r="X33">
        <v>0</v>
      </c>
      <c r="Z33">
        <v>163.32</v>
      </c>
      <c r="AA33">
        <v>1869.3083999999999</v>
      </c>
      <c r="AB33">
        <v>501.34</v>
      </c>
      <c r="AC33">
        <v>71.62</v>
      </c>
      <c r="AD33">
        <v>35.81</v>
      </c>
      <c r="AF33">
        <v>163.32</v>
      </c>
      <c r="AG33">
        <v>772.09</v>
      </c>
      <c r="AO33">
        <v>0</v>
      </c>
      <c r="AU33">
        <v>0</v>
      </c>
      <c r="BC33">
        <v>0</v>
      </c>
      <c r="BJ33">
        <v>1074.3</v>
      </c>
      <c r="BK33">
        <v>572.96</v>
      </c>
      <c r="BL33">
        <v>35.81</v>
      </c>
      <c r="BM33">
        <v>22.918399999999998</v>
      </c>
      <c r="BN33">
        <v>0</v>
      </c>
      <c r="BO33">
        <v>0</v>
      </c>
      <c r="BP33">
        <v>163.32</v>
      </c>
      <c r="BT33">
        <v>1869.3083999999999</v>
      </c>
      <c r="BU33">
        <v>501.34</v>
      </c>
      <c r="BV33">
        <v>71.62</v>
      </c>
      <c r="BW33">
        <v>35.81</v>
      </c>
      <c r="BX33">
        <v>0</v>
      </c>
      <c r="BY33">
        <v>163.32</v>
      </c>
      <c r="BZ33">
        <v>772.09</v>
      </c>
      <c r="CA33">
        <v>772.09</v>
      </c>
      <c r="CD33">
        <v>2</v>
      </c>
    </row>
    <row r="34" spans="1:82" x14ac:dyDescent="0.15">
      <c r="A34" t="s">
        <v>150</v>
      </c>
      <c r="B34" t="s">
        <v>286</v>
      </c>
      <c r="C34" t="s">
        <v>288</v>
      </c>
      <c r="D34">
        <v>7162</v>
      </c>
      <c r="E34">
        <v>7162</v>
      </c>
      <c r="F34">
        <v>7162</v>
      </c>
      <c r="G34">
        <v>7162</v>
      </c>
      <c r="I34">
        <v>4196</v>
      </c>
      <c r="J34">
        <v>0.15</v>
      </c>
      <c r="K34">
        <v>7.0000000000000007E-2</v>
      </c>
      <c r="L34">
        <v>0.08</v>
      </c>
      <c r="M34">
        <v>0.01</v>
      </c>
      <c r="N34">
        <v>5.0000000000000001E-3</v>
      </c>
      <c r="O34">
        <v>5.0000000000000001E-3</v>
      </c>
      <c r="P34">
        <v>3.2000000000000002E-3</v>
      </c>
      <c r="Q34">
        <v>0</v>
      </c>
      <c r="R34">
        <v>0.06</v>
      </c>
      <c r="S34">
        <v>0.06</v>
      </c>
      <c r="T34">
        <v>1074.3</v>
      </c>
      <c r="U34">
        <v>572.96</v>
      </c>
      <c r="V34">
        <v>35.81</v>
      </c>
      <c r="W34">
        <v>22.918399999999998</v>
      </c>
      <c r="X34">
        <v>0</v>
      </c>
      <c r="Z34">
        <v>251.76</v>
      </c>
      <c r="AA34">
        <v>1957.7483999999999</v>
      </c>
      <c r="AB34">
        <v>501.34</v>
      </c>
      <c r="AC34">
        <v>71.62</v>
      </c>
      <c r="AD34">
        <v>35.81</v>
      </c>
      <c r="AF34">
        <v>251.76</v>
      </c>
      <c r="AG34">
        <v>860.53</v>
      </c>
      <c r="AO34">
        <v>0</v>
      </c>
      <c r="AU34">
        <v>0</v>
      </c>
      <c r="BC34">
        <v>0</v>
      </c>
      <c r="BJ34">
        <v>1074.3</v>
      </c>
      <c r="BK34">
        <v>572.96</v>
      </c>
      <c r="BL34">
        <v>35.81</v>
      </c>
      <c r="BM34">
        <v>22.918399999999998</v>
      </c>
      <c r="BN34">
        <v>0</v>
      </c>
      <c r="BO34">
        <v>0</v>
      </c>
      <c r="BP34">
        <v>251.76</v>
      </c>
      <c r="BT34">
        <v>1957.7483999999999</v>
      </c>
      <c r="BU34">
        <v>501.34</v>
      </c>
      <c r="BV34">
        <v>71.62</v>
      </c>
      <c r="BW34">
        <v>35.81</v>
      </c>
      <c r="BX34">
        <v>0</v>
      </c>
      <c r="BY34">
        <v>251.76</v>
      </c>
      <c r="BZ34">
        <v>860.53</v>
      </c>
      <c r="CA34">
        <v>860.53</v>
      </c>
      <c r="CD34">
        <v>2</v>
      </c>
    </row>
    <row r="35" spans="1:82" x14ac:dyDescent="0.15">
      <c r="A35" t="s">
        <v>292</v>
      </c>
      <c r="B35" t="s">
        <v>293</v>
      </c>
      <c r="C35" t="s">
        <v>295</v>
      </c>
      <c r="D35">
        <v>4504</v>
      </c>
      <c r="E35">
        <v>4504</v>
      </c>
      <c r="F35">
        <v>4504</v>
      </c>
      <c r="G35">
        <v>4504</v>
      </c>
      <c r="I35">
        <v>3626</v>
      </c>
      <c r="J35">
        <v>0.12</v>
      </c>
      <c r="K35">
        <v>0.05</v>
      </c>
      <c r="L35">
        <v>0.06</v>
      </c>
      <c r="M35">
        <v>0.01</v>
      </c>
      <c r="N35">
        <v>5.0000000000000001E-3</v>
      </c>
      <c r="O35">
        <v>5.0000000000000001E-3</v>
      </c>
      <c r="P35">
        <v>3.2000000000000002E-3</v>
      </c>
      <c r="Q35">
        <v>0</v>
      </c>
      <c r="R35">
        <v>0.05</v>
      </c>
      <c r="S35">
        <v>0.05</v>
      </c>
      <c r="T35">
        <v>540.48</v>
      </c>
      <c r="U35">
        <v>270.24</v>
      </c>
      <c r="V35">
        <v>22.52</v>
      </c>
      <c r="W35">
        <v>14.412800000000001</v>
      </c>
      <c r="X35">
        <v>0</v>
      </c>
      <c r="Z35">
        <v>181.3</v>
      </c>
      <c r="AA35">
        <v>1028.9528</v>
      </c>
      <c r="AB35">
        <v>225.2</v>
      </c>
      <c r="AC35">
        <v>45.04</v>
      </c>
      <c r="AD35">
        <v>22.52</v>
      </c>
      <c r="AF35">
        <v>181.3</v>
      </c>
      <c r="AG35">
        <v>474.06</v>
      </c>
      <c r="AO35">
        <v>0</v>
      </c>
      <c r="AU35">
        <v>0</v>
      </c>
      <c r="BC35">
        <v>0</v>
      </c>
      <c r="BJ35">
        <v>540.48</v>
      </c>
      <c r="BK35">
        <v>270.24</v>
      </c>
      <c r="BL35">
        <v>22.52</v>
      </c>
      <c r="BM35">
        <v>14.412800000000001</v>
      </c>
      <c r="BN35">
        <v>0</v>
      </c>
      <c r="BO35">
        <v>0</v>
      </c>
      <c r="BP35">
        <v>181.3</v>
      </c>
      <c r="BT35">
        <v>1028.9528</v>
      </c>
      <c r="BU35">
        <v>225.2</v>
      </c>
      <c r="BV35">
        <v>45.04</v>
      </c>
      <c r="BW35">
        <v>22.52</v>
      </c>
      <c r="BX35">
        <v>0</v>
      </c>
      <c r="BY35">
        <v>181.3</v>
      </c>
      <c r="BZ35">
        <v>474.06</v>
      </c>
      <c r="CA35">
        <v>474.06</v>
      </c>
      <c r="CD35">
        <v>2</v>
      </c>
    </row>
    <row r="36" spans="1:82" x14ac:dyDescent="0.15">
      <c r="A36" t="s">
        <v>150</v>
      </c>
      <c r="B36" t="s">
        <v>297</v>
      </c>
      <c r="C36" t="s">
        <v>299</v>
      </c>
      <c r="D36">
        <v>7162</v>
      </c>
      <c r="E36">
        <v>7162</v>
      </c>
      <c r="F36">
        <v>7162</v>
      </c>
      <c r="G36">
        <v>7162</v>
      </c>
      <c r="I36">
        <v>5479</v>
      </c>
      <c r="J36">
        <v>0.15</v>
      </c>
      <c r="K36">
        <v>7.0000000000000007E-2</v>
      </c>
      <c r="L36">
        <v>0.08</v>
      </c>
      <c r="M36">
        <v>0.01</v>
      </c>
      <c r="N36">
        <v>5.0000000000000001E-3</v>
      </c>
      <c r="O36">
        <v>5.0000000000000001E-3</v>
      </c>
      <c r="P36">
        <v>3.2000000000000002E-3</v>
      </c>
      <c r="Q36">
        <v>0</v>
      </c>
      <c r="R36">
        <v>0.06</v>
      </c>
      <c r="S36">
        <v>0.06</v>
      </c>
      <c r="T36">
        <v>1074.3</v>
      </c>
      <c r="U36">
        <v>572.96</v>
      </c>
      <c r="V36">
        <v>35.81</v>
      </c>
      <c r="W36">
        <v>22.918399999999998</v>
      </c>
      <c r="X36">
        <v>0</v>
      </c>
      <c r="Z36">
        <v>328.74</v>
      </c>
      <c r="AA36">
        <v>2034.7284</v>
      </c>
      <c r="AB36">
        <v>501.34</v>
      </c>
      <c r="AC36">
        <v>71.62</v>
      </c>
      <c r="AD36">
        <v>35.81</v>
      </c>
      <c r="AF36">
        <v>328.74</v>
      </c>
      <c r="AG36">
        <v>937.51</v>
      </c>
      <c r="AO36">
        <v>0</v>
      </c>
      <c r="AU36">
        <v>0</v>
      </c>
      <c r="BC36">
        <v>0</v>
      </c>
      <c r="BJ36">
        <v>1074.3</v>
      </c>
      <c r="BK36">
        <v>572.96</v>
      </c>
      <c r="BL36">
        <v>35.81</v>
      </c>
      <c r="BM36">
        <v>22.918399999999998</v>
      </c>
      <c r="BN36">
        <v>0</v>
      </c>
      <c r="BO36">
        <v>0</v>
      </c>
      <c r="BP36">
        <v>328.74</v>
      </c>
      <c r="BT36">
        <v>2034.7284</v>
      </c>
      <c r="BU36">
        <v>501.34</v>
      </c>
      <c r="BV36">
        <v>71.62</v>
      </c>
      <c r="BW36">
        <v>35.81</v>
      </c>
      <c r="BX36">
        <v>0</v>
      </c>
      <c r="BY36">
        <v>328.74</v>
      </c>
      <c r="BZ36">
        <v>937.51</v>
      </c>
      <c r="CA36">
        <v>937.51</v>
      </c>
      <c r="CD36">
        <v>2</v>
      </c>
    </row>
    <row r="37" spans="1:82" x14ac:dyDescent="0.15">
      <c r="A37" t="s">
        <v>292</v>
      </c>
      <c r="B37" t="s">
        <v>301</v>
      </c>
      <c r="C37" t="s">
        <v>303</v>
      </c>
      <c r="D37">
        <v>4504</v>
      </c>
      <c r="E37">
        <v>4504</v>
      </c>
      <c r="F37">
        <v>4504</v>
      </c>
      <c r="G37">
        <v>4504</v>
      </c>
      <c r="I37">
        <v>3069</v>
      </c>
      <c r="J37">
        <v>0.12</v>
      </c>
      <c r="K37">
        <v>0.05</v>
      </c>
      <c r="L37">
        <v>0.06</v>
      </c>
      <c r="M37">
        <v>0.01</v>
      </c>
      <c r="N37">
        <v>5.0000000000000001E-3</v>
      </c>
      <c r="O37">
        <v>5.0000000000000001E-3</v>
      </c>
      <c r="P37">
        <v>3.2000000000000002E-3</v>
      </c>
      <c r="Q37">
        <v>0</v>
      </c>
      <c r="R37">
        <v>0.05</v>
      </c>
      <c r="S37">
        <v>0.05</v>
      </c>
      <c r="T37">
        <v>540.48</v>
      </c>
      <c r="U37">
        <v>270.24</v>
      </c>
      <c r="V37">
        <v>22.52</v>
      </c>
      <c r="W37">
        <v>14.412800000000001</v>
      </c>
      <c r="X37">
        <v>0</v>
      </c>
      <c r="Z37">
        <v>153.44999999999999</v>
      </c>
      <c r="AA37">
        <v>1001.1028</v>
      </c>
      <c r="AB37">
        <v>225.2</v>
      </c>
      <c r="AC37">
        <v>45.04</v>
      </c>
      <c r="AD37">
        <v>22.52</v>
      </c>
      <c r="AF37">
        <v>153.44999999999999</v>
      </c>
      <c r="AG37">
        <v>446.21</v>
      </c>
      <c r="AO37">
        <v>0</v>
      </c>
      <c r="AU37">
        <v>0</v>
      </c>
      <c r="BC37">
        <v>0</v>
      </c>
      <c r="BJ37">
        <v>540.48</v>
      </c>
      <c r="BK37">
        <v>270.24</v>
      </c>
      <c r="BL37">
        <v>22.52</v>
      </c>
      <c r="BM37">
        <v>14.412800000000001</v>
      </c>
      <c r="BN37">
        <v>0</v>
      </c>
      <c r="BO37">
        <v>0</v>
      </c>
      <c r="BP37">
        <v>153.44999999999999</v>
      </c>
      <c r="BT37">
        <v>1001.1028</v>
      </c>
      <c r="BU37">
        <v>225.2</v>
      </c>
      <c r="BV37">
        <v>45.04</v>
      </c>
      <c r="BW37">
        <v>22.52</v>
      </c>
      <c r="BX37">
        <v>0</v>
      </c>
      <c r="BY37">
        <v>153.44999999999999</v>
      </c>
      <c r="BZ37">
        <v>446.21</v>
      </c>
      <c r="CA37">
        <v>446.21</v>
      </c>
      <c r="CD37">
        <v>2</v>
      </c>
    </row>
    <row r="38" spans="1:82" x14ac:dyDescent="0.15">
      <c r="A38" t="s">
        <v>212</v>
      </c>
      <c r="B38" t="s">
        <v>305</v>
      </c>
      <c r="C38" t="s">
        <v>306</v>
      </c>
      <c r="D38">
        <v>4952</v>
      </c>
      <c r="E38">
        <v>4952</v>
      </c>
      <c r="F38">
        <v>4952</v>
      </c>
      <c r="G38">
        <v>4952</v>
      </c>
      <c r="I38">
        <v>4707</v>
      </c>
      <c r="J38">
        <v>0.12</v>
      </c>
      <c r="K38">
        <v>0.05</v>
      </c>
      <c r="L38">
        <v>0.06</v>
      </c>
      <c r="M38">
        <v>0.01</v>
      </c>
      <c r="N38">
        <v>5.0000000000000001E-3</v>
      </c>
      <c r="O38">
        <v>5.0000000000000001E-3</v>
      </c>
      <c r="P38">
        <v>3.2000000000000002E-3</v>
      </c>
      <c r="Q38">
        <v>0</v>
      </c>
      <c r="R38">
        <v>0.05</v>
      </c>
      <c r="S38">
        <v>0.05</v>
      </c>
      <c r="T38">
        <v>594.24</v>
      </c>
      <c r="U38">
        <v>297.12</v>
      </c>
      <c r="V38">
        <v>24.76</v>
      </c>
      <c r="W38">
        <v>15.846399999999999</v>
      </c>
      <c r="X38">
        <v>0</v>
      </c>
      <c r="Z38">
        <v>235.35</v>
      </c>
      <c r="AA38">
        <v>1167.3163999999999</v>
      </c>
      <c r="AB38">
        <v>247.6</v>
      </c>
      <c r="AC38">
        <v>49.52</v>
      </c>
      <c r="AD38">
        <v>24.76</v>
      </c>
      <c r="AF38">
        <v>235.35</v>
      </c>
      <c r="AG38">
        <v>557.23</v>
      </c>
      <c r="AO38">
        <v>0</v>
      </c>
      <c r="AU38">
        <v>0</v>
      </c>
      <c r="BC38">
        <v>0</v>
      </c>
      <c r="BJ38">
        <v>594.24</v>
      </c>
      <c r="BK38">
        <v>297.12</v>
      </c>
      <c r="BL38">
        <v>24.76</v>
      </c>
      <c r="BM38">
        <v>15.846399999999999</v>
      </c>
      <c r="BN38">
        <v>0</v>
      </c>
      <c r="BO38">
        <v>0</v>
      </c>
      <c r="BP38">
        <v>235.35</v>
      </c>
      <c r="BT38">
        <v>1167.3163999999999</v>
      </c>
      <c r="BU38">
        <v>247.6</v>
      </c>
      <c r="BV38">
        <v>49.52</v>
      </c>
      <c r="BW38">
        <v>24.76</v>
      </c>
      <c r="BX38">
        <v>0</v>
      </c>
      <c r="BY38">
        <v>235.35</v>
      </c>
      <c r="BZ38">
        <v>557.23</v>
      </c>
      <c r="CA38">
        <v>557.23</v>
      </c>
      <c r="CD38">
        <v>2</v>
      </c>
    </row>
    <row r="39" spans="1:82" x14ac:dyDescent="0.15">
      <c r="A39" t="s">
        <v>168</v>
      </c>
      <c r="B39" t="s">
        <v>308</v>
      </c>
      <c r="C39" t="s">
        <v>310</v>
      </c>
      <c r="D39">
        <v>5839</v>
      </c>
      <c r="E39">
        <v>5839</v>
      </c>
      <c r="F39">
        <v>5839</v>
      </c>
      <c r="G39">
        <v>5839</v>
      </c>
      <c r="I39">
        <v>5839</v>
      </c>
      <c r="J39">
        <v>0.15</v>
      </c>
      <c r="K39">
        <v>7.0000000000000007E-2</v>
      </c>
      <c r="L39">
        <v>0.08</v>
      </c>
      <c r="M39">
        <v>0.01</v>
      </c>
      <c r="N39">
        <v>5.0000000000000001E-3</v>
      </c>
      <c r="O39">
        <v>5.0000000000000001E-3</v>
      </c>
      <c r="P39">
        <v>3.2000000000000002E-3</v>
      </c>
      <c r="Q39">
        <v>0</v>
      </c>
      <c r="R39">
        <v>0.06</v>
      </c>
      <c r="S39">
        <v>0.06</v>
      </c>
      <c r="T39">
        <v>875.85</v>
      </c>
      <c r="U39">
        <v>467.12</v>
      </c>
      <c r="V39">
        <v>29.195</v>
      </c>
      <c r="W39">
        <v>18.684799999999999</v>
      </c>
      <c r="X39">
        <v>0</v>
      </c>
      <c r="Z39">
        <v>350.34</v>
      </c>
      <c r="AA39">
        <v>1741.1898000000001</v>
      </c>
      <c r="AB39">
        <v>408.73</v>
      </c>
      <c r="AC39">
        <v>58.39</v>
      </c>
      <c r="AD39">
        <v>29.195</v>
      </c>
      <c r="AF39">
        <v>350.34</v>
      </c>
      <c r="AG39">
        <v>846.65499999999997</v>
      </c>
      <c r="AO39">
        <v>0</v>
      </c>
      <c r="AU39">
        <v>0</v>
      </c>
      <c r="BC39">
        <v>0</v>
      </c>
      <c r="BJ39">
        <v>875.85</v>
      </c>
      <c r="BK39">
        <v>467.12</v>
      </c>
      <c r="BL39">
        <v>29.195</v>
      </c>
      <c r="BM39">
        <v>18.684799999999999</v>
      </c>
      <c r="BN39">
        <v>0</v>
      </c>
      <c r="BO39">
        <v>0</v>
      </c>
      <c r="BP39">
        <v>350.34</v>
      </c>
      <c r="BT39">
        <v>1741.1898000000001</v>
      </c>
      <c r="BU39">
        <v>408.73</v>
      </c>
      <c r="BV39">
        <v>58.39</v>
      </c>
      <c r="BW39">
        <v>29.195</v>
      </c>
      <c r="BX39">
        <v>0</v>
      </c>
      <c r="BY39">
        <v>350.34</v>
      </c>
      <c r="BZ39">
        <v>846.65499999999997</v>
      </c>
      <c r="CA39">
        <v>846.65499999999997</v>
      </c>
      <c r="CD39">
        <v>2</v>
      </c>
    </row>
    <row r="40" spans="1:82" x14ac:dyDescent="0.15">
      <c r="A40" t="s">
        <v>314</v>
      </c>
      <c r="B40" t="s">
        <v>315</v>
      </c>
      <c r="C40" t="s">
        <v>317</v>
      </c>
      <c r="D40">
        <v>4504</v>
      </c>
      <c r="E40">
        <v>4504</v>
      </c>
      <c r="F40">
        <v>4504</v>
      </c>
      <c r="G40">
        <v>4504</v>
      </c>
      <c r="I40">
        <v>3945</v>
      </c>
      <c r="J40">
        <v>0.12</v>
      </c>
      <c r="K40">
        <v>0.05</v>
      </c>
      <c r="L40">
        <v>0.06</v>
      </c>
      <c r="M40">
        <v>0.01</v>
      </c>
      <c r="N40">
        <v>5.0000000000000001E-3</v>
      </c>
      <c r="O40">
        <v>5.0000000000000001E-3</v>
      </c>
      <c r="P40">
        <v>3.2000000000000002E-3</v>
      </c>
      <c r="Q40">
        <v>0</v>
      </c>
      <c r="R40">
        <v>0.05</v>
      </c>
      <c r="S40">
        <v>0.05</v>
      </c>
      <c r="T40">
        <v>540.48</v>
      </c>
      <c r="U40">
        <v>270.24</v>
      </c>
      <c r="V40">
        <v>22.52</v>
      </c>
      <c r="W40">
        <v>14.412800000000001</v>
      </c>
      <c r="X40">
        <v>0</v>
      </c>
      <c r="Z40">
        <v>197.25</v>
      </c>
      <c r="AA40">
        <v>1044.9028000000001</v>
      </c>
      <c r="AB40">
        <v>225.2</v>
      </c>
      <c r="AC40">
        <v>45.04</v>
      </c>
      <c r="AD40">
        <v>22.52</v>
      </c>
      <c r="AF40">
        <v>197.25</v>
      </c>
      <c r="AG40">
        <v>490.01</v>
      </c>
      <c r="AO40">
        <v>0</v>
      </c>
      <c r="AU40">
        <v>0</v>
      </c>
      <c r="BC40">
        <v>0</v>
      </c>
      <c r="BJ40">
        <v>540.48</v>
      </c>
      <c r="BK40">
        <v>270.24</v>
      </c>
      <c r="BL40">
        <v>22.52</v>
      </c>
      <c r="BM40">
        <v>14.412800000000001</v>
      </c>
      <c r="BN40">
        <v>0</v>
      </c>
      <c r="BO40">
        <v>0</v>
      </c>
      <c r="BP40">
        <v>197.25</v>
      </c>
      <c r="BT40">
        <v>1044.9028000000001</v>
      </c>
      <c r="BU40">
        <v>225.2</v>
      </c>
      <c r="BV40">
        <v>45.04</v>
      </c>
      <c r="BW40">
        <v>22.52</v>
      </c>
      <c r="BX40">
        <v>0</v>
      </c>
      <c r="BY40">
        <v>197.25</v>
      </c>
      <c r="BZ40">
        <v>490.01</v>
      </c>
      <c r="CA40">
        <v>490.01</v>
      </c>
      <c r="CD40">
        <v>2</v>
      </c>
    </row>
    <row r="41" spans="1:82" x14ac:dyDescent="0.15">
      <c r="A41" t="s">
        <v>150</v>
      </c>
      <c r="B41" t="s">
        <v>319</v>
      </c>
      <c r="C41" t="s">
        <v>321</v>
      </c>
      <c r="D41">
        <v>7162</v>
      </c>
      <c r="E41">
        <v>7162</v>
      </c>
      <c r="F41">
        <v>7162</v>
      </c>
      <c r="G41">
        <v>7162</v>
      </c>
      <c r="I41">
        <v>4470</v>
      </c>
      <c r="J41">
        <v>0.15</v>
      </c>
      <c r="K41">
        <v>7.0000000000000007E-2</v>
      </c>
      <c r="L41">
        <v>0.08</v>
      </c>
      <c r="M41">
        <v>0.01</v>
      </c>
      <c r="N41">
        <v>5.0000000000000001E-3</v>
      </c>
      <c r="O41">
        <v>5.0000000000000001E-3</v>
      </c>
      <c r="P41">
        <v>3.2000000000000002E-3</v>
      </c>
      <c r="Q41">
        <v>0</v>
      </c>
      <c r="R41">
        <v>0.06</v>
      </c>
      <c r="S41">
        <v>0.06</v>
      </c>
      <c r="T41">
        <v>1074.3</v>
      </c>
      <c r="U41">
        <v>572.96</v>
      </c>
      <c r="V41">
        <v>35.81</v>
      </c>
      <c r="W41">
        <v>22.918399999999998</v>
      </c>
      <c r="X41">
        <v>0</v>
      </c>
      <c r="Z41">
        <v>268.2</v>
      </c>
      <c r="AA41">
        <v>1974.1884</v>
      </c>
      <c r="AB41">
        <v>501.34</v>
      </c>
      <c r="AC41">
        <v>71.62</v>
      </c>
      <c r="AD41">
        <v>35.81</v>
      </c>
      <c r="AF41">
        <v>268.2</v>
      </c>
      <c r="AG41">
        <v>876.97</v>
      </c>
      <c r="AO41">
        <v>0</v>
      </c>
      <c r="AU41">
        <v>0</v>
      </c>
      <c r="BC41">
        <v>0</v>
      </c>
      <c r="BJ41">
        <v>1074.3</v>
      </c>
      <c r="BK41">
        <v>572.96</v>
      </c>
      <c r="BL41">
        <v>35.81</v>
      </c>
      <c r="BM41">
        <v>22.918399999999998</v>
      </c>
      <c r="BN41">
        <v>0</v>
      </c>
      <c r="BO41">
        <v>0</v>
      </c>
      <c r="BP41">
        <v>268.2</v>
      </c>
      <c r="BT41">
        <v>1974.1884</v>
      </c>
      <c r="BU41">
        <v>501.34</v>
      </c>
      <c r="BV41">
        <v>71.62</v>
      </c>
      <c r="BW41">
        <v>35.81</v>
      </c>
      <c r="BX41">
        <v>0</v>
      </c>
      <c r="BY41">
        <v>268.2</v>
      </c>
      <c r="BZ41">
        <v>876.97</v>
      </c>
      <c r="CA41">
        <v>876.97</v>
      </c>
      <c r="CD41">
        <v>2</v>
      </c>
    </row>
    <row r="42" spans="1:82" x14ac:dyDescent="0.15">
      <c r="A42" t="s">
        <v>325</v>
      </c>
      <c r="B42" t="s">
        <v>326</v>
      </c>
      <c r="C42" t="s">
        <v>328</v>
      </c>
      <c r="D42">
        <v>5824</v>
      </c>
      <c r="E42">
        <v>5824</v>
      </c>
      <c r="F42">
        <v>5824</v>
      </c>
      <c r="G42">
        <v>5824</v>
      </c>
      <c r="I42">
        <v>5824</v>
      </c>
      <c r="J42">
        <v>0.15</v>
      </c>
      <c r="K42">
        <v>7.0000000000000007E-2</v>
      </c>
      <c r="L42">
        <v>0.08</v>
      </c>
      <c r="M42">
        <v>0.01</v>
      </c>
      <c r="N42">
        <v>5.0000000000000001E-3</v>
      </c>
      <c r="O42">
        <v>5.0000000000000001E-3</v>
      </c>
      <c r="P42">
        <v>3.2000000000000002E-3</v>
      </c>
      <c r="Q42">
        <v>0</v>
      </c>
      <c r="R42">
        <v>0.06</v>
      </c>
      <c r="S42">
        <v>0.06</v>
      </c>
      <c r="T42">
        <v>873.6</v>
      </c>
      <c r="U42">
        <v>465.92</v>
      </c>
      <c r="V42">
        <v>29.12</v>
      </c>
      <c r="W42">
        <v>18.636800000000001</v>
      </c>
      <c r="X42">
        <v>0</v>
      </c>
      <c r="Z42">
        <v>349.44</v>
      </c>
      <c r="AA42">
        <v>1736.7167999999999</v>
      </c>
      <c r="AB42">
        <v>407.68</v>
      </c>
      <c r="AC42">
        <v>58.24</v>
      </c>
      <c r="AD42">
        <v>29.12</v>
      </c>
      <c r="AF42">
        <v>349.44</v>
      </c>
      <c r="AG42">
        <v>844.48</v>
      </c>
      <c r="AO42">
        <v>0</v>
      </c>
      <c r="AU42">
        <v>0</v>
      </c>
      <c r="BC42">
        <v>0</v>
      </c>
      <c r="BJ42">
        <v>873.6</v>
      </c>
      <c r="BK42">
        <v>465.92</v>
      </c>
      <c r="BL42">
        <v>29.12</v>
      </c>
      <c r="BM42">
        <v>18.636800000000001</v>
      </c>
      <c r="BN42">
        <v>0</v>
      </c>
      <c r="BO42">
        <v>0</v>
      </c>
      <c r="BP42">
        <v>349.44</v>
      </c>
      <c r="BT42">
        <v>1736.7167999999999</v>
      </c>
      <c r="BU42">
        <v>407.68</v>
      </c>
      <c r="BV42">
        <v>58.24</v>
      </c>
      <c r="BW42">
        <v>29.12</v>
      </c>
      <c r="BX42">
        <v>0</v>
      </c>
      <c r="BY42">
        <v>349.44</v>
      </c>
      <c r="BZ42">
        <v>844.48</v>
      </c>
      <c r="CA42">
        <v>844.48</v>
      </c>
      <c r="CD42">
        <v>2</v>
      </c>
    </row>
    <row r="43" spans="1:82" x14ac:dyDescent="0.15">
      <c r="A43" t="s">
        <v>168</v>
      </c>
      <c r="B43" t="s">
        <v>330</v>
      </c>
      <c r="C43" t="s">
        <v>332</v>
      </c>
      <c r="D43">
        <v>5124</v>
      </c>
      <c r="E43">
        <v>5124</v>
      </c>
      <c r="F43">
        <v>5124</v>
      </c>
      <c r="G43">
        <v>5124</v>
      </c>
      <c r="I43">
        <v>3848</v>
      </c>
      <c r="J43">
        <v>0.15</v>
      </c>
      <c r="K43">
        <v>7.0000000000000007E-2</v>
      </c>
      <c r="L43">
        <v>0.08</v>
      </c>
      <c r="M43">
        <v>0.01</v>
      </c>
      <c r="N43">
        <v>5.0000000000000001E-3</v>
      </c>
      <c r="O43">
        <v>5.0000000000000001E-3</v>
      </c>
      <c r="P43">
        <v>3.2000000000000002E-3</v>
      </c>
      <c r="Q43">
        <v>0</v>
      </c>
      <c r="R43">
        <v>0.06</v>
      </c>
      <c r="S43">
        <v>0.06</v>
      </c>
      <c r="T43">
        <v>768.6</v>
      </c>
      <c r="U43">
        <v>409.92</v>
      </c>
      <c r="V43">
        <v>25.62</v>
      </c>
      <c r="W43">
        <v>16.396799999999999</v>
      </c>
      <c r="X43">
        <v>0</v>
      </c>
      <c r="Z43">
        <v>230.88</v>
      </c>
      <c r="AA43">
        <v>1451.4168</v>
      </c>
      <c r="AB43">
        <v>358.68</v>
      </c>
      <c r="AC43">
        <v>51.24</v>
      </c>
      <c r="AD43">
        <v>25.62</v>
      </c>
      <c r="AF43">
        <v>230.88</v>
      </c>
      <c r="AG43">
        <v>666.42</v>
      </c>
      <c r="AO43">
        <v>0</v>
      </c>
      <c r="AU43">
        <v>0</v>
      </c>
      <c r="BC43">
        <v>0</v>
      </c>
      <c r="BJ43">
        <v>768.6</v>
      </c>
      <c r="BK43">
        <v>409.92</v>
      </c>
      <c r="BL43">
        <v>25.62</v>
      </c>
      <c r="BM43">
        <v>16.396799999999999</v>
      </c>
      <c r="BN43">
        <v>0</v>
      </c>
      <c r="BO43">
        <v>0</v>
      </c>
      <c r="BP43">
        <v>230.88</v>
      </c>
      <c r="BT43">
        <v>1451.4168</v>
      </c>
      <c r="BU43">
        <v>358.68</v>
      </c>
      <c r="BV43">
        <v>51.24</v>
      </c>
      <c r="BW43">
        <v>25.62</v>
      </c>
      <c r="BX43">
        <v>0</v>
      </c>
      <c r="BY43">
        <v>230.88</v>
      </c>
      <c r="BZ43">
        <v>666.42</v>
      </c>
      <c r="CA43">
        <v>666.42</v>
      </c>
      <c r="CD43">
        <v>2</v>
      </c>
    </row>
    <row r="44" spans="1:82" x14ac:dyDescent="0.15">
      <c r="A44" t="s">
        <v>336</v>
      </c>
      <c r="B44" t="s">
        <v>337</v>
      </c>
      <c r="C44" t="s">
        <v>339</v>
      </c>
      <c r="D44">
        <v>5497</v>
      </c>
      <c r="E44">
        <v>5497</v>
      </c>
      <c r="F44">
        <v>5497</v>
      </c>
      <c r="G44">
        <v>5497</v>
      </c>
      <c r="I44">
        <v>5497</v>
      </c>
      <c r="J44">
        <v>0.15</v>
      </c>
      <c r="K44">
        <v>7.0000000000000007E-2</v>
      </c>
      <c r="L44">
        <v>0.08</v>
      </c>
      <c r="M44">
        <v>0.01</v>
      </c>
      <c r="N44">
        <v>5.0000000000000001E-3</v>
      </c>
      <c r="O44">
        <v>5.0000000000000001E-3</v>
      </c>
      <c r="P44">
        <v>3.2000000000000002E-3</v>
      </c>
      <c r="Q44">
        <v>0</v>
      </c>
      <c r="R44">
        <v>0.06</v>
      </c>
      <c r="S44">
        <v>0.06</v>
      </c>
      <c r="T44">
        <v>824.55</v>
      </c>
      <c r="U44">
        <v>439.76</v>
      </c>
      <c r="V44">
        <v>27.484999999999999</v>
      </c>
      <c r="W44">
        <v>17.590399999999999</v>
      </c>
      <c r="X44">
        <v>0</v>
      </c>
      <c r="Z44">
        <v>329.82</v>
      </c>
      <c r="AA44">
        <v>1639.2054000000001</v>
      </c>
      <c r="AB44">
        <v>384.79</v>
      </c>
      <c r="AC44">
        <v>54.97</v>
      </c>
      <c r="AD44">
        <v>27.484999999999999</v>
      </c>
      <c r="AF44">
        <v>329.82</v>
      </c>
      <c r="AG44">
        <v>797.06500000000005</v>
      </c>
      <c r="AO44">
        <v>0</v>
      </c>
      <c r="AU44">
        <v>0</v>
      </c>
      <c r="BC44">
        <v>0</v>
      </c>
      <c r="BJ44">
        <v>824.55</v>
      </c>
      <c r="BK44">
        <v>439.76</v>
      </c>
      <c r="BL44">
        <v>27.484999999999999</v>
      </c>
      <c r="BM44">
        <v>17.590399999999999</v>
      </c>
      <c r="BN44">
        <v>0</v>
      </c>
      <c r="BO44">
        <v>0</v>
      </c>
      <c r="BP44">
        <v>329.82</v>
      </c>
      <c r="BT44">
        <v>1639.2054000000001</v>
      </c>
      <c r="BU44">
        <v>384.79</v>
      </c>
      <c r="BV44">
        <v>54.97</v>
      </c>
      <c r="BW44">
        <v>27.484999999999999</v>
      </c>
      <c r="BX44">
        <v>0</v>
      </c>
      <c r="BY44">
        <v>329.82</v>
      </c>
      <c r="BZ44">
        <v>797.06500000000005</v>
      </c>
      <c r="CA44">
        <v>797.06500000000005</v>
      </c>
      <c r="CD44">
        <v>2</v>
      </c>
    </row>
    <row r="45" spans="1:82" x14ac:dyDescent="0.15">
      <c r="A45" t="s">
        <v>232</v>
      </c>
      <c r="B45" t="s">
        <v>342</v>
      </c>
      <c r="C45" t="s">
        <v>344</v>
      </c>
      <c r="D45">
        <v>4952</v>
      </c>
      <c r="E45">
        <v>4952</v>
      </c>
      <c r="F45">
        <v>4952</v>
      </c>
      <c r="G45">
        <v>4952</v>
      </c>
      <c r="I45">
        <v>4787</v>
      </c>
      <c r="J45">
        <v>0.12</v>
      </c>
      <c r="K45">
        <v>0.05</v>
      </c>
      <c r="L45">
        <v>0.06</v>
      </c>
      <c r="M45">
        <v>0.01</v>
      </c>
      <c r="N45">
        <v>5.0000000000000001E-3</v>
      </c>
      <c r="O45">
        <v>5.0000000000000001E-3</v>
      </c>
      <c r="P45">
        <v>3.2000000000000002E-3</v>
      </c>
      <c r="Q45">
        <v>0</v>
      </c>
      <c r="R45">
        <v>0.05</v>
      </c>
      <c r="S45">
        <v>0.05</v>
      </c>
      <c r="T45">
        <v>594.24</v>
      </c>
      <c r="U45">
        <v>297.12</v>
      </c>
      <c r="V45">
        <v>24.76</v>
      </c>
      <c r="W45">
        <v>15.846399999999999</v>
      </c>
      <c r="X45">
        <v>0</v>
      </c>
      <c r="Z45">
        <v>239.35</v>
      </c>
      <c r="AA45">
        <v>1171.3163999999999</v>
      </c>
      <c r="AB45">
        <v>247.6</v>
      </c>
      <c r="AC45">
        <v>49.52</v>
      </c>
      <c r="AD45">
        <v>24.76</v>
      </c>
      <c r="AF45">
        <v>239.35</v>
      </c>
      <c r="AG45">
        <v>561.23</v>
      </c>
      <c r="AO45">
        <v>0</v>
      </c>
      <c r="AU45">
        <v>0</v>
      </c>
      <c r="BC45">
        <v>0</v>
      </c>
      <c r="BJ45">
        <v>594.24</v>
      </c>
      <c r="BK45">
        <v>297.12</v>
      </c>
      <c r="BL45">
        <v>24.76</v>
      </c>
      <c r="BM45">
        <v>15.846399999999999</v>
      </c>
      <c r="BN45">
        <v>0</v>
      </c>
      <c r="BO45">
        <v>0</v>
      </c>
      <c r="BP45">
        <v>239.35</v>
      </c>
      <c r="BT45">
        <v>1171.3163999999999</v>
      </c>
      <c r="BU45">
        <v>247.6</v>
      </c>
      <c r="BV45">
        <v>49.52</v>
      </c>
      <c r="BW45">
        <v>24.76</v>
      </c>
      <c r="BX45">
        <v>0</v>
      </c>
      <c r="BY45">
        <v>239.35</v>
      </c>
      <c r="BZ45">
        <v>561.23</v>
      </c>
      <c r="CA45">
        <v>561.23</v>
      </c>
      <c r="CD45">
        <v>2</v>
      </c>
    </row>
    <row r="46" spans="1:82" x14ac:dyDescent="0.15">
      <c r="A46" t="s">
        <v>348</v>
      </c>
      <c r="B46" t="s">
        <v>349</v>
      </c>
      <c r="C46" t="s">
        <v>350</v>
      </c>
      <c r="D46">
        <v>6639</v>
      </c>
      <c r="E46">
        <v>6639</v>
      </c>
      <c r="F46">
        <v>6639</v>
      </c>
      <c r="G46">
        <v>6639</v>
      </c>
      <c r="I46">
        <v>6639</v>
      </c>
      <c r="J46">
        <v>0.15</v>
      </c>
      <c r="K46">
        <v>7.0000000000000007E-2</v>
      </c>
      <c r="L46">
        <v>0.08</v>
      </c>
      <c r="M46">
        <v>0.01</v>
      </c>
      <c r="N46">
        <v>5.0000000000000001E-3</v>
      </c>
      <c r="O46">
        <v>5.0000000000000001E-3</v>
      </c>
      <c r="P46">
        <v>3.2000000000000002E-3</v>
      </c>
      <c r="Q46">
        <v>0</v>
      </c>
      <c r="R46">
        <v>0.06</v>
      </c>
      <c r="S46">
        <v>0.06</v>
      </c>
      <c r="T46">
        <v>995.85</v>
      </c>
      <c r="U46">
        <v>531.12</v>
      </c>
      <c r="V46">
        <v>33.195</v>
      </c>
      <c r="W46">
        <v>21.244800000000001</v>
      </c>
      <c r="X46">
        <v>0</v>
      </c>
      <c r="Z46">
        <v>398.34</v>
      </c>
      <c r="AA46">
        <v>1979.7498000000001</v>
      </c>
      <c r="AB46">
        <v>464.73</v>
      </c>
      <c r="AC46">
        <v>66.39</v>
      </c>
      <c r="AD46">
        <v>33.195</v>
      </c>
      <c r="AF46">
        <v>398.34</v>
      </c>
      <c r="AG46">
        <v>962.65499999999997</v>
      </c>
      <c r="AO46">
        <v>0</v>
      </c>
      <c r="AU46">
        <v>0</v>
      </c>
      <c r="BC46">
        <v>0</v>
      </c>
      <c r="BJ46">
        <v>995.85</v>
      </c>
      <c r="BK46">
        <v>531.12</v>
      </c>
      <c r="BL46">
        <v>33.195</v>
      </c>
      <c r="BM46">
        <v>21.244800000000001</v>
      </c>
      <c r="BN46">
        <v>0</v>
      </c>
      <c r="BO46">
        <v>0</v>
      </c>
      <c r="BP46">
        <v>398.34</v>
      </c>
      <c r="BT46">
        <v>1979.7498000000001</v>
      </c>
      <c r="BU46">
        <v>464.73</v>
      </c>
      <c r="BV46">
        <v>66.39</v>
      </c>
      <c r="BW46">
        <v>33.195</v>
      </c>
      <c r="BX46">
        <v>0</v>
      </c>
      <c r="BY46">
        <v>398.34</v>
      </c>
      <c r="BZ46">
        <v>962.65499999999997</v>
      </c>
      <c r="CA46">
        <v>962.65499999999997</v>
      </c>
      <c r="CD46">
        <v>2</v>
      </c>
    </row>
    <row r="47" spans="1:82" x14ac:dyDescent="0.15">
      <c r="A47" t="s">
        <v>353</v>
      </c>
      <c r="B47" t="s">
        <v>354</v>
      </c>
      <c r="C47" t="s">
        <v>356</v>
      </c>
      <c r="D47">
        <v>4986</v>
      </c>
      <c r="E47">
        <v>4986</v>
      </c>
      <c r="F47">
        <v>4986</v>
      </c>
      <c r="G47">
        <v>4986</v>
      </c>
      <c r="I47">
        <v>4576</v>
      </c>
      <c r="J47">
        <v>0.12</v>
      </c>
      <c r="K47">
        <v>0.05</v>
      </c>
      <c r="L47">
        <v>0.06</v>
      </c>
      <c r="M47">
        <v>0.01</v>
      </c>
      <c r="N47">
        <v>5.0000000000000001E-3</v>
      </c>
      <c r="O47">
        <v>5.0000000000000001E-3</v>
      </c>
      <c r="P47">
        <v>3.2000000000000002E-3</v>
      </c>
      <c r="Q47">
        <v>0</v>
      </c>
      <c r="R47">
        <v>0.05</v>
      </c>
      <c r="S47">
        <v>0.05</v>
      </c>
      <c r="T47">
        <v>598.32000000000005</v>
      </c>
      <c r="U47">
        <v>299.16000000000003</v>
      </c>
      <c r="V47">
        <v>24.93</v>
      </c>
      <c r="W47">
        <v>15.9552</v>
      </c>
      <c r="X47">
        <v>0</v>
      </c>
      <c r="Z47">
        <v>228.8</v>
      </c>
      <c r="AA47">
        <v>1167.1651999999999</v>
      </c>
      <c r="AB47">
        <v>249.3</v>
      </c>
      <c r="AC47">
        <v>49.86</v>
      </c>
      <c r="AD47">
        <v>24.93</v>
      </c>
      <c r="AF47">
        <v>228.8</v>
      </c>
      <c r="AG47">
        <v>552.89</v>
      </c>
      <c r="AO47">
        <v>0</v>
      </c>
      <c r="AU47">
        <v>0</v>
      </c>
      <c r="BC47">
        <v>0</v>
      </c>
      <c r="BJ47">
        <v>598.32000000000005</v>
      </c>
      <c r="BK47">
        <v>299.16000000000003</v>
      </c>
      <c r="BL47">
        <v>24.93</v>
      </c>
      <c r="BM47">
        <v>15.9552</v>
      </c>
      <c r="BN47">
        <v>0</v>
      </c>
      <c r="BO47">
        <v>0</v>
      </c>
      <c r="BP47">
        <v>228.8</v>
      </c>
      <c r="BT47">
        <v>1167.1651999999999</v>
      </c>
      <c r="BU47">
        <v>249.3</v>
      </c>
      <c r="BV47">
        <v>49.86</v>
      </c>
      <c r="BW47">
        <v>24.93</v>
      </c>
      <c r="BX47">
        <v>0</v>
      </c>
      <c r="BY47">
        <v>228.8</v>
      </c>
      <c r="BZ47">
        <v>552.89</v>
      </c>
      <c r="CA47">
        <v>552.89</v>
      </c>
      <c r="CD47">
        <v>2</v>
      </c>
    </row>
    <row r="48" spans="1:82" x14ac:dyDescent="0.15">
      <c r="A48" t="s">
        <v>168</v>
      </c>
      <c r="B48" t="s">
        <v>358</v>
      </c>
      <c r="C48" t="s">
        <v>360</v>
      </c>
      <c r="D48">
        <v>5569</v>
      </c>
      <c r="E48">
        <v>5569</v>
      </c>
      <c r="F48">
        <v>5569</v>
      </c>
      <c r="G48">
        <v>5569</v>
      </c>
      <c r="I48">
        <v>5569</v>
      </c>
      <c r="J48">
        <v>0.15</v>
      </c>
      <c r="K48">
        <v>7.0000000000000007E-2</v>
      </c>
      <c r="L48">
        <v>0.08</v>
      </c>
      <c r="M48">
        <v>0.01</v>
      </c>
      <c r="N48">
        <v>5.0000000000000001E-3</v>
      </c>
      <c r="O48">
        <v>5.0000000000000001E-3</v>
      </c>
      <c r="P48">
        <v>3.2000000000000002E-3</v>
      </c>
      <c r="Q48">
        <v>0</v>
      </c>
      <c r="R48">
        <v>0.06</v>
      </c>
      <c r="S48">
        <v>0.06</v>
      </c>
      <c r="T48">
        <v>835.35</v>
      </c>
      <c r="U48">
        <v>445.52</v>
      </c>
      <c r="V48">
        <v>27.844999999999999</v>
      </c>
      <c r="W48">
        <v>17.820799999999998</v>
      </c>
      <c r="X48">
        <v>0</v>
      </c>
      <c r="Z48">
        <v>334.14</v>
      </c>
      <c r="AA48">
        <v>1660.6758</v>
      </c>
      <c r="AB48">
        <v>389.83</v>
      </c>
      <c r="AC48">
        <v>55.69</v>
      </c>
      <c r="AD48">
        <v>27.844999999999999</v>
      </c>
      <c r="AF48">
        <v>334.14</v>
      </c>
      <c r="AG48">
        <v>807.505</v>
      </c>
      <c r="AO48">
        <v>0</v>
      </c>
      <c r="AU48">
        <v>0</v>
      </c>
      <c r="BC48">
        <v>0</v>
      </c>
      <c r="BJ48">
        <v>835.35</v>
      </c>
      <c r="BK48">
        <v>445.52</v>
      </c>
      <c r="BL48">
        <v>27.844999999999999</v>
      </c>
      <c r="BM48">
        <v>17.820799999999998</v>
      </c>
      <c r="BN48">
        <v>0</v>
      </c>
      <c r="BO48">
        <v>0</v>
      </c>
      <c r="BP48">
        <v>334.14</v>
      </c>
      <c r="BT48">
        <v>1660.6758</v>
      </c>
      <c r="BU48">
        <v>389.83</v>
      </c>
      <c r="BV48">
        <v>55.69</v>
      </c>
      <c r="BW48">
        <v>27.844999999999999</v>
      </c>
      <c r="BX48">
        <v>0</v>
      </c>
      <c r="BY48">
        <v>334.14</v>
      </c>
      <c r="BZ48">
        <v>807.505</v>
      </c>
      <c r="CA48">
        <v>807.505</v>
      </c>
      <c r="CD48">
        <v>2</v>
      </c>
    </row>
    <row r="49" spans="1:82" x14ac:dyDescent="0.15">
      <c r="A49" t="s">
        <v>314</v>
      </c>
      <c r="B49" t="s">
        <v>362</v>
      </c>
      <c r="C49" t="s">
        <v>364</v>
      </c>
      <c r="D49">
        <v>4504</v>
      </c>
      <c r="E49">
        <v>4504</v>
      </c>
      <c r="F49">
        <v>4504</v>
      </c>
      <c r="G49">
        <v>4504</v>
      </c>
      <c r="I49">
        <v>3644</v>
      </c>
      <c r="J49">
        <v>0.12</v>
      </c>
      <c r="K49">
        <v>0.05</v>
      </c>
      <c r="L49">
        <v>0.06</v>
      </c>
      <c r="M49">
        <v>0.01</v>
      </c>
      <c r="N49">
        <v>5.0000000000000001E-3</v>
      </c>
      <c r="O49">
        <v>5.0000000000000001E-3</v>
      </c>
      <c r="P49">
        <v>3.2000000000000002E-3</v>
      </c>
      <c r="Q49">
        <v>0</v>
      </c>
      <c r="R49">
        <v>0.05</v>
      </c>
      <c r="S49">
        <v>0.05</v>
      </c>
      <c r="T49">
        <v>540.48</v>
      </c>
      <c r="U49">
        <v>270.24</v>
      </c>
      <c r="V49">
        <v>22.52</v>
      </c>
      <c r="W49">
        <v>14.412800000000001</v>
      </c>
      <c r="X49">
        <v>0</v>
      </c>
      <c r="Z49">
        <v>182.2</v>
      </c>
      <c r="AA49">
        <v>1029.8527999999999</v>
      </c>
      <c r="AB49">
        <v>225.2</v>
      </c>
      <c r="AC49">
        <v>45.04</v>
      </c>
      <c r="AD49">
        <v>22.52</v>
      </c>
      <c r="AF49">
        <v>182.2</v>
      </c>
      <c r="AG49">
        <v>474.96</v>
      </c>
      <c r="AO49">
        <v>0</v>
      </c>
      <c r="AU49">
        <v>0</v>
      </c>
      <c r="BC49">
        <v>0</v>
      </c>
      <c r="BJ49">
        <v>540.48</v>
      </c>
      <c r="BK49">
        <v>270.24</v>
      </c>
      <c r="BL49">
        <v>22.52</v>
      </c>
      <c r="BM49">
        <v>14.412800000000001</v>
      </c>
      <c r="BN49">
        <v>0</v>
      </c>
      <c r="BO49">
        <v>0</v>
      </c>
      <c r="BP49">
        <v>182.2</v>
      </c>
      <c r="BT49">
        <v>1029.8527999999999</v>
      </c>
      <c r="BU49">
        <v>225.2</v>
      </c>
      <c r="BV49">
        <v>45.04</v>
      </c>
      <c r="BW49">
        <v>22.52</v>
      </c>
      <c r="BX49">
        <v>0</v>
      </c>
      <c r="BY49">
        <v>182.2</v>
      </c>
      <c r="BZ49">
        <v>474.96</v>
      </c>
      <c r="CA49">
        <v>474.96</v>
      </c>
      <c r="CD49">
        <v>2</v>
      </c>
    </row>
    <row r="50" spans="1:82" x14ac:dyDescent="0.15">
      <c r="A50" t="s">
        <v>150</v>
      </c>
      <c r="B50" t="s">
        <v>365</v>
      </c>
      <c r="C50" t="s">
        <v>367</v>
      </c>
      <c r="D50">
        <v>7162</v>
      </c>
      <c r="E50">
        <v>7162</v>
      </c>
      <c r="F50">
        <v>7162</v>
      </c>
      <c r="G50">
        <v>7162</v>
      </c>
      <c r="I50">
        <v>3698</v>
      </c>
      <c r="J50">
        <v>0.15</v>
      </c>
      <c r="K50">
        <v>7.0000000000000007E-2</v>
      </c>
      <c r="L50">
        <v>0.08</v>
      </c>
      <c r="M50">
        <v>0.01</v>
      </c>
      <c r="N50">
        <v>5.0000000000000001E-3</v>
      </c>
      <c r="O50">
        <v>5.0000000000000001E-3</v>
      </c>
      <c r="P50">
        <v>3.2000000000000002E-3</v>
      </c>
      <c r="Q50">
        <v>0</v>
      </c>
      <c r="R50">
        <v>0.06</v>
      </c>
      <c r="S50">
        <v>0.06</v>
      </c>
      <c r="T50">
        <v>1074.3</v>
      </c>
      <c r="U50">
        <v>572.96</v>
      </c>
      <c r="V50">
        <v>35.81</v>
      </c>
      <c r="W50">
        <v>22.918399999999998</v>
      </c>
      <c r="X50">
        <v>0</v>
      </c>
      <c r="Z50">
        <v>221.88</v>
      </c>
      <c r="AA50">
        <v>1927.8684000000001</v>
      </c>
      <c r="AB50">
        <v>501.34</v>
      </c>
      <c r="AC50">
        <v>71.62</v>
      </c>
      <c r="AD50">
        <v>35.81</v>
      </c>
      <c r="AF50">
        <v>221.88</v>
      </c>
      <c r="AG50">
        <v>830.65</v>
      </c>
      <c r="AO50">
        <v>0</v>
      </c>
      <c r="AU50">
        <v>0</v>
      </c>
      <c r="BC50">
        <v>0</v>
      </c>
      <c r="BJ50">
        <v>1074.3</v>
      </c>
      <c r="BK50">
        <v>572.96</v>
      </c>
      <c r="BL50">
        <v>35.81</v>
      </c>
      <c r="BM50">
        <v>22.918399999999998</v>
      </c>
      <c r="BN50">
        <v>0</v>
      </c>
      <c r="BO50">
        <v>0</v>
      </c>
      <c r="BP50">
        <v>221.88</v>
      </c>
      <c r="BT50">
        <v>1927.8684000000001</v>
      </c>
      <c r="BU50">
        <v>501.34</v>
      </c>
      <c r="BV50">
        <v>71.62</v>
      </c>
      <c r="BW50">
        <v>35.81</v>
      </c>
      <c r="BX50">
        <v>0</v>
      </c>
      <c r="BY50">
        <v>221.88</v>
      </c>
      <c r="BZ50">
        <v>830.65</v>
      </c>
      <c r="CA50">
        <v>830.65</v>
      </c>
      <c r="CD50">
        <v>2</v>
      </c>
    </row>
    <row r="51" spans="1:82" x14ac:dyDescent="0.15">
      <c r="A51" t="s">
        <v>126</v>
      </c>
      <c r="B51" t="s">
        <v>369</v>
      </c>
      <c r="C51" t="s">
        <v>371</v>
      </c>
      <c r="D51">
        <v>7460</v>
      </c>
      <c r="E51">
        <v>7460</v>
      </c>
      <c r="F51">
        <v>7460</v>
      </c>
      <c r="G51">
        <v>7460</v>
      </c>
      <c r="I51">
        <v>5573</v>
      </c>
      <c r="J51">
        <v>0.15</v>
      </c>
      <c r="K51">
        <v>7.0000000000000007E-2</v>
      </c>
      <c r="L51">
        <v>0.08</v>
      </c>
      <c r="M51">
        <v>0.01</v>
      </c>
      <c r="N51">
        <v>5.0000000000000001E-3</v>
      </c>
      <c r="O51">
        <v>5.0000000000000001E-3</v>
      </c>
      <c r="P51">
        <v>3.2000000000000002E-3</v>
      </c>
      <c r="Q51">
        <v>0</v>
      </c>
      <c r="R51">
        <v>0.06</v>
      </c>
      <c r="S51">
        <v>0.06</v>
      </c>
      <c r="T51">
        <v>1119</v>
      </c>
      <c r="U51">
        <v>596.79999999999995</v>
      </c>
      <c r="V51">
        <v>37.299999999999997</v>
      </c>
      <c r="W51">
        <v>23.872</v>
      </c>
      <c r="X51">
        <v>0</v>
      </c>
      <c r="Z51">
        <v>334.38</v>
      </c>
      <c r="AA51">
        <v>2111.3519999999999</v>
      </c>
      <c r="AB51">
        <v>522.20000000000005</v>
      </c>
      <c r="AC51">
        <v>74.599999999999994</v>
      </c>
      <c r="AD51">
        <v>37.299999999999997</v>
      </c>
      <c r="AF51">
        <v>334.38</v>
      </c>
      <c r="AG51">
        <v>968.48</v>
      </c>
      <c r="AO51">
        <v>0</v>
      </c>
      <c r="AU51">
        <v>0</v>
      </c>
      <c r="BC51">
        <v>0</v>
      </c>
      <c r="BJ51">
        <v>1119</v>
      </c>
      <c r="BK51">
        <v>596.79999999999995</v>
      </c>
      <c r="BL51">
        <v>37.299999999999997</v>
      </c>
      <c r="BM51">
        <v>23.872</v>
      </c>
      <c r="BN51">
        <v>0</v>
      </c>
      <c r="BO51">
        <v>0</v>
      </c>
      <c r="BP51">
        <v>334.38</v>
      </c>
      <c r="BT51">
        <v>2111.3519999999999</v>
      </c>
      <c r="BU51">
        <v>522.20000000000005</v>
      </c>
      <c r="BV51">
        <v>74.599999999999994</v>
      </c>
      <c r="BW51">
        <v>37.299999999999997</v>
      </c>
      <c r="BX51">
        <v>0</v>
      </c>
      <c r="BY51">
        <v>334.38</v>
      </c>
      <c r="BZ51">
        <v>968.48</v>
      </c>
      <c r="CA51">
        <v>968.48</v>
      </c>
      <c r="CD51">
        <v>2</v>
      </c>
    </row>
    <row r="52" spans="1:82" x14ac:dyDescent="0.15">
      <c r="A52" t="s">
        <v>126</v>
      </c>
      <c r="B52" t="s">
        <v>373</v>
      </c>
      <c r="C52" t="s">
        <v>375</v>
      </c>
      <c r="D52">
        <v>7460</v>
      </c>
      <c r="E52">
        <v>7460</v>
      </c>
      <c r="F52">
        <v>7460</v>
      </c>
      <c r="G52">
        <v>7460</v>
      </c>
      <c r="I52">
        <v>3720</v>
      </c>
      <c r="J52">
        <v>0.15</v>
      </c>
      <c r="K52">
        <v>7.0000000000000007E-2</v>
      </c>
      <c r="L52">
        <v>0.08</v>
      </c>
      <c r="M52">
        <v>0.01</v>
      </c>
      <c r="N52">
        <v>5.0000000000000001E-3</v>
      </c>
      <c r="O52">
        <v>5.0000000000000001E-3</v>
      </c>
      <c r="P52">
        <v>3.2000000000000002E-3</v>
      </c>
      <c r="Q52">
        <v>0</v>
      </c>
      <c r="R52">
        <v>0.06</v>
      </c>
      <c r="S52">
        <v>0.06</v>
      </c>
      <c r="T52">
        <v>1119</v>
      </c>
      <c r="U52">
        <v>596.79999999999995</v>
      </c>
      <c r="V52">
        <v>37.299999999999997</v>
      </c>
      <c r="W52">
        <v>23.872</v>
      </c>
      <c r="X52">
        <v>0</v>
      </c>
      <c r="Z52">
        <v>223.2</v>
      </c>
      <c r="AA52">
        <v>2000.172</v>
      </c>
      <c r="AB52">
        <v>522.20000000000005</v>
      </c>
      <c r="AC52">
        <v>74.599999999999994</v>
      </c>
      <c r="AD52">
        <v>37.299999999999997</v>
      </c>
      <c r="AF52">
        <v>223.2</v>
      </c>
      <c r="AG52">
        <v>857.3</v>
      </c>
      <c r="AO52">
        <v>0</v>
      </c>
      <c r="AU52">
        <v>0</v>
      </c>
      <c r="BC52">
        <v>0</v>
      </c>
      <c r="BJ52">
        <v>1119</v>
      </c>
      <c r="BK52">
        <v>596.79999999999995</v>
      </c>
      <c r="BL52">
        <v>37.299999999999997</v>
      </c>
      <c r="BM52">
        <v>23.872</v>
      </c>
      <c r="BN52">
        <v>0</v>
      </c>
      <c r="BO52">
        <v>0</v>
      </c>
      <c r="BP52">
        <v>223.2</v>
      </c>
      <c r="BT52">
        <v>2000.172</v>
      </c>
      <c r="BU52">
        <v>522.20000000000005</v>
      </c>
      <c r="BV52">
        <v>74.599999999999994</v>
      </c>
      <c r="BW52">
        <v>37.299999999999997</v>
      </c>
      <c r="BX52">
        <v>0</v>
      </c>
      <c r="BY52">
        <v>223.2</v>
      </c>
      <c r="BZ52">
        <v>857.3</v>
      </c>
      <c r="CA52">
        <v>857.3</v>
      </c>
      <c r="CD52">
        <v>2</v>
      </c>
    </row>
    <row r="53" spans="1:82" x14ac:dyDescent="0.15">
      <c r="A53" t="s">
        <v>150</v>
      </c>
      <c r="B53" t="s">
        <v>376</v>
      </c>
      <c r="C53" t="s">
        <v>379</v>
      </c>
      <c r="D53">
        <v>7162</v>
      </c>
      <c r="E53">
        <v>7162</v>
      </c>
      <c r="F53">
        <v>7162</v>
      </c>
      <c r="G53">
        <v>7162</v>
      </c>
      <c r="I53">
        <v>2540</v>
      </c>
      <c r="J53">
        <v>0.15</v>
      </c>
      <c r="K53">
        <v>7.0000000000000007E-2</v>
      </c>
      <c r="L53">
        <v>0.08</v>
      </c>
      <c r="M53">
        <v>0.01</v>
      </c>
      <c r="N53">
        <v>5.0000000000000001E-3</v>
      </c>
      <c r="O53">
        <v>5.0000000000000001E-3</v>
      </c>
      <c r="P53">
        <v>3.2000000000000002E-3</v>
      </c>
      <c r="Q53">
        <v>0</v>
      </c>
      <c r="R53">
        <v>0.06</v>
      </c>
      <c r="S53">
        <v>0.06</v>
      </c>
      <c r="T53">
        <v>1074.3</v>
      </c>
      <c r="U53">
        <v>572.96</v>
      </c>
      <c r="V53">
        <v>35.81</v>
      </c>
      <c r="W53">
        <v>22.918399999999998</v>
      </c>
      <c r="X53">
        <v>0</v>
      </c>
      <c r="Z53">
        <v>152.4</v>
      </c>
      <c r="AA53">
        <v>1858.3884</v>
      </c>
      <c r="AB53">
        <v>501.34</v>
      </c>
      <c r="AC53">
        <v>71.62</v>
      </c>
      <c r="AD53">
        <v>35.81</v>
      </c>
      <c r="AF53">
        <v>152.4</v>
      </c>
      <c r="AG53">
        <v>761.17</v>
      </c>
      <c r="AO53">
        <v>0</v>
      </c>
      <c r="AU53">
        <v>0</v>
      </c>
      <c r="BC53">
        <v>0</v>
      </c>
      <c r="BJ53">
        <v>1074.3</v>
      </c>
      <c r="BK53">
        <v>572.96</v>
      </c>
      <c r="BL53">
        <v>35.81</v>
      </c>
      <c r="BM53">
        <v>22.918399999999998</v>
      </c>
      <c r="BN53">
        <v>0</v>
      </c>
      <c r="BO53">
        <v>0</v>
      </c>
      <c r="BP53">
        <v>152.4</v>
      </c>
      <c r="BT53">
        <v>1858.3884</v>
      </c>
      <c r="BU53">
        <v>501.34</v>
      </c>
      <c r="BV53">
        <v>71.62</v>
      </c>
      <c r="BW53">
        <v>35.81</v>
      </c>
      <c r="BX53">
        <v>0</v>
      </c>
      <c r="BY53">
        <v>152.4</v>
      </c>
      <c r="BZ53">
        <v>761.17</v>
      </c>
      <c r="CA53">
        <v>761.17</v>
      </c>
      <c r="CD53">
        <v>2</v>
      </c>
    </row>
    <row r="54" spans="1:82" x14ac:dyDescent="0.15">
      <c r="A54" t="s">
        <v>150</v>
      </c>
      <c r="B54" t="s">
        <v>380</v>
      </c>
      <c r="C54" t="s">
        <v>381</v>
      </c>
      <c r="D54">
        <v>7162</v>
      </c>
      <c r="E54">
        <v>7162</v>
      </c>
      <c r="F54">
        <v>7162</v>
      </c>
      <c r="G54">
        <v>7162</v>
      </c>
      <c r="I54">
        <v>2540</v>
      </c>
      <c r="J54">
        <v>0.15</v>
      </c>
      <c r="K54">
        <v>7.0000000000000007E-2</v>
      </c>
      <c r="L54">
        <v>0.08</v>
      </c>
      <c r="M54">
        <v>0.01</v>
      </c>
      <c r="N54">
        <v>5.0000000000000001E-3</v>
      </c>
      <c r="O54">
        <v>5.0000000000000001E-3</v>
      </c>
      <c r="P54">
        <v>3.2000000000000002E-3</v>
      </c>
      <c r="Q54">
        <v>0</v>
      </c>
      <c r="R54">
        <v>0.06</v>
      </c>
      <c r="S54">
        <v>0.06</v>
      </c>
      <c r="T54">
        <v>1074.3</v>
      </c>
      <c r="U54">
        <v>572.96</v>
      </c>
      <c r="V54">
        <v>35.81</v>
      </c>
      <c r="W54">
        <v>22.918399999999998</v>
      </c>
      <c r="X54">
        <v>0</v>
      </c>
      <c r="Z54">
        <v>152.4</v>
      </c>
      <c r="AA54">
        <v>1858.3884</v>
      </c>
      <c r="AB54">
        <v>501.34</v>
      </c>
      <c r="AC54">
        <v>71.62</v>
      </c>
      <c r="AD54">
        <v>35.81</v>
      </c>
      <c r="AF54">
        <v>152.4</v>
      </c>
      <c r="AG54">
        <v>761.17</v>
      </c>
      <c r="AO54">
        <v>0</v>
      </c>
      <c r="AU54">
        <v>0</v>
      </c>
      <c r="BC54">
        <v>0</v>
      </c>
      <c r="BJ54">
        <v>1074.3</v>
      </c>
      <c r="BK54">
        <v>572.96</v>
      </c>
      <c r="BL54">
        <v>35.81</v>
      </c>
      <c r="BM54">
        <v>22.918399999999998</v>
      </c>
      <c r="BN54">
        <v>0</v>
      </c>
      <c r="BO54">
        <v>0</v>
      </c>
      <c r="BP54">
        <v>152.4</v>
      </c>
      <c r="BT54">
        <v>1858.3884</v>
      </c>
      <c r="BU54">
        <v>501.34</v>
      </c>
      <c r="BV54">
        <v>71.62</v>
      </c>
      <c r="BW54">
        <v>35.81</v>
      </c>
      <c r="BX54">
        <v>0</v>
      </c>
      <c r="BY54">
        <v>152.4</v>
      </c>
      <c r="BZ54">
        <v>761.17</v>
      </c>
      <c r="CA54">
        <v>761.17</v>
      </c>
      <c r="CD54">
        <v>2</v>
      </c>
    </row>
    <row r="55" spans="1:82" x14ac:dyDescent="0.15">
      <c r="A55" t="s">
        <v>150</v>
      </c>
      <c r="B55" t="s">
        <v>383</v>
      </c>
      <c r="C55" t="s">
        <v>384</v>
      </c>
      <c r="D55">
        <v>7162</v>
      </c>
      <c r="E55">
        <v>7162</v>
      </c>
      <c r="F55">
        <v>7162</v>
      </c>
      <c r="G55">
        <v>7162</v>
      </c>
      <c r="I55">
        <v>2540</v>
      </c>
      <c r="J55">
        <v>0.15</v>
      </c>
      <c r="K55">
        <v>7.0000000000000007E-2</v>
      </c>
      <c r="L55">
        <v>0.08</v>
      </c>
      <c r="M55">
        <v>0.01</v>
      </c>
      <c r="N55">
        <v>5.0000000000000001E-3</v>
      </c>
      <c r="O55">
        <v>5.0000000000000001E-3</v>
      </c>
      <c r="P55">
        <v>3.2000000000000002E-3</v>
      </c>
      <c r="Q55">
        <v>0</v>
      </c>
      <c r="R55">
        <v>0.06</v>
      </c>
      <c r="S55">
        <v>0.06</v>
      </c>
      <c r="T55">
        <v>1074.3</v>
      </c>
      <c r="U55">
        <v>572.96</v>
      </c>
      <c r="V55">
        <v>35.81</v>
      </c>
      <c r="W55">
        <v>22.918399999999998</v>
      </c>
      <c r="X55">
        <v>0</v>
      </c>
      <c r="Z55">
        <v>152.4</v>
      </c>
      <c r="AA55">
        <v>1858.3884</v>
      </c>
      <c r="AB55">
        <v>501.34</v>
      </c>
      <c r="AC55">
        <v>71.62</v>
      </c>
      <c r="AD55">
        <v>35.81</v>
      </c>
      <c r="AF55">
        <v>152.4</v>
      </c>
      <c r="AG55">
        <v>761.17</v>
      </c>
      <c r="AO55">
        <v>0</v>
      </c>
      <c r="AU55">
        <v>0</v>
      </c>
      <c r="BC55">
        <v>0</v>
      </c>
      <c r="BJ55">
        <v>1074.3</v>
      </c>
      <c r="BK55">
        <v>572.96</v>
      </c>
      <c r="BL55">
        <v>35.81</v>
      </c>
      <c r="BM55">
        <v>22.918399999999998</v>
      </c>
      <c r="BN55">
        <v>0</v>
      </c>
      <c r="BO55">
        <v>0</v>
      </c>
      <c r="BP55">
        <v>152.4</v>
      </c>
      <c r="BT55">
        <v>1858.3884</v>
      </c>
      <c r="BU55">
        <v>501.34</v>
      </c>
      <c r="BV55">
        <v>71.62</v>
      </c>
      <c r="BW55">
        <v>35.81</v>
      </c>
      <c r="BX55">
        <v>0</v>
      </c>
      <c r="BY55">
        <v>152.4</v>
      </c>
      <c r="BZ55">
        <v>761.17</v>
      </c>
      <c r="CA55">
        <v>761.17</v>
      </c>
      <c r="CD55">
        <v>2</v>
      </c>
    </row>
    <row r="56" spans="1:82" x14ac:dyDescent="0.15">
      <c r="A56" t="s">
        <v>150</v>
      </c>
      <c r="B56" t="s">
        <v>385</v>
      </c>
      <c r="C56" t="s">
        <v>386</v>
      </c>
      <c r="D56">
        <v>7162</v>
      </c>
      <c r="E56">
        <v>7162</v>
      </c>
      <c r="F56">
        <v>7162</v>
      </c>
      <c r="G56">
        <v>7162</v>
      </c>
      <c r="I56">
        <v>2540</v>
      </c>
      <c r="J56">
        <v>0.15</v>
      </c>
      <c r="K56">
        <v>7.0000000000000007E-2</v>
      </c>
      <c r="L56">
        <v>0.08</v>
      </c>
      <c r="M56">
        <v>0.01</v>
      </c>
      <c r="N56">
        <v>5.0000000000000001E-3</v>
      </c>
      <c r="O56">
        <v>5.0000000000000001E-3</v>
      </c>
      <c r="P56">
        <v>3.2000000000000002E-3</v>
      </c>
      <c r="Q56">
        <v>0</v>
      </c>
      <c r="R56">
        <v>0.06</v>
      </c>
      <c r="S56">
        <v>0.06</v>
      </c>
      <c r="T56">
        <v>1074.3</v>
      </c>
      <c r="U56">
        <v>572.96</v>
      </c>
      <c r="V56">
        <v>35.81</v>
      </c>
      <c r="W56">
        <v>22.918399999999998</v>
      </c>
      <c r="X56">
        <v>0</v>
      </c>
      <c r="Z56">
        <v>152.4</v>
      </c>
      <c r="AA56">
        <v>1858.3884</v>
      </c>
      <c r="AB56">
        <v>501.34</v>
      </c>
      <c r="AC56">
        <v>71.62</v>
      </c>
      <c r="AD56">
        <v>35.81</v>
      </c>
      <c r="AF56">
        <v>152.4</v>
      </c>
      <c r="AG56">
        <v>761.17</v>
      </c>
      <c r="AO56">
        <v>0</v>
      </c>
      <c r="AU56">
        <v>0</v>
      </c>
      <c r="BC56">
        <v>0</v>
      </c>
      <c r="BJ56">
        <v>1074.3</v>
      </c>
      <c r="BK56">
        <v>572.96</v>
      </c>
      <c r="BL56">
        <v>35.81</v>
      </c>
      <c r="BM56">
        <v>22.918399999999998</v>
      </c>
      <c r="BN56">
        <v>0</v>
      </c>
      <c r="BO56">
        <v>0</v>
      </c>
      <c r="BP56">
        <v>152.4</v>
      </c>
      <c r="BT56">
        <v>1858.3884</v>
      </c>
      <c r="BU56">
        <v>501.34</v>
      </c>
      <c r="BV56">
        <v>71.62</v>
      </c>
      <c r="BW56">
        <v>35.81</v>
      </c>
      <c r="BX56">
        <v>0</v>
      </c>
      <c r="BY56">
        <v>152.4</v>
      </c>
      <c r="BZ56">
        <v>761.17</v>
      </c>
      <c r="CA56">
        <v>761.17</v>
      </c>
      <c r="CD56">
        <v>2</v>
      </c>
    </row>
    <row r="57" spans="1:82" x14ac:dyDescent="0.15">
      <c r="A57" t="s">
        <v>150</v>
      </c>
      <c r="B57" t="s">
        <v>387</v>
      </c>
      <c r="C57" t="s">
        <v>388</v>
      </c>
      <c r="D57">
        <v>7162</v>
      </c>
      <c r="E57">
        <v>7162</v>
      </c>
      <c r="F57">
        <v>7162</v>
      </c>
      <c r="G57">
        <v>7162</v>
      </c>
      <c r="I57">
        <v>2540</v>
      </c>
      <c r="J57">
        <v>0.15</v>
      </c>
      <c r="K57">
        <v>7.0000000000000007E-2</v>
      </c>
      <c r="L57">
        <v>0.08</v>
      </c>
      <c r="M57">
        <v>0.01</v>
      </c>
      <c r="N57">
        <v>5.0000000000000001E-3</v>
      </c>
      <c r="O57">
        <v>5.0000000000000001E-3</v>
      </c>
      <c r="P57">
        <v>3.2000000000000002E-3</v>
      </c>
      <c r="Q57">
        <v>0</v>
      </c>
      <c r="R57">
        <v>0.06</v>
      </c>
      <c r="S57">
        <v>0.06</v>
      </c>
      <c r="T57">
        <v>1074.3</v>
      </c>
      <c r="U57">
        <v>572.96</v>
      </c>
      <c r="V57">
        <v>35.81</v>
      </c>
      <c r="W57">
        <v>22.918399999999998</v>
      </c>
      <c r="X57">
        <v>0</v>
      </c>
      <c r="Z57">
        <v>152.4</v>
      </c>
      <c r="AA57">
        <v>1858.3884</v>
      </c>
      <c r="AB57">
        <v>501.34</v>
      </c>
      <c r="AC57">
        <v>71.62</v>
      </c>
      <c r="AD57">
        <v>35.81</v>
      </c>
      <c r="AF57">
        <v>152.4</v>
      </c>
      <c r="AG57">
        <v>761.17</v>
      </c>
      <c r="AO57">
        <v>0</v>
      </c>
      <c r="AU57">
        <v>0</v>
      </c>
      <c r="BC57">
        <v>0</v>
      </c>
      <c r="BJ57">
        <v>1074.3</v>
      </c>
      <c r="BK57">
        <v>572.96</v>
      </c>
      <c r="BL57">
        <v>35.81</v>
      </c>
      <c r="BM57">
        <v>22.918399999999998</v>
      </c>
      <c r="BN57">
        <v>0</v>
      </c>
      <c r="BO57">
        <v>0</v>
      </c>
      <c r="BP57">
        <v>152.4</v>
      </c>
      <c r="BT57">
        <v>1858.3884</v>
      </c>
      <c r="BU57">
        <v>501.34</v>
      </c>
      <c r="BV57">
        <v>71.62</v>
      </c>
      <c r="BW57">
        <v>35.81</v>
      </c>
      <c r="BX57">
        <v>0</v>
      </c>
      <c r="BY57">
        <v>152.4</v>
      </c>
      <c r="BZ57">
        <v>761.17</v>
      </c>
      <c r="CA57">
        <v>761.17</v>
      </c>
      <c r="CD57">
        <v>2</v>
      </c>
    </row>
    <row r="58" spans="1:82" x14ac:dyDescent="0.15">
      <c r="A58" t="s">
        <v>168</v>
      </c>
      <c r="B58" t="s">
        <v>390</v>
      </c>
      <c r="C58" t="s">
        <v>391</v>
      </c>
      <c r="D58">
        <v>5124</v>
      </c>
      <c r="E58">
        <v>5124</v>
      </c>
      <c r="F58">
        <v>5124</v>
      </c>
      <c r="G58">
        <v>5124</v>
      </c>
      <c r="I58">
        <v>2320</v>
      </c>
      <c r="J58">
        <v>0.15</v>
      </c>
      <c r="K58">
        <v>7.0000000000000007E-2</v>
      </c>
      <c r="L58">
        <v>0.08</v>
      </c>
      <c r="M58">
        <v>0.01</v>
      </c>
      <c r="N58">
        <v>5.0000000000000001E-3</v>
      </c>
      <c r="O58">
        <v>5.0000000000000001E-3</v>
      </c>
      <c r="P58">
        <v>3.2000000000000002E-3</v>
      </c>
      <c r="Q58">
        <v>0</v>
      </c>
      <c r="R58">
        <v>0.06</v>
      </c>
      <c r="S58">
        <v>0.06</v>
      </c>
      <c r="T58">
        <v>768.6</v>
      </c>
      <c r="U58">
        <v>409.92</v>
      </c>
      <c r="V58">
        <v>25.62</v>
      </c>
      <c r="W58">
        <v>16.396799999999999</v>
      </c>
      <c r="X58">
        <v>0</v>
      </c>
      <c r="Z58">
        <v>139.19999999999999</v>
      </c>
      <c r="AA58">
        <v>1359.7367999999999</v>
      </c>
      <c r="AB58">
        <v>358.68</v>
      </c>
      <c r="AC58">
        <v>51.24</v>
      </c>
      <c r="AD58">
        <v>25.62</v>
      </c>
      <c r="AF58">
        <v>139.19999999999999</v>
      </c>
      <c r="AG58">
        <v>574.74</v>
      </c>
      <c r="AO58">
        <v>0</v>
      </c>
      <c r="AU58">
        <v>0</v>
      </c>
      <c r="BC58">
        <v>0</v>
      </c>
      <c r="BJ58">
        <v>768.6</v>
      </c>
      <c r="BK58">
        <v>409.92</v>
      </c>
      <c r="BL58">
        <v>25.62</v>
      </c>
      <c r="BM58">
        <v>16.396799999999999</v>
      </c>
      <c r="BN58">
        <v>0</v>
      </c>
      <c r="BO58">
        <v>0</v>
      </c>
      <c r="BP58">
        <v>139.19999999999999</v>
      </c>
      <c r="BT58">
        <v>1359.7367999999999</v>
      </c>
      <c r="BU58">
        <v>358.68</v>
      </c>
      <c r="BV58">
        <v>51.24</v>
      </c>
      <c r="BW58">
        <v>25.62</v>
      </c>
      <c r="BX58">
        <v>0</v>
      </c>
      <c r="BY58">
        <v>139.19999999999999</v>
      </c>
      <c r="BZ58">
        <v>574.74</v>
      </c>
      <c r="CA58">
        <v>574.74</v>
      </c>
      <c r="CD58">
        <v>2</v>
      </c>
    </row>
    <row r="59" spans="1:82" x14ac:dyDescent="0.15">
      <c r="A59" t="s">
        <v>168</v>
      </c>
      <c r="B59" t="s">
        <v>392</v>
      </c>
      <c r="C59" t="s">
        <v>393</v>
      </c>
      <c r="D59">
        <v>5124</v>
      </c>
      <c r="E59">
        <v>5124</v>
      </c>
      <c r="F59">
        <v>5124</v>
      </c>
      <c r="G59">
        <v>5124</v>
      </c>
      <c r="I59">
        <v>2320</v>
      </c>
      <c r="J59">
        <v>0.15</v>
      </c>
      <c r="K59">
        <v>7.0000000000000007E-2</v>
      </c>
      <c r="L59">
        <v>0.08</v>
      </c>
      <c r="M59">
        <v>0.01</v>
      </c>
      <c r="N59">
        <v>5.0000000000000001E-3</v>
      </c>
      <c r="O59">
        <v>5.0000000000000001E-3</v>
      </c>
      <c r="P59">
        <v>3.2000000000000002E-3</v>
      </c>
      <c r="Q59">
        <v>0</v>
      </c>
      <c r="R59">
        <v>0.06</v>
      </c>
      <c r="S59">
        <v>0.06</v>
      </c>
      <c r="T59">
        <v>768.6</v>
      </c>
      <c r="U59">
        <v>409.92</v>
      </c>
      <c r="V59">
        <v>25.62</v>
      </c>
      <c r="W59">
        <v>16.396799999999999</v>
      </c>
      <c r="X59">
        <v>0</v>
      </c>
      <c r="Z59">
        <v>139.19999999999999</v>
      </c>
      <c r="AA59">
        <v>1359.7367999999999</v>
      </c>
      <c r="AB59">
        <v>358.68</v>
      </c>
      <c r="AC59">
        <v>51.24</v>
      </c>
      <c r="AD59">
        <v>25.62</v>
      </c>
      <c r="AF59">
        <v>139.19999999999999</v>
      </c>
      <c r="AG59">
        <v>574.74</v>
      </c>
      <c r="AO59">
        <v>0</v>
      </c>
      <c r="AU59">
        <v>0</v>
      </c>
      <c r="BC59">
        <v>0</v>
      </c>
      <c r="BJ59">
        <v>768.6</v>
      </c>
      <c r="BK59">
        <v>409.92</v>
      </c>
      <c r="BL59">
        <v>25.62</v>
      </c>
      <c r="BM59">
        <v>16.396799999999999</v>
      </c>
      <c r="BN59">
        <v>0</v>
      </c>
      <c r="BO59">
        <v>0</v>
      </c>
      <c r="BP59">
        <v>139.19999999999999</v>
      </c>
      <c r="BT59">
        <v>1359.7367999999999</v>
      </c>
      <c r="BU59">
        <v>358.68</v>
      </c>
      <c r="BV59">
        <v>51.24</v>
      </c>
      <c r="BW59">
        <v>25.62</v>
      </c>
      <c r="BX59">
        <v>0</v>
      </c>
      <c r="BY59">
        <v>139.19999999999999</v>
      </c>
      <c r="BZ59">
        <v>574.74</v>
      </c>
      <c r="CA59">
        <v>574.74</v>
      </c>
      <c r="CD59">
        <v>2</v>
      </c>
    </row>
    <row r="60" spans="1:82" x14ac:dyDescent="0.15">
      <c r="A60" t="s">
        <v>168</v>
      </c>
      <c r="B60" t="s">
        <v>394</v>
      </c>
      <c r="C60" t="s">
        <v>395</v>
      </c>
      <c r="D60">
        <v>5124</v>
      </c>
      <c r="E60">
        <v>5124</v>
      </c>
      <c r="F60">
        <v>5124</v>
      </c>
      <c r="G60">
        <v>5124</v>
      </c>
      <c r="I60">
        <v>2320</v>
      </c>
      <c r="J60">
        <v>0.15</v>
      </c>
      <c r="K60">
        <v>7.0000000000000007E-2</v>
      </c>
      <c r="L60">
        <v>0.08</v>
      </c>
      <c r="M60">
        <v>0.01</v>
      </c>
      <c r="N60">
        <v>5.0000000000000001E-3</v>
      </c>
      <c r="O60">
        <v>5.0000000000000001E-3</v>
      </c>
      <c r="P60">
        <v>3.2000000000000002E-3</v>
      </c>
      <c r="Q60">
        <v>0</v>
      </c>
      <c r="R60">
        <v>0.06</v>
      </c>
      <c r="S60">
        <v>0.06</v>
      </c>
      <c r="T60">
        <v>768.6</v>
      </c>
      <c r="U60">
        <v>409.92</v>
      </c>
      <c r="V60">
        <v>25.62</v>
      </c>
      <c r="W60">
        <v>16.396799999999999</v>
      </c>
      <c r="X60">
        <v>0</v>
      </c>
      <c r="Z60">
        <v>139.19999999999999</v>
      </c>
      <c r="AA60">
        <v>1359.7367999999999</v>
      </c>
      <c r="AB60">
        <v>358.68</v>
      </c>
      <c r="AC60">
        <v>51.24</v>
      </c>
      <c r="AD60">
        <v>25.62</v>
      </c>
      <c r="AF60">
        <v>139.19999999999999</v>
      </c>
      <c r="AG60">
        <v>574.74</v>
      </c>
      <c r="AO60">
        <v>0</v>
      </c>
      <c r="AU60">
        <v>0</v>
      </c>
      <c r="BC60">
        <v>0</v>
      </c>
      <c r="BJ60">
        <v>768.6</v>
      </c>
      <c r="BK60">
        <v>409.92</v>
      </c>
      <c r="BL60">
        <v>25.62</v>
      </c>
      <c r="BM60">
        <v>16.396799999999999</v>
      </c>
      <c r="BN60">
        <v>0</v>
      </c>
      <c r="BO60">
        <v>0</v>
      </c>
      <c r="BP60">
        <v>139.19999999999999</v>
      </c>
      <c r="BT60">
        <v>1359.7367999999999</v>
      </c>
      <c r="BU60">
        <v>358.68</v>
      </c>
      <c r="BV60">
        <v>51.24</v>
      </c>
      <c r="BW60">
        <v>25.62</v>
      </c>
      <c r="BX60">
        <v>0</v>
      </c>
      <c r="BY60">
        <v>139.19999999999999</v>
      </c>
      <c r="BZ60">
        <v>574.74</v>
      </c>
      <c r="CA60">
        <v>574.74</v>
      </c>
      <c r="CD60">
        <v>2</v>
      </c>
    </row>
    <row r="61" spans="1:82" x14ac:dyDescent="0.15">
      <c r="A61" t="s">
        <v>292</v>
      </c>
      <c r="B61" t="s">
        <v>397</v>
      </c>
      <c r="C61" t="s">
        <v>399</v>
      </c>
      <c r="D61">
        <v>4504</v>
      </c>
      <c r="E61">
        <v>4504</v>
      </c>
      <c r="F61">
        <v>4504</v>
      </c>
      <c r="G61">
        <v>4504</v>
      </c>
      <c r="I61">
        <v>2400</v>
      </c>
      <c r="J61">
        <v>0.12</v>
      </c>
      <c r="K61">
        <v>0.05</v>
      </c>
      <c r="L61">
        <v>0.06</v>
      </c>
      <c r="M61">
        <v>0.01</v>
      </c>
      <c r="N61">
        <v>5.0000000000000001E-3</v>
      </c>
      <c r="O61">
        <v>5.0000000000000001E-3</v>
      </c>
      <c r="P61">
        <v>3.2000000000000002E-3</v>
      </c>
      <c r="Q61">
        <v>0</v>
      </c>
      <c r="R61">
        <v>0.05</v>
      </c>
      <c r="S61">
        <v>0.05</v>
      </c>
      <c r="T61">
        <v>540.48</v>
      </c>
      <c r="U61">
        <v>270.24</v>
      </c>
      <c r="V61">
        <v>22.52</v>
      </c>
      <c r="W61">
        <v>14.412800000000001</v>
      </c>
      <c r="X61">
        <v>0</v>
      </c>
      <c r="Z61">
        <v>120</v>
      </c>
      <c r="AA61">
        <v>967.65279999999996</v>
      </c>
      <c r="AB61">
        <v>225.2</v>
      </c>
      <c r="AC61">
        <v>45.04</v>
      </c>
      <c r="AD61">
        <v>22.52</v>
      </c>
      <c r="AF61">
        <v>120</v>
      </c>
      <c r="AG61">
        <v>412.76</v>
      </c>
      <c r="AO61">
        <v>0</v>
      </c>
      <c r="AU61">
        <v>0</v>
      </c>
      <c r="BC61">
        <v>0</v>
      </c>
      <c r="BJ61">
        <v>540.48</v>
      </c>
      <c r="BK61">
        <v>270.24</v>
      </c>
      <c r="BL61">
        <v>22.52</v>
      </c>
      <c r="BM61">
        <v>14.412800000000001</v>
      </c>
      <c r="BN61">
        <v>0</v>
      </c>
      <c r="BO61">
        <v>0</v>
      </c>
      <c r="BP61">
        <v>120</v>
      </c>
      <c r="BT61">
        <v>967.65279999999996</v>
      </c>
      <c r="BU61">
        <v>225.2</v>
      </c>
      <c r="BV61">
        <v>45.04</v>
      </c>
      <c r="BW61">
        <v>22.52</v>
      </c>
      <c r="BX61">
        <v>0</v>
      </c>
      <c r="BY61">
        <v>120</v>
      </c>
      <c r="BZ61">
        <v>412.76</v>
      </c>
      <c r="CA61">
        <v>412.76</v>
      </c>
      <c r="CD61">
        <v>2</v>
      </c>
    </row>
    <row r="62" spans="1:82" x14ac:dyDescent="0.15">
      <c r="A62" t="s">
        <v>205</v>
      </c>
      <c r="B62" t="s">
        <v>401</v>
      </c>
      <c r="C62" t="s">
        <v>403</v>
      </c>
      <c r="D62">
        <v>4952</v>
      </c>
      <c r="E62">
        <v>4952</v>
      </c>
      <c r="F62">
        <v>4952</v>
      </c>
      <c r="G62">
        <v>4952</v>
      </c>
      <c r="I62">
        <v>4952</v>
      </c>
      <c r="J62">
        <v>0.12</v>
      </c>
      <c r="K62">
        <v>0.05</v>
      </c>
      <c r="L62">
        <v>0.06</v>
      </c>
      <c r="M62">
        <v>0.01</v>
      </c>
      <c r="N62">
        <v>5.0000000000000001E-3</v>
      </c>
      <c r="O62">
        <v>5.0000000000000001E-3</v>
      </c>
      <c r="P62">
        <v>3.2000000000000002E-3</v>
      </c>
      <c r="Q62">
        <v>0</v>
      </c>
      <c r="R62">
        <v>0.05</v>
      </c>
      <c r="S62">
        <v>0.05</v>
      </c>
      <c r="T62">
        <v>594.24</v>
      </c>
      <c r="U62">
        <v>297.12</v>
      </c>
      <c r="V62">
        <v>24.76</v>
      </c>
      <c r="W62">
        <v>15.846399999999999</v>
      </c>
      <c r="X62">
        <v>0</v>
      </c>
      <c r="Z62">
        <v>247.6</v>
      </c>
      <c r="AA62">
        <v>1179.5663999999999</v>
      </c>
      <c r="AB62">
        <v>247.6</v>
      </c>
      <c r="AC62">
        <v>49.52</v>
      </c>
      <c r="AD62">
        <v>24.76</v>
      </c>
      <c r="AF62">
        <v>247.6</v>
      </c>
      <c r="AG62">
        <v>569.48</v>
      </c>
      <c r="AO62">
        <v>0</v>
      </c>
      <c r="AU62">
        <v>0</v>
      </c>
      <c r="BC62">
        <v>0</v>
      </c>
      <c r="BJ62">
        <v>594.24</v>
      </c>
      <c r="BK62">
        <v>297.12</v>
      </c>
      <c r="BL62">
        <v>24.76</v>
      </c>
      <c r="BM62">
        <v>15.846399999999999</v>
      </c>
      <c r="BN62">
        <v>0</v>
      </c>
      <c r="BO62">
        <v>0</v>
      </c>
      <c r="BP62">
        <v>247.6</v>
      </c>
      <c r="BT62">
        <v>1179.5663999999999</v>
      </c>
      <c r="BU62">
        <v>247.6</v>
      </c>
      <c r="BV62">
        <v>49.52</v>
      </c>
      <c r="BW62">
        <v>24.76</v>
      </c>
      <c r="BX62">
        <v>0</v>
      </c>
      <c r="BY62">
        <v>247.6</v>
      </c>
      <c r="BZ62">
        <v>569.48</v>
      </c>
      <c r="CA62">
        <v>569.48</v>
      </c>
      <c r="CD62">
        <v>2</v>
      </c>
    </row>
    <row r="63" spans="1:82" x14ac:dyDescent="0.15">
      <c r="A63" t="s">
        <v>407</v>
      </c>
      <c r="B63" t="s">
        <v>408</v>
      </c>
      <c r="C63" t="s">
        <v>410</v>
      </c>
      <c r="D63">
        <v>4952</v>
      </c>
      <c r="E63">
        <v>4952</v>
      </c>
      <c r="F63">
        <v>4952</v>
      </c>
      <c r="G63">
        <v>4952</v>
      </c>
      <c r="I63">
        <v>4413</v>
      </c>
      <c r="J63">
        <v>0.12</v>
      </c>
      <c r="K63">
        <v>0.05</v>
      </c>
      <c r="L63">
        <v>0.06</v>
      </c>
      <c r="M63">
        <v>0.01</v>
      </c>
      <c r="N63">
        <v>5.0000000000000001E-3</v>
      </c>
      <c r="O63">
        <v>5.0000000000000001E-3</v>
      </c>
      <c r="P63">
        <v>3.2000000000000002E-3</v>
      </c>
      <c r="Q63">
        <v>0</v>
      </c>
      <c r="R63">
        <v>0.05</v>
      </c>
      <c r="S63">
        <v>0.05</v>
      </c>
      <c r="T63">
        <v>594.24</v>
      </c>
      <c r="U63">
        <v>297.12</v>
      </c>
      <c r="V63">
        <v>24.76</v>
      </c>
      <c r="W63">
        <v>15.846399999999999</v>
      </c>
      <c r="X63">
        <v>0</v>
      </c>
      <c r="Z63">
        <v>220.65</v>
      </c>
      <c r="AA63">
        <v>1152.6164000000001</v>
      </c>
      <c r="AB63">
        <v>247.6</v>
      </c>
      <c r="AC63">
        <v>49.52</v>
      </c>
      <c r="AD63">
        <v>24.76</v>
      </c>
      <c r="AF63">
        <v>220.65</v>
      </c>
      <c r="AG63">
        <v>542.53</v>
      </c>
      <c r="AO63">
        <v>0</v>
      </c>
      <c r="AU63">
        <v>0</v>
      </c>
      <c r="BC63">
        <v>0</v>
      </c>
      <c r="BJ63">
        <v>594.24</v>
      </c>
      <c r="BK63">
        <v>297.12</v>
      </c>
      <c r="BL63">
        <v>24.76</v>
      </c>
      <c r="BM63">
        <v>15.846399999999999</v>
      </c>
      <c r="BN63">
        <v>0</v>
      </c>
      <c r="BO63">
        <v>0</v>
      </c>
      <c r="BP63">
        <v>220.65</v>
      </c>
      <c r="BT63">
        <v>1152.6164000000001</v>
      </c>
      <c r="BU63">
        <v>247.6</v>
      </c>
      <c r="BV63">
        <v>49.52</v>
      </c>
      <c r="BW63">
        <v>24.76</v>
      </c>
      <c r="BX63">
        <v>0</v>
      </c>
      <c r="BY63">
        <v>220.65</v>
      </c>
      <c r="BZ63">
        <v>542.53</v>
      </c>
      <c r="CA63">
        <v>542.53</v>
      </c>
      <c r="CD63">
        <v>2</v>
      </c>
    </row>
    <row r="64" spans="1:82" x14ac:dyDescent="0.15">
      <c r="A64" t="s">
        <v>414</v>
      </c>
      <c r="B64" t="s">
        <v>415</v>
      </c>
      <c r="C64" t="s">
        <v>417</v>
      </c>
      <c r="D64">
        <v>4986</v>
      </c>
      <c r="E64">
        <v>4986</v>
      </c>
      <c r="F64">
        <v>4986</v>
      </c>
      <c r="G64">
        <v>4986</v>
      </c>
      <c r="I64">
        <v>4740</v>
      </c>
      <c r="J64">
        <v>0.12</v>
      </c>
      <c r="K64">
        <v>0.05</v>
      </c>
      <c r="L64">
        <v>0.06</v>
      </c>
      <c r="M64">
        <v>0.01</v>
      </c>
      <c r="N64">
        <v>5.0000000000000001E-3</v>
      </c>
      <c r="O64">
        <v>5.0000000000000001E-3</v>
      </c>
      <c r="P64">
        <v>3.2000000000000002E-3</v>
      </c>
      <c r="Q64">
        <v>0</v>
      </c>
      <c r="R64">
        <v>0.05</v>
      </c>
      <c r="S64">
        <v>0.05</v>
      </c>
      <c r="T64">
        <v>598.32000000000005</v>
      </c>
      <c r="U64">
        <v>299.16000000000003</v>
      </c>
      <c r="V64">
        <v>24.93</v>
      </c>
      <c r="W64">
        <v>15.9552</v>
      </c>
      <c r="X64">
        <v>0</v>
      </c>
      <c r="Z64">
        <v>237</v>
      </c>
      <c r="AA64">
        <v>1175.3652</v>
      </c>
      <c r="AB64">
        <v>249.3</v>
      </c>
      <c r="AC64">
        <v>49.86</v>
      </c>
      <c r="AD64">
        <v>24.93</v>
      </c>
      <c r="AF64">
        <v>237</v>
      </c>
      <c r="AG64">
        <v>561.09</v>
      </c>
      <c r="AO64">
        <v>0</v>
      </c>
      <c r="AU64">
        <v>0</v>
      </c>
      <c r="BC64">
        <v>0</v>
      </c>
      <c r="BJ64">
        <v>598.32000000000005</v>
      </c>
      <c r="BK64">
        <v>299.16000000000003</v>
      </c>
      <c r="BL64">
        <v>24.93</v>
      </c>
      <c r="BM64">
        <v>15.9552</v>
      </c>
      <c r="BN64">
        <v>0</v>
      </c>
      <c r="BO64">
        <v>0</v>
      </c>
      <c r="BP64">
        <v>237</v>
      </c>
      <c r="BT64">
        <v>1175.3652</v>
      </c>
      <c r="BU64">
        <v>249.3</v>
      </c>
      <c r="BV64">
        <v>49.86</v>
      </c>
      <c r="BW64">
        <v>24.93</v>
      </c>
      <c r="BX64">
        <v>0</v>
      </c>
      <c r="BY64">
        <v>237</v>
      </c>
      <c r="BZ64">
        <v>561.09</v>
      </c>
      <c r="CA64">
        <v>561.09</v>
      </c>
      <c r="CD64">
        <v>2</v>
      </c>
    </row>
    <row r="65" spans="1:82" x14ac:dyDescent="0.15">
      <c r="A65" t="s">
        <v>126</v>
      </c>
      <c r="B65" t="s">
        <v>419</v>
      </c>
      <c r="C65" t="s">
        <v>421</v>
      </c>
      <c r="D65">
        <v>7460</v>
      </c>
      <c r="E65">
        <v>7460</v>
      </c>
      <c r="F65">
        <v>7460</v>
      </c>
      <c r="G65">
        <v>7460</v>
      </c>
      <c r="I65">
        <v>4235</v>
      </c>
      <c r="J65">
        <v>0.15</v>
      </c>
      <c r="K65">
        <v>7.0000000000000007E-2</v>
      </c>
      <c r="L65">
        <v>0.08</v>
      </c>
      <c r="M65">
        <v>0.01</v>
      </c>
      <c r="N65">
        <v>5.0000000000000001E-3</v>
      </c>
      <c r="O65">
        <v>5.0000000000000001E-3</v>
      </c>
      <c r="P65">
        <v>3.2000000000000002E-3</v>
      </c>
      <c r="Q65">
        <v>0</v>
      </c>
      <c r="R65">
        <v>0.06</v>
      </c>
      <c r="S65">
        <v>0.06</v>
      </c>
      <c r="T65">
        <v>1119</v>
      </c>
      <c r="U65">
        <v>596.79999999999995</v>
      </c>
      <c r="V65">
        <v>37.299999999999997</v>
      </c>
      <c r="W65">
        <v>23.872</v>
      </c>
      <c r="X65">
        <v>0</v>
      </c>
      <c r="Z65">
        <v>254.1</v>
      </c>
      <c r="AA65">
        <v>2031.0719999999999</v>
      </c>
      <c r="AB65">
        <v>522.20000000000005</v>
      </c>
      <c r="AC65">
        <v>74.599999999999994</v>
      </c>
      <c r="AD65">
        <v>37.299999999999997</v>
      </c>
      <c r="AF65">
        <v>254.1</v>
      </c>
      <c r="AG65">
        <v>888.2</v>
      </c>
      <c r="AO65">
        <v>0</v>
      </c>
      <c r="AU65">
        <v>0</v>
      </c>
      <c r="BC65">
        <v>0</v>
      </c>
      <c r="BJ65">
        <v>1119</v>
      </c>
      <c r="BK65">
        <v>596.79999999999995</v>
      </c>
      <c r="BL65">
        <v>37.299999999999997</v>
      </c>
      <c r="BM65">
        <v>23.872</v>
      </c>
      <c r="BN65">
        <v>0</v>
      </c>
      <c r="BO65">
        <v>0</v>
      </c>
      <c r="BP65">
        <v>254.1</v>
      </c>
      <c r="BT65">
        <v>2031.0719999999999</v>
      </c>
      <c r="BU65">
        <v>522.20000000000005</v>
      </c>
      <c r="BV65">
        <v>74.599999999999994</v>
      </c>
      <c r="BW65">
        <v>37.299999999999997</v>
      </c>
      <c r="BX65">
        <v>0</v>
      </c>
      <c r="BY65">
        <v>254.1</v>
      </c>
      <c r="BZ65">
        <v>888.2</v>
      </c>
      <c r="CA65">
        <v>888.2</v>
      </c>
      <c r="CD65">
        <v>2</v>
      </c>
    </row>
    <row r="66" spans="1:82" x14ac:dyDescent="0.15">
      <c r="A66" t="s">
        <v>150</v>
      </c>
      <c r="B66" t="s">
        <v>423</v>
      </c>
      <c r="C66" t="s">
        <v>425</v>
      </c>
      <c r="D66">
        <v>7162</v>
      </c>
      <c r="E66">
        <v>7162</v>
      </c>
      <c r="F66">
        <v>7162</v>
      </c>
      <c r="G66">
        <v>7162</v>
      </c>
      <c r="I66">
        <v>3585</v>
      </c>
      <c r="J66">
        <v>0.15</v>
      </c>
      <c r="K66">
        <v>7.0000000000000007E-2</v>
      </c>
      <c r="L66">
        <v>0.08</v>
      </c>
      <c r="M66">
        <v>0.01</v>
      </c>
      <c r="N66">
        <v>5.0000000000000001E-3</v>
      </c>
      <c r="O66">
        <v>5.0000000000000001E-3</v>
      </c>
      <c r="P66">
        <v>3.2000000000000002E-3</v>
      </c>
      <c r="Q66">
        <v>0</v>
      </c>
      <c r="R66">
        <v>0.06</v>
      </c>
      <c r="S66">
        <v>0.06</v>
      </c>
      <c r="T66">
        <v>1074.3</v>
      </c>
      <c r="U66">
        <v>572.96</v>
      </c>
      <c r="V66">
        <v>35.81</v>
      </c>
      <c r="W66">
        <v>22.918399999999998</v>
      </c>
      <c r="X66">
        <v>0</v>
      </c>
      <c r="Z66">
        <v>215.1</v>
      </c>
      <c r="AA66">
        <v>1921.0884000000001</v>
      </c>
      <c r="AB66">
        <v>501.34</v>
      </c>
      <c r="AC66">
        <v>71.62</v>
      </c>
      <c r="AD66">
        <v>35.81</v>
      </c>
      <c r="AF66">
        <v>215.1</v>
      </c>
      <c r="AG66">
        <v>823.87</v>
      </c>
      <c r="AO66">
        <v>0</v>
      </c>
      <c r="AU66">
        <v>0</v>
      </c>
      <c r="BC66">
        <v>0</v>
      </c>
      <c r="BJ66">
        <v>1074.3</v>
      </c>
      <c r="BK66">
        <v>572.96</v>
      </c>
      <c r="BL66">
        <v>35.81</v>
      </c>
      <c r="BM66">
        <v>22.918399999999998</v>
      </c>
      <c r="BN66">
        <v>0</v>
      </c>
      <c r="BO66">
        <v>0</v>
      </c>
      <c r="BP66">
        <v>215.1</v>
      </c>
      <c r="BT66">
        <v>1921.0884000000001</v>
      </c>
      <c r="BU66">
        <v>501.34</v>
      </c>
      <c r="BV66">
        <v>71.62</v>
      </c>
      <c r="BW66">
        <v>35.81</v>
      </c>
      <c r="BX66">
        <v>0</v>
      </c>
      <c r="BY66">
        <v>215.1</v>
      </c>
      <c r="BZ66">
        <v>823.87</v>
      </c>
      <c r="CA66">
        <v>823.87</v>
      </c>
      <c r="CD66">
        <v>2</v>
      </c>
    </row>
    <row r="67" spans="1:82" x14ac:dyDescent="0.15">
      <c r="A67" t="s">
        <v>150</v>
      </c>
      <c r="B67" t="s">
        <v>427</v>
      </c>
      <c r="C67" t="s">
        <v>428</v>
      </c>
      <c r="D67">
        <v>7160</v>
      </c>
      <c r="E67">
        <v>7160</v>
      </c>
      <c r="F67">
        <v>7160</v>
      </c>
      <c r="G67">
        <v>7160</v>
      </c>
      <c r="I67">
        <v>4000</v>
      </c>
      <c r="J67">
        <v>0.15</v>
      </c>
      <c r="K67">
        <v>7.0000000000000007E-2</v>
      </c>
      <c r="L67">
        <v>0.08</v>
      </c>
      <c r="M67">
        <v>0.01</v>
      </c>
      <c r="N67">
        <v>5.0000000000000001E-3</v>
      </c>
      <c r="O67">
        <v>5.0000000000000001E-3</v>
      </c>
      <c r="P67">
        <v>3.2000000000000002E-3</v>
      </c>
      <c r="Q67">
        <v>0</v>
      </c>
      <c r="R67">
        <v>0.06</v>
      </c>
      <c r="S67">
        <v>0.06</v>
      </c>
      <c r="T67">
        <v>1074</v>
      </c>
      <c r="U67">
        <v>572.79999999999995</v>
      </c>
      <c r="V67">
        <v>35.799999999999997</v>
      </c>
      <c r="W67">
        <v>22.911999999999999</v>
      </c>
      <c r="X67">
        <v>0</v>
      </c>
      <c r="Z67">
        <v>240</v>
      </c>
      <c r="AA67">
        <v>1945.5119999999999</v>
      </c>
      <c r="AB67">
        <v>501.2</v>
      </c>
      <c r="AC67">
        <v>71.599999999999994</v>
      </c>
      <c r="AD67">
        <v>35.799999999999997</v>
      </c>
      <c r="AF67">
        <v>240</v>
      </c>
      <c r="AG67">
        <v>848.6</v>
      </c>
      <c r="AO67">
        <v>0</v>
      </c>
      <c r="AU67">
        <v>0</v>
      </c>
      <c r="BC67">
        <v>0</v>
      </c>
      <c r="BJ67">
        <v>1074</v>
      </c>
      <c r="BK67">
        <v>572.79999999999995</v>
      </c>
      <c r="BL67">
        <v>35.799999999999997</v>
      </c>
      <c r="BM67">
        <v>22.911999999999999</v>
      </c>
      <c r="BN67">
        <v>0</v>
      </c>
      <c r="BO67">
        <v>0</v>
      </c>
      <c r="BP67">
        <v>240</v>
      </c>
      <c r="BT67">
        <v>1945.5119999999999</v>
      </c>
      <c r="BU67">
        <v>501.2</v>
      </c>
      <c r="BV67">
        <v>71.599999999999994</v>
      </c>
      <c r="BW67">
        <v>35.799999999999997</v>
      </c>
      <c r="BX67">
        <v>0</v>
      </c>
      <c r="BY67">
        <v>240</v>
      </c>
      <c r="BZ67">
        <v>848.6</v>
      </c>
      <c r="CA67">
        <v>848.6</v>
      </c>
      <c r="CD67">
        <v>2</v>
      </c>
    </row>
    <row r="68" spans="1:82" x14ac:dyDescent="0.15">
      <c r="A68" t="s">
        <v>150</v>
      </c>
      <c r="B68" t="s">
        <v>430</v>
      </c>
      <c r="C68" t="s">
        <v>432</v>
      </c>
      <c r="D68">
        <v>7162</v>
      </c>
      <c r="E68">
        <v>7162</v>
      </c>
      <c r="F68">
        <v>7162</v>
      </c>
      <c r="G68">
        <v>7162</v>
      </c>
      <c r="I68">
        <v>6537</v>
      </c>
      <c r="J68">
        <v>0.15</v>
      </c>
      <c r="K68">
        <v>7.0000000000000007E-2</v>
      </c>
      <c r="L68">
        <v>0.08</v>
      </c>
      <c r="M68">
        <v>0.01</v>
      </c>
      <c r="N68">
        <v>5.0000000000000001E-3</v>
      </c>
      <c r="O68">
        <v>5.0000000000000001E-3</v>
      </c>
      <c r="P68">
        <v>3.2000000000000002E-3</v>
      </c>
      <c r="Q68">
        <v>0</v>
      </c>
      <c r="R68">
        <v>0.06</v>
      </c>
      <c r="S68">
        <v>0.06</v>
      </c>
      <c r="T68">
        <v>1074.3</v>
      </c>
      <c r="U68">
        <v>572.96</v>
      </c>
      <c r="V68">
        <v>35.81</v>
      </c>
      <c r="W68">
        <v>22.918399999999998</v>
      </c>
      <c r="X68">
        <v>0</v>
      </c>
      <c r="Z68">
        <v>392.22</v>
      </c>
      <c r="AA68">
        <v>2098.2084</v>
      </c>
      <c r="AB68">
        <v>501.34</v>
      </c>
      <c r="AC68">
        <v>71.62</v>
      </c>
      <c r="AD68">
        <v>35.81</v>
      </c>
      <c r="AF68">
        <v>392.22</v>
      </c>
      <c r="AG68">
        <v>1000.99</v>
      </c>
      <c r="AO68">
        <v>0</v>
      </c>
      <c r="AU68">
        <v>0</v>
      </c>
      <c r="BC68">
        <v>0</v>
      </c>
      <c r="BJ68">
        <v>1074.3</v>
      </c>
      <c r="BK68">
        <v>572.96</v>
      </c>
      <c r="BL68">
        <v>35.81</v>
      </c>
      <c r="BM68">
        <v>22.918399999999998</v>
      </c>
      <c r="BN68">
        <v>0</v>
      </c>
      <c r="BO68">
        <v>0</v>
      </c>
      <c r="BP68">
        <v>392.22</v>
      </c>
      <c r="BT68">
        <v>2098.2084</v>
      </c>
      <c r="BU68">
        <v>501.34</v>
      </c>
      <c r="BV68">
        <v>71.62</v>
      </c>
      <c r="BW68">
        <v>35.81</v>
      </c>
      <c r="BX68">
        <v>0</v>
      </c>
      <c r="BY68">
        <v>392.22</v>
      </c>
      <c r="BZ68">
        <v>1000.99</v>
      </c>
      <c r="CA68">
        <v>1000.99</v>
      </c>
      <c r="CD68">
        <v>2</v>
      </c>
    </row>
    <row r="69" spans="1:82" x14ac:dyDescent="0.15">
      <c r="A69" t="s">
        <v>325</v>
      </c>
      <c r="B69" t="s">
        <v>434</v>
      </c>
      <c r="C69" t="s">
        <v>436</v>
      </c>
      <c r="D69">
        <v>4986</v>
      </c>
      <c r="E69">
        <v>4986</v>
      </c>
      <c r="F69">
        <v>4986</v>
      </c>
      <c r="G69">
        <v>4986</v>
      </c>
      <c r="I69">
        <v>4299</v>
      </c>
      <c r="J69">
        <v>0.12</v>
      </c>
      <c r="K69">
        <v>0.05</v>
      </c>
      <c r="L69">
        <v>0.06</v>
      </c>
      <c r="M69">
        <v>0.01</v>
      </c>
      <c r="N69">
        <v>5.0000000000000001E-3</v>
      </c>
      <c r="O69">
        <v>5.0000000000000001E-3</v>
      </c>
      <c r="P69">
        <v>3.2000000000000002E-3</v>
      </c>
      <c r="Q69">
        <v>0</v>
      </c>
      <c r="R69">
        <v>0.05</v>
      </c>
      <c r="S69">
        <v>0.05</v>
      </c>
      <c r="T69">
        <v>598.32000000000005</v>
      </c>
      <c r="U69">
        <v>299.16000000000003</v>
      </c>
      <c r="V69">
        <v>24.93</v>
      </c>
      <c r="W69">
        <v>15.9552</v>
      </c>
      <c r="X69">
        <v>0</v>
      </c>
      <c r="Z69">
        <v>214.95</v>
      </c>
      <c r="AA69">
        <v>1153.3152</v>
      </c>
      <c r="AB69">
        <v>249.3</v>
      </c>
      <c r="AC69">
        <v>49.86</v>
      </c>
      <c r="AD69">
        <v>24.93</v>
      </c>
      <c r="AF69">
        <v>214.95</v>
      </c>
      <c r="AG69">
        <v>539.04</v>
      </c>
      <c r="AO69">
        <v>0</v>
      </c>
      <c r="AU69">
        <v>0</v>
      </c>
      <c r="BC69">
        <v>0</v>
      </c>
      <c r="BJ69">
        <v>598.32000000000005</v>
      </c>
      <c r="BK69">
        <v>299.16000000000003</v>
      </c>
      <c r="BL69">
        <v>24.93</v>
      </c>
      <c r="BM69">
        <v>15.9552</v>
      </c>
      <c r="BN69">
        <v>0</v>
      </c>
      <c r="BO69">
        <v>0</v>
      </c>
      <c r="BP69">
        <v>214.95</v>
      </c>
      <c r="BT69">
        <v>1153.3152</v>
      </c>
      <c r="BU69">
        <v>249.3</v>
      </c>
      <c r="BV69">
        <v>49.86</v>
      </c>
      <c r="BW69">
        <v>24.93</v>
      </c>
      <c r="BX69">
        <v>0</v>
      </c>
      <c r="BY69">
        <v>214.95</v>
      </c>
      <c r="BZ69">
        <v>539.04</v>
      </c>
      <c r="CA69">
        <v>539.04</v>
      </c>
      <c r="CD69">
        <v>2</v>
      </c>
    </row>
    <row r="70" spans="1:82" x14ac:dyDescent="0.15">
      <c r="A70" t="s">
        <v>440</v>
      </c>
      <c r="B70" t="s">
        <v>441</v>
      </c>
      <c r="C70" t="s">
        <v>443</v>
      </c>
      <c r="D70">
        <v>4305</v>
      </c>
      <c r="E70">
        <v>4433</v>
      </c>
      <c r="F70">
        <v>4305</v>
      </c>
      <c r="G70">
        <v>4414</v>
      </c>
      <c r="I70">
        <v>4305</v>
      </c>
      <c r="J70">
        <v>0.12</v>
      </c>
      <c r="K70">
        <v>0.05</v>
      </c>
      <c r="L70">
        <v>0.06</v>
      </c>
      <c r="M70">
        <v>0.01</v>
      </c>
      <c r="N70">
        <v>5.0000000000000001E-3</v>
      </c>
      <c r="O70">
        <v>5.0000000000000001E-3</v>
      </c>
      <c r="P70">
        <v>3.2000000000000002E-3</v>
      </c>
      <c r="Q70">
        <v>0</v>
      </c>
      <c r="R70">
        <v>0.05</v>
      </c>
      <c r="S70">
        <v>0.05</v>
      </c>
      <c r="T70">
        <v>516.6</v>
      </c>
      <c r="U70">
        <v>265.98</v>
      </c>
      <c r="V70">
        <v>21.524999999999999</v>
      </c>
      <c r="W70">
        <v>14.1248</v>
      </c>
      <c r="X70">
        <v>0</v>
      </c>
      <c r="Z70">
        <v>215.25</v>
      </c>
      <c r="AA70">
        <v>1033.4798000000001</v>
      </c>
      <c r="AB70">
        <v>215.25</v>
      </c>
      <c r="AC70">
        <v>44.33</v>
      </c>
      <c r="AD70">
        <v>21.524999999999999</v>
      </c>
      <c r="AF70">
        <v>215.25</v>
      </c>
      <c r="AG70">
        <v>496.35500000000002</v>
      </c>
      <c r="AO70">
        <v>0</v>
      </c>
      <c r="AU70">
        <v>0</v>
      </c>
      <c r="BC70">
        <v>0</v>
      </c>
      <c r="BJ70">
        <v>516.6</v>
      </c>
      <c r="BK70">
        <v>265.98</v>
      </c>
      <c r="BL70">
        <v>21.524999999999999</v>
      </c>
      <c r="BM70">
        <v>14.1248</v>
      </c>
      <c r="BN70">
        <v>0</v>
      </c>
      <c r="BO70">
        <v>0</v>
      </c>
      <c r="BP70">
        <v>215.25</v>
      </c>
      <c r="BT70">
        <v>1033.4798000000001</v>
      </c>
      <c r="BU70">
        <v>215.25</v>
      </c>
      <c r="BV70">
        <v>44.33</v>
      </c>
      <c r="BW70">
        <v>21.524999999999999</v>
      </c>
      <c r="BX70">
        <v>0</v>
      </c>
      <c r="BY70">
        <v>215.25</v>
      </c>
      <c r="BZ70">
        <v>496.35500000000002</v>
      </c>
      <c r="CA70">
        <v>496.35500000000002</v>
      </c>
      <c r="CD70">
        <v>2</v>
      </c>
    </row>
    <row r="71" spans="1:82" x14ac:dyDescent="0.15">
      <c r="A71" t="s">
        <v>325</v>
      </c>
      <c r="B71" t="s">
        <v>445</v>
      </c>
      <c r="C71" t="s">
        <v>446</v>
      </c>
      <c r="D71">
        <v>4986</v>
      </c>
      <c r="E71">
        <v>4986</v>
      </c>
      <c r="F71">
        <v>4986</v>
      </c>
      <c r="G71">
        <v>4986</v>
      </c>
      <c r="I71">
        <v>4932</v>
      </c>
      <c r="J71">
        <v>0.12</v>
      </c>
      <c r="K71">
        <v>0.05</v>
      </c>
      <c r="L71">
        <v>0.06</v>
      </c>
      <c r="M71">
        <v>0.01</v>
      </c>
      <c r="N71">
        <v>5.0000000000000001E-3</v>
      </c>
      <c r="O71">
        <v>5.0000000000000001E-3</v>
      </c>
      <c r="P71">
        <v>3.2000000000000002E-3</v>
      </c>
      <c r="Q71">
        <v>0</v>
      </c>
      <c r="R71">
        <v>0.05</v>
      </c>
      <c r="S71">
        <v>0.05</v>
      </c>
      <c r="T71">
        <v>598.32000000000005</v>
      </c>
      <c r="U71">
        <v>299.16000000000003</v>
      </c>
      <c r="V71">
        <v>24.93</v>
      </c>
      <c r="W71">
        <v>15.9552</v>
      </c>
      <c r="X71">
        <v>0</v>
      </c>
      <c r="Z71">
        <v>246.6</v>
      </c>
      <c r="AA71">
        <v>1184.9652000000001</v>
      </c>
      <c r="AB71">
        <v>249.3</v>
      </c>
      <c r="AC71">
        <v>49.86</v>
      </c>
      <c r="AD71">
        <v>24.93</v>
      </c>
      <c r="AF71">
        <v>246.6</v>
      </c>
      <c r="AG71">
        <v>570.69000000000005</v>
      </c>
      <c r="AO71">
        <v>0</v>
      </c>
      <c r="AU71">
        <v>0</v>
      </c>
      <c r="BC71">
        <v>0</v>
      </c>
      <c r="BJ71">
        <v>598.32000000000005</v>
      </c>
      <c r="BK71">
        <v>299.16000000000003</v>
      </c>
      <c r="BL71">
        <v>24.93</v>
      </c>
      <c r="BM71">
        <v>15.9552</v>
      </c>
      <c r="BN71">
        <v>0</v>
      </c>
      <c r="BO71">
        <v>0</v>
      </c>
      <c r="BP71">
        <v>246.6</v>
      </c>
      <c r="BT71">
        <v>1184.9652000000001</v>
      </c>
      <c r="BU71">
        <v>249.3</v>
      </c>
      <c r="BV71">
        <v>49.86</v>
      </c>
      <c r="BW71">
        <v>24.93</v>
      </c>
      <c r="BX71">
        <v>0</v>
      </c>
      <c r="BY71">
        <v>246.6</v>
      </c>
      <c r="BZ71">
        <v>570.69000000000005</v>
      </c>
      <c r="CA71">
        <v>570.69000000000005</v>
      </c>
      <c r="CD71">
        <v>2</v>
      </c>
    </row>
    <row r="72" spans="1:82" x14ac:dyDescent="0.15">
      <c r="A72" t="s">
        <v>450</v>
      </c>
      <c r="B72" t="s">
        <v>451</v>
      </c>
      <c r="C72" t="s">
        <v>453</v>
      </c>
      <c r="D72">
        <v>4007</v>
      </c>
      <c r="E72">
        <v>6738</v>
      </c>
      <c r="F72">
        <v>4007</v>
      </c>
      <c r="G72">
        <v>4007</v>
      </c>
      <c r="I72">
        <v>3478</v>
      </c>
      <c r="J72">
        <v>0.12</v>
      </c>
      <c r="K72">
        <v>0.05</v>
      </c>
      <c r="L72">
        <v>0.06</v>
      </c>
      <c r="M72">
        <v>0.01</v>
      </c>
      <c r="N72">
        <v>5.0000000000000001E-3</v>
      </c>
      <c r="O72">
        <v>5.0000000000000001E-3</v>
      </c>
      <c r="P72">
        <v>3.2000000000000002E-3</v>
      </c>
      <c r="Q72">
        <v>0</v>
      </c>
      <c r="R72">
        <v>0.05</v>
      </c>
      <c r="S72">
        <v>0.05</v>
      </c>
      <c r="T72">
        <v>480.84</v>
      </c>
      <c r="U72">
        <v>404.28</v>
      </c>
      <c r="V72">
        <v>20.035</v>
      </c>
      <c r="W72">
        <v>12.8224</v>
      </c>
      <c r="X72">
        <v>0</v>
      </c>
      <c r="Z72">
        <v>173.9</v>
      </c>
      <c r="AA72">
        <v>1091.8774000000001</v>
      </c>
      <c r="AB72">
        <v>200.35</v>
      </c>
      <c r="AC72">
        <v>67.38</v>
      </c>
      <c r="AD72">
        <v>20.035</v>
      </c>
      <c r="AF72">
        <v>173.9</v>
      </c>
      <c r="AG72">
        <v>461.66500000000002</v>
      </c>
      <c r="AO72">
        <v>0</v>
      </c>
      <c r="AU72">
        <v>0</v>
      </c>
      <c r="BC72">
        <v>0</v>
      </c>
      <c r="BJ72">
        <v>480.84</v>
      </c>
      <c r="BK72">
        <v>404.28</v>
      </c>
      <c r="BL72">
        <v>20.035</v>
      </c>
      <c r="BM72">
        <v>12.8224</v>
      </c>
      <c r="BN72">
        <v>0</v>
      </c>
      <c r="BO72">
        <v>0</v>
      </c>
      <c r="BP72">
        <v>173.9</v>
      </c>
      <c r="BT72">
        <v>1091.8774000000001</v>
      </c>
      <c r="BU72">
        <v>200.35</v>
      </c>
      <c r="BV72">
        <v>67.38</v>
      </c>
      <c r="BW72">
        <v>20.035</v>
      </c>
      <c r="BX72">
        <v>0</v>
      </c>
      <c r="BY72">
        <v>173.9</v>
      </c>
      <c r="BZ72">
        <v>461.66500000000002</v>
      </c>
      <c r="CA72">
        <v>461.66500000000002</v>
      </c>
      <c r="CD72">
        <v>2</v>
      </c>
    </row>
    <row r="73" spans="1:82" x14ac:dyDescent="0.15">
      <c r="A73" t="s">
        <v>150</v>
      </c>
      <c r="B73" t="s">
        <v>455</v>
      </c>
      <c r="C73" t="s">
        <v>457</v>
      </c>
      <c r="D73">
        <v>7162</v>
      </c>
      <c r="E73">
        <v>7162</v>
      </c>
      <c r="F73">
        <v>7162</v>
      </c>
      <c r="G73">
        <v>7162</v>
      </c>
      <c r="I73">
        <v>4012</v>
      </c>
      <c r="J73">
        <v>0.15</v>
      </c>
      <c r="K73">
        <v>7.0000000000000007E-2</v>
      </c>
      <c r="L73">
        <v>0.08</v>
      </c>
      <c r="M73">
        <v>0.01</v>
      </c>
      <c r="N73">
        <v>5.0000000000000001E-3</v>
      </c>
      <c r="O73">
        <v>5.0000000000000001E-3</v>
      </c>
      <c r="P73">
        <v>3.2000000000000002E-3</v>
      </c>
      <c r="Q73">
        <v>0</v>
      </c>
      <c r="R73">
        <v>0.06</v>
      </c>
      <c r="S73">
        <v>0.06</v>
      </c>
      <c r="T73">
        <v>1074.3</v>
      </c>
      <c r="U73">
        <v>572.96</v>
      </c>
      <c r="V73">
        <v>35.81</v>
      </c>
      <c r="W73">
        <v>22.918399999999998</v>
      </c>
      <c r="X73">
        <v>0</v>
      </c>
      <c r="Z73">
        <v>240.72</v>
      </c>
      <c r="AA73">
        <v>1946.7084</v>
      </c>
      <c r="AB73">
        <v>501.34</v>
      </c>
      <c r="AC73">
        <v>71.62</v>
      </c>
      <c r="AD73">
        <v>35.81</v>
      </c>
      <c r="AF73">
        <v>240.72</v>
      </c>
      <c r="AG73">
        <v>849.49</v>
      </c>
      <c r="AO73">
        <v>0</v>
      </c>
      <c r="AU73">
        <v>0</v>
      </c>
      <c r="BC73">
        <v>0</v>
      </c>
      <c r="BJ73">
        <v>1074.3</v>
      </c>
      <c r="BK73">
        <v>572.96</v>
      </c>
      <c r="BL73">
        <v>35.81</v>
      </c>
      <c r="BM73">
        <v>22.918399999999998</v>
      </c>
      <c r="BN73">
        <v>0</v>
      </c>
      <c r="BO73">
        <v>0</v>
      </c>
      <c r="BP73">
        <v>240.72</v>
      </c>
      <c r="BT73">
        <v>1946.7084</v>
      </c>
      <c r="BU73">
        <v>501.34</v>
      </c>
      <c r="BV73">
        <v>71.62</v>
      </c>
      <c r="BW73">
        <v>35.81</v>
      </c>
      <c r="BX73">
        <v>0</v>
      </c>
      <c r="BY73">
        <v>240.72</v>
      </c>
      <c r="BZ73">
        <v>849.49</v>
      </c>
      <c r="CA73">
        <v>849.49</v>
      </c>
      <c r="CD73">
        <v>2</v>
      </c>
    </row>
    <row r="74" spans="1:82" x14ac:dyDescent="0.15">
      <c r="A74" t="s">
        <v>353</v>
      </c>
      <c r="B74" t="s">
        <v>459</v>
      </c>
      <c r="C74" t="s">
        <v>462</v>
      </c>
      <c r="D74">
        <v>4986</v>
      </c>
      <c r="E74">
        <v>4986</v>
      </c>
      <c r="F74">
        <v>4986</v>
      </c>
      <c r="G74">
        <v>4986</v>
      </c>
      <c r="I74">
        <v>4278</v>
      </c>
      <c r="J74">
        <v>0.12</v>
      </c>
      <c r="K74">
        <v>0.05</v>
      </c>
      <c r="L74">
        <v>0.06</v>
      </c>
      <c r="M74">
        <v>0.01</v>
      </c>
      <c r="N74">
        <v>5.0000000000000001E-3</v>
      </c>
      <c r="O74">
        <v>5.0000000000000001E-3</v>
      </c>
      <c r="P74">
        <v>3.2000000000000002E-3</v>
      </c>
      <c r="Q74">
        <v>0</v>
      </c>
      <c r="R74">
        <v>0.05</v>
      </c>
      <c r="S74">
        <v>0.05</v>
      </c>
      <c r="T74">
        <v>598.32000000000005</v>
      </c>
      <c r="U74">
        <v>299.16000000000003</v>
      </c>
      <c r="V74">
        <v>24.93</v>
      </c>
      <c r="W74">
        <v>15.9552</v>
      </c>
      <c r="X74">
        <v>0</v>
      </c>
      <c r="Z74">
        <v>213.9</v>
      </c>
      <c r="AA74">
        <v>1152.2652</v>
      </c>
      <c r="AB74">
        <v>249.3</v>
      </c>
      <c r="AC74">
        <v>49.86</v>
      </c>
      <c r="AD74">
        <v>24.93</v>
      </c>
      <c r="AF74">
        <v>213.9</v>
      </c>
      <c r="AG74">
        <v>537.99</v>
      </c>
      <c r="AO74">
        <v>0</v>
      </c>
      <c r="AU74">
        <v>0</v>
      </c>
      <c r="BC74">
        <v>0</v>
      </c>
      <c r="BJ74">
        <v>598.32000000000005</v>
      </c>
      <c r="BK74">
        <v>299.16000000000003</v>
      </c>
      <c r="BL74">
        <v>24.93</v>
      </c>
      <c r="BM74">
        <v>15.9552</v>
      </c>
      <c r="BN74">
        <v>0</v>
      </c>
      <c r="BO74">
        <v>0</v>
      </c>
      <c r="BP74">
        <v>213.9</v>
      </c>
      <c r="BT74">
        <v>1152.2652</v>
      </c>
      <c r="BU74">
        <v>249.3</v>
      </c>
      <c r="BV74">
        <v>49.86</v>
      </c>
      <c r="BW74">
        <v>24.93</v>
      </c>
      <c r="BX74">
        <v>0</v>
      </c>
      <c r="BY74">
        <v>213.9</v>
      </c>
      <c r="BZ74">
        <v>537.99</v>
      </c>
      <c r="CA74">
        <v>537.99</v>
      </c>
      <c r="CD74">
        <v>2</v>
      </c>
    </row>
    <row r="75" spans="1:82" x14ac:dyDescent="0.15">
      <c r="A75" t="s">
        <v>348</v>
      </c>
      <c r="B75" t="s">
        <v>465</v>
      </c>
      <c r="C75" t="s">
        <v>467</v>
      </c>
      <c r="D75">
        <v>4986</v>
      </c>
      <c r="E75">
        <v>4986</v>
      </c>
      <c r="F75">
        <v>4986</v>
      </c>
      <c r="G75">
        <v>4986</v>
      </c>
      <c r="I75">
        <v>4477</v>
      </c>
      <c r="J75">
        <v>0.12</v>
      </c>
      <c r="K75">
        <v>0.05</v>
      </c>
      <c r="L75">
        <v>0.06</v>
      </c>
      <c r="M75">
        <v>0.01</v>
      </c>
      <c r="N75">
        <v>5.0000000000000001E-3</v>
      </c>
      <c r="O75">
        <v>5.0000000000000001E-3</v>
      </c>
      <c r="P75">
        <v>3.2000000000000002E-3</v>
      </c>
      <c r="Q75">
        <v>0</v>
      </c>
      <c r="R75">
        <v>0.05</v>
      </c>
      <c r="S75">
        <v>0.05</v>
      </c>
      <c r="T75">
        <v>598.32000000000005</v>
      </c>
      <c r="U75">
        <v>299.16000000000003</v>
      </c>
      <c r="V75">
        <v>24.93</v>
      </c>
      <c r="W75">
        <v>15.9552</v>
      </c>
      <c r="X75">
        <v>0</v>
      </c>
      <c r="Z75">
        <v>223.85</v>
      </c>
      <c r="AA75">
        <v>1162.2152000000001</v>
      </c>
      <c r="AB75">
        <v>249.3</v>
      </c>
      <c r="AC75">
        <v>49.86</v>
      </c>
      <c r="AD75">
        <v>24.93</v>
      </c>
      <c r="AF75">
        <v>223.85</v>
      </c>
      <c r="AG75">
        <v>547.94000000000005</v>
      </c>
      <c r="AO75">
        <v>0</v>
      </c>
      <c r="AU75">
        <v>0</v>
      </c>
      <c r="BC75">
        <v>0</v>
      </c>
      <c r="BJ75">
        <v>598.32000000000005</v>
      </c>
      <c r="BK75">
        <v>299.16000000000003</v>
      </c>
      <c r="BL75">
        <v>24.93</v>
      </c>
      <c r="BM75">
        <v>15.9552</v>
      </c>
      <c r="BN75">
        <v>0</v>
      </c>
      <c r="BO75">
        <v>0</v>
      </c>
      <c r="BP75">
        <v>223.85</v>
      </c>
      <c r="BT75">
        <v>1162.2152000000001</v>
      </c>
      <c r="BU75">
        <v>249.3</v>
      </c>
      <c r="BV75">
        <v>49.86</v>
      </c>
      <c r="BW75">
        <v>24.93</v>
      </c>
      <c r="BX75">
        <v>0</v>
      </c>
      <c r="BY75">
        <v>223.85</v>
      </c>
      <c r="BZ75">
        <v>547.94000000000005</v>
      </c>
      <c r="CA75">
        <v>547.94000000000005</v>
      </c>
      <c r="CD75">
        <v>2</v>
      </c>
    </row>
    <row r="76" spans="1:82" x14ac:dyDescent="0.15">
      <c r="A76" t="s">
        <v>150</v>
      </c>
      <c r="B76" t="s">
        <v>468</v>
      </c>
      <c r="C76" t="s">
        <v>470</v>
      </c>
      <c r="D76">
        <v>7162</v>
      </c>
      <c r="E76">
        <v>7162</v>
      </c>
      <c r="F76">
        <v>7162</v>
      </c>
      <c r="G76">
        <v>7162</v>
      </c>
      <c r="I76">
        <v>4065</v>
      </c>
      <c r="J76">
        <v>0.15</v>
      </c>
      <c r="K76">
        <v>7.0000000000000007E-2</v>
      </c>
      <c r="L76">
        <v>0.08</v>
      </c>
      <c r="M76">
        <v>0.01</v>
      </c>
      <c r="N76">
        <v>5.0000000000000001E-3</v>
      </c>
      <c r="O76">
        <v>5.0000000000000001E-3</v>
      </c>
      <c r="P76">
        <v>3.2000000000000002E-3</v>
      </c>
      <c r="Q76">
        <v>0</v>
      </c>
      <c r="R76">
        <v>0.06</v>
      </c>
      <c r="S76">
        <v>0.06</v>
      </c>
      <c r="T76">
        <v>1074.3</v>
      </c>
      <c r="U76">
        <v>572.96</v>
      </c>
      <c r="V76">
        <v>35.81</v>
      </c>
      <c r="W76">
        <v>22.918399999999998</v>
      </c>
      <c r="X76">
        <v>0</v>
      </c>
      <c r="Z76">
        <v>243.9</v>
      </c>
      <c r="AA76">
        <v>1949.8884</v>
      </c>
      <c r="AB76">
        <v>501.34</v>
      </c>
      <c r="AC76">
        <v>71.62</v>
      </c>
      <c r="AD76">
        <v>35.81</v>
      </c>
      <c r="AF76">
        <v>243.9</v>
      </c>
      <c r="AG76">
        <v>852.67</v>
      </c>
      <c r="AO76">
        <v>0</v>
      </c>
      <c r="AU76">
        <v>0</v>
      </c>
      <c r="BC76">
        <v>0</v>
      </c>
      <c r="BJ76">
        <v>1074.3</v>
      </c>
      <c r="BK76">
        <v>572.96</v>
      </c>
      <c r="BL76">
        <v>35.81</v>
      </c>
      <c r="BM76">
        <v>22.918399999999998</v>
      </c>
      <c r="BN76">
        <v>0</v>
      </c>
      <c r="BO76">
        <v>0</v>
      </c>
      <c r="BP76">
        <v>243.9</v>
      </c>
      <c r="BT76">
        <v>1949.8884</v>
      </c>
      <c r="BU76">
        <v>501.34</v>
      </c>
      <c r="BV76">
        <v>71.62</v>
      </c>
      <c r="BW76">
        <v>35.81</v>
      </c>
      <c r="BX76">
        <v>0</v>
      </c>
      <c r="BY76">
        <v>243.9</v>
      </c>
      <c r="BZ76">
        <v>852.67</v>
      </c>
      <c r="CA76">
        <v>852.67</v>
      </c>
      <c r="CD76">
        <v>2</v>
      </c>
    </row>
    <row r="77" spans="1:82" x14ac:dyDescent="0.15">
      <c r="A77" t="s">
        <v>348</v>
      </c>
      <c r="B77" t="s">
        <v>473</v>
      </c>
      <c r="C77" t="s">
        <v>475</v>
      </c>
      <c r="D77">
        <v>4986</v>
      </c>
      <c r="E77">
        <v>4986</v>
      </c>
      <c r="F77">
        <v>4986</v>
      </c>
      <c r="G77">
        <v>4986</v>
      </c>
      <c r="I77">
        <v>4300</v>
      </c>
      <c r="J77">
        <v>0.12</v>
      </c>
      <c r="K77">
        <v>0.05</v>
      </c>
      <c r="L77">
        <v>0.06</v>
      </c>
      <c r="M77">
        <v>0.01</v>
      </c>
      <c r="N77">
        <v>5.0000000000000001E-3</v>
      </c>
      <c r="O77">
        <v>5.0000000000000001E-3</v>
      </c>
      <c r="P77">
        <v>3.2000000000000002E-3</v>
      </c>
      <c r="Q77">
        <v>0</v>
      </c>
      <c r="R77">
        <v>0.05</v>
      </c>
      <c r="S77">
        <v>0.05</v>
      </c>
      <c r="T77">
        <v>598.32000000000005</v>
      </c>
      <c r="U77">
        <v>299.16000000000003</v>
      </c>
      <c r="V77">
        <v>24.93</v>
      </c>
      <c r="W77">
        <v>15.9552</v>
      </c>
      <c r="X77">
        <v>0</v>
      </c>
      <c r="Z77">
        <v>215</v>
      </c>
      <c r="AA77">
        <v>1153.3652</v>
      </c>
      <c r="AB77">
        <v>249.3</v>
      </c>
      <c r="AC77">
        <v>49.86</v>
      </c>
      <c r="AD77">
        <v>24.93</v>
      </c>
      <c r="AF77">
        <v>215</v>
      </c>
      <c r="AG77">
        <v>539.09</v>
      </c>
      <c r="AO77">
        <v>0</v>
      </c>
      <c r="AU77">
        <v>0</v>
      </c>
      <c r="BC77">
        <v>0</v>
      </c>
      <c r="BJ77">
        <v>598.32000000000005</v>
      </c>
      <c r="BK77">
        <v>299.16000000000003</v>
      </c>
      <c r="BL77">
        <v>24.93</v>
      </c>
      <c r="BM77">
        <v>15.9552</v>
      </c>
      <c r="BN77">
        <v>0</v>
      </c>
      <c r="BO77">
        <v>0</v>
      </c>
      <c r="BP77">
        <v>215</v>
      </c>
      <c r="BT77">
        <v>1153.3652</v>
      </c>
      <c r="BU77">
        <v>249.3</v>
      </c>
      <c r="BV77">
        <v>49.86</v>
      </c>
      <c r="BW77">
        <v>24.93</v>
      </c>
      <c r="BX77">
        <v>0</v>
      </c>
      <c r="BY77">
        <v>215</v>
      </c>
      <c r="BZ77">
        <v>539.09</v>
      </c>
      <c r="CA77">
        <v>539.09</v>
      </c>
      <c r="CD77">
        <v>2</v>
      </c>
    </row>
    <row r="78" spans="1:82" x14ac:dyDescent="0.15">
      <c r="A78" t="s">
        <v>150</v>
      </c>
      <c r="B78" t="s">
        <v>477</v>
      </c>
      <c r="C78" t="s">
        <v>479</v>
      </c>
      <c r="D78">
        <v>7162</v>
      </c>
      <c r="E78">
        <v>7162</v>
      </c>
      <c r="F78">
        <v>7162</v>
      </c>
      <c r="G78">
        <v>7162</v>
      </c>
      <c r="I78">
        <v>3926</v>
      </c>
      <c r="J78">
        <v>0.15</v>
      </c>
      <c r="K78">
        <v>7.0000000000000007E-2</v>
      </c>
      <c r="L78">
        <v>0.08</v>
      </c>
      <c r="M78">
        <v>0.01</v>
      </c>
      <c r="N78">
        <v>5.0000000000000001E-3</v>
      </c>
      <c r="O78">
        <v>5.0000000000000001E-3</v>
      </c>
      <c r="P78">
        <v>3.2000000000000002E-3</v>
      </c>
      <c r="Q78">
        <v>0</v>
      </c>
      <c r="R78">
        <v>0.06</v>
      </c>
      <c r="S78">
        <v>0.06</v>
      </c>
      <c r="T78">
        <v>1074.3</v>
      </c>
      <c r="U78">
        <v>572.96</v>
      </c>
      <c r="V78">
        <v>35.81</v>
      </c>
      <c r="W78">
        <v>22.918399999999998</v>
      </c>
      <c r="X78">
        <v>0</v>
      </c>
      <c r="Z78">
        <v>235.56</v>
      </c>
      <c r="AA78">
        <v>1941.5483999999999</v>
      </c>
      <c r="AB78">
        <v>501.34</v>
      </c>
      <c r="AC78">
        <v>71.62</v>
      </c>
      <c r="AD78">
        <v>35.81</v>
      </c>
      <c r="AF78">
        <v>235.56</v>
      </c>
      <c r="AG78">
        <v>844.33</v>
      </c>
      <c r="AO78">
        <v>0</v>
      </c>
      <c r="AU78">
        <v>0</v>
      </c>
      <c r="BC78">
        <v>0</v>
      </c>
      <c r="BJ78">
        <v>1074.3</v>
      </c>
      <c r="BK78">
        <v>572.96</v>
      </c>
      <c r="BL78">
        <v>35.81</v>
      </c>
      <c r="BM78">
        <v>22.918399999999998</v>
      </c>
      <c r="BN78">
        <v>0</v>
      </c>
      <c r="BO78">
        <v>0</v>
      </c>
      <c r="BP78">
        <v>235.56</v>
      </c>
      <c r="BT78">
        <v>1941.5483999999999</v>
      </c>
      <c r="BU78">
        <v>501.34</v>
      </c>
      <c r="BV78">
        <v>71.62</v>
      </c>
      <c r="BW78">
        <v>35.81</v>
      </c>
      <c r="BX78">
        <v>0</v>
      </c>
      <c r="BY78">
        <v>235.56</v>
      </c>
      <c r="BZ78">
        <v>844.33</v>
      </c>
      <c r="CA78">
        <v>844.33</v>
      </c>
      <c r="CD78">
        <v>2</v>
      </c>
    </row>
    <row r="79" spans="1:82" x14ac:dyDescent="0.15">
      <c r="A79" t="s">
        <v>176</v>
      </c>
      <c r="B79" t="s">
        <v>481</v>
      </c>
      <c r="C79" t="s">
        <v>483</v>
      </c>
      <c r="D79">
        <v>4986</v>
      </c>
      <c r="E79">
        <v>4986</v>
      </c>
      <c r="F79">
        <v>4986</v>
      </c>
      <c r="G79">
        <v>4986</v>
      </c>
      <c r="I79">
        <v>4452</v>
      </c>
      <c r="J79">
        <v>0.12</v>
      </c>
      <c r="K79">
        <v>0.05</v>
      </c>
      <c r="L79">
        <v>0.06</v>
      </c>
      <c r="M79">
        <v>0.01</v>
      </c>
      <c r="N79">
        <v>5.0000000000000001E-3</v>
      </c>
      <c r="O79">
        <v>5.0000000000000001E-3</v>
      </c>
      <c r="P79">
        <v>3.2000000000000002E-3</v>
      </c>
      <c r="Q79">
        <v>0</v>
      </c>
      <c r="R79">
        <v>0.05</v>
      </c>
      <c r="S79">
        <v>0.05</v>
      </c>
      <c r="T79">
        <v>598.32000000000005</v>
      </c>
      <c r="U79">
        <v>299.16000000000003</v>
      </c>
      <c r="V79">
        <v>24.93</v>
      </c>
      <c r="W79">
        <v>15.9552</v>
      </c>
      <c r="X79">
        <v>0</v>
      </c>
      <c r="Z79">
        <v>222.6</v>
      </c>
      <c r="AA79">
        <v>1160.9652000000001</v>
      </c>
      <c r="AB79">
        <v>249.3</v>
      </c>
      <c r="AC79">
        <v>49.86</v>
      </c>
      <c r="AD79">
        <v>24.93</v>
      </c>
      <c r="AF79">
        <v>222.6</v>
      </c>
      <c r="AG79">
        <v>546.69000000000005</v>
      </c>
      <c r="AO79">
        <v>0</v>
      </c>
      <c r="AU79">
        <v>0</v>
      </c>
      <c r="BC79">
        <v>0</v>
      </c>
      <c r="BJ79">
        <v>598.32000000000005</v>
      </c>
      <c r="BK79">
        <v>299.16000000000003</v>
      </c>
      <c r="BL79">
        <v>24.93</v>
      </c>
      <c r="BM79">
        <v>15.9552</v>
      </c>
      <c r="BN79">
        <v>0</v>
      </c>
      <c r="BO79">
        <v>0</v>
      </c>
      <c r="BP79">
        <v>222.6</v>
      </c>
      <c r="BT79">
        <v>1160.9652000000001</v>
      </c>
      <c r="BU79">
        <v>249.3</v>
      </c>
      <c r="BV79">
        <v>49.86</v>
      </c>
      <c r="BW79">
        <v>24.93</v>
      </c>
      <c r="BX79">
        <v>0</v>
      </c>
      <c r="BY79">
        <v>222.6</v>
      </c>
      <c r="BZ79">
        <v>546.69000000000005</v>
      </c>
      <c r="CA79">
        <v>546.69000000000005</v>
      </c>
      <c r="CD79">
        <v>2</v>
      </c>
    </row>
    <row r="80" spans="1:82" x14ac:dyDescent="0.15">
      <c r="A80" t="s">
        <v>150</v>
      </c>
      <c r="B80" t="s">
        <v>485</v>
      </c>
      <c r="C80" t="s">
        <v>486</v>
      </c>
      <c r="D80">
        <v>7162</v>
      </c>
      <c r="E80">
        <v>7162</v>
      </c>
      <c r="F80">
        <v>7162</v>
      </c>
      <c r="G80">
        <v>7162</v>
      </c>
      <c r="I80">
        <v>4807</v>
      </c>
      <c r="J80">
        <v>0.15</v>
      </c>
      <c r="K80">
        <v>7.0000000000000007E-2</v>
      </c>
      <c r="L80">
        <v>0.08</v>
      </c>
      <c r="M80">
        <v>0.01</v>
      </c>
      <c r="N80">
        <v>5.0000000000000001E-3</v>
      </c>
      <c r="O80">
        <v>5.0000000000000001E-3</v>
      </c>
      <c r="P80">
        <v>3.2000000000000002E-3</v>
      </c>
      <c r="Q80">
        <v>0</v>
      </c>
      <c r="R80">
        <v>0.06</v>
      </c>
      <c r="S80">
        <v>0.06</v>
      </c>
      <c r="T80">
        <v>1074.3</v>
      </c>
      <c r="U80">
        <v>572.96</v>
      </c>
      <c r="V80">
        <v>35.81</v>
      </c>
      <c r="W80">
        <v>22.918399999999998</v>
      </c>
      <c r="X80">
        <v>0</v>
      </c>
      <c r="Z80">
        <v>288.42</v>
      </c>
      <c r="AA80">
        <v>1994.4084</v>
      </c>
      <c r="AB80">
        <v>501.34</v>
      </c>
      <c r="AC80">
        <v>71.62</v>
      </c>
      <c r="AD80">
        <v>35.81</v>
      </c>
      <c r="AF80">
        <v>288.42</v>
      </c>
      <c r="AG80">
        <v>897.19</v>
      </c>
      <c r="AO80">
        <v>0</v>
      </c>
      <c r="AU80">
        <v>0</v>
      </c>
      <c r="BC80">
        <v>0</v>
      </c>
      <c r="BJ80">
        <v>1074.3</v>
      </c>
      <c r="BK80">
        <v>572.96</v>
      </c>
      <c r="BL80">
        <v>35.81</v>
      </c>
      <c r="BM80">
        <v>22.918399999999998</v>
      </c>
      <c r="BN80">
        <v>0</v>
      </c>
      <c r="BO80">
        <v>0</v>
      </c>
      <c r="BP80">
        <v>288.42</v>
      </c>
      <c r="BT80">
        <v>1994.4084</v>
      </c>
      <c r="BU80">
        <v>501.34</v>
      </c>
      <c r="BV80">
        <v>71.62</v>
      </c>
      <c r="BW80">
        <v>35.81</v>
      </c>
      <c r="BX80">
        <v>0</v>
      </c>
      <c r="BY80">
        <v>288.42</v>
      </c>
      <c r="BZ80">
        <v>897.19</v>
      </c>
      <c r="CA80">
        <v>897.19</v>
      </c>
      <c r="CD80">
        <v>2</v>
      </c>
    </row>
    <row r="81" spans="1:82" x14ac:dyDescent="0.15">
      <c r="A81" t="s">
        <v>292</v>
      </c>
      <c r="B81" t="s">
        <v>487</v>
      </c>
      <c r="C81" t="s">
        <v>490</v>
      </c>
      <c r="D81">
        <v>4504</v>
      </c>
      <c r="E81">
        <v>4504</v>
      </c>
      <c r="F81">
        <v>4504</v>
      </c>
      <c r="G81">
        <v>4504</v>
      </c>
      <c r="I81">
        <v>3470</v>
      </c>
      <c r="J81">
        <v>0.12</v>
      </c>
      <c r="K81">
        <v>0.05</v>
      </c>
      <c r="L81">
        <v>0.06</v>
      </c>
      <c r="M81">
        <v>0.01</v>
      </c>
      <c r="N81">
        <v>5.0000000000000001E-3</v>
      </c>
      <c r="O81">
        <v>5.0000000000000001E-3</v>
      </c>
      <c r="P81">
        <v>3.2000000000000002E-3</v>
      </c>
      <c r="Q81">
        <v>0</v>
      </c>
      <c r="R81">
        <v>0.05</v>
      </c>
      <c r="S81">
        <v>0.05</v>
      </c>
      <c r="T81">
        <v>540.48</v>
      </c>
      <c r="U81">
        <v>270.24</v>
      </c>
      <c r="V81">
        <v>22.52</v>
      </c>
      <c r="W81">
        <v>14.412800000000001</v>
      </c>
      <c r="X81">
        <v>0</v>
      </c>
      <c r="Z81">
        <v>173.5</v>
      </c>
      <c r="AA81">
        <v>1021.1528</v>
      </c>
      <c r="AB81">
        <v>225.2</v>
      </c>
      <c r="AC81">
        <v>45.04</v>
      </c>
      <c r="AD81">
        <v>22.52</v>
      </c>
      <c r="AF81">
        <v>173.5</v>
      </c>
      <c r="AG81">
        <v>466.26</v>
      </c>
      <c r="AO81">
        <v>0</v>
      </c>
      <c r="AU81">
        <v>0</v>
      </c>
      <c r="BC81">
        <v>0</v>
      </c>
      <c r="BJ81">
        <v>540.48</v>
      </c>
      <c r="BK81">
        <v>270.24</v>
      </c>
      <c r="BL81">
        <v>22.52</v>
      </c>
      <c r="BM81">
        <v>14.412800000000001</v>
      </c>
      <c r="BN81">
        <v>0</v>
      </c>
      <c r="BO81">
        <v>0</v>
      </c>
      <c r="BP81">
        <v>173.5</v>
      </c>
      <c r="BT81">
        <v>1021.1528</v>
      </c>
      <c r="BU81">
        <v>225.2</v>
      </c>
      <c r="BV81">
        <v>45.04</v>
      </c>
      <c r="BW81">
        <v>22.52</v>
      </c>
      <c r="BX81">
        <v>0</v>
      </c>
      <c r="BY81">
        <v>173.5</v>
      </c>
      <c r="BZ81">
        <v>466.26</v>
      </c>
      <c r="CA81">
        <v>466.26</v>
      </c>
      <c r="CD81">
        <v>2</v>
      </c>
    </row>
    <row r="82" spans="1:82" x14ac:dyDescent="0.15">
      <c r="A82" t="s">
        <v>494</v>
      </c>
      <c r="B82" t="s">
        <v>495</v>
      </c>
      <c r="C82" t="s">
        <v>497</v>
      </c>
      <c r="D82">
        <v>0</v>
      </c>
      <c r="E82">
        <v>0</v>
      </c>
      <c r="F82">
        <v>0</v>
      </c>
      <c r="G82">
        <v>0</v>
      </c>
      <c r="I82">
        <v>0</v>
      </c>
      <c r="J82">
        <v>0.12</v>
      </c>
      <c r="K82">
        <v>0.05</v>
      </c>
      <c r="L82">
        <v>0.06</v>
      </c>
      <c r="M82">
        <v>0.01</v>
      </c>
      <c r="N82">
        <v>5.0000000000000001E-3</v>
      </c>
      <c r="O82">
        <v>5.0000000000000001E-3</v>
      </c>
      <c r="P82">
        <v>3.2000000000000002E-3</v>
      </c>
      <c r="Q82">
        <v>0</v>
      </c>
      <c r="R82">
        <v>0.05</v>
      </c>
      <c r="S82">
        <v>0.05</v>
      </c>
      <c r="T82">
        <v>0</v>
      </c>
      <c r="U82">
        <v>0</v>
      </c>
      <c r="V82">
        <v>0</v>
      </c>
      <c r="W82">
        <v>0</v>
      </c>
      <c r="X82">
        <v>0</v>
      </c>
      <c r="Z82">
        <v>0</v>
      </c>
      <c r="AA82">
        <v>0</v>
      </c>
      <c r="AB82">
        <v>0</v>
      </c>
      <c r="AC82">
        <v>0</v>
      </c>
      <c r="AD82">
        <v>0</v>
      </c>
      <c r="AF82">
        <v>0</v>
      </c>
      <c r="AG82">
        <v>0</v>
      </c>
      <c r="AO82">
        <v>0</v>
      </c>
      <c r="AU82">
        <v>0</v>
      </c>
      <c r="BC82">
        <v>0</v>
      </c>
      <c r="BJ82">
        <v>0</v>
      </c>
      <c r="BK82">
        <v>0</v>
      </c>
      <c r="BL82">
        <v>0</v>
      </c>
      <c r="BM82">
        <v>0</v>
      </c>
      <c r="BN82">
        <v>0</v>
      </c>
      <c r="BO82">
        <v>0</v>
      </c>
      <c r="BP82">
        <v>0</v>
      </c>
      <c r="BT82">
        <v>0</v>
      </c>
      <c r="BU82">
        <v>0</v>
      </c>
      <c r="BV82">
        <v>0</v>
      </c>
      <c r="BW82">
        <v>0</v>
      </c>
      <c r="BX82">
        <v>0</v>
      </c>
      <c r="BY82">
        <v>0</v>
      </c>
      <c r="BZ82">
        <v>0</v>
      </c>
      <c r="CA82">
        <v>0</v>
      </c>
      <c r="CD82">
        <v>2</v>
      </c>
    </row>
    <row r="83" spans="1:82" x14ac:dyDescent="0.15">
      <c r="A83" t="s">
        <v>501</v>
      </c>
      <c r="B83" t="s">
        <v>502</v>
      </c>
      <c r="C83" t="s">
        <v>504</v>
      </c>
      <c r="D83">
        <v>4740</v>
      </c>
      <c r="E83">
        <v>4740</v>
      </c>
      <c r="F83">
        <v>4740</v>
      </c>
      <c r="G83">
        <v>4740</v>
      </c>
      <c r="I83">
        <v>4740</v>
      </c>
      <c r="J83">
        <v>0.12</v>
      </c>
      <c r="K83">
        <v>0.05</v>
      </c>
      <c r="L83">
        <v>0.06</v>
      </c>
      <c r="M83">
        <v>0.01</v>
      </c>
      <c r="N83">
        <v>5.0000000000000001E-3</v>
      </c>
      <c r="O83">
        <v>5.0000000000000001E-3</v>
      </c>
      <c r="P83">
        <v>3.2000000000000002E-3</v>
      </c>
      <c r="Q83">
        <v>0</v>
      </c>
      <c r="R83">
        <v>0.05</v>
      </c>
      <c r="S83">
        <v>0.05</v>
      </c>
      <c r="T83">
        <v>568.79999999999995</v>
      </c>
      <c r="U83">
        <v>284.39999999999998</v>
      </c>
      <c r="V83">
        <v>23.7</v>
      </c>
      <c r="W83">
        <v>15.167999999999999</v>
      </c>
      <c r="X83">
        <v>0</v>
      </c>
      <c r="Z83">
        <v>237</v>
      </c>
      <c r="AA83">
        <v>1129.068</v>
      </c>
      <c r="AB83">
        <v>237</v>
      </c>
      <c r="AC83">
        <v>47.4</v>
      </c>
      <c r="AD83">
        <v>23.7</v>
      </c>
      <c r="AF83">
        <v>237</v>
      </c>
      <c r="AG83">
        <v>545.1</v>
      </c>
      <c r="AO83">
        <v>0</v>
      </c>
      <c r="AU83">
        <v>0</v>
      </c>
      <c r="BC83">
        <v>0</v>
      </c>
      <c r="BJ83">
        <v>568.79999999999995</v>
      </c>
      <c r="BK83">
        <v>284.39999999999998</v>
      </c>
      <c r="BL83">
        <v>23.7</v>
      </c>
      <c r="BM83">
        <v>15.167999999999999</v>
      </c>
      <c r="BN83">
        <v>0</v>
      </c>
      <c r="BO83">
        <v>0</v>
      </c>
      <c r="BP83">
        <v>237</v>
      </c>
      <c r="BT83">
        <v>1129.068</v>
      </c>
      <c r="BU83">
        <v>237</v>
      </c>
      <c r="BV83">
        <v>47.4</v>
      </c>
      <c r="BW83">
        <v>23.7</v>
      </c>
      <c r="BX83">
        <v>0</v>
      </c>
      <c r="BY83">
        <v>237</v>
      </c>
      <c r="BZ83">
        <v>545.1</v>
      </c>
      <c r="CA83">
        <v>545.1</v>
      </c>
      <c r="CD83">
        <v>2</v>
      </c>
    </row>
    <row r="84" spans="1:82" x14ac:dyDescent="0.15">
      <c r="A84" t="s">
        <v>508</v>
      </c>
      <c r="B84" t="s">
        <v>509</v>
      </c>
      <c r="C84" t="s">
        <v>511</v>
      </c>
      <c r="D84">
        <v>5560</v>
      </c>
      <c r="E84">
        <v>5560</v>
      </c>
      <c r="F84">
        <v>5560</v>
      </c>
      <c r="G84">
        <v>5560</v>
      </c>
      <c r="I84">
        <v>5560</v>
      </c>
      <c r="J84">
        <v>0.15</v>
      </c>
      <c r="K84">
        <v>7.0000000000000007E-2</v>
      </c>
      <c r="L84">
        <v>0.08</v>
      </c>
      <c r="M84">
        <v>0.01</v>
      </c>
      <c r="N84">
        <v>5.0000000000000001E-3</v>
      </c>
      <c r="O84">
        <v>5.0000000000000001E-3</v>
      </c>
      <c r="P84">
        <v>3.2000000000000002E-3</v>
      </c>
      <c r="Q84">
        <v>0</v>
      </c>
      <c r="R84">
        <v>0.06</v>
      </c>
      <c r="S84">
        <v>0.06</v>
      </c>
      <c r="T84">
        <v>834</v>
      </c>
      <c r="U84">
        <v>444.8</v>
      </c>
      <c r="V84">
        <v>27.8</v>
      </c>
      <c r="W84">
        <v>17.792000000000002</v>
      </c>
      <c r="X84">
        <v>0</v>
      </c>
      <c r="Z84">
        <v>333.6</v>
      </c>
      <c r="AA84">
        <v>1657.992</v>
      </c>
      <c r="AB84">
        <v>389.2</v>
      </c>
      <c r="AC84">
        <v>55.6</v>
      </c>
      <c r="AD84">
        <v>27.8</v>
      </c>
      <c r="AF84">
        <v>333.6</v>
      </c>
      <c r="AG84">
        <v>806.2</v>
      </c>
      <c r="AO84">
        <v>0</v>
      </c>
      <c r="AU84">
        <v>0</v>
      </c>
      <c r="BC84">
        <v>0</v>
      </c>
      <c r="BJ84">
        <v>834</v>
      </c>
      <c r="BK84">
        <v>444.8</v>
      </c>
      <c r="BL84">
        <v>27.8</v>
      </c>
      <c r="BM84">
        <v>17.792000000000002</v>
      </c>
      <c r="BN84">
        <v>0</v>
      </c>
      <c r="BO84">
        <v>0</v>
      </c>
      <c r="BP84">
        <v>333.6</v>
      </c>
      <c r="BT84">
        <v>1657.992</v>
      </c>
      <c r="BU84">
        <v>389.2</v>
      </c>
      <c r="BV84">
        <v>55.6</v>
      </c>
      <c r="BW84">
        <v>27.8</v>
      </c>
      <c r="BX84">
        <v>0</v>
      </c>
      <c r="BY84">
        <v>333.6</v>
      </c>
      <c r="BZ84">
        <v>806.2</v>
      </c>
      <c r="CA84">
        <v>806.2</v>
      </c>
      <c r="CD84">
        <v>2</v>
      </c>
    </row>
    <row r="85" spans="1:82" x14ac:dyDescent="0.15">
      <c r="A85" t="s">
        <v>501</v>
      </c>
      <c r="B85" t="s">
        <v>512</v>
      </c>
      <c r="C85" t="s">
        <v>514</v>
      </c>
      <c r="D85">
        <v>5900</v>
      </c>
      <c r="E85">
        <v>5900</v>
      </c>
      <c r="F85">
        <v>5900</v>
      </c>
      <c r="G85">
        <v>5900</v>
      </c>
      <c r="I85">
        <v>5900</v>
      </c>
      <c r="J85">
        <v>0.15</v>
      </c>
      <c r="K85">
        <v>7.0000000000000007E-2</v>
      </c>
      <c r="L85">
        <v>0.08</v>
      </c>
      <c r="M85">
        <v>0.01</v>
      </c>
      <c r="N85">
        <v>5.0000000000000001E-3</v>
      </c>
      <c r="O85">
        <v>5.0000000000000001E-3</v>
      </c>
      <c r="P85">
        <v>3.2000000000000002E-3</v>
      </c>
      <c r="Q85">
        <v>0</v>
      </c>
      <c r="R85">
        <v>0.06</v>
      </c>
      <c r="S85">
        <v>0.06</v>
      </c>
      <c r="T85">
        <v>885</v>
      </c>
      <c r="U85">
        <v>472</v>
      </c>
      <c r="V85">
        <v>29.5</v>
      </c>
      <c r="W85">
        <v>18.88</v>
      </c>
      <c r="X85">
        <v>0</v>
      </c>
      <c r="Z85">
        <v>354</v>
      </c>
      <c r="AA85">
        <v>1759.38</v>
      </c>
      <c r="AB85">
        <v>413</v>
      </c>
      <c r="AC85">
        <v>59</v>
      </c>
      <c r="AD85">
        <v>29.5</v>
      </c>
      <c r="AF85">
        <v>354</v>
      </c>
      <c r="AG85">
        <v>855.5</v>
      </c>
      <c r="AO85">
        <v>0</v>
      </c>
      <c r="AU85">
        <v>0</v>
      </c>
      <c r="BC85">
        <v>0</v>
      </c>
      <c r="BJ85">
        <v>885</v>
      </c>
      <c r="BK85">
        <v>472</v>
      </c>
      <c r="BL85">
        <v>29.5</v>
      </c>
      <c r="BM85">
        <v>18.88</v>
      </c>
      <c r="BN85">
        <v>0</v>
      </c>
      <c r="BO85">
        <v>0</v>
      </c>
      <c r="BP85">
        <v>354</v>
      </c>
      <c r="BT85">
        <v>1759.38</v>
      </c>
      <c r="BU85">
        <v>413</v>
      </c>
      <c r="BV85">
        <v>59</v>
      </c>
      <c r="BW85">
        <v>29.5</v>
      </c>
      <c r="BX85">
        <v>0</v>
      </c>
      <c r="BY85">
        <v>354</v>
      </c>
      <c r="BZ85">
        <v>855.5</v>
      </c>
      <c r="CA85">
        <v>855.5</v>
      </c>
      <c r="CD85">
        <v>2</v>
      </c>
    </row>
    <row r="86" spans="1:82" x14ac:dyDescent="0.15">
      <c r="A86" t="s">
        <v>518</v>
      </c>
      <c r="B86" t="s">
        <v>519</v>
      </c>
      <c r="C86" t="s">
        <v>521</v>
      </c>
      <c r="D86">
        <v>5000</v>
      </c>
      <c r="E86">
        <v>5955.25</v>
      </c>
      <c r="F86">
        <v>5000</v>
      </c>
      <c r="G86">
        <v>5000</v>
      </c>
      <c r="I86">
        <v>5284</v>
      </c>
      <c r="J86">
        <v>0.15</v>
      </c>
      <c r="K86">
        <v>7.0000000000000007E-2</v>
      </c>
      <c r="L86">
        <v>0.08</v>
      </c>
      <c r="M86">
        <v>0.01</v>
      </c>
      <c r="N86">
        <v>5.0000000000000001E-3</v>
      </c>
      <c r="O86">
        <v>5.0000000000000001E-3</v>
      </c>
      <c r="P86">
        <v>3.2000000000000002E-3</v>
      </c>
      <c r="Q86">
        <v>0</v>
      </c>
      <c r="R86">
        <v>0.06</v>
      </c>
      <c r="S86">
        <v>0.06</v>
      </c>
      <c r="T86">
        <v>750</v>
      </c>
      <c r="U86">
        <v>476.42</v>
      </c>
      <c r="V86">
        <v>25</v>
      </c>
      <c r="W86">
        <v>16</v>
      </c>
      <c r="X86">
        <v>0</v>
      </c>
      <c r="Z86">
        <v>317.04000000000002</v>
      </c>
      <c r="AA86">
        <v>1584.46</v>
      </c>
      <c r="AB86">
        <v>350</v>
      </c>
      <c r="AC86">
        <v>59.552500000000002</v>
      </c>
      <c r="AD86">
        <v>25</v>
      </c>
      <c r="AF86">
        <v>317.04000000000002</v>
      </c>
      <c r="AG86">
        <v>751.59249999999997</v>
      </c>
      <c r="AO86">
        <v>0</v>
      </c>
      <c r="AU86">
        <v>0</v>
      </c>
      <c r="BC86">
        <v>0</v>
      </c>
      <c r="BJ86">
        <v>750</v>
      </c>
      <c r="BK86">
        <v>476.42</v>
      </c>
      <c r="BL86">
        <v>25</v>
      </c>
      <c r="BM86">
        <v>16</v>
      </c>
      <c r="BN86">
        <v>0</v>
      </c>
      <c r="BO86">
        <v>0</v>
      </c>
      <c r="BP86">
        <v>317.04000000000002</v>
      </c>
      <c r="BT86">
        <v>1584.46</v>
      </c>
      <c r="BU86">
        <v>350</v>
      </c>
      <c r="BV86">
        <v>59.552500000000002</v>
      </c>
      <c r="BW86">
        <v>25</v>
      </c>
      <c r="BX86">
        <v>0</v>
      </c>
      <c r="BY86">
        <v>317.04000000000002</v>
      </c>
      <c r="BZ86">
        <v>751.59249999999997</v>
      </c>
      <c r="CA86">
        <v>751.59249999999997</v>
      </c>
      <c r="CD86">
        <v>2</v>
      </c>
    </row>
    <row r="87" spans="1:82" x14ac:dyDescent="0.15">
      <c r="A87" t="s">
        <v>508</v>
      </c>
      <c r="B87" t="s">
        <v>523</v>
      </c>
      <c r="C87" t="s">
        <v>525</v>
      </c>
      <c r="D87">
        <v>5200</v>
      </c>
      <c r="E87">
        <v>5200</v>
      </c>
      <c r="F87">
        <v>5200</v>
      </c>
      <c r="G87">
        <v>5200</v>
      </c>
      <c r="I87">
        <v>5200</v>
      </c>
      <c r="J87">
        <v>0.15</v>
      </c>
      <c r="K87">
        <v>7.0000000000000007E-2</v>
      </c>
      <c r="L87">
        <v>0.08</v>
      </c>
      <c r="M87">
        <v>0.01</v>
      </c>
      <c r="N87">
        <v>5.0000000000000001E-3</v>
      </c>
      <c r="O87">
        <v>5.0000000000000001E-3</v>
      </c>
      <c r="P87">
        <v>3.2000000000000002E-3</v>
      </c>
      <c r="Q87">
        <v>0</v>
      </c>
      <c r="R87">
        <v>0.06</v>
      </c>
      <c r="S87">
        <v>0.06</v>
      </c>
      <c r="T87">
        <v>780</v>
      </c>
      <c r="U87">
        <v>416</v>
      </c>
      <c r="V87">
        <v>26</v>
      </c>
      <c r="W87">
        <v>16.64</v>
      </c>
      <c r="X87">
        <v>0</v>
      </c>
      <c r="Z87">
        <v>312</v>
      </c>
      <c r="AA87">
        <v>1550.64</v>
      </c>
      <c r="AB87">
        <v>364</v>
      </c>
      <c r="AC87">
        <v>52</v>
      </c>
      <c r="AD87">
        <v>26</v>
      </c>
      <c r="AF87">
        <v>312</v>
      </c>
      <c r="AG87">
        <v>754</v>
      </c>
      <c r="AO87">
        <v>0</v>
      </c>
      <c r="AU87">
        <v>0</v>
      </c>
      <c r="BC87">
        <v>0</v>
      </c>
      <c r="BJ87">
        <v>780</v>
      </c>
      <c r="BK87">
        <v>416</v>
      </c>
      <c r="BL87">
        <v>26</v>
      </c>
      <c r="BM87">
        <v>16.64</v>
      </c>
      <c r="BN87">
        <v>0</v>
      </c>
      <c r="BO87">
        <v>0</v>
      </c>
      <c r="BP87">
        <v>312</v>
      </c>
      <c r="BT87">
        <v>1550.64</v>
      </c>
      <c r="BU87">
        <v>364</v>
      </c>
      <c r="BV87">
        <v>52</v>
      </c>
      <c r="BW87">
        <v>26</v>
      </c>
      <c r="BX87">
        <v>0</v>
      </c>
      <c r="BY87">
        <v>312</v>
      </c>
      <c r="BZ87">
        <v>754</v>
      </c>
      <c r="CA87">
        <v>754</v>
      </c>
      <c r="CD87">
        <v>2</v>
      </c>
    </row>
    <row r="88" spans="1:82" x14ac:dyDescent="0.15">
      <c r="A88" t="s">
        <v>529</v>
      </c>
      <c r="B88" t="s">
        <v>530</v>
      </c>
      <c r="C88" t="s">
        <v>532</v>
      </c>
      <c r="D88">
        <v>3831</v>
      </c>
      <c r="E88">
        <v>3831</v>
      </c>
      <c r="F88">
        <v>3831</v>
      </c>
      <c r="G88">
        <v>3831</v>
      </c>
      <c r="I88">
        <v>2910</v>
      </c>
      <c r="J88">
        <v>0.12</v>
      </c>
      <c r="K88">
        <v>0.05</v>
      </c>
      <c r="L88">
        <v>0.06</v>
      </c>
      <c r="M88">
        <v>0.01</v>
      </c>
      <c r="N88">
        <v>5.0000000000000001E-3</v>
      </c>
      <c r="O88">
        <v>5.0000000000000001E-3</v>
      </c>
      <c r="P88">
        <v>3.2000000000000002E-3</v>
      </c>
      <c r="Q88">
        <v>0</v>
      </c>
      <c r="R88">
        <v>0.05</v>
      </c>
      <c r="S88">
        <v>0.05</v>
      </c>
      <c r="T88">
        <v>459.72</v>
      </c>
      <c r="U88">
        <v>229.86</v>
      </c>
      <c r="V88">
        <v>19.155000000000001</v>
      </c>
      <c r="W88">
        <v>12.2592</v>
      </c>
      <c r="X88">
        <v>0</v>
      </c>
      <c r="Z88">
        <v>145.5</v>
      </c>
      <c r="AA88">
        <v>866.49419999999998</v>
      </c>
      <c r="AB88">
        <v>191.55</v>
      </c>
      <c r="AC88">
        <v>38.31</v>
      </c>
      <c r="AD88">
        <v>19.155000000000001</v>
      </c>
      <c r="AF88">
        <v>145.5</v>
      </c>
      <c r="AG88">
        <v>394.51499999999999</v>
      </c>
      <c r="AO88">
        <v>0</v>
      </c>
      <c r="AU88">
        <v>0</v>
      </c>
      <c r="BC88">
        <v>0</v>
      </c>
      <c r="BJ88">
        <v>459.72</v>
      </c>
      <c r="BK88">
        <v>229.86</v>
      </c>
      <c r="BL88">
        <v>19.155000000000001</v>
      </c>
      <c r="BM88">
        <v>12.2592</v>
      </c>
      <c r="BN88">
        <v>0</v>
      </c>
      <c r="BO88">
        <v>0</v>
      </c>
      <c r="BP88">
        <v>145.5</v>
      </c>
      <c r="BT88">
        <v>866.49419999999998</v>
      </c>
      <c r="BU88">
        <v>191.55</v>
      </c>
      <c r="BV88">
        <v>38.31</v>
      </c>
      <c r="BW88">
        <v>19.155000000000001</v>
      </c>
      <c r="BX88">
        <v>0</v>
      </c>
      <c r="BY88">
        <v>145.5</v>
      </c>
      <c r="BZ88">
        <v>394.51499999999999</v>
      </c>
      <c r="CA88">
        <v>394.51499999999999</v>
      </c>
      <c r="CD88">
        <v>2</v>
      </c>
    </row>
    <row r="89" spans="1:82" x14ac:dyDescent="0.15">
      <c r="A89" t="s">
        <v>536</v>
      </c>
      <c r="B89" t="s">
        <v>537</v>
      </c>
      <c r="C89" t="s">
        <v>539</v>
      </c>
      <c r="D89">
        <v>4986</v>
      </c>
      <c r="E89">
        <v>4986</v>
      </c>
      <c r="F89">
        <v>4986</v>
      </c>
      <c r="G89">
        <v>4986</v>
      </c>
      <c r="I89">
        <v>3350</v>
      </c>
      <c r="J89">
        <v>0.12</v>
      </c>
      <c r="K89">
        <v>0.05</v>
      </c>
      <c r="L89">
        <v>0.06</v>
      </c>
      <c r="M89">
        <v>0.01</v>
      </c>
      <c r="N89">
        <v>5.0000000000000001E-3</v>
      </c>
      <c r="O89">
        <v>5.0000000000000001E-3</v>
      </c>
      <c r="P89">
        <v>3.2000000000000002E-3</v>
      </c>
      <c r="Q89">
        <v>0</v>
      </c>
      <c r="R89">
        <v>0.05</v>
      </c>
      <c r="S89">
        <v>0.05</v>
      </c>
      <c r="T89">
        <v>598.32000000000005</v>
      </c>
      <c r="U89">
        <v>299.16000000000003</v>
      </c>
      <c r="V89">
        <v>24.93</v>
      </c>
      <c r="W89">
        <v>15.9552</v>
      </c>
      <c r="X89">
        <v>0</v>
      </c>
      <c r="Z89">
        <v>167.5</v>
      </c>
      <c r="AA89">
        <v>1105.8652</v>
      </c>
      <c r="AB89">
        <v>249.3</v>
      </c>
      <c r="AC89">
        <v>49.86</v>
      </c>
      <c r="AD89">
        <v>24.93</v>
      </c>
      <c r="AF89">
        <v>167.5</v>
      </c>
      <c r="AG89">
        <v>491.59</v>
      </c>
      <c r="AO89">
        <v>0</v>
      </c>
      <c r="AU89">
        <v>0</v>
      </c>
      <c r="BC89">
        <v>0</v>
      </c>
      <c r="BJ89">
        <v>598.32000000000005</v>
      </c>
      <c r="BK89">
        <v>299.16000000000003</v>
      </c>
      <c r="BL89">
        <v>24.93</v>
      </c>
      <c r="BM89">
        <v>15.9552</v>
      </c>
      <c r="BN89">
        <v>0</v>
      </c>
      <c r="BO89">
        <v>0</v>
      </c>
      <c r="BP89">
        <v>167.5</v>
      </c>
      <c r="BT89">
        <v>1105.8652</v>
      </c>
      <c r="BU89">
        <v>249.3</v>
      </c>
      <c r="BV89">
        <v>49.86</v>
      </c>
      <c r="BW89">
        <v>24.93</v>
      </c>
      <c r="BX89">
        <v>0</v>
      </c>
      <c r="BY89">
        <v>167.5</v>
      </c>
      <c r="BZ89">
        <v>491.59</v>
      </c>
      <c r="CA89">
        <v>491.59</v>
      </c>
      <c r="CD89">
        <v>2</v>
      </c>
    </row>
    <row r="90" spans="1:82" x14ac:dyDescent="0.15">
      <c r="A90" t="s">
        <v>168</v>
      </c>
      <c r="B90" t="s">
        <v>541</v>
      </c>
      <c r="C90" t="s">
        <v>543</v>
      </c>
      <c r="D90">
        <v>5124</v>
      </c>
      <c r="E90">
        <v>5124</v>
      </c>
      <c r="F90">
        <v>5124</v>
      </c>
      <c r="G90">
        <v>5124</v>
      </c>
      <c r="I90">
        <v>2990</v>
      </c>
      <c r="J90">
        <v>0.15</v>
      </c>
      <c r="K90">
        <v>7.0000000000000007E-2</v>
      </c>
      <c r="L90">
        <v>0.08</v>
      </c>
      <c r="M90">
        <v>0.01</v>
      </c>
      <c r="N90">
        <v>5.0000000000000001E-3</v>
      </c>
      <c r="O90">
        <v>5.0000000000000001E-3</v>
      </c>
      <c r="P90">
        <v>3.2000000000000002E-3</v>
      </c>
      <c r="Q90">
        <v>0</v>
      </c>
      <c r="R90">
        <v>0.06</v>
      </c>
      <c r="S90">
        <v>0.06</v>
      </c>
      <c r="T90">
        <v>768.6</v>
      </c>
      <c r="U90">
        <v>409.92</v>
      </c>
      <c r="V90">
        <v>25.62</v>
      </c>
      <c r="W90">
        <v>16.396799999999999</v>
      </c>
      <c r="X90">
        <v>0</v>
      </c>
      <c r="Z90">
        <v>179.4</v>
      </c>
      <c r="AA90">
        <v>1399.9367999999999</v>
      </c>
      <c r="AB90">
        <v>358.68</v>
      </c>
      <c r="AC90">
        <v>51.24</v>
      </c>
      <c r="AD90">
        <v>25.62</v>
      </c>
      <c r="AF90">
        <v>179.4</v>
      </c>
      <c r="AG90">
        <v>614.94000000000005</v>
      </c>
      <c r="AO90">
        <v>0</v>
      </c>
      <c r="AU90">
        <v>0</v>
      </c>
      <c r="BC90">
        <v>0</v>
      </c>
      <c r="BJ90">
        <v>768.6</v>
      </c>
      <c r="BK90">
        <v>409.92</v>
      </c>
      <c r="BL90">
        <v>25.62</v>
      </c>
      <c r="BM90">
        <v>16.396799999999999</v>
      </c>
      <c r="BN90">
        <v>0</v>
      </c>
      <c r="BO90">
        <v>0</v>
      </c>
      <c r="BP90">
        <v>179.4</v>
      </c>
      <c r="BT90">
        <v>1399.9367999999999</v>
      </c>
      <c r="BU90">
        <v>358.68</v>
      </c>
      <c r="BV90">
        <v>51.24</v>
      </c>
      <c r="BW90">
        <v>25.62</v>
      </c>
      <c r="BX90">
        <v>0</v>
      </c>
      <c r="BY90">
        <v>179.4</v>
      </c>
      <c r="BZ90">
        <v>614.94000000000005</v>
      </c>
      <c r="CA90">
        <v>614.94000000000005</v>
      </c>
      <c r="CD90">
        <v>2</v>
      </c>
    </row>
    <row r="91" spans="1:82" x14ac:dyDescent="0.15">
      <c r="A91" t="s">
        <v>150</v>
      </c>
      <c r="B91" t="s">
        <v>545</v>
      </c>
      <c r="C91" t="s">
        <v>547</v>
      </c>
      <c r="D91">
        <v>7162</v>
      </c>
      <c r="E91">
        <v>7162</v>
      </c>
      <c r="F91">
        <v>7162</v>
      </c>
      <c r="G91">
        <v>7162</v>
      </c>
      <c r="I91">
        <v>3450</v>
      </c>
      <c r="J91">
        <v>0.15</v>
      </c>
      <c r="K91">
        <v>7.0000000000000007E-2</v>
      </c>
      <c r="L91">
        <v>0.08</v>
      </c>
      <c r="M91">
        <v>0.01</v>
      </c>
      <c r="N91">
        <v>5.0000000000000001E-3</v>
      </c>
      <c r="O91">
        <v>5.0000000000000001E-3</v>
      </c>
      <c r="P91">
        <v>3.2000000000000002E-3</v>
      </c>
      <c r="Q91">
        <v>0</v>
      </c>
      <c r="R91">
        <v>0.06</v>
      </c>
      <c r="S91">
        <v>0.06</v>
      </c>
      <c r="T91">
        <v>1074.3</v>
      </c>
      <c r="U91">
        <v>572.96</v>
      </c>
      <c r="V91">
        <v>35.81</v>
      </c>
      <c r="W91">
        <v>22.918399999999998</v>
      </c>
      <c r="X91">
        <v>0</v>
      </c>
      <c r="Z91">
        <v>207</v>
      </c>
      <c r="AA91">
        <v>1912.9884</v>
      </c>
      <c r="AB91">
        <v>501.34</v>
      </c>
      <c r="AC91">
        <v>71.62</v>
      </c>
      <c r="AD91">
        <v>35.81</v>
      </c>
      <c r="AF91">
        <v>207</v>
      </c>
      <c r="AG91">
        <v>815.77</v>
      </c>
      <c r="AO91">
        <v>0</v>
      </c>
      <c r="AU91">
        <v>0</v>
      </c>
      <c r="BC91">
        <v>0</v>
      </c>
      <c r="BJ91">
        <v>1074.3</v>
      </c>
      <c r="BK91">
        <v>572.96</v>
      </c>
      <c r="BL91">
        <v>35.81</v>
      </c>
      <c r="BM91">
        <v>22.918399999999998</v>
      </c>
      <c r="BN91">
        <v>0</v>
      </c>
      <c r="BO91">
        <v>0</v>
      </c>
      <c r="BP91">
        <v>207</v>
      </c>
      <c r="BT91">
        <v>1912.9884</v>
      </c>
      <c r="BU91">
        <v>501.34</v>
      </c>
      <c r="BV91">
        <v>71.62</v>
      </c>
      <c r="BW91">
        <v>35.81</v>
      </c>
      <c r="BX91">
        <v>0</v>
      </c>
      <c r="BY91">
        <v>207</v>
      </c>
      <c r="BZ91">
        <v>815.77</v>
      </c>
      <c r="CA91">
        <v>815.77</v>
      </c>
      <c r="CD91">
        <v>2</v>
      </c>
    </row>
    <row r="92" spans="1:82" x14ac:dyDescent="0.15">
      <c r="A92" t="s">
        <v>551</v>
      </c>
      <c r="B92" t="s">
        <v>552</v>
      </c>
      <c r="C92" t="s">
        <v>554</v>
      </c>
      <c r="D92">
        <v>4952</v>
      </c>
      <c r="E92">
        <v>4952</v>
      </c>
      <c r="F92">
        <v>4952</v>
      </c>
      <c r="G92">
        <v>4952</v>
      </c>
      <c r="I92">
        <v>3300</v>
      </c>
      <c r="J92">
        <v>0.12</v>
      </c>
      <c r="K92">
        <v>0.05</v>
      </c>
      <c r="L92">
        <v>0.06</v>
      </c>
      <c r="M92">
        <v>0.01</v>
      </c>
      <c r="N92">
        <v>5.0000000000000001E-3</v>
      </c>
      <c r="O92">
        <v>5.0000000000000001E-3</v>
      </c>
      <c r="P92">
        <v>3.2000000000000002E-3</v>
      </c>
      <c r="Q92">
        <v>0</v>
      </c>
      <c r="R92">
        <v>0.05</v>
      </c>
      <c r="S92">
        <v>0.05</v>
      </c>
      <c r="T92">
        <v>594.24</v>
      </c>
      <c r="U92">
        <v>297.12</v>
      </c>
      <c r="V92">
        <v>24.76</v>
      </c>
      <c r="W92">
        <v>15.846399999999999</v>
      </c>
      <c r="X92">
        <v>0</v>
      </c>
      <c r="Z92">
        <v>165</v>
      </c>
      <c r="AA92">
        <v>1096.9664</v>
      </c>
      <c r="AB92">
        <v>247.6</v>
      </c>
      <c r="AC92">
        <v>49.52</v>
      </c>
      <c r="AD92">
        <v>24.76</v>
      </c>
      <c r="AF92">
        <v>165</v>
      </c>
      <c r="AG92">
        <v>486.88</v>
      </c>
      <c r="AO92">
        <v>0</v>
      </c>
      <c r="AU92">
        <v>0</v>
      </c>
      <c r="BC92">
        <v>0</v>
      </c>
      <c r="BJ92">
        <v>594.24</v>
      </c>
      <c r="BK92">
        <v>297.12</v>
      </c>
      <c r="BL92">
        <v>24.76</v>
      </c>
      <c r="BM92">
        <v>15.846399999999999</v>
      </c>
      <c r="BN92">
        <v>0</v>
      </c>
      <c r="BO92">
        <v>0</v>
      </c>
      <c r="BP92">
        <v>165</v>
      </c>
      <c r="BT92">
        <v>1096.9664</v>
      </c>
      <c r="BU92">
        <v>247.6</v>
      </c>
      <c r="BV92">
        <v>49.52</v>
      </c>
      <c r="BW92">
        <v>24.76</v>
      </c>
      <c r="BX92">
        <v>0</v>
      </c>
      <c r="BY92">
        <v>165</v>
      </c>
      <c r="BZ92">
        <v>486.88</v>
      </c>
      <c r="CA92">
        <v>486.88</v>
      </c>
      <c r="CD92">
        <v>2</v>
      </c>
    </row>
    <row r="93" spans="1:82" x14ac:dyDescent="0.15">
      <c r="A93" t="s">
        <v>508</v>
      </c>
      <c r="B93" t="s">
        <v>555</v>
      </c>
      <c r="C93" t="s">
        <v>556</v>
      </c>
      <c r="D93">
        <v>4359</v>
      </c>
      <c r="E93">
        <v>4846</v>
      </c>
      <c r="F93">
        <v>4359</v>
      </c>
      <c r="G93">
        <v>4359</v>
      </c>
      <c r="I93">
        <v>2100</v>
      </c>
      <c r="J93">
        <v>0.12</v>
      </c>
      <c r="K93">
        <v>0.05</v>
      </c>
      <c r="L93">
        <v>0.06</v>
      </c>
      <c r="M93">
        <v>0.01</v>
      </c>
      <c r="N93">
        <v>5.0000000000000001E-3</v>
      </c>
      <c r="O93">
        <v>5.0000000000000001E-3</v>
      </c>
      <c r="P93">
        <v>3.2000000000000002E-3</v>
      </c>
      <c r="Q93">
        <v>0</v>
      </c>
      <c r="R93">
        <v>0.05</v>
      </c>
      <c r="S93">
        <v>0.05</v>
      </c>
      <c r="T93">
        <v>523.08000000000004</v>
      </c>
      <c r="U93">
        <v>290.76</v>
      </c>
      <c r="V93">
        <v>21.795000000000002</v>
      </c>
      <c r="W93">
        <v>13.9488</v>
      </c>
      <c r="X93">
        <v>0</v>
      </c>
      <c r="Z93">
        <v>105</v>
      </c>
      <c r="AA93">
        <v>954.5838</v>
      </c>
      <c r="AB93">
        <v>217.95</v>
      </c>
      <c r="AC93">
        <v>48.46</v>
      </c>
      <c r="AD93">
        <v>21.795000000000002</v>
      </c>
      <c r="AF93">
        <v>105</v>
      </c>
      <c r="AG93">
        <v>393.20499999999998</v>
      </c>
      <c r="AO93">
        <v>0</v>
      </c>
      <c r="AU93">
        <v>0</v>
      </c>
      <c r="BC93">
        <v>0</v>
      </c>
      <c r="BJ93">
        <v>523.08000000000004</v>
      </c>
      <c r="BK93">
        <v>290.76</v>
      </c>
      <c r="BL93">
        <v>21.795000000000002</v>
      </c>
      <c r="BM93">
        <v>13.9488</v>
      </c>
      <c r="BN93">
        <v>0</v>
      </c>
      <c r="BO93">
        <v>0</v>
      </c>
      <c r="BP93">
        <v>105</v>
      </c>
      <c r="BT93">
        <v>954.5838</v>
      </c>
      <c r="BU93">
        <v>217.95</v>
      </c>
      <c r="BV93">
        <v>48.46</v>
      </c>
      <c r="BW93">
        <v>21.795000000000002</v>
      </c>
      <c r="BX93">
        <v>0</v>
      </c>
      <c r="BY93">
        <v>105</v>
      </c>
      <c r="BZ93">
        <v>393.20499999999998</v>
      </c>
      <c r="CA93">
        <v>393.20499999999998</v>
      </c>
      <c r="CD93">
        <v>2</v>
      </c>
    </row>
    <row r="94" spans="1:82" x14ac:dyDescent="0.15">
      <c r="A94" t="s">
        <v>508</v>
      </c>
      <c r="B94" t="s">
        <v>558</v>
      </c>
      <c r="C94" t="s">
        <v>560</v>
      </c>
      <c r="D94">
        <v>4359</v>
      </c>
      <c r="E94">
        <v>4846</v>
      </c>
      <c r="F94">
        <v>4359</v>
      </c>
      <c r="G94">
        <v>4359</v>
      </c>
      <c r="I94">
        <v>4300</v>
      </c>
      <c r="J94">
        <v>0.12</v>
      </c>
      <c r="K94">
        <v>0.05</v>
      </c>
      <c r="L94">
        <v>0.06</v>
      </c>
      <c r="M94">
        <v>0.01</v>
      </c>
      <c r="N94">
        <v>5.0000000000000001E-3</v>
      </c>
      <c r="O94">
        <v>5.0000000000000001E-3</v>
      </c>
      <c r="P94">
        <v>3.2000000000000002E-3</v>
      </c>
      <c r="Q94">
        <v>0</v>
      </c>
      <c r="R94">
        <v>0.05</v>
      </c>
      <c r="S94">
        <v>0.05</v>
      </c>
      <c r="T94">
        <v>523.08000000000004</v>
      </c>
      <c r="U94">
        <v>290.76</v>
      </c>
      <c r="V94">
        <v>21.795000000000002</v>
      </c>
      <c r="W94">
        <v>13.9488</v>
      </c>
      <c r="X94">
        <v>0</v>
      </c>
      <c r="Z94">
        <v>215</v>
      </c>
      <c r="AA94">
        <v>1064.5838000000001</v>
      </c>
      <c r="AB94">
        <v>217.95</v>
      </c>
      <c r="AC94">
        <v>48.46</v>
      </c>
      <c r="AD94">
        <v>21.795000000000002</v>
      </c>
      <c r="AF94">
        <v>215</v>
      </c>
      <c r="AG94">
        <v>503.20499999999998</v>
      </c>
      <c r="AO94">
        <v>0</v>
      </c>
      <c r="AU94">
        <v>0</v>
      </c>
      <c r="BC94">
        <v>0</v>
      </c>
      <c r="BJ94">
        <v>523.08000000000004</v>
      </c>
      <c r="BK94">
        <v>290.76</v>
      </c>
      <c r="BL94">
        <v>21.795000000000002</v>
      </c>
      <c r="BM94">
        <v>13.9488</v>
      </c>
      <c r="BN94">
        <v>0</v>
      </c>
      <c r="BO94">
        <v>0</v>
      </c>
      <c r="BP94">
        <v>215</v>
      </c>
      <c r="BT94">
        <v>1064.5838000000001</v>
      </c>
      <c r="BU94">
        <v>217.95</v>
      </c>
      <c r="BV94">
        <v>48.46</v>
      </c>
      <c r="BW94">
        <v>21.795000000000002</v>
      </c>
      <c r="BX94">
        <v>0</v>
      </c>
      <c r="BY94">
        <v>215</v>
      </c>
      <c r="BZ94">
        <v>503.20499999999998</v>
      </c>
      <c r="CA94">
        <v>503.20499999999998</v>
      </c>
      <c r="CD94">
        <v>2</v>
      </c>
    </row>
    <row r="95" spans="1:82" x14ac:dyDescent="0.15">
      <c r="A95" t="s">
        <v>508</v>
      </c>
      <c r="B95" t="s">
        <v>562</v>
      </c>
      <c r="C95" t="s">
        <v>564</v>
      </c>
      <c r="D95">
        <v>4359</v>
      </c>
      <c r="E95">
        <v>4846</v>
      </c>
      <c r="F95">
        <v>4359</v>
      </c>
      <c r="G95">
        <v>4359</v>
      </c>
      <c r="I95">
        <v>2910</v>
      </c>
      <c r="J95">
        <v>0.12</v>
      </c>
      <c r="K95">
        <v>0.05</v>
      </c>
      <c r="L95">
        <v>0.06</v>
      </c>
      <c r="M95">
        <v>0.01</v>
      </c>
      <c r="N95">
        <v>5.0000000000000001E-3</v>
      </c>
      <c r="O95">
        <v>5.0000000000000001E-3</v>
      </c>
      <c r="P95">
        <v>3.2000000000000002E-3</v>
      </c>
      <c r="Q95">
        <v>0</v>
      </c>
      <c r="R95">
        <v>0.05</v>
      </c>
      <c r="S95">
        <v>0.05</v>
      </c>
      <c r="T95">
        <v>523.08000000000004</v>
      </c>
      <c r="U95">
        <v>290.76</v>
      </c>
      <c r="V95">
        <v>21.795000000000002</v>
      </c>
      <c r="W95">
        <v>13.9488</v>
      </c>
      <c r="X95">
        <v>0</v>
      </c>
      <c r="Z95">
        <v>145.5</v>
      </c>
      <c r="AA95">
        <v>995.0838</v>
      </c>
      <c r="AB95">
        <v>217.95</v>
      </c>
      <c r="AC95">
        <v>48.46</v>
      </c>
      <c r="AD95">
        <v>21.795000000000002</v>
      </c>
      <c r="AF95">
        <v>145.5</v>
      </c>
      <c r="AG95">
        <v>433.70499999999998</v>
      </c>
      <c r="AO95">
        <v>0</v>
      </c>
      <c r="AU95">
        <v>0</v>
      </c>
      <c r="BC95">
        <v>0</v>
      </c>
      <c r="BJ95">
        <v>523.08000000000004</v>
      </c>
      <c r="BK95">
        <v>290.76</v>
      </c>
      <c r="BL95">
        <v>21.795000000000002</v>
      </c>
      <c r="BM95">
        <v>13.9488</v>
      </c>
      <c r="BN95">
        <v>0</v>
      </c>
      <c r="BO95">
        <v>0</v>
      </c>
      <c r="BP95">
        <v>145.5</v>
      </c>
      <c r="BT95">
        <v>995.0838</v>
      </c>
      <c r="BU95">
        <v>217.95</v>
      </c>
      <c r="BV95">
        <v>48.46</v>
      </c>
      <c r="BW95">
        <v>21.795000000000002</v>
      </c>
      <c r="BX95">
        <v>0</v>
      </c>
      <c r="BY95">
        <v>145.5</v>
      </c>
      <c r="BZ95">
        <v>433.70499999999998</v>
      </c>
      <c r="CA95">
        <v>433.70499999999998</v>
      </c>
      <c r="CD95">
        <v>2</v>
      </c>
    </row>
    <row r="96" spans="1:82" x14ac:dyDescent="0.15">
      <c r="A96" t="s">
        <v>529</v>
      </c>
      <c r="B96" t="s">
        <v>567</v>
      </c>
      <c r="C96" t="s">
        <v>569</v>
      </c>
      <c r="D96">
        <v>4300</v>
      </c>
      <c r="E96">
        <v>4300</v>
      </c>
      <c r="F96">
        <v>4300</v>
      </c>
      <c r="G96">
        <v>4300</v>
      </c>
      <c r="I96">
        <v>4300</v>
      </c>
      <c r="J96">
        <v>0.12</v>
      </c>
      <c r="K96">
        <v>0.05</v>
      </c>
      <c r="L96">
        <v>0.06</v>
      </c>
      <c r="M96">
        <v>0.01</v>
      </c>
      <c r="N96">
        <v>5.0000000000000001E-3</v>
      </c>
      <c r="O96">
        <v>5.0000000000000001E-3</v>
      </c>
      <c r="P96">
        <v>3.2000000000000002E-3</v>
      </c>
      <c r="Q96">
        <v>0</v>
      </c>
      <c r="R96">
        <v>0.05</v>
      </c>
      <c r="S96">
        <v>0.05</v>
      </c>
      <c r="T96">
        <v>516</v>
      </c>
      <c r="U96">
        <v>258</v>
      </c>
      <c r="V96">
        <v>21.5</v>
      </c>
      <c r="W96">
        <v>13.76</v>
      </c>
      <c r="X96">
        <v>0</v>
      </c>
      <c r="Z96">
        <v>215</v>
      </c>
      <c r="AA96">
        <v>1024.26</v>
      </c>
      <c r="AB96">
        <v>215</v>
      </c>
      <c r="AC96">
        <v>43</v>
      </c>
      <c r="AD96">
        <v>21.5</v>
      </c>
      <c r="AF96">
        <v>215</v>
      </c>
      <c r="AG96">
        <v>494.5</v>
      </c>
      <c r="AO96">
        <v>0</v>
      </c>
      <c r="AU96">
        <v>0</v>
      </c>
      <c r="BC96">
        <v>0</v>
      </c>
      <c r="BJ96">
        <v>516</v>
      </c>
      <c r="BK96">
        <v>258</v>
      </c>
      <c r="BL96">
        <v>21.5</v>
      </c>
      <c r="BM96">
        <v>13.76</v>
      </c>
      <c r="BN96">
        <v>0</v>
      </c>
      <c r="BO96">
        <v>0</v>
      </c>
      <c r="BP96">
        <v>215</v>
      </c>
      <c r="BT96">
        <v>1024.26</v>
      </c>
      <c r="BU96">
        <v>215</v>
      </c>
      <c r="BV96">
        <v>43</v>
      </c>
      <c r="BW96">
        <v>21.5</v>
      </c>
      <c r="BX96">
        <v>0</v>
      </c>
      <c r="BY96">
        <v>215</v>
      </c>
      <c r="BZ96">
        <v>494.5</v>
      </c>
      <c r="CA96">
        <v>494.5</v>
      </c>
      <c r="CD96">
        <v>2</v>
      </c>
    </row>
    <row r="97" spans="1:82" x14ac:dyDescent="0.15">
      <c r="A97" t="s">
        <v>440</v>
      </c>
      <c r="B97" t="s">
        <v>572</v>
      </c>
      <c r="C97" t="s">
        <v>574</v>
      </c>
      <c r="D97">
        <v>4043</v>
      </c>
      <c r="E97">
        <v>4433</v>
      </c>
      <c r="F97">
        <v>4043</v>
      </c>
      <c r="G97">
        <v>4414</v>
      </c>
      <c r="I97">
        <v>3005</v>
      </c>
      <c r="J97">
        <v>0.12</v>
      </c>
      <c r="K97">
        <v>0.05</v>
      </c>
      <c r="L97">
        <v>0.06</v>
      </c>
      <c r="M97">
        <v>0.01</v>
      </c>
      <c r="N97">
        <v>5.0000000000000001E-3</v>
      </c>
      <c r="O97">
        <v>5.0000000000000001E-3</v>
      </c>
      <c r="P97">
        <v>3.2000000000000002E-3</v>
      </c>
      <c r="Q97">
        <v>0</v>
      </c>
      <c r="R97">
        <v>0.05</v>
      </c>
      <c r="S97">
        <v>0.05</v>
      </c>
      <c r="T97">
        <v>485.16</v>
      </c>
      <c r="U97">
        <v>265.98</v>
      </c>
      <c r="V97">
        <v>20.215</v>
      </c>
      <c r="W97">
        <v>14.1248</v>
      </c>
      <c r="X97">
        <v>0</v>
      </c>
      <c r="Z97">
        <v>150.25</v>
      </c>
      <c r="AA97">
        <v>935.72979999999995</v>
      </c>
      <c r="AB97">
        <v>202.15</v>
      </c>
      <c r="AC97">
        <v>44.33</v>
      </c>
      <c r="AD97">
        <v>20.215</v>
      </c>
      <c r="AF97">
        <v>150.25</v>
      </c>
      <c r="AG97">
        <v>416.94499999999999</v>
      </c>
      <c r="AO97">
        <v>0</v>
      </c>
      <c r="AU97">
        <v>0</v>
      </c>
      <c r="BC97">
        <v>0</v>
      </c>
      <c r="BJ97">
        <v>485.16</v>
      </c>
      <c r="BK97">
        <v>265.98</v>
      </c>
      <c r="BL97">
        <v>20.215</v>
      </c>
      <c r="BM97">
        <v>14.1248</v>
      </c>
      <c r="BN97">
        <v>0</v>
      </c>
      <c r="BO97">
        <v>0</v>
      </c>
      <c r="BP97">
        <v>150.25</v>
      </c>
      <c r="BT97">
        <v>935.72979999999995</v>
      </c>
      <c r="BU97">
        <v>202.15</v>
      </c>
      <c r="BV97">
        <v>44.33</v>
      </c>
      <c r="BW97">
        <v>20.215</v>
      </c>
      <c r="BX97">
        <v>0</v>
      </c>
      <c r="BY97">
        <v>150.25</v>
      </c>
      <c r="BZ97">
        <v>416.94499999999999</v>
      </c>
      <c r="CA97">
        <v>416.94499999999999</v>
      </c>
      <c r="CD97">
        <v>2</v>
      </c>
    </row>
    <row r="98" spans="1:82" x14ac:dyDescent="0.15">
      <c r="A98" t="s">
        <v>168</v>
      </c>
      <c r="B98" t="s">
        <v>576</v>
      </c>
      <c r="C98" t="s">
        <v>578</v>
      </c>
      <c r="D98">
        <v>5124</v>
      </c>
      <c r="E98">
        <v>5124</v>
      </c>
      <c r="F98">
        <v>5124</v>
      </c>
      <c r="G98">
        <v>5124</v>
      </c>
      <c r="I98">
        <v>3130</v>
      </c>
      <c r="J98">
        <v>0.15</v>
      </c>
      <c r="K98">
        <v>7.0000000000000007E-2</v>
      </c>
      <c r="L98">
        <v>0.08</v>
      </c>
      <c r="M98">
        <v>0.01</v>
      </c>
      <c r="N98">
        <v>5.0000000000000001E-3</v>
      </c>
      <c r="O98">
        <v>5.0000000000000001E-3</v>
      </c>
      <c r="P98">
        <v>3.2000000000000002E-3</v>
      </c>
      <c r="Q98">
        <v>0</v>
      </c>
      <c r="R98">
        <v>0.06</v>
      </c>
      <c r="S98">
        <v>0.06</v>
      </c>
      <c r="T98">
        <v>768.6</v>
      </c>
      <c r="U98">
        <v>409.92</v>
      </c>
      <c r="V98">
        <v>25.62</v>
      </c>
      <c r="W98">
        <v>16.396799999999999</v>
      </c>
      <c r="X98">
        <v>0</v>
      </c>
      <c r="Z98">
        <v>187.8</v>
      </c>
      <c r="AA98">
        <v>1408.3368</v>
      </c>
      <c r="AB98">
        <v>358.68</v>
      </c>
      <c r="AC98">
        <v>51.24</v>
      </c>
      <c r="AD98">
        <v>25.62</v>
      </c>
      <c r="AF98">
        <v>187.8</v>
      </c>
      <c r="AG98">
        <v>623.34</v>
      </c>
      <c r="AO98">
        <v>0</v>
      </c>
      <c r="AU98">
        <v>0</v>
      </c>
      <c r="BC98">
        <v>0</v>
      </c>
      <c r="BJ98">
        <v>768.6</v>
      </c>
      <c r="BK98">
        <v>409.92</v>
      </c>
      <c r="BL98">
        <v>25.62</v>
      </c>
      <c r="BM98">
        <v>16.396799999999999</v>
      </c>
      <c r="BN98">
        <v>0</v>
      </c>
      <c r="BO98">
        <v>0</v>
      </c>
      <c r="BP98">
        <v>187.8</v>
      </c>
      <c r="BT98">
        <v>1408.3368</v>
      </c>
      <c r="BU98">
        <v>358.68</v>
      </c>
      <c r="BV98">
        <v>51.24</v>
      </c>
      <c r="BW98">
        <v>25.62</v>
      </c>
      <c r="BX98">
        <v>0</v>
      </c>
      <c r="BY98">
        <v>187.8</v>
      </c>
      <c r="BZ98">
        <v>623.34</v>
      </c>
      <c r="CA98">
        <v>623.34</v>
      </c>
      <c r="CD98">
        <v>2</v>
      </c>
    </row>
    <row r="99" spans="1:82" x14ac:dyDescent="0.15">
      <c r="A99" t="s">
        <v>582</v>
      </c>
      <c r="B99" t="s">
        <v>583</v>
      </c>
      <c r="C99" t="s">
        <v>585</v>
      </c>
      <c r="D99">
        <v>4952</v>
      </c>
      <c r="E99">
        <v>4952</v>
      </c>
      <c r="F99">
        <v>4952</v>
      </c>
      <c r="G99">
        <v>4952</v>
      </c>
      <c r="I99">
        <v>4879</v>
      </c>
      <c r="J99">
        <v>0.12</v>
      </c>
      <c r="K99">
        <v>0.05</v>
      </c>
      <c r="L99">
        <v>0.06</v>
      </c>
      <c r="M99">
        <v>0.01</v>
      </c>
      <c r="N99">
        <v>5.0000000000000001E-3</v>
      </c>
      <c r="O99">
        <v>5.0000000000000001E-3</v>
      </c>
      <c r="P99">
        <v>3.2000000000000002E-3</v>
      </c>
      <c r="Q99">
        <v>0</v>
      </c>
      <c r="R99">
        <v>0.05</v>
      </c>
      <c r="S99">
        <v>0.05</v>
      </c>
      <c r="T99">
        <v>594.24</v>
      </c>
      <c r="U99">
        <v>297.12</v>
      </c>
      <c r="V99">
        <v>24.76</v>
      </c>
      <c r="W99">
        <v>15.846399999999999</v>
      </c>
      <c r="X99">
        <v>0</v>
      </c>
      <c r="Z99">
        <v>243.95</v>
      </c>
      <c r="AA99">
        <v>1175.9164000000001</v>
      </c>
      <c r="AB99">
        <v>247.6</v>
      </c>
      <c r="AC99">
        <v>49.52</v>
      </c>
      <c r="AD99">
        <v>24.76</v>
      </c>
      <c r="AF99">
        <v>243.95</v>
      </c>
      <c r="AG99">
        <v>565.83000000000004</v>
      </c>
      <c r="AO99">
        <v>0</v>
      </c>
      <c r="AU99">
        <v>0</v>
      </c>
      <c r="BC99">
        <v>0</v>
      </c>
      <c r="BJ99">
        <v>594.24</v>
      </c>
      <c r="BK99">
        <v>297.12</v>
      </c>
      <c r="BL99">
        <v>24.76</v>
      </c>
      <c r="BM99">
        <v>15.846399999999999</v>
      </c>
      <c r="BN99">
        <v>0</v>
      </c>
      <c r="BO99">
        <v>0</v>
      </c>
      <c r="BP99">
        <v>243.95</v>
      </c>
      <c r="BT99">
        <v>1175.9164000000001</v>
      </c>
      <c r="BU99">
        <v>247.6</v>
      </c>
      <c r="BV99">
        <v>49.52</v>
      </c>
      <c r="BW99">
        <v>24.76</v>
      </c>
      <c r="BX99">
        <v>0</v>
      </c>
      <c r="BY99">
        <v>243.95</v>
      </c>
      <c r="BZ99">
        <v>565.83000000000004</v>
      </c>
      <c r="CA99">
        <v>565.83000000000004</v>
      </c>
      <c r="CD99">
        <v>2</v>
      </c>
    </row>
    <row r="100" spans="1:82" x14ac:dyDescent="0.15">
      <c r="A100" t="s">
        <v>589</v>
      </c>
      <c r="B100" t="s">
        <v>590</v>
      </c>
      <c r="C100" t="s">
        <v>593</v>
      </c>
      <c r="D100">
        <v>4311</v>
      </c>
      <c r="E100">
        <v>4311</v>
      </c>
      <c r="F100">
        <v>4311</v>
      </c>
      <c r="G100">
        <v>4311</v>
      </c>
      <c r="I100">
        <v>4000</v>
      </c>
      <c r="J100">
        <v>0.12</v>
      </c>
      <c r="K100">
        <v>0.05</v>
      </c>
      <c r="L100">
        <v>0.06</v>
      </c>
      <c r="M100">
        <v>0.01</v>
      </c>
      <c r="N100">
        <v>5.0000000000000001E-3</v>
      </c>
      <c r="O100">
        <v>5.0000000000000001E-3</v>
      </c>
      <c r="P100">
        <v>3.2000000000000002E-3</v>
      </c>
      <c r="Q100">
        <v>0</v>
      </c>
      <c r="R100">
        <v>0.05</v>
      </c>
      <c r="S100">
        <v>0.05</v>
      </c>
      <c r="T100">
        <v>517.32000000000005</v>
      </c>
      <c r="U100">
        <v>258.66000000000003</v>
      </c>
      <c r="V100">
        <v>21.555</v>
      </c>
      <c r="W100">
        <v>13.795199999999999</v>
      </c>
      <c r="X100">
        <v>0</v>
      </c>
      <c r="Z100">
        <v>200</v>
      </c>
      <c r="AA100">
        <v>1011.3302</v>
      </c>
      <c r="AB100">
        <v>215.55</v>
      </c>
      <c r="AC100">
        <v>43.11</v>
      </c>
      <c r="AD100">
        <v>21.555</v>
      </c>
      <c r="AF100">
        <v>200</v>
      </c>
      <c r="AG100">
        <v>480.21499999999997</v>
      </c>
      <c r="AO100">
        <v>0</v>
      </c>
      <c r="AU100">
        <v>0</v>
      </c>
      <c r="BC100">
        <v>0</v>
      </c>
      <c r="BJ100">
        <v>517.32000000000005</v>
      </c>
      <c r="BK100">
        <v>258.66000000000003</v>
      </c>
      <c r="BL100">
        <v>21.555</v>
      </c>
      <c r="BM100">
        <v>13.795199999999999</v>
      </c>
      <c r="BN100">
        <v>0</v>
      </c>
      <c r="BO100">
        <v>0</v>
      </c>
      <c r="BP100">
        <v>200</v>
      </c>
      <c r="BT100">
        <v>1011.3302</v>
      </c>
      <c r="BU100">
        <v>215.55</v>
      </c>
      <c r="BV100">
        <v>43.11</v>
      </c>
      <c r="BW100">
        <v>21.555</v>
      </c>
      <c r="BX100">
        <v>0</v>
      </c>
      <c r="BY100">
        <v>200</v>
      </c>
      <c r="BZ100">
        <v>480.21499999999997</v>
      </c>
      <c r="CA100">
        <v>480.21499999999997</v>
      </c>
      <c r="CD100">
        <v>2</v>
      </c>
    </row>
    <row r="101" spans="1:82" x14ac:dyDescent="0.15">
      <c r="A101" t="s">
        <v>150</v>
      </c>
      <c r="B101" t="s">
        <v>595</v>
      </c>
      <c r="C101" t="s">
        <v>597</v>
      </c>
      <c r="D101">
        <v>7162</v>
      </c>
      <c r="E101">
        <v>7162</v>
      </c>
      <c r="F101">
        <v>7162</v>
      </c>
      <c r="G101">
        <v>7162</v>
      </c>
      <c r="I101">
        <v>3640</v>
      </c>
      <c r="J101">
        <v>0.15</v>
      </c>
      <c r="K101">
        <v>7.0000000000000007E-2</v>
      </c>
      <c r="L101">
        <v>0.08</v>
      </c>
      <c r="M101">
        <v>0.01</v>
      </c>
      <c r="N101">
        <v>5.0000000000000001E-3</v>
      </c>
      <c r="O101">
        <v>5.0000000000000001E-3</v>
      </c>
      <c r="P101">
        <v>3.2000000000000002E-3</v>
      </c>
      <c r="Q101">
        <v>0</v>
      </c>
      <c r="R101">
        <v>0.06</v>
      </c>
      <c r="S101">
        <v>0.06</v>
      </c>
      <c r="T101">
        <v>1074.3</v>
      </c>
      <c r="U101">
        <v>572.96</v>
      </c>
      <c r="V101">
        <v>35.81</v>
      </c>
      <c r="W101">
        <v>22.918399999999998</v>
      </c>
      <c r="X101">
        <v>0</v>
      </c>
      <c r="Z101">
        <v>218.4</v>
      </c>
      <c r="AA101">
        <v>1924.3884</v>
      </c>
      <c r="AB101">
        <v>501.34</v>
      </c>
      <c r="AC101">
        <v>71.62</v>
      </c>
      <c r="AD101">
        <v>35.81</v>
      </c>
      <c r="AF101">
        <v>218.4</v>
      </c>
      <c r="AG101">
        <v>827.17</v>
      </c>
      <c r="AO101">
        <v>0</v>
      </c>
      <c r="AU101">
        <v>0</v>
      </c>
      <c r="BC101">
        <v>0</v>
      </c>
      <c r="BJ101">
        <v>1074.3</v>
      </c>
      <c r="BK101">
        <v>572.96</v>
      </c>
      <c r="BL101">
        <v>35.81</v>
      </c>
      <c r="BM101">
        <v>22.918399999999998</v>
      </c>
      <c r="BN101">
        <v>0</v>
      </c>
      <c r="BO101">
        <v>0</v>
      </c>
      <c r="BP101">
        <v>218.4</v>
      </c>
      <c r="BT101">
        <v>1924.3884</v>
      </c>
      <c r="BU101">
        <v>501.34</v>
      </c>
      <c r="BV101">
        <v>71.62</v>
      </c>
      <c r="BW101">
        <v>35.81</v>
      </c>
      <c r="BX101">
        <v>0</v>
      </c>
      <c r="BY101">
        <v>218.4</v>
      </c>
      <c r="BZ101">
        <v>827.17</v>
      </c>
      <c r="CA101">
        <v>827.17</v>
      </c>
      <c r="CD101">
        <v>2</v>
      </c>
    </row>
    <row r="102" spans="1:82" x14ac:dyDescent="0.15">
      <c r="A102" t="s">
        <v>150</v>
      </c>
      <c r="B102" t="s">
        <v>599</v>
      </c>
      <c r="C102" t="s">
        <v>601</v>
      </c>
      <c r="D102">
        <v>7162</v>
      </c>
      <c r="E102">
        <v>7162</v>
      </c>
      <c r="F102">
        <v>7162</v>
      </c>
      <c r="G102">
        <v>7162</v>
      </c>
      <c r="I102">
        <v>3640</v>
      </c>
      <c r="J102">
        <v>0.15</v>
      </c>
      <c r="K102">
        <v>7.0000000000000007E-2</v>
      </c>
      <c r="L102">
        <v>0.08</v>
      </c>
      <c r="M102">
        <v>0.01</v>
      </c>
      <c r="N102">
        <v>5.0000000000000001E-3</v>
      </c>
      <c r="O102">
        <v>5.0000000000000001E-3</v>
      </c>
      <c r="P102">
        <v>3.2000000000000002E-3</v>
      </c>
      <c r="Q102">
        <v>0</v>
      </c>
      <c r="R102">
        <v>0.06</v>
      </c>
      <c r="S102">
        <v>0.06</v>
      </c>
      <c r="T102">
        <v>1074.3</v>
      </c>
      <c r="U102">
        <v>572.96</v>
      </c>
      <c r="V102">
        <v>35.81</v>
      </c>
      <c r="W102">
        <v>22.918399999999998</v>
      </c>
      <c r="X102">
        <v>0</v>
      </c>
      <c r="Z102">
        <v>218.4</v>
      </c>
      <c r="AA102">
        <v>1924.3884</v>
      </c>
      <c r="AB102">
        <v>501.34</v>
      </c>
      <c r="AC102">
        <v>71.62</v>
      </c>
      <c r="AD102">
        <v>35.81</v>
      </c>
      <c r="AF102">
        <v>218.4</v>
      </c>
      <c r="AG102">
        <v>827.17</v>
      </c>
      <c r="AO102">
        <v>0</v>
      </c>
      <c r="AU102">
        <v>0</v>
      </c>
      <c r="BC102">
        <v>0</v>
      </c>
      <c r="BJ102">
        <v>1074.3</v>
      </c>
      <c r="BK102">
        <v>572.96</v>
      </c>
      <c r="BL102">
        <v>35.81</v>
      </c>
      <c r="BM102">
        <v>22.918399999999998</v>
      </c>
      <c r="BN102">
        <v>0</v>
      </c>
      <c r="BO102">
        <v>0</v>
      </c>
      <c r="BP102">
        <v>218.4</v>
      </c>
      <c r="BT102">
        <v>1924.3884</v>
      </c>
      <c r="BU102">
        <v>501.34</v>
      </c>
      <c r="BV102">
        <v>71.62</v>
      </c>
      <c r="BW102">
        <v>35.81</v>
      </c>
      <c r="BX102">
        <v>0</v>
      </c>
      <c r="BY102">
        <v>218.4</v>
      </c>
      <c r="BZ102">
        <v>827.17</v>
      </c>
      <c r="CA102">
        <v>827.17</v>
      </c>
      <c r="CD102">
        <v>2</v>
      </c>
    </row>
    <row r="103" spans="1:82" x14ac:dyDescent="0.15">
      <c r="A103" t="s">
        <v>604</v>
      </c>
      <c r="B103" t="s">
        <v>605</v>
      </c>
      <c r="C103" t="s">
        <v>607</v>
      </c>
      <c r="D103">
        <v>6100</v>
      </c>
      <c r="E103">
        <v>6100</v>
      </c>
      <c r="F103">
        <v>6100</v>
      </c>
      <c r="G103">
        <v>6100</v>
      </c>
      <c r="I103">
        <v>6100</v>
      </c>
      <c r="J103">
        <v>0.15</v>
      </c>
      <c r="K103">
        <v>7.0000000000000007E-2</v>
      </c>
      <c r="L103">
        <v>0.08</v>
      </c>
      <c r="M103">
        <v>0.01</v>
      </c>
      <c r="N103">
        <v>5.0000000000000001E-3</v>
      </c>
      <c r="O103">
        <v>5.0000000000000001E-3</v>
      </c>
      <c r="P103">
        <v>3.2000000000000002E-3</v>
      </c>
      <c r="Q103">
        <v>0</v>
      </c>
      <c r="R103">
        <v>0.06</v>
      </c>
      <c r="S103">
        <v>0.06</v>
      </c>
      <c r="T103">
        <v>915</v>
      </c>
      <c r="U103">
        <v>488</v>
      </c>
      <c r="V103">
        <v>30.5</v>
      </c>
      <c r="W103">
        <v>19.52</v>
      </c>
      <c r="X103">
        <v>0</v>
      </c>
      <c r="Z103">
        <v>366</v>
      </c>
      <c r="AA103">
        <v>1819.02</v>
      </c>
      <c r="AB103">
        <v>427</v>
      </c>
      <c r="AC103">
        <v>61</v>
      </c>
      <c r="AD103">
        <v>30.5</v>
      </c>
      <c r="AF103">
        <v>366</v>
      </c>
      <c r="AG103">
        <v>884.5</v>
      </c>
      <c r="AO103">
        <v>0</v>
      </c>
      <c r="AU103">
        <v>0</v>
      </c>
      <c r="BC103">
        <v>0</v>
      </c>
      <c r="BJ103">
        <v>915</v>
      </c>
      <c r="BK103">
        <v>488</v>
      </c>
      <c r="BL103">
        <v>30.5</v>
      </c>
      <c r="BM103">
        <v>19.52</v>
      </c>
      <c r="BN103">
        <v>0</v>
      </c>
      <c r="BO103">
        <v>0</v>
      </c>
      <c r="BP103">
        <v>366</v>
      </c>
      <c r="BT103">
        <v>1819.02</v>
      </c>
      <c r="BU103">
        <v>427</v>
      </c>
      <c r="BV103">
        <v>61</v>
      </c>
      <c r="BW103">
        <v>30.5</v>
      </c>
      <c r="BX103">
        <v>0</v>
      </c>
      <c r="BY103">
        <v>366</v>
      </c>
      <c r="BZ103">
        <v>884.5</v>
      </c>
      <c r="CA103">
        <v>884.5</v>
      </c>
      <c r="CD103">
        <v>2</v>
      </c>
    </row>
    <row r="104" spans="1:82" x14ac:dyDescent="0.15">
      <c r="A104" t="s">
        <v>611</v>
      </c>
      <c r="B104" t="s">
        <v>612</v>
      </c>
      <c r="C104" t="s">
        <v>614</v>
      </c>
      <c r="D104">
        <v>4952</v>
      </c>
      <c r="E104">
        <v>4952</v>
      </c>
      <c r="F104">
        <v>4952</v>
      </c>
      <c r="G104">
        <v>4952</v>
      </c>
      <c r="I104">
        <v>3030</v>
      </c>
      <c r="J104">
        <v>0.12</v>
      </c>
      <c r="K104">
        <v>0.05</v>
      </c>
      <c r="L104">
        <v>0.06</v>
      </c>
      <c r="M104">
        <v>0.01</v>
      </c>
      <c r="N104">
        <v>5.0000000000000001E-3</v>
      </c>
      <c r="O104">
        <v>5.0000000000000001E-3</v>
      </c>
      <c r="P104">
        <v>3.2000000000000002E-3</v>
      </c>
      <c r="Q104">
        <v>0</v>
      </c>
      <c r="R104">
        <v>0.05</v>
      </c>
      <c r="S104">
        <v>0.05</v>
      </c>
      <c r="T104">
        <v>594.24</v>
      </c>
      <c r="U104">
        <v>297.12</v>
      </c>
      <c r="V104">
        <v>24.76</v>
      </c>
      <c r="W104">
        <v>15.846399999999999</v>
      </c>
      <c r="X104">
        <v>0</v>
      </c>
      <c r="Z104">
        <v>151.5</v>
      </c>
      <c r="AA104">
        <v>1083.4664</v>
      </c>
      <c r="AB104">
        <v>247.6</v>
      </c>
      <c r="AC104">
        <v>49.52</v>
      </c>
      <c r="AD104">
        <v>24.76</v>
      </c>
      <c r="AF104">
        <v>151.5</v>
      </c>
      <c r="AG104">
        <v>473.38</v>
      </c>
      <c r="AO104">
        <v>0</v>
      </c>
      <c r="AU104">
        <v>0</v>
      </c>
      <c r="BC104">
        <v>0</v>
      </c>
      <c r="BJ104">
        <v>594.24</v>
      </c>
      <c r="BK104">
        <v>297.12</v>
      </c>
      <c r="BL104">
        <v>24.76</v>
      </c>
      <c r="BM104">
        <v>15.846399999999999</v>
      </c>
      <c r="BN104">
        <v>0</v>
      </c>
      <c r="BO104">
        <v>0</v>
      </c>
      <c r="BP104">
        <v>151.5</v>
      </c>
      <c r="BT104">
        <v>1083.4664</v>
      </c>
      <c r="BU104">
        <v>247.6</v>
      </c>
      <c r="BV104">
        <v>49.52</v>
      </c>
      <c r="BW104">
        <v>24.76</v>
      </c>
      <c r="BX104">
        <v>0</v>
      </c>
      <c r="BY104">
        <v>151.5</v>
      </c>
      <c r="BZ104">
        <v>473.38</v>
      </c>
      <c r="CA104">
        <v>473.38</v>
      </c>
      <c r="CD104">
        <v>2</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8"/>
  <sheetViews>
    <sheetView workbookViewId="0"/>
  </sheetViews>
  <sheetFormatPr defaultRowHeight="13.5" x14ac:dyDescent="0.15"/>
  <sheetData>
    <row r="1" spans="1:10" x14ac:dyDescent="0.15">
      <c r="A1" s="1" t="s">
        <v>1024</v>
      </c>
      <c r="B1" s="1" t="s">
        <v>1025</v>
      </c>
      <c r="C1" s="1" t="s">
        <v>15</v>
      </c>
      <c r="D1" s="1" t="s">
        <v>1587</v>
      </c>
      <c r="E1" s="1" t="s">
        <v>1028</v>
      </c>
      <c r="F1" s="1" t="s">
        <v>620</v>
      </c>
      <c r="G1" s="1" t="s">
        <v>1029</v>
      </c>
      <c r="H1" s="1" t="s">
        <v>1588</v>
      </c>
      <c r="I1" s="1" t="s">
        <v>1589</v>
      </c>
      <c r="J1" s="1" t="s">
        <v>1590</v>
      </c>
    </row>
    <row r="2" spans="1:10" x14ac:dyDescent="0.15">
      <c r="A2">
        <v>26123001</v>
      </c>
      <c r="B2" t="s">
        <v>127</v>
      </c>
      <c r="C2" t="s">
        <v>131</v>
      </c>
      <c r="D2" t="s">
        <v>1427</v>
      </c>
      <c r="E2" t="s">
        <v>123</v>
      </c>
      <c r="F2" t="s">
        <v>1591</v>
      </c>
      <c r="G2" t="s">
        <v>133</v>
      </c>
      <c r="H2" t="s">
        <v>1592</v>
      </c>
      <c r="I2" t="s">
        <v>1593</v>
      </c>
      <c r="J2" t="s">
        <v>1594</v>
      </c>
    </row>
    <row r="3" spans="1:10" x14ac:dyDescent="0.15">
      <c r="A3">
        <v>26123002</v>
      </c>
      <c r="B3" t="s">
        <v>135</v>
      </c>
      <c r="C3" t="s">
        <v>131</v>
      </c>
      <c r="D3" t="s">
        <v>1595</v>
      </c>
      <c r="E3" t="s">
        <v>123</v>
      </c>
      <c r="F3" t="s">
        <v>1591</v>
      </c>
      <c r="G3" t="s">
        <v>133</v>
      </c>
      <c r="H3" t="s">
        <v>1592</v>
      </c>
      <c r="I3" t="s">
        <v>1596</v>
      </c>
      <c r="J3" t="s">
        <v>1597</v>
      </c>
    </row>
    <row r="4" spans="1:10" x14ac:dyDescent="0.15">
      <c r="A4">
        <v>26123003</v>
      </c>
      <c r="B4" t="s">
        <v>139</v>
      </c>
      <c r="C4" t="s">
        <v>131</v>
      </c>
      <c r="D4" t="s">
        <v>1595</v>
      </c>
      <c r="E4" t="s">
        <v>123</v>
      </c>
      <c r="F4" t="s">
        <v>1591</v>
      </c>
      <c r="G4" t="s">
        <v>133</v>
      </c>
      <c r="H4" t="s">
        <v>1592</v>
      </c>
      <c r="I4" t="s">
        <v>1598</v>
      </c>
      <c r="J4" t="s">
        <v>1599</v>
      </c>
    </row>
    <row r="5" spans="1:10" x14ac:dyDescent="0.15">
      <c r="A5">
        <v>26123004</v>
      </c>
      <c r="B5" t="s">
        <v>144</v>
      </c>
      <c r="C5" t="s">
        <v>131</v>
      </c>
      <c r="D5" t="s">
        <v>1595</v>
      </c>
      <c r="E5" t="s">
        <v>123</v>
      </c>
      <c r="F5" t="s">
        <v>1591</v>
      </c>
      <c r="G5" t="s">
        <v>133</v>
      </c>
      <c r="H5" t="s">
        <v>1592</v>
      </c>
      <c r="I5" t="s">
        <v>1600</v>
      </c>
      <c r="J5" t="s">
        <v>1601</v>
      </c>
    </row>
    <row r="6" spans="1:10" x14ac:dyDescent="0.15">
      <c r="A6">
        <v>26123005</v>
      </c>
      <c r="B6" t="s">
        <v>151</v>
      </c>
      <c r="C6" t="s">
        <v>154</v>
      </c>
      <c r="D6" t="s">
        <v>1595</v>
      </c>
      <c r="E6" t="s">
        <v>123</v>
      </c>
      <c r="F6" t="s">
        <v>1464</v>
      </c>
      <c r="G6" t="s">
        <v>148</v>
      </c>
      <c r="H6" t="s">
        <v>1592</v>
      </c>
      <c r="I6" t="s">
        <v>1602</v>
      </c>
      <c r="J6" t="s">
        <v>1603</v>
      </c>
    </row>
    <row r="7" spans="1:10" x14ac:dyDescent="0.15">
      <c r="A7">
        <v>26123006</v>
      </c>
      <c r="B7" t="s">
        <v>158</v>
      </c>
      <c r="C7" t="s">
        <v>131</v>
      </c>
      <c r="D7" t="s">
        <v>1595</v>
      </c>
      <c r="E7" t="s">
        <v>123</v>
      </c>
      <c r="F7" t="s">
        <v>1591</v>
      </c>
      <c r="G7" t="s">
        <v>133</v>
      </c>
      <c r="H7" t="s">
        <v>1592</v>
      </c>
      <c r="I7" t="s">
        <v>1604</v>
      </c>
      <c r="J7" t="s">
        <v>1605</v>
      </c>
    </row>
    <row r="8" spans="1:10" x14ac:dyDescent="0.15">
      <c r="A8">
        <v>26123007</v>
      </c>
      <c r="B8" t="s">
        <v>162</v>
      </c>
      <c r="C8" t="s">
        <v>131</v>
      </c>
      <c r="D8" t="s">
        <v>1595</v>
      </c>
      <c r="E8" t="s">
        <v>123</v>
      </c>
      <c r="F8" t="s">
        <v>1464</v>
      </c>
      <c r="G8" t="s">
        <v>148</v>
      </c>
      <c r="H8" t="s">
        <v>1606</v>
      </c>
      <c r="I8" t="s">
        <v>1607</v>
      </c>
      <c r="J8" t="s">
        <v>1608</v>
      </c>
    </row>
    <row r="9" spans="1:10" x14ac:dyDescent="0.15">
      <c r="A9">
        <v>26123008</v>
      </c>
      <c r="B9" t="s">
        <v>169</v>
      </c>
      <c r="C9" t="s">
        <v>154</v>
      </c>
      <c r="D9" t="s">
        <v>1595</v>
      </c>
      <c r="E9" t="s">
        <v>123</v>
      </c>
      <c r="F9" t="s">
        <v>1464</v>
      </c>
      <c r="G9" t="s">
        <v>166</v>
      </c>
      <c r="H9" t="s">
        <v>1606</v>
      </c>
      <c r="I9" t="s">
        <v>1609</v>
      </c>
      <c r="J9" t="s">
        <v>1610</v>
      </c>
    </row>
    <row r="10" spans="1:10" x14ac:dyDescent="0.15">
      <c r="A10">
        <v>26123009</v>
      </c>
      <c r="B10" t="s">
        <v>177</v>
      </c>
      <c r="C10" t="s">
        <v>131</v>
      </c>
      <c r="D10" t="s">
        <v>1595</v>
      </c>
      <c r="E10" t="s">
        <v>123</v>
      </c>
      <c r="F10" t="s">
        <v>1591</v>
      </c>
      <c r="G10" t="s">
        <v>174</v>
      </c>
      <c r="H10" t="s">
        <v>1606</v>
      </c>
      <c r="I10" t="s">
        <v>1611</v>
      </c>
      <c r="J10" t="s">
        <v>1612</v>
      </c>
    </row>
    <row r="11" spans="1:10" x14ac:dyDescent="0.15">
      <c r="A11">
        <v>26123010</v>
      </c>
      <c r="B11" t="s">
        <v>182</v>
      </c>
      <c r="C11" t="s">
        <v>154</v>
      </c>
      <c r="D11" t="s">
        <v>1595</v>
      </c>
      <c r="E11" t="s">
        <v>123</v>
      </c>
      <c r="F11" t="s">
        <v>1464</v>
      </c>
      <c r="G11" t="s">
        <v>148</v>
      </c>
      <c r="H11" t="s">
        <v>1606</v>
      </c>
      <c r="I11" t="s">
        <v>1613</v>
      </c>
      <c r="J11" t="s">
        <v>1614</v>
      </c>
    </row>
    <row r="12" spans="1:10" x14ac:dyDescent="0.15">
      <c r="A12">
        <v>26123011</v>
      </c>
      <c r="B12" t="s">
        <v>186</v>
      </c>
      <c r="C12" t="s">
        <v>154</v>
      </c>
      <c r="D12" t="s">
        <v>1595</v>
      </c>
      <c r="E12" t="s">
        <v>123</v>
      </c>
      <c r="F12" t="s">
        <v>1591</v>
      </c>
      <c r="G12" t="s">
        <v>133</v>
      </c>
      <c r="H12" t="s">
        <v>1606</v>
      </c>
      <c r="I12" t="s">
        <v>1615</v>
      </c>
      <c r="J12" t="s">
        <v>1616</v>
      </c>
    </row>
    <row r="13" spans="1:10" x14ac:dyDescent="0.15">
      <c r="A13">
        <v>26123012</v>
      </c>
      <c r="B13" t="s">
        <v>191</v>
      </c>
      <c r="C13" t="s">
        <v>131</v>
      </c>
      <c r="D13" t="s">
        <v>1595</v>
      </c>
      <c r="E13" t="s">
        <v>123</v>
      </c>
      <c r="F13" t="s">
        <v>1464</v>
      </c>
      <c r="G13" t="s">
        <v>166</v>
      </c>
      <c r="H13" t="s">
        <v>1606</v>
      </c>
      <c r="I13" t="s">
        <v>1617</v>
      </c>
      <c r="J13" t="s">
        <v>1618</v>
      </c>
    </row>
    <row r="14" spans="1:10" x14ac:dyDescent="0.15">
      <c r="A14">
        <v>26123013</v>
      </c>
      <c r="B14" t="s">
        <v>195</v>
      </c>
      <c r="C14" t="s">
        <v>131</v>
      </c>
      <c r="D14" t="s">
        <v>1595</v>
      </c>
      <c r="E14" t="s">
        <v>123</v>
      </c>
      <c r="F14" t="s">
        <v>1464</v>
      </c>
      <c r="G14" t="s">
        <v>148</v>
      </c>
      <c r="H14" t="s">
        <v>1606</v>
      </c>
      <c r="I14" t="s">
        <v>1619</v>
      </c>
      <c r="J14" t="s">
        <v>1620</v>
      </c>
    </row>
    <row r="15" spans="1:10" x14ac:dyDescent="0.15">
      <c r="A15">
        <v>26123014</v>
      </c>
      <c r="B15" t="s">
        <v>199</v>
      </c>
      <c r="C15" t="s">
        <v>131</v>
      </c>
      <c r="D15" t="s">
        <v>1595</v>
      </c>
      <c r="E15" t="s">
        <v>123</v>
      </c>
      <c r="F15" t="s">
        <v>1591</v>
      </c>
      <c r="G15" t="s">
        <v>180</v>
      </c>
      <c r="H15" t="s">
        <v>1606</v>
      </c>
      <c r="I15" t="s">
        <v>1621</v>
      </c>
      <c r="J15" t="s">
        <v>1622</v>
      </c>
    </row>
    <row r="16" spans="1:10" x14ac:dyDescent="0.15">
      <c r="A16">
        <v>26123015</v>
      </c>
      <c r="B16" t="s">
        <v>206</v>
      </c>
      <c r="C16" t="s">
        <v>131</v>
      </c>
      <c r="D16" t="s">
        <v>1595</v>
      </c>
      <c r="E16" t="s">
        <v>123</v>
      </c>
      <c r="F16" t="s">
        <v>1591</v>
      </c>
      <c r="G16" t="s">
        <v>203</v>
      </c>
      <c r="H16" t="s">
        <v>1606</v>
      </c>
      <c r="I16" t="s">
        <v>1623</v>
      </c>
      <c r="J16" t="s">
        <v>1624</v>
      </c>
    </row>
    <row r="17" spans="1:10" x14ac:dyDescent="0.15">
      <c r="A17">
        <v>26123016</v>
      </c>
      <c r="B17" t="s">
        <v>213</v>
      </c>
      <c r="C17" t="s">
        <v>131</v>
      </c>
      <c r="D17" t="s">
        <v>1595</v>
      </c>
      <c r="E17" t="s">
        <v>123</v>
      </c>
      <c r="F17" t="s">
        <v>1591</v>
      </c>
      <c r="G17" t="s">
        <v>210</v>
      </c>
      <c r="H17" t="s">
        <v>1606</v>
      </c>
      <c r="I17" t="s">
        <v>1625</v>
      </c>
      <c r="J17" t="s">
        <v>1626</v>
      </c>
    </row>
    <row r="18" spans="1:10" x14ac:dyDescent="0.15">
      <c r="A18">
        <v>26123017</v>
      </c>
      <c r="B18" t="s">
        <v>217</v>
      </c>
      <c r="C18" t="s">
        <v>131</v>
      </c>
      <c r="D18" t="s">
        <v>1595</v>
      </c>
      <c r="E18" t="s">
        <v>123</v>
      </c>
      <c r="F18" t="s">
        <v>1591</v>
      </c>
      <c r="G18" t="s">
        <v>133</v>
      </c>
      <c r="H18" t="s">
        <v>1606</v>
      </c>
      <c r="I18" t="s">
        <v>1627</v>
      </c>
      <c r="J18" t="s">
        <v>1628</v>
      </c>
    </row>
    <row r="19" spans="1:10" x14ac:dyDescent="0.15">
      <c r="A19">
        <v>26123018</v>
      </c>
      <c r="B19" t="s">
        <v>222</v>
      </c>
      <c r="C19" t="s">
        <v>131</v>
      </c>
      <c r="D19" t="s">
        <v>1595</v>
      </c>
      <c r="E19" t="s">
        <v>123</v>
      </c>
      <c r="F19" t="s">
        <v>1591</v>
      </c>
      <c r="G19" t="s">
        <v>133</v>
      </c>
      <c r="H19" t="s">
        <v>1606</v>
      </c>
      <c r="I19" t="s">
        <v>1629</v>
      </c>
      <c r="J19" t="s">
        <v>1630</v>
      </c>
    </row>
    <row r="20" spans="1:10" x14ac:dyDescent="0.15">
      <c r="A20">
        <v>26123019</v>
      </c>
      <c r="B20" t="s">
        <v>226</v>
      </c>
      <c r="C20" t="s">
        <v>131</v>
      </c>
      <c r="D20" t="s">
        <v>1595</v>
      </c>
      <c r="E20" t="s">
        <v>123</v>
      </c>
      <c r="F20" t="s">
        <v>1591</v>
      </c>
      <c r="G20" t="s">
        <v>133</v>
      </c>
      <c r="H20" t="s">
        <v>1606</v>
      </c>
      <c r="I20" t="s">
        <v>1631</v>
      </c>
      <c r="J20" t="s">
        <v>1632</v>
      </c>
    </row>
    <row r="21" spans="1:10" x14ac:dyDescent="0.15">
      <c r="A21">
        <v>26123020</v>
      </c>
      <c r="B21" t="s">
        <v>233</v>
      </c>
      <c r="C21" t="s">
        <v>131</v>
      </c>
      <c r="D21" t="s">
        <v>1595</v>
      </c>
      <c r="E21" t="s">
        <v>123</v>
      </c>
      <c r="F21" t="s">
        <v>1591</v>
      </c>
      <c r="G21" t="s">
        <v>230</v>
      </c>
      <c r="H21" t="s">
        <v>1606</v>
      </c>
      <c r="I21" t="s">
        <v>1633</v>
      </c>
      <c r="J21" t="s">
        <v>1634</v>
      </c>
    </row>
    <row r="22" spans="1:10" x14ac:dyDescent="0.15">
      <c r="A22">
        <v>26123021</v>
      </c>
      <c r="B22" t="s">
        <v>237</v>
      </c>
      <c r="C22" t="s">
        <v>131</v>
      </c>
      <c r="D22" t="s">
        <v>1595</v>
      </c>
      <c r="E22" t="s">
        <v>123</v>
      </c>
      <c r="F22" t="s">
        <v>1591</v>
      </c>
      <c r="G22" t="s">
        <v>210</v>
      </c>
      <c r="H22" t="s">
        <v>1606</v>
      </c>
      <c r="I22" t="s">
        <v>1635</v>
      </c>
      <c r="J22" t="s">
        <v>1636</v>
      </c>
    </row>
    <row r="23" spans="1:10" x14ac:dyDescent="0.15">
      <c r="A23">
        <v>26123022</v>
      </c>
      <c r="B23" t="s">
        <v>242</v>
      </c>
      <c r="C23" t="s">
        <v>154</v>
      </c>
      <c r="D23" t="s">
        <v>1595</v>
      </c>
      <c r="E23" t="s">
        <v>123</v>
      </c>
      <c r="F23" t="s">
        <v>1464</v>
      </c>
      <c r="G23" t="s">
        <v>148</v>
      </c>
      <c r="H23" t="s">
        <v>1637</v>
      </c>
      <c r="I23" t="s">
        <v>1638</v>
      </c>
      <c r="J23" t="s">
        <v>1639</v>
      </c>
    </row>
    <row r="24" spans="1:10" x14ac:dyDescent="0.15">
      <c r="A24">
        <v>26123023</v>
      </c>
      <c r="B24" t="s">
        <v>246</v>
      </c>
      <c r="C24" t="s">
        <v>131</v>
      </c>
      <c r="D24" t="s">
        <v>1595</v>
      </c>
      <c r="E24" t="s">
        <v>123</v>
      </c>
      <c r="F24" t="s">
        <v>1464</v>
      </c>
      <c r="G24" t="s">
        <v>166</v>
      </c>
      <c r="H24" t="s">
        <v>1637</v>
      </c>
      <c r="I24" t="s">
        <v>1640</v>
      </c>
      <c r="J24" t="s">
        <v>1641</v>
      </c>
    </row>
    <row r="25" spans="1:10" x14ac:dyDescent="0.15">
      <c r="A25">
        <v>26123024</v>
      </c>
      <c r="B25" t="s">
        <v>250</v>
      </c>
      <c r="C25" t="s">
        <v>154</v>
      </c>
      <c r="D25" t="s">
        <v>1595</v>
      </c>
      <c r="E25" t="s">
        <v>123</v>
      </c>
      <c r="F25" t="s">
        <v>1464</v>
      </c>
      <c r="G25" t="s">
        <v>148</v>
      </c>
      <c r="H25" t="s">
        <v>1637</v>
      </c>
      <c r="I25" t="s">
        <v>1642</v>
      </c>
      <c r="J25" t="s">
        <v>1643</v>
      </c>
    </row>
    <row r="26" spans="1:10" x14ac:dyDescent="0.15">
      <c r="A26">
        <v>26123025</v>
      </c>
      <c r="B26" t="s">
        <v>254</v>
      </c>
      <c r="C26" t="s">
        <v>131</v>
      </c>
      <c r="D26" t="s">
        <v>1595</v>
      </c>
      <c r="E26" t="s">
        <v>123</v>
      </c>
      <c r="F26" t="s">
        <v>1591</v>
      </c>
      <c r="G26" t="s">
        <v>133</v>
      </c>
      <c r="H26" t="s">
        <v>1637</v>
      </c>
      <c r="I26" t="s">
        <v>1644</v>
      </c>
      <c r="J26" t="s">
        <v>1645</v>
      </c>
    </row>
    <row r="27" spans="1:10" x14ac:dyDescent="0.15">
      <c r="A27">
        <v>26123026</v>
      </c>
      <c r="B27" t="s">
        <v>258</v>
      </c>
      <c r="C27" t="s">
        <v>131</v>
      </c>
      <c r="D27" t="s">
        <v>1595</v>
      </c>
      <c r="E27" t="s">
        <v>123</v>
      </c>
      <c r="F27" t="s">
        <v>1464</v>
      </c>
      <c r="G27" t="s">
        <v>148</v>
      </c>
      <c r="H27" t="s">
        <v>1637</v>
      </c>
      <c r="I27" t="s">
        <v>1646</v>
      </c>
      <c r="J27" t="s">
        <v>1647</v>
      </c>
    </row>
    <row r="28" spans="1:10" x14ac:dyDescent="0.15">
      <c r="A28">
        <v>26123027</v>
      </c>
      <c r="B28" t="s">
        <v>262</v>
      </c>
      <c r="C28" t="s">
        <v>131</v>
      </c>
      <c r="D28" t="s">
        <v>1595</v>
      </c>
      <c r="E28" t="s">
        <v>123</v>
      </c>
      <c r="F28" t="s">
        <v>1591</v>
      </c>
      <c r="G28" t="s">
        <v>133</v>
      </c>
      <c r="H28" t="s">
        <v>1637</v>
      </c>
      <c r="I28" t="s">
        <v>1648</v>
      </c>
      <c r="J28" t="s">
        <v>1649</v>
      </c>
    </row>
    <row r="29" spans="1:10" x14ac:dyDescent="0.15">
      <c r="A29">
        <v>26123028</v>
      </c>
      <c r="B29" t="s">
        <v>266</v>
      </c>
      <c r="C29" t="s">
        <v>154</v>
      </c>
      <c r="D29" t="s">
        <v>1595</v>
      </c>
      <c r="E29" t="s">
        <v>123</v>
      </c>
      <c r="F29" t="s">
        <v>1464</v>
      </c>
      <c r="G29" t="s">
        <v>166</v>
      </c>
      <c r="H29" t="s">
        <v>1650</v>
      </c>
      <c r="I29" t="s">
        <v>1651</v>
      </c>
      <c r="J29" t="s">
        <v>1652</v>
      </c>
    </row>
    <row r="30" spans="1:10" x14ac:dyDescent="0.15">
      <c r="A30">
        <v>26123029</v>
      </c>
      <c r="B30" t="s">
        <v>270</v>
      </c>
      <c r="C30" t="s">
        <v>154</v>
      </c>
      <c r="D30" t="s">
        <v>1595</v>
      </c>
      <c r="E30" t="s">
        <v>123</v>
      </c>
      <c r="F30" t="s">
        <v>1464</v>
      </c>
      <c r="G30" t="s">
        <v>148</v>
      </c>
      <c r="H30" t="s">
        <v>1650</v>
      </c>
      <c r="I30" t="s">
        <v>1653</v>
      </c>
      <c r="J30" t="s">
        <v>1654</v>
      </c>
    </row>
    <row r="31" spans="1:10" x14ac:dyDescent="0.15">
      <c r="A31">
        <v>26123030</v>
      </c>
      <c r="B31" t="s">
        <v>274</v>
      </c>
      <c r="C31" t="s">
        <v>154</v>
      </c>
      <c r="D31" t="s">
        <v>1595</v>
      </c>
      <c r="E31" t="s">
        <v>123</v>
      </c>
      <c r="F31" t="s">
        <v>1591</v>
      </c>
      <c r="G31" t="s">
        <v>133</v>
      </c>
      <c r="H31" t="s">
        <v>1650</v>
      </c>
      <c r="I31" t="s">
        <v>1655</v>
      </c>
      <c r="J31" t="s">
        <v>1656</v>
      </c>
    </row>
    <row r="32" spans="1:10" x14ac:dyDescent="0.15">
      <c r="A32">
        <v>26123031</v>
      </c>
      <c r="B32" t="s">
        <v>278</v>
      </c>
      <c r="C32" t="s">
        <v>154</v>
      </c>
      <c r="D32" t="s">
        <v>1595</v>
      </c>
      <c r="E32" t="s">
        <v>123</v>
      </c>
      <c r="F32" t="s">
        <v>1464</v>
      </c>
      <c r="G32" t="s">
        <v>166</v>
      </c>
      <c r="H32" t="s">
        <v>1650</v>
      </c>
      <c r="I32" t="s">
        <v>1657</v>
      </c>
      <c r="J32" t="s">
        <v>1658</v>
      </c>
    </row>
    <row r="33" spans="1:10" x14ac:dyDescent="0.15">
      <c r="A33">
        <v>26123032</v>
      </c>
      <c r="B33" t="s">
        <v>282</v>
      </c>
      <c r="C33" t="s">
        <v>154</v>
      </c>
      <c r="D33" t="s">
        <v>1595</v>
      </c>
      <c r="E33" t="s">
        <v>123</v>
      </c>
      <c r="F33" t="s">
        <v>1464</v>
      </c>
      <c r="G33" t="s">
        <v>148</v>
      </c>
      <c r="H33" t="s">
        <v>1650</v>
      </c>
      <c r="I33" t="s">
        <v>1659</v>
      </c>
      <c r="J33" t="s">
        <v>1660</v>
      </c>
    </row>
    <row r="34" spans="1:10" x14ac:dyDescent="0.15">
      <c r="A34">
        <v>26123033</v>
      </c>
      <c r="B34" t="s">
        <v>286</v>
      </c>
      <c r="C34" t="s">
        <v>154</v>
      </c>
      <c r="D34" t="s">
        <v>1595</v>
      </c>
      <c r="E34" t="s">
        <v>123</v>
      </c>
      <c r="F34" t="s">
        <v>1464</v>
      </c>
      <c r="G34" t="s">
        <v>148</v>
      </c>
      <c r="H34" t="s">
        <v>1650</v>
      </c>
      <c r="I34" t="s">
        <v>1661</v>
      </c>
      <c r="J34" t="s">
        <v>1662</v>
      </c>
    </row>
    <row r="35" spans="1:10" x14ac:dyDescent="0.15">
      <c r="A35">
        <v>26123034</v>
      </c>
      <c r="B35" t="s">
        <v>293</v>
      </c>
      <c r="C35" t="s">
        <v>154</v>
      </c>
      <c r="D35" t="s">
        <v>1595</v>
      </c>
      <c r="E35" t="s">
        <v>123</v>
      </c>
      <c r="F35" t="s">
        <v>1464</v>
      </c>
      <c r="G35" t="s">
        <v>290</v>
      </c>
      <c r="H35" t="s">
        <v>1663</v>
      </c>
      <c r="I35" t="s">
        <v>1664</v>
      </c>
      <c r="J35" t="s">
        <v>1665</v>
      </c>
    </row>
    <row r="36" spans="1:10" x14ac:dyDescent="0.15">
      <c r="A36">
        <v>26123035</v>
      </c>
      <c r="B36" t="s">
        <v>297</v>
      </c>
      <c r="C36" t="s">
        <v>154</v>
      </c>
      <c r="D36" t="s">
        <v>1595</v>
      </c>
      <c r="E36" t="s">
        <v>123</v>
      </c>
      <c r="F36" t="s">
        <v>1464</v>
      </c>
      <c r="G36" t="s">
        <v>148</v>
      </c>
      <c r="H36" t="s">
        <v>1663</v>
      </c>
      <c r="I36" t="s">
        <v>1666</v>
      </c>
      <c r="J36" t="s">
        <v>1667</v>
      </c>
    </row>
    <row r="37" spans="1:10" x14ac:dyDescent="0.15">
      <c r="A37">
        <v>26123036</v>
      </c>
      <c r="B37" t="s">
        <v>301</v>
      </c>
      <c r="C37" t="s">
        <v>154</v>
      </c>
      <c r="D37" t="s">
        <v>1595</v>
      </c>
      <c r="E37" t="s">
        <v>123</v>
      </c>
      <c r="F37" t="s">
        <v>1464</v>
      </c>
      <c r="G37" t="s">
        <v>290</v>
      </c>
      <c r="H37" t="s">
        <v>1668</v>
      </c>
      <c r="I37" t="s">
        <v>1669</v>
      </c>
      <c r="J37" t="s">
        <v>1670</v>
      </c>
    </row>
    <row r="38" spans="1:10" x14ac:dyDescent="0.15">
      <c r="A38">
        <v>26123037</v>
      </c>
      <c r="B38" t="s">
        <v>305</v>
      </c>
      <c r="C38" t="s">
        <v>154</v>
      </c>
      <c r="D38" t="s">
        <v>1595</v>
      </c>
      <c r="E38" t="s">
        <v>123</v>
      </c>
      <c r="F38" t="s">
        <v>1591</v>
      </c>
      <c r="G38" t="s">
        <v>210</v>
      </c>
      <c r="H38" t="s">
        <v>1671</v>
      </c>
      <c r="I38" t="s">
        <v>1672</v>
      </c>
      <c r="J38" t="s">
        <v>1673</v>
      </c>
    </row>
    <row r="39" spans="1:10" x14ac:dyDescent="0.15">
      <c r="A39">
        <v>26123038</v>
      </c>
      <c r="B39" t="s">
        <v>308</v>
      </c>
      <c r="C39" t="s">
        <v>154</v>
      </c>
      <c r="D39" t="s">
        <v>1595</v>
      </c>
      <c r="E39" t="s">
        <v>123</v>
      </c>
      <c r="F39" t="s">
        <v>1464</v>
      </c>
      <c r="G39" t="s">
        <v>166</v>
      </c>
      <c r="H39" t="s">
        <v>1674</v>
      </c>
      <c r="I39" t="s">
        <v>1675</v>
      </c>
      <c r="J39" t="s">
        <v>1676</v>
      </c>
    </row>
    <row r="40" spans="1:10" x14ac:dyDescent="0.15">
      <c r="A40">
        <v>26123039</v>
      </c>
      <c r="B40" t="s">
        <v>315</v>
      </c>
      <c r="C40" t="s">
        <v>154</v>
      </c>
      <c r="D40" t="s">
        <v>1595</v>
      </c>
      <c r="E40" t="s">
        <v>123</v>
      </c>
      <c r="F40" t="s">
        <v>1464</v>
      </c>
      <c r="G40" t="s">
        <v>312</v>
      </c>
      <c r="H40" t="s">
        <v>1650</v>
      </c>
      <c r="I40" t="s">
        <v>1677</v>
      </c>
      <c r="J40" t="s">
        <v>1678</v>
      </c>
    </row>
    <row r="41" spans="1:10" x14ac:dyDescent="0.15">
      <c r="A41">
        <v>26123040</v>
      </c>
      <c r="B41" t="s">
        <v>319</v>
      </c>
      <c r="C41" t="s">
        <v>154</v>
      </c>
      <c r="D41" t="s">
        <v>1595</v>
      </c>
      <c r="E41" t="s">
        <v>123</v>
      </c>
      <c r="F41" t="s">
        <v>1464</v>
      </c>
      <c r="G41" t="s">
        <v>148</v>
      </c>
      <c r="H41" t="s">
        <v>1679</v>
      </c>
      <c r="I41" t="s">
        <v>1680</v>
      </c>
      <c r="J41" t="s">
        <v>1681</v>
      </c>
    </row>
    <row r="42" spans="1:10" x14ac:dyDescent="0.15">
      <c r="A42">
        <v>26123041</v>
      </c>
      <c r="B42" t="s">
        <v>326</v>
      </c>
      <c r="C42" t="s">
        <v>154</v>
      </c>
      <c r="D42" t="s">
        <v>1595</v>
      </c>
      <c r="E42" t="s">
        <v>123</v>
      </c>
      <c r="F42" t="s">
        <v>1591</v>
      </c>
      <c r="G42" t="s">
        <v>323</v>
      </c>
      <c r="H42" t="s">
        <v>1682</v>
      </c>
      <c r="I42" t="s">
        <v>1683</v>
      </c>
      <c r="J42" t="s">
        <v>1684</v>
      </c>
    </row>
    <row r="43" spans="1:10" x14ac:dyDescent="0.15">
      <c r="A43">
        <v>26123042</v>
      </c>
      <c r="B43" t="s">
        <v>330</v>
      </c>
      <c r="C43" t="s">
        <v>154</v>
      </c>
      <c r="D43" t="s">
        <v>1595</v>
      </c>
      <c r="E43" t="s">
        <v>123</v>
      </c>
      <c r="F43" t="s">
        <v>1464</v>
      </c>
      <c r="G43" t="s">
        <v>166</v>
      </c>
      <c r="H43" t="s">
        <v>1685</v>
      </c>
      <c r="I43" t="s">
        <v>1686</v>
      </c>
      <c r="J43" t="s">
        <v>1687</v>
      </c>
    </row>
    <row r="44" spans="1:10" x14ac:dyDescent="0.15">
      <c r="A44">
        <v>26123043</v>
      </c>
      <c r="B44" t="s">
        <v>337</v>
      </c>
      <c r="C44" t="s">
        <v>131</v>
      </c>
      <c r="D44" t="s">
        <v>1595</v>
      </c>
      <c r="E44" t="s">
        <v>123</v>
      </c>
      <c r="F44" t="s">
        <v>1591</v>
      </c>
      <c r="G44" t="s">
        <v>334</v>
      </c>
      <c r="H44" t="s">
        <v>1685</v>
      </c>
      <c r="I44" t="s">
        <v>1688</v>
      </c>
      <c r="J44" t="s">
        <v>1689</v>
      </c>
    </row>
    <row r="45" spans="1:10" x14ac:dyDescent="0.15">
      <c r="A45">
        <v>26123044</v>
      </c>
      <c r="B45" t="s">
        <v>342</v>
      </c>
      <c r="C45" t="s">
        <v>154</v>
      </c>
      <c r="D45" t="s">
        <v>1595</v>
      </c>
      <c r="E45" t="s">
        <v>123</v>
      </c>
      <c r="F45" t="s">
        <v>1591</v>
      </c>
      <c r="G45" t="s">
        <v>340</v>
      </c>
      <c r="H45" t="s">
        <v>1685</v>
      </c>
      <c r="I45" t="s">
        <v>1690</v>
      </c>
      <c r="J45" t="s">
        <v>1691</v>
      </c>
    </row>
    <row r="46" spans="1:10" x14ac:dyDescent="0.15">
      <c r="A46">
        <v>26123045</v>
      </c>
      <c r="B46" t="s">
        <v>349</v>
      </c>
      <c r="C46" t="s">
        <v>131</v>
      </c>
      <c r="D46" t="s">
        <v>1595</v>
      </c>
      <c r="E46" t="s">
        <v>123</v>
      </c>
      <c r="F46" t="s">
        <v>1591</v>
      </c>
      <c r="G46" t="s">
        <v>346</v>
      </c>
      <c r="H46" t="s">
        <v>1685</v>
      </c>
      <c r="I46" t="s">
        <v>1692</v>
      </c>
      <c r="J46" t="s">
        <v>1693</v>
      </c>
    </row>
    <row r="47" spans="1:10" x14ac:dyDescent="0.15">
      <c r="A47">
        <v>26123046</v>
      </c>
      <c r="B47" t="s">
        <v>354</v>
      </c>
      <c r="C47" t="s">
        <v>131</v>
      </c>
      <c r="D47" t="s">
        <v>1595</v>
      </c>
      <c r="E47" t="s">
        <v>123</v>
      </c>
      <c r="F47" t="s">
        <v>1591</v>
      </c>
      <c r="G47" t="s">
        <v>180</v>
      </c>
      <c r="H47" t="s">
        <v>1694</v>
      </c>
      <c r="I47" t="s">
        <v>1695</v>
      </c>
      <c r="J47" t="s">
        <v>1696</v>
      </c>
    </row>
    <row r="48" spans="1:10" x14ac:dyDescent="0.15">
      <c r="A48">
        <v>26123047</v>
      </c>
      <c r="B48" t="s">
        <v>358</v>
      </c>
      <c r="C48" t="s">
        <v>154</v>
      </c>
      <c r="D48" t="s">
        <v>1595</v>
      </c>
      <c r="E48" t="s">
        <v>123</v>
      </c>
      <c r="F48" t="s">
        <v>1464</v>
      </c>
      <c r="G48" t="s">
        <v>166</v>
      </c>
      <c r="H48" t="s">
        <v>1694</v>
      </c>
      <c r="I48" t="s">
        <v>1697</v>
      </c>
      <c r="J48" t="s">
        <v>1698</v>
      </c>
    </row>
    <row r="49" spans="1:10" x14ac:dyDescent="0.15">
      <c r="A49">
        <v>26123048</v>
      </c>
      <c r="B49" t="s">
        <v>362</v>
      </c>
      <c r="C49" t="s">
        <v>154</v>
      </c>
      <c r="D49" t="s">
        <v>1595</v>
      </c>
      <c r="E49" t="s">
        <v>123</v>
      </c>
      <c r="F49" t="s">
        <v>1464</v>
      </c>
      <c r="G49" t="s">
        <v>312</v>
      </c>
      <c r="H49" t="s">
        <v>1694</v>
      </c>
      <c r="I49" t="s">
        <v>1699</v>
      </c>
      <c r="J49" t="s">
        <v>1700</v>
      </c>
    </row>
    <row r="50" spans="1:10" x14ac:dyDescent="0.15">
      <c r="A50">
        <v>26123049</v>
      </c>
      <c r="B50" t="s">
        <v>365</v>
      </c>
      <c r="C50" t="s">
        <v>154</v>
      </c>
      <c r="D50" t="s">
        <v>1595</v>
      </c>
      <c r="E50" t="s">
        <v>123</v>
      </c>
      <c r="F50" t="s">
        <v>1464</v>
      </c>
      <c r="G50" t="s">
        <v>148</v>
      </c>
      <c r="H50" t="s">
        <v>1694</v>
      </c>
      <c r="I50" t="s">
        <v>1701</v>
      </c>
      <c r="J50" t="s">
        <v>1702</v>
      </c>
    </row>
    <row r="51" spans="1:10" x14ac:dyDescent="0.15">
      <c r="A51">
        <v>26123050</v>
      </c>
      <c r="B51" t="s">
        <v>369</v>
      </c>
      <c r="C51" t="s">
        <v>131</v>
      </c>
      <c r="D51" t="s">
        <v>1595</v>
      </c>
      <c r="E51" t="s">
        <v>123</v>
      </c>
      <c r="F51" t="s">
        <v>1591</v>
      </c>
      <c r="G51" t="s">
        <v>133</v>
      </c>
      <c r="H51" t="s">
        <v>1694</v>
      </c>
      <c r="I51" t="s">
        <v>1703</v>
      </c>
      <c r="J51" t="s">
        <v>1704</v>
      </c>
    </row>
    <row r="52" spans="1:10" x14ac:dyDescent="0.15">
      <c r="A52">
        <v>26123051</v>
      </c>
      <c r="B52" t="s">
        <v>373</v>
      </c>
      <c r="C52" t="s">
        <v>154</v>
      </c>
      <c r="D52" t="s">
        <v>1595</v>
      </c>
      <c r="E52" t="s">
        <v>123</v>
      </c>
      <c r="F52" t="s">
        <v>1591</v>
      </c>
      <c r="G52" t="s">
        <v>133</v>
      </c>
      <c r="H52" t="s">
        <v>1694</v>
      </c>
      <c r="I52" t="s">
        <v>1705</v>
      </c>
      <c r="J52" t="s">
        <v>1706</v>
      </c>
    </row>
    <row r="53" spans="1:10" x14ac:dyDescent="0.15">
      <c r="A53">
        <v>26123052</v>
      </c>
      <c r="B53" t="s">
        <v>376</v>
      </c>
      <c r="C53" t="s">
        <v>154</v>
      </c>
      <c r="D53" t="s">
        <v>1595</v>
      </c>
      <c r="E53" t="s">
        <v>123</v>
      </c>
      <c r="F53" t="s">
        <v>1464</v>
      </c>
      <c r="G53" t="s">
        <v>148</v>
      </c>
      <c r="H53" t="s">
        <v>1707</v>
      </c>
      <c r="I53" t="s">
        <v>1708</v>
      </c>
      <c r="J53" t="s">
        <v>1709</v>
      </c>
    </row>
    <row r="54" spans="1:10" x14ac:dyDescent="0.15">
      <c r="A54">
        <v>26123053</v>
      </c>
      <c r="B54" t="s">
        <v>380</v>
      </c>
      <c r="C54" t="s">
        <v>154</v>
      </c>
      <c r="D54" t="s">
        <v>1595</v>
      </c>
      <c r="E54" t="s">
        <v>123</v>
      </c>
      <c r="F54" t="s">
        <v>1464</v>
      </c>
      <c r="G54" t="s">
        <v>148</v>
      </c>
      <c r="H54" t="s">
        <v>1707</v>
      </c>
      <c r="I54" t="s">
        <v>1710</v>
      </c>
      <c r="J54" t="s">
        <v>1711</v>
      </c>
    </row>
    <row r="55" spans="1:10" x14ac:dyDescent="0.15">
      <c r="A55">
        <v>26123054</v>
      </c>
      <c r="B55" t="s">
        <v>383</v>
      </c>
      <c r="C55" t="s">
        <v>154</v>
      </c>
      <c r="D55" t="s">
        <v>1595</v>
      </c>
      <c r="E55" t="s">
        <v>123</v>
      </c>
      <c r="F55" t="s">
        <v>1464</v>
      </c>
      <c r="G55" t="s">
        <v>148</v>
      </c>
      <c r="H55" t="s">
        <v>1707</v>
      </c>
      <c r="I55" t="s">
        <v>1712</v>
      </c>
      <c r="J55" t="s">
        <v>1713</v>
      </c>
    </row>
    <row r="56" spans="1:10" x14ac:dyDescent="0.15">
      <c r="A56">
        <v>26123055</v>
      </c>
      <c r="B56" t="s">
        <v>385</v>
      </c>
      <c r="C56" t="s">
        <v>154</v>
      </c>
      <c r="D56" t="s">
        <v>1595</v>
      </c>
      <c r="E56" t="s">
        <v>123</v>
      </c>
      <c r="F56" t="s">
        <v>1464</v>
      </c>
      <c r="G56" t="s">
        <v>148</v>
      </c>
      <c r="H56" t="s">
        <v>1707</v>
      </c>
      <c r="I56" t="s">
        <v>1714</v>
      </c>
      <c r="J56" t="s">
        <v>1715</v>
      </c>
    </row>
    <row r="57" spans="1:10" x14ac:dyDescent="0.15">
      <c r="A57">
        <v>26123056</v>
      </c>
      <c r="B57" t="s">
        <v>387</v>
      </c>
      <c r="C57" t="s">
        <v>154</v>
      </c>
      <c r="D57" t="s">
        <v>1595</v>
      </c>
      <c r="E57" t="s">
        <v>123</v>
      </c>
      <c r="F57" t="s">
        <v>1464</v>
      </c>
      <c r="G57" t="s">
        <v>148</v>
      </c>
      <c r="H57" t="s">
        <v>1592</v>
      </c>
      <c r="I57" t="s">
        <v>1716</v>
      </c>
      <c r="J57" t="s">
        <v>1717</v>
      </c>
    </row>
    <row r="58" spans="1:10" x14ac:dyDescent="0.15">
      <c r="A58">
        <v>26123057</v>
      </c>
      <c r="B58" t="s">
        <v>390</v>
      </c>
      <c r="C58" t="s">
        <v>154</v>
      </c>
      <c r="D58" t="s">
        <v>1595</v>
      </c>
      <c r="E58" t="s">
        <v>123</v>
      </c>
      <c r="F58" t="s">
        <v>1464</v>
      </c>
      <c r="G58" t="s">
        <v>166</v>
      </c>
      <c r="H58" t="s">
        <v>1592</v>
      </c>
      <c r="I58" t="s">
        <v>1718</v>
      </c>
      <c r="J58" t="s">
        <v>1719</v>
      </c>
    </row>
    <row r="59" spans="1:10" x14ac:dyDescent="0.15">
      <c r="A59">
        <v>26123058</v>
      </c>
      <c r="B59" t="s">
        <v>392</v>
      </c>
      <c r="C59" t="s">
        <v>154</v>
      </c>
      <c r="D59" t="s">
        <v>1595</v>
      </c>
      <c r="E59" t="s">
        <v>123</v>
      </c>
      <c r="F59" t="s">
        <v>1464</v>
      </c>
      <c r="G59" t="s">
        <v>166</v>
      </c>
      <c r="H59" t="s">
        <v>1592</v>
      </c>
      <c r="I59" t="s">
        <v>1720</v>
      </c>
      <c r="J59" t="s">
        <v>1721</v>
      </c>
    </row>
    <row r="60" spans="1:10" x14ac:dyDescent="0.15">
      <c r="A60">
        <v>26123059</v>
      </c>
      <c r="B60" t="s">
        <v>394</v>
      </c>
      <c r="C60" t="s">
        <v>154</v>
      </c>
      <c r="D60" t="s">
        <v>1595</v>
      </c>
      <c r="E60" t="s">
        <v>123</v>
      </c>
      <c r="F60" t="s">
        <v>1464</v>
      </c>
      <c r="G60" t="s">
        <v>166</v>
      </c>
      <c r="H60" t="s">
        <v>1679</v>
      </c>
      <c r="I60" t="s">
        <v>1722</v>
      </c>
      <c r="J60" t="s">
        <v>1723</v>
      </c>
    </row>
    <row r="61" spans="1:10" x14ac:dyDescent="0.15">
      <c r="A61">
        <v>26123060</v>
      </c>
      <c r="B61" t="s">
        <v>397</v>
      </c>
      <c r="C61" t="s">
        <v>154</v>
      </c>
      <c r="D61" t="s">
        <v>1595</v>
      </c>
      <c r="E61" t="s">
        <v>123</v>
      </c>
      <c r="F61" t="s">
        <v>1464</v>
      </c>
      <c r="G61" t="s">
        <v>290</v>
      </c>
      <c r="H61" t="s">
        <v>1679</v>
      </c>
      <c r="I61" t="s">
        <v>1724</v>
      </c>
      <c r="J61" t="s">
        <v>1725</v>
      </c>
    </row>
    <row r="62" spans="1:10" x14ac:dyDescent="0.15">
      <c r="A62">
        <v>26123061</v>
      </c>
      <c r="B62" t="s">
        <v>401</v>
      </c>
      <c r="C62" t="s">
        <v>154</v>
      </c>
      <c r="D62" t="s">
        <v>1595</v>
      </c>
      <c r="E62" t="s">
        <v>123</v>
      </c>
      <c r="F62" t="s">
        <v>1591</v>
      </c>
      <c r="G62" t="s">
        <v>203</v>
      </c>
      <c r="H62" t="s">
        <v>1679</v>
      </c>
      <c r="I62" t="s">
        <v>1726</v>
      </c>
      <c r="J62" t="s">
        <v>1727</v>
      </c>
    </row>
    <row r="63" spans="1:10" x14ac:dyDescent="0.15">
      <c r="A63">
        <v>26123062</v>
      </c>
      <c r="B63" t="s">
        <v>408</v>
      </c>
      <c r="C63" t="s">
        <v>131</v>
      </c>
      <c r="D63" t="s">
        <v>1595</v>
      </c>
      <c r="E63" t="s">
        <v>123</v>
      </c>
      <c r="F63" t="s">
        <v>1591</v>
      </c>
      <c r="G63" t="s">
        <v>405</v>
      </c>
      <c r="H63" t="s">
        <v>1679</v>
      </c>
      <c r="I63" t="s">
        <v>1728</v>
      </c>
      <c r="J63" t="s">
        <v>1729</v>
      </c>
    </row>
    <row r="64" spans="1:10" x14ac:dyDescent="0.15">
      <c r="A64">
        <v>26123063</v>
      </c>
      <c r="B64" t="s">
        <v>415</v>
      </c>
      <c r="C64" t="s">
        <v>131</v>
      </c>
      <c r="D64" t="s">
        <v>1595</v>
      </c>
      <c r="E64" t="s">
        <v>123</v>
      </c>
      <c r="F64" t="s">
        <v>1591</v>
      </c>
      <c r="G64" t="s">
        <v>412</v>
      </c>
      <c r="H64" t="s">
        <v>1679</v>
      </c>
      <c r="I64" t="s">
        <v>1730</v>
      </c>
      <c r="J64" t="s">
        <v>1731</v>
      </c>
    </row>
    <row r="65" spans="1:10" x14ac:dyDescent="0.15">
      <c r="A65">
        <v>26123064</v>
      </c>
      <c r="B65" t="s">
        <v>419</v>
      </c>
      <c r="C65" t="s">
        <v>131</v>
      </c>
      <c r="D65" t="s">
        <v>1595</v>
      </c>
      <c r="E65" t="s">
        <v>123</v>
      </c>
      <c r="F65" t="s">
        <v>1591</v>
      </c>
      <c r="G65" t="s">
        <v>133</v>
      </c>
      <c r="H65" t="s">
        <v>1732</v>
      </c>
      <c r="I65" t="s">
        <v>1733</v>
      </c>
      <c r="J65" t="s">
        <v>1734</v>
      </c>
    </row>
    <row r="66" spans="1:10" x14ac:dyDescent="0.15">
      <c r="A66">
        <v>26123065</v>
      </c>
      <c r="B66" t="s">
        <v>423</v>
      </c>
      <c r="C66" t="s">
        <v>154</v>
      </c>
      <c r="D66" t="s">
        <v>1595</v>
      </c>
      <c r="E66" t="s">
        <v>123</v>
      </c>
      <c r="F66" t="s">
        <v>1464</v>
      </c>
      <c r="G66" t="s">
        <v>148</v>
      </c>
      <c r="H66" t="s">
        <v>1732</v>
      </c>
      <c r="I66" t="s">
        <v>1735</v>
      </c>
      <c r="J66" t="s">
        <v>1736</v>
      </c>
    </row>
    <row r="67" spans="1:10" x14ac:dyDescent="0.15">
      <c r="A67">
        <v>26123066</v>
      </c>
      <c r="B67" t="s">
        <v>427</v>
      </c>
      <c r="C67" t="s">
        <v>154</v>
      </c>
      <c r="D67" t="s">
        <v>1595</v>
      </c>
      <c r="E67" t="s">
        <v>123</v>
      </c>
      <c r="F67" t="s">
        <v>1464</v>
      </c>
      <c r="G67" t="s">
        <v>148</v>
      </c>
      <c r="H67" t="s">
        <v>1732</v>
      </c>
      <c r="I67" t="s">
        <v>1737</v>
      </c>
      <c r="J67" t="s">
        <v>1738</v>
      </c>
    </row>
    <row r="68" spans="1:10" x14ac:dyDescent="0.15">
      <c r="A68">
        <v>26123067</v>
      </c>
      <c r="B68" t="s">
        <v>430</v>
      </c>
      <c r="C68" t="s">
        <v>131</v>
      </c>
      <c r="D68" t="s">
        <v>1595</v>
      </c>
      <c r="E68" t="s">
        <v>123</v>
      </c>
      <c r="F68" t="s">
        <v>1464</v>
      </c>
      <c r="G68" t="s">
        <v>148</v>
      </c>
      <c r="H68" t="s">
        <v>1732</v>
      </c>
      <c r="I68" t="s">
        <v>1739</v>
      </c>
      <c r="J68" t="s">
        <v>1740</v>
      </c>
    </row>
    <row r="69" spans="1:10" x14ac:dyDescent="0.15">
      <c r="A69">
        <v>26123068</v>
      </c>
      <c r="B69" t="s">
        <v>434</v>
      </c>
      <c r="C69" t="s">
        <v>131</v>
      </c>
      <c r="D69" t="s">
        <v>1595</v>
      </c>
      <c r="E69" t="s">
        <v>123</v>
      </c>
      <c r="F69" t="s">
        <v>1591</v>
      </c>
      <c r="G69" t="s">
        <v>323</v>
      </c>
      <c r="H69" t="s">
        <v>1741</v>
      </c>
      <c r="I69" t="s">
        <v>1742</v>
      </c>
      <c r="J69" t="s">
        <v>1743</v>
      </c>
    </row>
    <row r="70" spans="1:10" x14ac:dyDescent="0.15">
      <c r="A70">
        <v>26123069</v>
      </c>
      <c r="B70" t="s">
        <v>441</v>
      </c>
      <c r="C70" t="s">
        <v>154</v>
      </c>
      <c r="D70" t="s">
        <v>1595</v>
      </c>
      <c r="E70" t="s">
        <v>123</v>
      </c>
      <c r="F70" t="s">
        <v>1591</v>
      </c>
      <c r="G70" t="s">
        <v>438</v>
      </c>
      <c r="H70" t="s">
        <v>1741</v>
      </c>
      <c r="I70" t="s">
        <v>1744</v>
      </c>
      <c r="J70" t="s">
        <v>1745</v>
      </c>
    </row>
    <row r="71" spans="1:10" x14ac:dyDescent="0.15">
      <c r="A71">
        <v>26123070</v>
      </c>
      <c r="B71" t="s">
        <v>445</v>
      </c>
      <c r="C71" t="s">
        <v>131</v>
      </c>
      <c r="D71" t="s">
        <v>1595</v>
      </c>
      <c r="E71" t="s">
        <v>123</v>
      </c>
      <c r="F71" t="s">
        <v>1591</v>
      </c>
      <c r="G71" t="s">
        <v>323</v>
      </c>
      <c r="H71" t="s">
        <v>1741</v>
      </c>
      <c r="I71" t="s">
        <v>1746</v>
      </c>
      <c r="J71" t="s">
        <v>1747</v>
      </c>
    </row>
    <row r="72" spans="1:10" x14ac:dyDescent="0.15">
      <c r="A72">
        <v>26123071</v>
      </c>
      <c r="B72" t="s">
        <v>451</v>
      </c>
      <c r="C72" t="s">
        <v>154</v>
      </c>
      <c r="D72" t="s">
        <v>1595</v>
      </c>
      <c r="E72" t="s">
        <v>123</v>
      </c>
      <c r="F72" t="s">
        <v>1464</v>
      </c>
      <c r="G72" t="s">
        <v>448</v>
      </c>
      <c r="H72" t="s">
        <v>1741</v>
      </c>
      <c r="I72" t="s">
        <v>1748</v>
      </c>
      <c r="J72" t="s">
        <v>1749</v>
      </c>
    </row>
    <row r="73" spans="1:10" x14ac:dyDescent="0.15">
      <c r="A73">
        <v>26123072</v>
      </c>
      <c r="B73" t="s">
        <v>455</v>
      </c>
      <c r="C73" t="s">
        <v>154</v>
      </c>
      <c r="D73" t="s">
        <v>1595</v>
      </c>
      <c r="E73" t="s">
        <v>123</v>
      </c>
      <c r="F73" t="s">
        <v>1464</v>
      </c>
      <c r="G73" t="s">
        <v>148</v>
      </c>
      <c r="H73" t="s">
        <v>1741</v>
      </c>
      <c r="I73" t="s">
        <v>1750</v>
      </c>
      <c r="J73" t="s">
        <v>1751</v>
      </c>
    </row>
    <row r="74" spans="1:10" x14ac:dyDescent="0.15">
      <c r="A74">
        <v>26123073</v>
      </c>
      <c r="B74" t="s">
        <v>459</v>
      </c>
      <c r="C74" t="s">
        <v>154</v>
      </c>
      <c r="D74" t="s">
        <v>1427</v>
      </c>
      <c r="E74" t="s">
        <v>123</v>
      </c>
      <c r="F74" t="s">
        <v>1591</v>
      </c>
      <c r="G74" t="s">
        <v>180</v>
      </c>
      <c r="H74" t="s">
        <v>1741</v>
      </c>
      <c r="I74" t="s">
        <v>1752</v>
      </c>
      <c r="J74" t="s">
        <v>1753</v>
      </c>
    </row>
    <row r="75" spans="1:10" x14ac:dyDescent="0.15">
      <c r="A75">
        <v>26123074</v>
      </c>
      <c r="B75" t="s">
        <v>465</v>
      </c>
      <c r="C75" t="s">
        <v>154</v>
      </c>
      <c r="D75" t="s">
        <v>1595</v>
      </c>
      <c r="E75" t="s">
        <v>123</v>
      </c>
      <c r="F75" t="s">
        <v>1591</v>
      </c>
      <c r="G75" t="s">
        <v>463</v>
      </c>
      <c r="H75" t="s">
        <v>1682</v>
      </c>
      <c r="I75" t="s">
        <v>1754</v>
      </c>
      <c r="J75" t="s">
        <v>1755</v>
      </c>
    </row>
    <row r="76" spans="1:10" x14ac:dyDescent="0.15">
      <c r="A76">
        <v>26123075</v>
      </c>
      <c r="B76" t="s">
        <v>468</v>
      </c>
      <c r="C76" t="s">
        <v>154</v>
      </c>
      <c r="D76" t="s">
        <v>1595</v>
      </c>
      <c r="E76" t="s">
        <v>123</v>
      </c>
      <c r="F76" t="s">
        <v>1464</v>
      </c>
      <c r="G76" t="s">
        <v>148</v>
      </c>
      <c r="H76" t="s">
        <v>1682</v>
      </c>
      <c r="I76" t="s">
        <v>1756</v>
      </c>
      <c r="J76" t="s">
        <v>1757</v>
      </c>
    </row>
    <row r="77" spans="1:10" x14ac:dyDescent="0.15">
      <c r="A77">
        <v>26123076</v>
      </c>
      <c r="B77" t="s">
        <v>473</v>
      </c>
      <c r="C77" t="s">
        <v>154</v>
      </c>
      <c r="D77" t="s">
        <v>1595</v>
      </c>
      <c r="E77" t="s">
        <v>123</v>
      </c>
      <c r="F77" t="s">
        <v>1591</v>
      </c>
      <c r="G77" t="s">
        <v>471</v>
      </c>
      <c r="H77" t="s">
        <v>1682</v>
      </c>
      <c r="I77" t="s">
        <v>1758</v>
      </c>
      <c r="J77" t="s">
        <v>1759</v>
      </c>
    </row>
    <row r="78" spans="1:10" x14ac:dyDescent="0.15">
      <c r="A78">
        <v>26123077</v>
      </c>
      <c r="B78" t="s">
        <v>477</v>
      </c>
      <c r="C78" t="s">
        <v>154</v>
      </c>
      <c r="D78" t="s">
        <v>1595</v>
      </c>
      <c r="E78" t="s">
        <v>123</v>
      </c>
      <c r="F78" t="s">
        <v>1464</v>
      </c>
      <c r="G78" t="s">
        <v>148</v>
      </c>
      <c r="H78" t="s">
        <v>1682</v>
      </c>
      <c r="I78" t="s">
        <v>1760</v>
      </c>
      <c r="J78" t="s">
        <v>1761</v>
      </c>
    </row>
    <row r="79" spans="1:10" x14ac:dyDescent="0.15">
      <c r="A79">
        <v>26123078</v>
      </c>
      <c r="B79" t="s">
        <v>481</v>
      </c>
      <c r="C79" t="s">
        <v>131</v>
      </c>
      <c r="D79" t="s">
        <v>1595</v>
      </c>
      <c r="E79" t="s">
        <v>123</v>
      </c>
      <c r="F79" t="s">
        <v>1591</v>
      </c>
      <c r="G79" t="s">
        <v>180</v>
      </c>
      <c r="H79" t="s">
        <v>1650</v>
      </c>
      <c r="I79" t="s">
        <v>1762</v>
      </c>
      <c r="J79" t="s">
        <v>1763</v>
      </c>
    </row>
    <row r="80" spans="1:10" x14ac:dyDescent="0.15">
      <c r="A80">
        <v>26123079</v>
      </c>
      <c r="B80" t="s">
        <v>485</v>
      </c>
      <c r="C80" t="s">
        <v>131</v>
      </c>
      <c r="D80" t="s">
        <v>1595</v>
      </c>
      <c r="E80" t="s">
        <v>123</v>
      </c>
      <c r="F80" t="s">
        <v>1464</v>
      </c>
      <c r="G80" t="s">
        <v>148</v>
      </c>
      <c r="H80" t="s">
        <v>1650</v>
      </c>
      <c r="I80" t="s">
        <v>1764</v>
      </c>
      <c r="J80" t="s">
        <v>1765</v>
      </c>
    </row>
    <row r="81" spans="1:10" x14ac:dyDescent="0.15">
      <c r="A81">
        <v>26123080</v>
      </c>
      <c r="B81" t="s">
        <v>487</v>
      </c>
      <c r="C81" t="s">
        <v>154</v>
      </c>
      <c r="D81" t="s">
        <v>1427</v>
      </c>
      <c r="E81" t="s">
        <v>123</v>
      </c>
      <c r="F81" t="s">
        <v>1464</v>
      </c>
      <c r="G81" t="s">
        <v>290</v>
      </c>
      <c r="H81" t="s">
        <v>1650</v>
      </c>
      <c r="I81" t="s">
        <v>1766</v>
      </c>
      <c r="J81" t="s">
        <v>1767</v>
      </c>
    </row>
    <row r="82" spans="1:10" x14ac:dyDescent="0.15">
      <c r="A82">
        <v>26123081</v>
      </c>
      <c r="B82" t="s">
        <v>495</v>
      </c>
      <c r="C82" t="s">
        <v>131</v>
      </c>
      <c r="D82" t="s">
        <v>1595</v>
      </c>
      <c r="E82" t="s">
        <v>123</v>
      </c>
      <c r="F82" t="s">
        <v>1591</v>
      </c>
      <c r="G82" t="s">
        <v>492</v>
      </c>
      <c r="H82" t="s">
        <v>1650</v>
      </c>
      <c r="I82" t="s">
        <v>1768</v>
      </c>
      <c r="J82" t="s">
        <v>1769</v>
      </c>
    </row>
    <row r="83" spans="1:10" x14ac:dyDescent="0.15">
      <c r="A83">
        <v>26123082</v>
      </c>
      <c r="B83" t="s">
        <v>502</v>
      </c>
      <c r="C83" t="s">
        <v>131</v>
      </c>
      <c r="D83" t="s">
        <v>1595</v>
      </c>
      <c r="E83" t="s">
        <v>123</v>
      </c>
      <c r="F83" t="s">
        <v>1464</v>
      </c>
      <c r="G83" t="s">
        <v>499</v>
      </c>
      <c r="H83" t="s">
        <v>1650</v>
      </c>
      <c r="I83" t="s">
        <v>1770</v>
      </c>
      <c r="J83" t="s">
        <v>1771</v>
      </c>
    </row>
    <row r="84" spans="1:10" x14ac:dyDescent="0.15">
      <c r="A84">
        <v>26123083</v>
      </c>
      <c r="B84" t="s">
        <v>509</v>
      </c>
      <c r="C84" t="s">
        <v>131</v>
      </c>
      <c r="D84" t="s">
        <v>1595</v>
      </c>
      <c r="E84" t="s">
        <v>123</v>
      </c>
      <c r="F84" t="s">
        <v>1464</v>
      </c>
      <c r="G84" t="s">
        <v>506</v>
      </c>
      <c r="H84" t="s">
        <v>1694</v>
      </c>
      <c r="I84" t="s">
        <v>1772</v>
      </c>
      <c r="J84" t="s">
        <v>1773</v>
      </c>
    </row>
    <row r="85" spans="1:10" x14ac:dyDescent="0.15">
      <c r="A85">
        <v>26123084</v>
      </c>
      <c r="B85" t="s">
        <v>512</v>
      </c>
      <c r="C85" t="s">
        <v>131</v>
      </c>
      <c r="D85" t="s">
        <v>1595</v>
      </c>
      <c r="E85" t="s">
        <v>123</v>
      </c>
      <c r="F85" t="s">
        <v>1464</v>
      </c>
      <c r="G85" t="s">
        <v>499</v>
      </c>
      <c r="H85" t="s">
        <v>1694</v>
      </c>
      <c r="I85" t="s">
        <v>1774</v>
      </c>
      <c r="J85" t="s">
        <v>1775</v>
      </c>
    </row>
    <row r="86" spans="1:10" x14ac:dyDescent="0.15">
      <c r="A86">
        <v>26123085</v>
      </c>
      <c r="B86" t="s">
        <v>519</v>
      </c>
      <c r="C86" t="s">
        <v>131</v>
      </c>
      <c r="D86" t="s">
        <v>1595</v>
      </c>
      <c r="E86" t="s">
        <v>123</v>
      </c>
      <c r="F86" t="s">
        <v>1464</v>
      </c>
      <c r="G86" t="s">
        <v>516</v>
      </c>
      <c r="H86" t="s">
        <v>1694</v>
      </c>
      <c r="I86" t="s">
        <v>1776</v>
      </c>
      <c r="J86" t="s">
        <v>1777</v>
      </c>
    </row>
    <row r="87" spans="1:10" x14ac:dyDescent="0.15">
      <c r="A87">
        <v>26123086</v>
      </c>
      <c r="B87" t="s">
        <v>523</v>
      </c>
      <c r="C87" t="s">
        <v>131</v>
      </c>
      <c r="D87" t="s">
        <v>1595</v>
      </c>
      <c r="E87" t="s">
        <v>123</v>
      </c>
      <c r="F87" t="s">
        <v>1464</v>
      </c>
      <c r="G87" t="s">
        <v>506</v>
      </c>
      <c r="H87" t="s">
        <v>1694</v>
      </c>
      <c r="I87" t="s">
        <v>1778</v>
      </c>
      <c r="J87" t="s">
        <v>1779</v>
      </c>
    </row>
    <row r="88" spans="1:10" x14ac:dyDescent="0.15">
      <c r="A88">
        <v>26123087</v>
      </c>
      <c r="B88" t="s">
        <v>530</v>
      </c>
      <c r="C88" t="s">
        <v>131</v>
      </c>
      <c r="D88" t="s">
        <v>1595</v>
      </c>
      <c r="E88" t="s">
        <v>123</v>
      </c>
      <c r="F88" t="s">
        <v>1591</v>
      </c>
      <c r="G88" t="s">
        <v>527</v>
      </c>
      <c r="H88" t="s">
        <v>1694</v>
      </c>
      <c r="I88" t="s">
        <v>1780</v>
      </c>
      <c r="J88" t="s">
        <v>1781</v>
      </c>
    </row>
    <row r="89" spans="1:10" x14ac:dyDescent="0.15">
      <c r="A89">
        <v>26123088</v>
      </c>
      <c r="B89" t="s">
        <v>537</v>
      </c>
      <c r="C89" t="s">
        <v>154</v>
      </c>
      <c r="D89" t="s">
        <v>1595</v>
      </c>
      <c r="E89" t="s">
        <v>123</v>
      </c>
      <c r="F89" t="s">
        <v>1591</v>
      </c>
      <c r="G89" t="s">
        <v>534</v>
      </c>
      <c r="H89" t="s">
        <v>1694</v>
      </c>
      <c r="I89" t="s">
        <v>1782</v>
      </c>
      <c r="J89" t="s">
        <v>1783</v>
      </c>
    </row>
    <row r="90" spans="1:10" x14ac:dyDescent="0.15">
      <c r="A90">
        <v>26123089</v>
      </c>
      <c r="B90" t="s">
        <v>541</v>
      </c>
      <c r="C90" t="s">
        <v>154</v>
      </c>
      <c r="D90" t="s">
        <v>1595</v>
      </c>
      <c r="E90" t="s">
        <v>123</v>
      </c>
      <c r="F90" t="s">
        <v>1464</v>
      </c>
      <c r="G90" t="s">
        <v>166</v>
      </c>
      <c r="H90" t="s">
        <v>1694</v>
      </c>
      <c r="I90" t="s">
        <v>1784</v>
      </c>
      <c r="J90" t="s">
        <v>1785</v>
      </c>
    </row>
    <row r="91" spans="1:10" x14ac:dyDescent="0.15">
      <c r="A91">
        <v>26123090</v>
      </c>
      <c r="B91" t="s">
        <v>545</v>
      </c>
      <c r="C91" t="s">
        <v>154</v>
      </c>
      <c r="D91" t="s">
        <v>1595</v>
      </c>
      <c r="E91" t="s">
        <v>123</v>
      </c>
      <c r="F91" t="s">
        <v>1464</v>
      </c>
      <c r="G91" t="s">
        <v>148</v>
      </c>
      <c r="H91" t="s">
        <v>1694</v>
      </c>
      <c r="I91" t="s">
        <v>1786</v>
      </c>
      <c r="J91" t="s">
        <v>1787</v>
      </c>
    </row>
    <row r="92" spans="1:10" x14ac:dyDescent="0.15">
      <c r="A92">
        <v>26123091</v>
      </c>
      <c r="B92" t="s">
        <v>552</v>
      </c>
      <c r="C92" t="s">
        <v>154</v>
      </c>
      <c r="D92" t="s">
        <v>1595</v>
      </c>
      <c r="E92" t="s">
        <v>123</v>
      </c>
      <c r="F92" t="s">
        <v>1591</v>
      </c>
      <c r="G92" t="s">
        <v>549</v>
      </c>
      <c r="H92" t="s">
        <v>1694</v>
      </c>
      <c r="I92" t="s">
        <v>1788</v>
      </c>
      <c r="J92" t="s">
        <v>1789</v>
      </c>
    </row>
    <row r="93" spans="1:10" x14ac:dyDescent="0.15">
      <c r="A93">
        <v>26123092</v>
      </c>
      <c r="B93" t="s">
        <v>555</v>
      </c>
      <c r="C93" t="s">
        <v>154</v>
      </c>
      <c r="D93" t="s">
        <v>1595</v>
      </c>
      <c r="E93" t="s">
        <v>123</v>
      </c>
      <c r="F93" t="s">
        <v>1464</v>
      </c>
      <c r="G93" t="s">
        <v>506</v>
      </c>
      <c r="H93" t="s">
        <v>1694</v>
      </c>
      <c r="I93" t="s">
        <v>1790</v>
      </c>
      <c r="J93" t="s">
        <v>1791</v>
      </c>
    </row>
    <row r="94" spans="1:10" x14ac:dyDescent="0.15">
      <c r="A94">
        <v>26123093</v>
      </c>
      <c r="B94" t="s">
        <v>558</v>
      </c>
      <c r="C94" t="s">
        <v>131</v>
      </c>
      <c r="D94" t="s">
        <v>1595</v>
      </c>
      <c r="E94" t="s">
        <v>123</v>
      </c>
      <c r="F94" t="s">
        <v>1464</v>
      </c>
      <c r="G94" t="s">
        <v>506</v>
      </c>
      <c r="H94" t="s">
        <v>1694</v>
      </c>
      <c r="I94" t="s">
        <v>1792</v>
      </c>
      <c r="J94" t="s">
        <v>1793</v>
      </c>
    </row>
    <row r="95" spans="1:10" x14ac:dyDescent="0.15">
      <c r="A95">
        <v>26123094</v>
      </c>
      <c r="B95" t="s">
        <v>562</v>
      </c>
      <c r="C95" t="s">
        <v>154</v>
      </c>
      <c r="D95" t="s">
        <v>1595</v>
      </c>
      <c r="E95" t="s">
        <v>123</v>
      </c>
      <c r="F95" t="s">
        <v>1464</v>
      </c>
      <c r="G95" t="s">
        <v>506</v>
      </c>
      <c r="H95" t="s">
        <v>1694</v>
      </c>
      <c r="I95" t="s">
        <v>1794</v>
      </c>
      <c r="J95" t="s">
        <v>1795</v>
      </c>
    </row>
    <row r="96" spans="1:10" x14ac:dyDescent="0.15">
      <c r="A96">
        <v>26123095</v>
      </c>
      <c r="B96" t="s">
        <v>567</v>
      </c>
      <c r="C96" t="s">
        <v>131</v>
      </c>
      <c r="D96" t="s">
        <v>1595</v>
      </c>
      <c r="E96" t="s">
        <v>123</v>
      </c>
      <c r="F96" t="s">
        <v>1591</v>
      </c>
      <c r="G96" t="s">
        <v>565</v>
      </c>
      <c r="H96" t="s">
        <v>1606</v>
      </c>
      <c r="I96" t="s">
        <v>1796</v>
      </c>
      <c r="J96" t="s">
        <v>1797</v>
      </c>
    </row>
    <row r="97" spans="1:10" x14ac:dyDescent="0.15">
      <c r="A97">
        <v>26123096</v>
      </c>
      <c r="B97" t="s">
        <v>572</v>
      </c>
      <c r="C97" t="s">
        <v>154</v>
      </c>
      <c r="D97" t="s">
        <v>1595</v>
      </c>
      <c r="E97" t="s">
        <v>123</v>
      </c>
      <c r="F97" t="s">
        <v>1591</v>
      </c>
      <c r="G97" t="s">
        <v>570</v>
      </c>
      <c r="H97" t="s">
        <v>1606</v>
      </c>
      <c r="I97" t="s">
        <v>1798</v>
      </c>
      <c r="J97" t="s">
        <v>1799</v>
      </c>
    </row>
    <row r="98" spans="1:10" x14ac:dyDescent="0.15">
      <c r="A98">
        <v>26123097</v>
      </c>
      <c r="B98" t="s">
        <v>576</v>
      </c>
      <c r="C98" t="s">
        <v>154</v>
      </c>
      <c r="D98" t="s">
        <v>1595</v>
      </c>
      <c r="E98" t="s">
        <v>123</v>
      </c>
      <c r="F98" t="s">
        <v>1464</v>
      </c>
      <c r="G98" t="s">
        <v>166</v>
      </c>
      <c r="H98" t="s">
        <v>1606</v>
      </c>
      <c r="I98" t="s">
        <v>1800</v>
      </c>
      <c r="J98" t="s">
        <v>1801</v>
      </c>
    </row>
    <row r="99" spans="1:10" x14ac:dyDescent="0.15">
      <c r="A99">
        <v>26123098</v>
      </c>
      <c r="B99" t="s">
        <v>583</v>
      </c>
      <c r="C99" t="s">
        <v>131</v>
      </c>
      <c r="D99" t="s">
        <v>1595</v>
      </c>
      <c r="E99" t="s">
        <v>123</v>
      </c>
      <c r="F99" t="s">
        <v>1591</v>
      </c>
      <c r="G99" t="s">
        <v>580</v>
      </c>
      <c r="H99" t="s">
        <v>1606</v>
      </c>
      <c r="I99" t="s">
        <v>1802</v>
      </c>
      <c r="J99" t="s">
        <v>1803</v>
      </c>
    </row>
    <row r="100" spans="1:10" x14ac:dyDescent="0.15">
      <c r="A100">
        <v>26123099</v>
      </c>
      <c r="B100" t="s">
        <v>590</v>
      </c>
      <c r="C100" t="s">
        <v>131</v>
      </c>
      <c r="D100" t="s">
        <v>1427</v>
      </c>
      <c r="E100" t="s">
        <v>123</v>
      </c>
      <c r="F100" t="s">
        <v>1591</v>
      </c>
      <c r="G100" t="s">
        <v>587</v>
      </c>
      <c r="H100" t="s">
        <v>1606</v>
      </c>
      <c r="I100" t="s">
        <v>1804</v>
      </c>
      <c r="J100" t="s">
        <v>1805</v>
      </c>
    </row>
    <row r="101" spans="1:10" x14ac:dyDescent="0.15">
      <c r="A101">
        <v>26123100</v>
      </c>
      <c r="B101" t="s">
        <v>595</v>
      </c>
      <c r="C101" t="s">
        <v>154</v>
      </c>
      <c r="D101" t="s">
        <v>1595</v>
      </c>
      <c r="E101" t="s">
        <v>123</v>
      </c>
      <c r="F101" t="s">
        <v>1464</v>
      </c>
      <c r="G101" t="s">
        <v>148</v>
      </c>
      <c r="H101" t="s">
        <v>1606</v>
      </c>
      <c r="I101" t="s">
        <v>1806</v>
      </c>
      <c r="J101" t="s">
        <v>1807</v>
      </c>
    </row>
    <row r="102" spans="1:10" x14ac:dyDescent="0.15">
      <c r="A102">
        <v>26123101</v>
      </c>
      <c r="B102" t="s">
        <v>599</v>
      </c>
      <c r="C102" t="s">
        <v>154</v>
      </c>
      <c r="D102" t="s">
        <v>1595</v>
      </c>
      <c r="E102" t="s">
        <v>123</v>
      </c>
      <c r="F102" t="s">
        <v>1464</v>
      </c>
      <c r="G102" t="s">
        <v>148</v>
      </c>
      <c r="H102" t="s">
        <v>1592</v>
      </c>
      <c r="I102" t="s">
        <v>1808</v>
      </c>
      <c r="J102" t="s">
        <v>1809</v>
      </c>
    </row>
    <row r="103" spans="1:10" x14ac:dyDescent="0.15">
      <c r="A103">
        <v>26123102</v>
      </c>
      <c r="B103" t="s">
        <v>605</v>
      </c>
      <c r="C103" t="s">
        <v>131</v>
      </c>
      <c r="D103" t="s">
        <v>1595</v>
      </c>
      <c r="E103" t="s">
        <v>123</v>
      </c>
      <c r="F103" t="s">
        <v>1591</v>
      </c>
      <c r="G103" t="s">
        <v>174</v>
      </c>
      <c r="H103" t="s">
        <v>1592</v>
      </c>
      <c r="I103" t="s">
        <v>1810</v>
      </c>
      <c r="J103" t="s">
        <v>1811</v>
      </c>
    </row>
    <row r="104" spans="1:10" x14ac:dyDescent="0.15">
      <c r="A104">
        <v>26123103</v>
      </c>
      <c r="B104" t="s">
        <v>612</v>
      </c>
      <c r="C104" t="s">
        <v>154</v>
      </c>
      <c r="D104" t="s">
        <v>1595</v>
      </c>
      <c r="E104" t="s">
        <v>123</v>
      </c>
      <c r="F104" t="s">
        <v>1591</v>
      </c>
      <c r="G104" t="s">
        <v>609</v>
      </c>
      <c r="H104" t="s">
        <v>1592</v>
      </c>
      <c r="I104" t="s">
        <v>1812</v>
      </c>
      <c r="J104" t="s">
        <v>1813</v>
      </c>
    </row>
    <row r="105" spans="1:10" x14ac:dyDescent="0.15">
      <c r="A105">
        <v>26123104</v>
      </c>
      <c r="B105" t="s">
        <v>616</v>
      </c>
      <c r="C105" t="s">
        <v>154</v>
      </c>
      <c r="D105" t="s">
        <v>1595</v>
      </c>
      <c r="E105" t="s">
        <v>123</v>
      </c>
      <c r="F105" t="s">
        <v>1591</v>
      </c>
      <c r="G105" t="s">
        <v>609</v>
      </c>
      <c r="H105" t="s">
        <v>1592</v>
      </c>
      <c r="I105" t="s">
        <v>1814</v>
      </c>
      <c r="J105" t="s">
        <v>1815</v>
      </c>
    </row>
    <row r="106" spans="1:10" x14ac:dyDescent="0.15">
      <c r="A106">
        <v>26123105</v>
      </c>
      <c r="B106" t="s">
        <v>617</v>
      </c>
      <c r="C106" t="s">
        <v>154</v>
      </c>
      <c r="D106" t="s">
        <v>1595</v>
      </c>
      <c r="E106" t="s">
        <v>123</v>
      </c>
      <c r="F106" t="s">
        <v>1591</v>
      </c>
      <c r="G106" t="s">
        <v>609</v>
      </c>
      <c r="H106" t="s">
        <v>1707</v>
      </c>
      <c r="I106" t="s">
        <v>1816</v>
      </c>
      <c r="J106" t="s">
        <v>1817</v>
      </c>
    </row>
    <row r="107" spans="1:10" x14ac:dyDescent="0.15">
      <c r="A107">
        <v>26123106</v>
      </c>
      <c r="B107" t="s">
        <v>618</v>
      </c>
      <c r="C107" t="s">
        <v>154</v>
      </c>
      <c r="D107" t="s">
        <v>1595</v>
      </c>
      <c r="E107" t="s">
        <v>123</v>
      </c>
      <c r="F107" t="s">
        <v>1591</v>
      </c>
      <c r="G107" t="s">
        <v>609</v>
      </c>
      <c r="H107" t="s">
        <v>1707</v>
      </c>
      <c r="I107" t="s">
        <v>1818</v>
      </c>
      <c r="J107" t="s">
        <v>1819</v>
      </c>
    </row>
    <row r="108" spans="1:10" x14ac:dyDescent="0.15">
      <c r="A108">
        <v>26123107</v>
      </c>
      <c r="B108" t="s">
        <v>619</v>
      </c>
      <c r="C108" t="s">
        <v>154</v>
      </c>
      <c r="D108" t="s">
        <v>1595</v>
      </c>
      <c r="E108" t="s">
        <v>123</v>
      </c>
      <c r="F108" t="s">
        <v>1591</v>
      </c>
      <c r="G108" t="s">
        <v>609</v>
      </c>
      <c r="H108" t="s">
        <v>1707</v>
      </c>
      <c r="I108" t="s">
        <v>1820</v>
      </c>
      <c r="J108" t="s">
        <v>1821</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18"/>
  <sheetViews>
    <sheetView workbookViewId="0"/>
  </sheetViews>
  <sheetFormatPr defaultRowHeight="13.5" x14ac:dyDescent="0.15"/>
  <sheetData>
    <row r="1" spans="1:29" x14ac:dyDescent="0.15">
      <c r="A1" s="1" t="s">
        <v>1432</v>
      </c>
      <c r="B1" s="1" t="s">
        <v>1433</v>
      </c>
      <c r="C1" s="1" t="s">
        <v>1434</v>
      </c>
      <c r="D1" s="1" t="s">
        <v>1435</v>
      </c>
      <c r="E1" s="1" t="s">
        <v>1436</v>
      </c>
      <c r="F1" s="1" t="s">
        <v>1437</v>
      </c>
      <c r="G1" s="1" t="s">
        <v>1438</v>
      </c>
      <c r="H1" s="1" t="s">
        <v>1439</v>
      </c>
      <c r="I1" s="1" t="s">
        <v>1440</v>
      </c>
      <c r="J1" s="1" t="s">
        <v>1441</v>
      </c>
      <c r="K1" s="1" t="s">
        <v>1442</v>
      </c>
      <c r="L1" s="1" t="s">
        <v>1443</v>
      </c>
      <c r="M1" s="1" t="s">
        <v>1822</v>
      </c>
      <c r="N1" s="1" t="s">
        <v>1823</v>
      </c>
      <c r="O1" s="1" t="s">
        <v>1824</v>
      </c>
      <c r="P1" s="1" t="s">
        <v>1825</v>
      </c>
      <c r="Q1" s="1" t="s">
        <v>1826</v>
      </c>
      <c r="R1" s="1" t="s">
        <v>1827</v>
      </c>
      <c r="S1" s="1" t="s">
        <v>1828</v>
      </c>
      <c r="T1" s="1" t="s">
        <v>1829</v>
      </c>
      <c r="U1" s="1" t="s">
        <v>1830</v>
      </c>
      <c r="V1" s="1" t="s">
        <v>1831</v>
      </c>
      <c r="W1" s="1" t="s">
        <v>1832</v>
      </c>
      <c r="X1" s="1" t="s">
        <v>1833</v>
      </c>
      <c r="Y1" s="1" t="s">
        <v>1834</v>
      </c>
      <c r="Z1" s="1" t="s">
        <v>1835</v>
      </c>
      <c r="AA1" s="1" t="s">
        <v>1457</v>
      </c>
      <c r="AB1" s="1" t="s">
        <v>1459</v>
      </c>
      <c r="AC1" s="1" t="s">
        <v>1460</v>
      </c>
    </row>
    <row r="2" spans="1:29" x14ac:dyDescent="0.15">
      <c r="A2">
        <v>26123007</v>
      </c>
      <c r="B2" t="s">
        <v>162</v>
      </c>
      <c r="C2" t="s">
        <v>1836</v>
      </c>
      <c r="D2" t="s">
        <v>1837</v>
      </c>
      <c r="E2" t="s">
        <v>1838</v>
      </c>
      <c r="F2" t="s">
        <v>123</v>
      </c>
      <c r="G2" t="s">
        <v>1839</v>
      </c>
      <c r="H2" t="s">
        <v>7</v>
      </c>
      <c r="I2" t="s">
        <v>1840</v>
      </c>
      <c r="J2" t="s">
        <v>125</v>
      </c>
      <c r="N2">
        <v>184</v>
      </c>
      <c r="W2">
        <v>5</v>
      </c>
      <c r="AB2" t="s">
        <v>1469</v>
      </c>
    </row>
    <row r="3" spans="1:29" x14ac:dyDescent="0.15">
      <c r="A3">
        <v>26123008</v>
      </c>
      <c r="B3" t="s">
        <v>169</v>
      </c>
      <c r="C3" t="s">
        <v>1841</v>
      </c>
      <c r="D3" t="s">
        <v>1837</v>
      </c>
      <c r="E3" t="s">
        <v>1838</v>
      </c>
      <c r="F3" t="s">
        <v>123</v>
      </c>
      <c r="G3" t="s">
        <v>1842</v>
      </c>
      <c r="H3" t="s">
        <v>7</v>
      </c>
      <c r="I3" t="s">
        <v>1840</v>
      </c>
      <c r="J3" t="s">
        <v>134</v>
      </c>
      <c r="N3">
        <v>184</v>
      </c>
    </row>
    <row r="4" spans="1:29" x14ac:dyDescent="0.15">
      <c r="A4">
        <v>26123013</v>
      </c>
      <c r="B4" t="s">
        <v>195</v>
      </c>
      <c r="C4" t="s">
        <v>1461</v>
      </c>
      <c r="D4" t="s">
        <v>1837</v>
      </c>
      <c r="E4" t="s">
        <v>1838</v>
      </c>
      <c r="F4" t="s">
        <v>123</v>
      </c>
      <c r="G4" t="s">
        <v>1843</v>
      </c>
      <c r="H4" t="s">
        <v>7</v>
      </c>
      <c r="I4" t="s">
        <v>1840</v>
      </c>
      <c r="J4" t="s">
        <v>138</v>
      </c>
      <c r="N4">
        <v>184</v>
      </c>
    </row>
    <row r="5" spans="1:29" x14ac:dyDescent="0.15">
      <c r="A5">
        <v>26123025</v>
      </c>
      <c r="B5" t="s">
        <v>254</v>
      </c>
      <c r="C5" t="s">
        <v>1479</v>
      </c>
      <c r="D5" t="s">
        <v>1837</v>
      </c>
      <c r="E5" t="s">
        <v>1838</v>
      </c>
      <c r="F5" t="s">
        <v>123</v>
      </c>
      <c r="G5" t="s">
        <v>1844</v>
      </c>
      <c r="H5" t="s">
        <v>7</v>
      </c>
      <c r="I5" t="s">
        <v>1840</v>
      </c>
      <c r="J5" t="s">
        <v>143</v>
      </c>
      <c r="N5">
        <v>184</v>
      </c>
      <c r="W5">
        <v>3</v>
      </c>
    </row>
    <row r="6" spans="1:29" x14ac:dyDescent="0.15">
      <c r="A6">
        <v>26123046</v>
      </c>
      <c r="B6" t="s">
        <v>354</v>
      </c>
      <c r="C6" t="s">
        <v>1845</v>
      </c>
      <c r="D6" t="s">
        <v>1837</v>
      </c>
      <c r="E6" t="s">
        <v>1838</v>
      </c>
      <c r="F6" t="s">
        <v>123</v>
      </c>
      <c r="G6" t="s">
        <v>1846</v>
      </c>
      <c r="H6" t="s">
        <v>7</v>
      </c>
      <c r="I6" t="s">
        <v>1840</v>
      </c>
      <c r="J6" t="s">
        <v>149</v>
      </c>
      <c r="N6">
        <v>184</v>
      </c>
    </row>
    <row r="7" spans="1:29" x14ac:dyDescent="0.15">
      <c r="A7">
        <v>26123048</v>
      </c>
      <c r="B7" t="s">
        <v>362</v>
      </c>
      <c r="C7" t="s">
        <v>1847</v>
      </c>
      <c r="D7" t="s">
        <v>1837</v>
      </c>
      <c r="E7" t="s">
        <v>1838</v>
      </c>
      <c r="F7" t="s">
        <v>123</v>
      </c>
      <c r="G7" t="s">
        <v>1848</v>
      </c>
      <c r="H7" t="s">
        <v>7</v>
      </c>
      <c r="I7" t="s">
        <v>1840</v>
      </c>
      <c r="J7" t="s">
        <v>157</v>
      </c>
      <c r="N7">
        <v>184</v>
      </c>
      <c r="T7">
        <v>4</v>
      </c>
    </row>
    <row r="8" spans="1:29" x14ac:dyDescent="0.15">
      <c r="A8">
        <v>26123060</v>
      </c>
      <c r="B8" t="s">
        <v>397</v>
      </c>
      <c r="C8" t="s">
        <v>1500</v>
      </c>
      <c r="D8" t="s">
        <v>1837</v>
      </c>
      <c r="E8" t="s">
        <v>1838</v>
      </c>
      <c r="F8" t="s">
        <v>123</v>
      </c>
      <c r="G8" t="s">
        <v>1849</v>
      </c>
      <c r="H8" t="s">
        <v>7</v>
      </c>
      <c r="I8" t="s">
        <v>1840</v>
      </c>
      <c r="J8" t="s">
        <v>396</v>
      </c>
      <c r="N8">
        <v>120</v>
      </c>
      <c r="Q8">
        <v>24</v>
      </c>
      <c r="R8">
        <v>8</v>
      </c>
    </row>
    <row r="9" spans="1:29" x14ac:dyDescent="0.15">
      <c r="A9">
        <v>26123080</v>
      </c>
      <c r="B9" t="s">
        <v>487</v>
      </c>
      <c r="C9" t="s">
        <v>1850</v>
      </c>
      <c r="D9" t="s">
        <v>1837</v>
      </c>
      <c r="E9" t="s">
        <v>1838</v>
      </c>
      <c r="F9" t="s">
        <v>123</v>
      </c>
      <c r="G9" t="s">
        <v>1851</v>
      </c>
      <c r="H9" t="s">
        <v>7</v>
      </c>
      <c r="I9" t="s">
        <v>1840</v>
      </c>
      <c r="J9" t="s">
        <v>396</v>
      </c>
      <c r="X9">
        <v>120</v>
      </c>
    </row>
    <row r="10" spans="1:29" x14ac:dyDescent="0.15">
      <c r="A10">
        <v>26123050</v>
      </c>
      <c r="B10" t="s">
        <v>369</v>
      </c>
      <c r="C10" t="s">
        <v>1852</v>
      </c>
      <c r="D10" t="s">
        <v>1837</v>
      </c>
      <c r="E10" t="s">
        <v>1838</v>
      </c>
      <c r="F10" t="s">
        <v>123</v>
      </c>
      <c r="G10" t="s">
        <v>1853</v>
      </c>
      <c r="H10" t="s">
        <v>7</v>
      </c>
      <c r="I10" t="s">
        <v>1840</v>
      </c>
      <c r="J10" t="s">
        <v>368</v>
      </c>
      <c r="N10">
        <v>92.5</v>
      </c>
      <c r="Z10">
        <v>6</v>
      </c>
    </row>
    <row r="11" spans="1:29" x14ac:dyDescent="0.15">
      <c r="A11">
        <v>26123093</v>
      </c>
      <c r="B11" t="s">
        <v>558</v>
      </c>
      <c r="C11" t="s">
        <v>1854</v>
      </c>
      <c r="D11" t="s">
        <v>1837</v>
      </c>
      <c r="E11" t="s">
        <v>1838</v>
      </c>
      <c r="F11" t="s">
        <v>123</v>
      </c>
      <c r="G11" t="s">
        <v>1855</v>
      </c>
      <c r="H11" t="s">
        <v>7</v>
      </c>
      <c r="I11" t="s">
        <v>1840</v>
      </c>
      <c r="J11" t="s">
        <v>557</v>
      </c>
      <c r="O11">
        <v>40</v>
      </c>
      <c r="P11">
        <v>16</v>
      </c>
    </row>
    <row r="12" spans="1:29" x14ac:dyDescent="0.15">
      <c r="A12">
        <v>26123029</v>
      </c>
      <c r="B12" t="s">
        <v>270</v>
      </c>
      <c r="C12" t="s">
        <v>1856</v>
      </c>
      <c r="D12" t="s">
        <v>1837</v>
      </c>
      <c r="E12" t="s">
        <v>1838</v>
      </c>
      <c r="F12" t="s">
        <v>123</v>
      </c>
      <c r="G12" t="s">
        <v>1857</v>
      </c>
      <c r="H12" t="s">
        <v>7</v>
      </c>
      <c r="I12" t="s">
        <v>1840</v>
      </c>
      <c r="J12" t="s">
        <v>269</v>
      </c>
      <c r="S12">
        <v>8</v>
      </c>
      <c r="T12">
        <v>4</v>
      </c>
      <c r="V12">
        <v>4</v>
      </c>
    </row>
    <row r="13" spans="1:29" x14ac:dyDescent="0.15">
      <c r="A13">
        <v>26123015</v>
      </c>
      <c r="B13" t="s">
        <v>206</v>
      </c>
      <c r="C13" t="s">
        <v>1471</v>
      </c>
      <c r="D13" t="s">
        <v>1837</v>
      </c>
      <c r="E13" t="s">
        <v>1838</v>
      </c>
      <c r="F13" t="s">
        <v>123</v>
      </c>
      <c r="G13" t="s">
        <v>1858</v>
      </c>
      <c r="H13" t="s">
        <v>7</v>
      </c>
      <c r="I13" t="s">
        <v>1840</v>
      </c>
      <c r="J13" t="s">
        <v>204</v>
      </c>
      <c r="Y13">
        <v>8</v>
      </c>
    </row>
    <row r="14" spans="1:29" x14ac:dyDescent="0.15">
      <c r="A14">
        <v>26123031</v>
      </c>
      <c r="B14" t="s">
        <v>278</v>
      </c>
      <c r="C14" t="s">
        <v>1492</v>
      </c>
      <c r="D14" t="s">
        <v>1837</v>
      </c>
      <c r="E14" t="s">
        <v>1838</v>
      </c>
      <c r="F14" t="s">
        <v>123</v>
      </c>
      <c r="G14" t="s">
        <v>1859</v>
      </c>
      <c r="H14" t="s">
        <v>7</v>
      </c>
      <c r="I14" t="s">
        <v>1840</v>
      </c>
      <c r="J14" t="s">
        <v>277</v>
      </c>
      <c r="P14">
        <v>8</v>
      </c>
      <c r="V14">
        <v>4</v>
      </c>
      <c r="Y14">
        <v>4</v>
      </c>
    </row>
    <row r="15" spans="1:29" x14ac:dyDescent="0.15">
      <c r="A15">
        <v>26123105</v>
      </c>
      <c r="B15" t="s">
        <v>617</v>
      </c>
      <c r="C15" t="s">
        <v>1860</v>
      </c>
      <c r="D15" t="s">
        <v>1837</v>
      </c>
      <c r="E15" t="s">
        <v>1838</v>
      </c>
      <c r="F15" t="s">
        <v>123</v>
      </c>
      <c r="G15" t="s">
        <v>1861</v>
      </c>
      <c r="H15" t="s">
        <v>7</v>
      </c>
      <c r="I15" t="s">
        <v>1840</v>
      </c>
      <c r="J15" t="s">
        <v>610</v>
      </c>
      <c r="N15">
        <v>20</v>
      </c>
      <c r="P15">
        <v>8</v>
      </c>
    </row>
    <row r="16" spans="1:29" x14ac:dyDescent="0.15">
      <c r="A16">
        <v>26123106</v>
      </c>
      <c r="B16" t="s">
        <v>618</v>
      </c>
      <c r="C16" t="s">
        <v>1862</v>
      </c>
      <c r="D16" t="s">
        <v>1837</v>
      </c>
      <c r="E16" t="s">
        <v>1838</v>
      </c>
      <c r="F16" t="s">
        <v>123</v>
      </c>
      <c r="G16" t="s">
        <v>1863</v>
      </c>
      <c r="H16" t="s">
        <v>7</v>
      </c>
      <c r="I16" t="s">
        <v>1840</v>
      </c>
      <c r="J16" t="s">
        <v>610</v>
      </c>
      <c r="N16">
        <v>20</v>
      </c>
      <c r="P16">
        <v>8</v>
      </c>
    </row>
    <row r="17" spans="1:22" x14ac:dyDescent="0.15">
      <c r="A17">
        <v>26123052</v>
      </c>
      <c r="B17" t="s">
        <v>376</v>
      </c>
      <c r="C17" t="s">
        <v>1864</v>
      </c>
      <c r="D17" t="s">
        <v>1837</v>
      </c>
      <c r="E17" t="s">
        <v>1838</v>
      </c>
      <c r="F17" t="s">
        <v>123</v>
      </c>
      <c r="G17" t="s">
        <v>1865</v>
      </c>
      <c r="H17" t="s">
        <v>7</v>
      </c>
      <c r="I17" t="s">
        <v>1840</v>
      </c>
      <c r="J17" t="s">
        <v>296</v>
      </c>
      <c r="T17">
        <v>6</v>
      </c>
      <c r="V17">
        <v>10</v>
      </c>
    </row>
    <row r="18" spans="1:22" x14ac:dyDescent="0.15">
      <c r="A18">
        <v>26123014</v>
      </c>
      <c r="B18" t="s">
        <v>199</v>
      </c>
      <c r="C18" t="s">
        <v>1470</v>
      </c>
      <c r="D18" t="s">
        <v>1837</v>
      </c>
      <c r="E18" t="s">
        <v>1838</v>
      </c>
      <c r="F18" t="s">
        <v>123</v>
      </c>
      <c r="G18" t="s">
        <v>1866</v>
      </c>
      <c r="H18" t="s">
        <v>7</v>
      </c>
      <c r="I18" t="s">
        <v>1840</v>
      </c>
      <c r="J18" t="s">
        <v>557</v>
      </c>
      <c r="N18">
        <v>160</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5"/>
  <sheetViews>
    <sheetView workbookViewId="0"/>
  </sheetViews>
  <sheetFormatPr defaultRowHeight="13.5" x14ac:dyDescent="0.15"/>
  <sheetData>
    <row r="1" spans="1:5" x14ac:dyDescent="0.15">
      <c r="A1" s="1" t="s">
        <v>10</v>
      </c>
      <c r="B1" s="1" t="s">
        <v>615</v>
      </c>
      <c r="C1" s="1" t="s">
        <v>42</v>
      </c>
      <c r="D1" s="1" t="s">
        <v>43</v>
      </c>
      <c r="E1" s="1" t="s">
        <v>44</v>
      </c>
    </row>
    <row r="2" spans="1:5" x14ac:dyDescent="0.15">
      <c r="A2">
        <v>26123002</v>
      </c>
      <c r="B2" t="s">
        <v>135</v>
      </c>
      <c r="C2">
        <v>200</v>
      </c>
      <c r="D2">
        <v>400</v>
      </c>
      <c r="E2">
        <v>111</v>
      </c>
    </row>
    <row r="3" spans="1:5" x14ac:dyDescent="0.15">
      <c r="A3">
        <v>26123003</v>
      </c>
      <c r="B3" t="s">
        <v>139</v>
      </c>
      <c r="C3">
        <v>1200</v>
      </c>
      <c r="D3">
        <v>600</v>
      </c>
      <c r="E3">
        <v>111</v>
      </c>
    </row>
    <row r="4" spans="1:5" x14ac:dyDescent="0.15">
      <c r="A4">
        <v>26123004</v>
      </c>
      <c r="B4" t="s">
        <v>144</v>
      </c>
      <c r="C4">
        <v>1200</v>
      </c>
      <c r="D4">
        <v>600</v>
      </c>
      <c r="E4">
        <v>111</v>
      </c>
    </row>
    <row r="5" spans="1:5" x14ac:dyDescent="0.15">
      <c r="A5">
        <v>26123006</v>
      </c>
      <c r="B5" t="s">
        <v>158</v>
      </c>
      <c r="C5">
        <v>1200</v>
      </c>
      <c r="D5">
        <v>600</v>
      </c>
      <c r="E5">
        <v>222</v>
      </c>
    </row>
    <row r="6" spans="1:5" x14ac:dyDescent="0.15">
      <c r="A6">
        <v>26123007</v>
      </c>
      <c r="B6" t="s">
        <v>162</v>
      </c>
      <c r="C6">
        <v>1200</v>
      </c>
      <c r="D6">
        <v>600</v>
      </c>
      <c r="E6">
        <v>111</v>
      </c>
    </row>
    <row r="7" spans="1:5" x14ac:dyDescent="0.15">
      <c r="A7">
        <v>26123009</v>
      </c>
      <c r="B7" t="s">
        <v>177</v>
      </c>
      <c r="C7">
        <v>1200</v>
      </c>
      <c r="D7">
        <v>600</v>
      </c>
      <c r="E7">
        <v>222</v>
      </c>
    </row>
    <row r="8" spans="1:5" x14ac:dyDescent="0.15">
      <c r="A8">
        <v>26123012</v>
      </c>
      <c r="B8" t="s">
        <v>191</v>
      </c>
      <c r="C8">
        <v>1000</v>
      </c>
      <c r="D8">
        <v>600</v>
      </c>
      <c r="E8">
        <v>111</v>
      </c>
    </row>
    <row r="9" spans="1:5" x14ac:dyDescent="0.15">
      <c r="A9">
        <v>26123019</v>
      </c>
      <c r="B9" t="s">
        <v>226</v>
      </c>
      <c r="C9">
        <v>1200</v>
      </c>
      <c r="D9">
        <v>600</v>
      </c>
      <c r="E9">
        <v>222</v>
      </c>
    </row>
    <row r="10" spans="1:5" x14ac:dyDescent="0.15">
      <c r="A10">
        <v>26123020</v>
      </c>
      <c r="B10" t="s">
        <v>233</v>
      </c>
      <c r="C10">
        <v>1200</v>
      </c>
      <c r="D10">
        <v>600</v>
      </c>
      <c r="E10">
        <v>111.11</v>
      </c>
    </row>
    <row r="11" spans="1:5" x14ac:dyDescent="0.15">
      <c r="A11">
        <v>26123021</v>
      </c>
      <c r="B11" t="s">
        <v>237</v>
      </c>
      <c r="C11">
        <v>1200</v>
      </c>
      <c r="D11">
        <v>600</v>
      </c>
      <c r="E11">
        <v>222</v>
      </c>
    </row>
    <row r="12" spans="1:5" x14ac:dyDescent="0.15">
      <c r="A12">
        <v>26123023</v>
      </c>
      <c r="B12" t="s">
        <v>246</v>
      </c>
      <c r="C12">
        <v>1200</v>
      </c>
      <c r="D12">
        <v>600</v>
      </c>
      <c r="E12">
        <v>111</v>
      </c>
    </row>
    <row r="13" spans="1:5" x14ac:dyDescent="0.15">
      <c r="A13">
        <v>26123025</v>
      </c>
      <c r="B13" t="s">
        <v>254</v>
      </c>
      <c r="C13">
        <v>999</v>
      </c>
      <c r="D13">
        <v>600</v>
      </c>
      <c r="E13">
        <v>222</v>
      </c>
    </row>
    <row r="14" spans="1:5" x14ac:dyDescent="0.15">
      <c r="A14">
        <v>26123026</v>
      </c>
      <c r="B14" t="s">
        <v>258</v>
      </c>
      <c r="C14">
        <v>999.99</v>
      </c>
      <c r="D14">
        <v>600</v>
      </c>
      <c r="E14">
        <v>111</v>
      </c>
    </row>
    <row r="15" spans="1:5" x14ac:dyDescent="0.15">
      <c r="A15">
        <v>26123027</v>
      </c>
      <c r="B15" t="s">
        <v>262</v>
      </c>
      <c r="C15">
        <v>1200</v>
      </c>
      <c r="D15">
        <v>600</v>
      </c>
      <c r="E15">
        <v>222.22</v>
      </c>
    </row>
    <row r="16" spans="1:5" x14ac:dyDescent="0.15">
      <c r="A16">
        <v>26123043</v>
      </c>
      <c r="B16" t="s">
        <v>337</v>
      </c>
      <c r="C16">
        <v>1200</v>
      </c>
      <c r="D16">
        <v>600</v>
      </c>
      <c r="E16">
        <v>111</v>
      </c>
    </row>
    <row r="17" spans="1:5" x14ac:dyDescent="0.15">
      <c r="A17">
        <v>26123045</v>
      </c>
      <c r="B17" t="s">
        <v>349</v>
      </c>
      <c r="C17">
        <v>1200</v>
      </c>
      <c r="D17">
        <v>600</v>
      </c>
      <c r="E17">
        <v>222</v>
      </c>
    </row>
    <row r="18" spans="1:5" x14ac:dyDescent="0.15">
      <c r="A18">
        <v>26123067</v>
      </c>
      <c r="B18" t="s">
        <v>430</v>
      </c>
      <c r="C18">
        <v>1200</v>
      </c>
      <c r="D18">
        <v>666.66</v>
      </c>
      <c r="E18">
        <v>111</v>
      </c>
    </row>
    <row r="19" spans="1:5" x14ac:dyDescent="0.15">
      <c r="A19">
        <v>26123068</v>
      </c>
      <c r="B19" t="s">
        <v>434</v>
      </c>
      <c r="C19">
        <v>1200</v>
      </c>
      <c r="D19">
        <v>600</v>
      </c>
      <c r="E19">
        <v>222</v>
      </c>
    </row>
    <row r="20" spans="1:5" x14ac:dyDescent="0.15">
      <c r="A20">
        <v>26123070</v>
      </c>
      <c r="B20" t="s">
        <v>445</v>
      </c>
      <c r="C20">
        <v>1200</v>
      </c>
      <c r="D20">
        <v>600</v>
      </c>
      <c r="E20">
        <v>111</v>
      </c>
    </row>
    <row r="21" spans="1:5" x14ac:dyDescent="0.15">
      <c r="A21">
        <v>26123078</v>
      </c>
      <c r="B21" t="s">
        <v>481</v>
      </c>
      <c r="C21">
        <v>1200</v>
      </c>
      <c r="D21">
        <v>600</v>
      </c>
      <c r="E21">
        <v>222</v>
      </c>
    </row>
    <row r="22" spans="1:5" x14ac:dyDescent="0.15">
      <c r="A22">
        <v>26123081</v>
      </c>
      <c r="B22" t="s">
        <v>495</v>
      </c>
      <c r="C22">
        <v>1200</v>
      </c>
      <c r="D22">
        <v>600</v>
      </c>
      <c r="E22">
        <v>111</v>
      </c>
    </row>
    <row r="23" spans="1:5" x14ac:dyDescent="0.15">
      <c r="A23">
        <v>26123082</v>
      </c>
      <c r="B23" t="s">
        <v>502</v>
      </c>
      <c r="C23">
        <v>1200</v>
      </c>
      <c r="D23">
        <v>600</v>
      </c>
      <c r="E23">
        <v>222</v>
      </c>
    </row>
    <row r="24" spans="1:5" x14ac:dyDescent="0.15">
      <c r="A24">
        <v>26123083</v>
      </c>
      <c r="B24" t="s">
        <v>509</v>
      </c>
      <c r="C24">
        <v>1200</v>
      </c>
      <c r="D24">
        <v>600</v>
      </c>
      <c r="E24">
        <v>111</v>
      </c>
    </row>
    <row r="25" spans="1:5" x14ac:dyDescent="0.15">
      <c r="A25">
        <v>26123093</v>
      </c>
      <c r="B25" t="s">
        <v>558</v>
      </c>
      <c r="C25">
        <v>1200</v>
      </c>
      <c r="D25">
        <v>600</v>
      </c>
      <c r="E25">
        <v>222</v>
      </c>
    </row>
    <row r="26" spans="1:5" x14ac:dyDescent="0.15">
      <c r="A26">
        <v>26123095</v>
      </c>
      <c r="B26" t="s">
        <v>567</v>
      </c>
      <c r="C26">
        <v>1200</v>
      </c>
      <c r="D26">
        <v>600</v>
      </c>
      <c r="E26">
        <v>111</v>
      </c>
    </row>
    <row r="27" spans="1:5" x14ac:dyDescent="0.15">
      <c r="A27">
        <v>26123098</v>
      </c>
      <c r="B27" t="s">
        <v>583</v>
      </c>
      <c r="C27">
        <v>1200</v>
      </c>
      <c r="D27">
        <v>600</v>
      </c>
      <c r="E27">
        <v>222</v>
      </c>
    </row>
    <row r="28" spans="1:5" x14ac:dyDescent="0.15">
      <c r="A28">
        <v>26123099</v>
      </c>
      <c r="B28" t="s">
        <v>590</v>
      </c>
      <c r="C28">
        <v>1200</v>
      </c>
      <c r="D28">
        <v>600</v>
      </c>
      <c r="E28">
        <v>111</v>
      </c>
    </row>
    <row r="29" spans="1:5" x14ac:dyDescent="0.15">
      <c r="A29">
        <v>26123029</v>
      </c>
      <c r="B29" t="s">
        <v>270</v>
      </c>
      <c r="C29">
        <v>1200</v>
      </c>
      <c r="D29">
        <v>600</v>
      </c>
      <c r="E29">
        <v>111</v>
      </c>
    </row>
    <row r="30" spans="1:5" x14ac:dyDescent="0.15">
      <c r="A30">
        <v>26123030</v>
      </c>
      <c r="B30" t="s">
        <v>274</v>
      </c>
      <c r="C30">
        <v>1200</v>
      </c>
      <c r="D30">
        <v>600</v>
      </c>
      <c r="E30">
        <v>222</v>
      </c>
    </row>
    <row r="31" spans="1:5" x14ac:dyDescent="0.15">
      <c r="A31">
        <v>26123031</v>
      </c>
      <c r="B31" t="s">
        <v>278</v>
      </c>
      <c r="C31">
        <v>1200</v>
      </c>
      <c r="D31">
        <v>600</v>
      </c>
      <c r="E31">
        <v>111.99</v>
      </c>
    </row>
    <row r="32" spans="1:5" x14ac:dyDescent="0.15">
      <c r="A32">
        <v>26123032</v>
      </c>
      <c r="B32" t="s">
        <v>282</v>
      </c>
      <c r="C32">
        <v>1200</v>
      </c>
      <c r="D32">
        <v>600</v>
      </c>
      <c r="E32">
        <v>222</v>
      </c>
    </row>
    <row r="33" spans="1:5" x14ac:dyDescent="0.15">
      <c r="A33">
        <v>26123033</v>
      </c>
      <c r="B33" t="s">
        <v>286</v>
      </c>
      <c r="C33">
        <v>1200</v>
      </c>
      <c r="D33">
        <v>600</v>
      </c>
      <c r="E33">
        <v>111</v>
      </c>
    </row>
    <row r="34" spans="1:5" x14ac:dyDescent="0.15">
      <c r="A34">
        <v>26123036</v>
      </c>
      <c r="B34" t="s">
        <v>301</v>
      </c>
      <c r="C34">
        <v>1200</v>
      </c>
      <c r="D34">
        <v>600</v>
      </c>
      <c r="E34">
        <v>222</v>
      </c>
    </row>
    <row r="35" spans="1:5" x14ac:dyDescent="0.15">
      <c r="A35">
        <v>26123037</v>
      </c>
      <c r="B35" t="s">
        <v>305</v>
      </c>
      <c r="C35">
        <v>1200</v>
      </c>
      <c r="D35">
        <v>500.63</v>
      </c>
      <c r="E35">
        <v>111</v>
      </c>
    </row>
    <row r="36" spans="1:5" x14ac:dyDescent="0.15">
      <c r="A36">
        <v>26123038</v>
      </c>
      <c r="B36" t="s">
        <v>308</v>
      </c>
      <c r="C36">
        <v>1200</v>
      </c>
      <c r="D36">
        <v>600</v>
      </c>
      <c r="E36">
        <v>222</v>
      </c>
    </row>
    <row r="37" spans="1:5" x14ac:dyDescent="0.15">
      <c r="A37">
        <v>26123039</v>
      </c>
      <c r="B37" t="s">
        <v>315</v>
      </c>
      <c r="C37">
        <v>1200</v>
      </c>
      <c r="D37">
        <v>600</v>
      </c>
      <c r="E37">
        <v>111</v>
      </c>
    </row>
    <row r="38" spans="1:5" x14ac:dyDescent="0.15">
      <c r="A38">
        <v>26123040</v>
      </c>
      <c r="B38" t="s">
        <v>319</v>
      </c>
      <c r="C38">
        <v>1200</v>
      </c>
      <c r="D38">
        <v>600</v>
      </c>
      <c r="E38">
        <v>222</v>
      </c>
    </row>
    <row r="39" spans="1:5" x14ac:dyDescent="0.15">
      <c r="A39">
        <v>26123049</v>
      </c>
      <c r="B39" t="s">
        <v>365</v>
      </c>
      <c r="C39">
        <v>1200</v>
      </c>
      <c r="D39">
        <v>600</v>
      </c>
      <c r="E39">
        <v>111</v>
      </c>
    </row>
    <row r="40" spans="1:5" x14ac:dyDescent="0.15">
      <c r="A40">
        <v>26123051</v>
      </c>
      <c r="B40" t="s">
        <v>373</v>
      </c>
      <c r="C40">
        <v>1200</v>
      </c>
      <c r="D40">
        <v>520.36</v>
      </c>
      <c r="E40">
        <v>222.99</v>
      </c>
    </row>
    <row r="41" spans="1:5" x14ac:dyDescent="0.15">
      <c r="A41">
        <v>26123052</v>
      </c>
      <c r="B41" t="s">
        <v>376</v>
      </c>
      <c r="C41">
        <v>1200</v>
      </c>
      <c r="D41">
        <v>600</v>
      </c>
      <c r="E41">
        <v>111.88</v>
      </c>
    </row>
    <row r="42" spans="1:5" x14ac:dyDescent="0.15">
      <c r="A42">
        <v>26123053</v>
      </c>
      <c r="B42" t="s">
        <v>380</v>
      </c>
      <c r="C42">
        <v>1200</v>
      </c>
      <c r="D42">
        <v>600</v>
      </c>
      <c r="E42">
        <v>222</v>
      </c>
    </row>
    <row r="43" spans="1:5" x14ac:dyDescent="0.15">
      <c r="A43">
        <v>26123054</v>
      </c>
      <c r="B43" t="s">
        <v>383</v>
      </c>
      <c r="C43">
        <v>1200</v>
      </c>
      <c r="D43">
        <v>600</v>
      </c>
      <c r="E43">
        <v>111</v>
      </c>
    </row>
    <row r="44" spans="1:5" x14ac:dyDescent="0.15">
      <c r="A44">
        <v>26123055</v>
      </c>
      <c r="B44" t="s">
        <v>385</v>
      </c>
      <c r="C44">
        <v>1200</v>
      </c>
      <c r="D44">
        <v>600</v>
      </c>
      <c r="E44">
        <v>222</v>
      </c>
    </row>
    <row r="45" spans="1:5" x14ac:dyDescent="0.15">
      <c r="A45">
        <v>26123056</v>
      </c>
      <c r="B45" t="s">
        <v>387</v>
      </c>
      <c r="C45">
        <v>1163.45</v>
      </c>
      <c r="D45">
        <v>600</v>
      </c>
      <c r="E45">
        <v>111</v>
      </c>
    </row>
    <row r="46" spans="1:5" x14ac:dyDescent="0.15">
      <c r="A46">
        <v>26123057</v>
      </c>
      <c r="B46" t="s">
        <v>390</v>
      </c>
      <c r="C46">
        <v>1200</v>
      </c>
      <c r="D46">
        <v>600</v>
      </c>
      <c r="E46">
        <v>222</v>
      </c>
    </row>
    <row r="47" spans="1:5" x14ac:dyDescent="0.15">
      <c r="A47">
        <v>26123088</v>
      </c>
      <c r="B47" t="s">
        <v>537</v>
      </c>
      <c r="C47">
        <v>1200</v>
      </c>
      <c r="D47">
        <v>600</v>
      </c>
      <c r="E47">
        <v>111</v>
      </c>
    </row>
    <row r="48" spans="1:5" x14ac:dyDescent="0.15">
      <c r="A48">
        <v>26123089</v>
      </c>
      <c r="B48" t="s">
        <v>541</v>
      </c>
      <c r="C48">
        <v>1200</v>
      </c>
      <c r="D48">
        <v>600</v>
      </c>
      <c r="E48">
        <v>222</v>
      </c>
    </row>
    <row r="49" spans="1:5" x14ac:dyDescent="0.15">
      <c r="A49">
        <v>26123090</v>
      </c>
      <c r="B49" t="s">
        <v>545</v>
      </c>
      <c r="C49">
        <v>1028.96</v>
      </c>
      <c r="D49">
        <v>683.96</v>
      </c>
      <c r="E49">
        <v>111</v>
      </c>
    </row>
    <row r="50" spans="1:5" x14ac:dyDescent="0.15">
      <c r="A50">
        <v>26123091</v>
      </c>
      <c r="B50" t="s">
        <v>552</v>
      </c>
      <c r="C50">
        <v>1200</v>
      </c>
      <c r="D50">
        <v>600</v>
      </c>
      <c r="E50">
        <v>222</v>
      </c>
    </row>
    <row r="51" spans="1:5" x14ac:dyDescent="0.15">
      <c r="A51">
        <v>26123092</v>
      </c>
      <c r="B51" t="s">
        <v>555</v>
      </c>
      <c r="C51">
        <v>1200</v>
      </c>
      <c r="D51">
        <v>600</v>
      </c>
      <c r="E51">
        <v>111</v>
      </c>
    </row>
    <row r="52" spans="1:5" x14ac:dyDescent="0.15">
      <c r="A52">
        <v>26123104</v>
      </c>
      <c r="B52" t="s">
        <v>616</v>
      </c>
      <c r="C52">
        <v>1200</v>
      </c>
      <c r="D52">
        <v>600</v>
      </c>
      <c r="E52">
        <v>222</v>
      </c>
    </row>
    <row r="53" spans="1:5" x14ac:dyDescent="0.15">
      <c r="A53">
        <v>26123105</v>
      </c>
      <c r="B53" t="s">
        <v>617</v>
      </c>
      <c r="C53">
        <v>1200</v>
      </c>
      <c r="D53">
        <v>600</v>
      </c>
      <c r="E53">
        <v>111</v>
      </c>
    </row>
    <row r="54" spans="1:5" x14ac:dyDescent="0.15">
      <c r="A54">
        <v>26123106</v>
      </c>
      <c r="B54" t="s">
        <v>618</v>
      </c>
      <c r="C54">
        <v>1200</v>
      </c>
      <c r="D54">
        <v>600</v>
      </c>
      <c r="E54">
        <v>222</v>
      </c>
    </row>
    <row r="55" spans="1:5" x14ac:dyDescent="0.15">
      <c r="A55">
        <v>26123107</v>
      </c>
      <c r="B55" t="s">
        <v>619</v>
      </c>
      <c r="C55">
        <v>1200</v>
      </c>
      <c r="D55">
        <v>600</v>
      </c>
      <c r="E55">
        <v>111</v>
      </c>
    </row>
  </sheetData>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4"/>
  <sheetViews>
    <sheetView workbookViewId="0"/>
  </sheetViews>
  <sheetFormatPr defaultRowHeight="13.5" x14ac:dyDescent="0.15"/>
  <sheetData>
    <row r="1" spans="1:2" x14ac:dyDescent="0.15">
      <c r="A1" s="2" t="s">
        <v>1867</v>
      </c>
      <c r="B1" s="2" t="s">
        <v>1868</v>
      </c>
    </row>
    <row r="2" spans="1:2" x14ac:dyDescent="0.15">
      <c r="A2" t="s">
        <v>1869</v>
      </c>
      <c r="B2">
        <v>2025</v>
      </c>
    </row>
    <row r="3" spans="1:2" x14ac:dyDescent="0.15">
      <c r="A3" t="s">
        <v>1870</v>
      </c>
      <c r="B3">
        <v>12</v>
      </c>
    </row>
    <row r="4" spans="1:2" x14ac:dyDescent="0.15">
      <c r="A4" t="s">
        <v>1871</v>
      </c>
      <c r="B4">
        <v>184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结果报表</vt:lpstr>
      <vt:lpstr>源_10人员剔除表_Sheet1</vt:lpstr>
      <vt:lpstr>源_11产假政策_Sheet1</vt:lpstr>
      <vt:lpstr>源_12计提残保金规则_Sheet1</vt:lpstr>
      <vt:lpstr>源_13残疾人信息_残疾人信息</vt:lpstr>
      <vt:lpstr>源_13残疾人信息_备份表全量信息</vt:lpstr>
      <vt:lpstr>源_14最低工资_Sheet1</vt:lpstr>
      <vt:lpstr>源_1薪资备份表_Sheet1</vt:lpstr>
      <vt:lpstr>源_2客户代码匹配表_Sheet1</vt:lpstr>
      <vt:lpstr>源_3考勤报表_考勤表</vt:lpstr>
      <vt:lpstr>源_4奖金汇总表_Sheet1</vt:lpstr>
      <vt:lpstr>源_4奖金汇总表_拆分手工算</vt:lpstr>
      <vt:lpstr>源_5薪资备忘录_工资调整项</vt:lpstr>
      <vt:lpstr>源_6社保表_Sheet1</vt:lpstr>
      <vt:lpstr>源_7银行卡表_Sheet1</vt:lpstr>
      <vt:lpstr>源_8补工时表_补当月工时</vt:lpstr>
      <vt:lpstr>源_9年终奖表_Sheet1</vt:lpstr>
      <vt:lpstr>参数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cenice5794</cp:lastModifiedBy>
  <dcterms:created xsi:type="dcterms:W3CDTF">2026-02-06T03:14:03Z</dcterms:created>
  <dcterms:modified xsi:type="dcterms:W3CDTF">2026-02-06T03:17:29Z</dcterms:modified>
</cp:coreProperties>
</file>