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tmpjklgyva5\"/>
    </mc:Choice>
  </mc:AlternateContent>
  <xr:revisionPtr revIDLastSave="0" documentId="8_{933D9D23-95B1-4733-812E-97B56E215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员工信息(202401)_202401" sheetId="2" r:id="rId2"/>
    <sheet name="工资明细202401_Sheet1" sheetId="3" r:id="rId3"/>
    <sheet name="考勤信息2401_2401" sheetId="4" r:id="rId4"/>
    <sheet name="参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5" i="1" l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<sst xmlns="http://schemas.openxmlformats.org/spreadsheetml/2006/main" count="1766" uniqueCount="475">
  <si>
    <t>顺序</t>
  </si>
  <si>
    <t>工号</t>
  </si>
  <si>
    <t>应发工资</t>
  </si>
  <si>
    <t>医疗保险 报销</t>
  </si>
  <si>
    <t>其他补发 (非课税)</t>
  </si>
  <si>
    <t>其他代扣 (非课税)</t>
  </si>
  <si>
    <t>个人所得税</t>
  </si>
  <si>
    <t>年终奖金 个人所得税</t>
  </si>
  <si>
    <t>工会费</t>
  </si>
  <si>
    <t>存款制 度代扣</t>
  </si>
  <si>
    <t>养老保险</t>
  </si>
  <si>
    <t>医疗保险</t>
  </si>
  <si>
    <t>失业保险</t>
  </si>
  <si>
    <t>大病基金</t>
  </si>
  <si>
    <t>养老保险 补缴</t>
  </si>
  <si>
    <t>医疗保险 补缴</t>
  </si>
  <si>
    <t>失业保险 补缴</t>
  </si>
  <si>
    <t>大病基金 补缴</t>
  </si>
  <si>
    <t>住房公积金</t>
  </si>
  <si>
    <t>实发工资</t>
  </si>
  <si>
    <t>A1107001</t>
  </si>
  <si>
    <t>A1107022</t>
  </si>
  <si>
    <t>A1110002</t>
  </si>
  <si>
    <t>A1207016</t>
  </si>
  <si>
    <t>A1207024</t>
  </si>
  <si>
    <t>A1211001</t>
  </si>
  <si>
    <t>A1304009</t>
  </si>
  <si>
    <t>A1306003</t>
  </si>
  <si>
    <t>A1307001</t>
  </si>
  <si>
    <t>A1307003</t>
  </si>
  <si>
    <t>A1308001</t>
  </si>
  <si>
    <t>A1308002</t>
  </si>
  <si>
    <t>A1309001</t>
  </si>
  <si>
    <t>A1311003</t>
  </si>
  <si>
    <t>A1311004</t>
  </si>
  <si>
    <t>A1409003</t>
  </si>
  <si>
    <t>A1409005</t>
  </si>
  <si>
    <t>A1412002</t>
  </si>
  <si>
    <t>A1503001</t>
  </si>
  <si>
    <t>A1603001</t>
  </si>
  <si>
    <t>A1603003</t>
  </si>
  <si>
    <t>A1603004</t>
  </si>
  <si>
    <t>A1604001</t>
  </si>
  <si>
    <t>A1605002</t>
  </si>
  <si>
    <t>A1611001</t>
  </si>
  <si>
    <t>A1703004</t>
  </si>
  <si>
    <t>A1703006</t>
  </si>
  <si>
    <t>A1704002</t>
  </si>
  <si>
    <t>A1707001</t>
  </si>
  <si>
    <t>A1708001</t>
  </si>
  <si>
    <t>A1803005</t>
  </si>
  <si>
    <t>A1803006</t>
  </si>
  <si>
    <t>A1806001</t>
  </si>
  <si>
    <t>A1808001</t>
  </si>
  <si>
    <t>A1808005</t>
  </si>
  <si>
    <t>A1903002</t>
  </si>
  <si>
    <t>A1903003</t>
  </si>
  <si>
    <t>A1903004</t>
  </si>
  <si>
    <t>A1903005</t>
  </si>
  <si>
    <t>A1904003</t>
  </si>
  <si>
    <t>A1905005</t>
  </si>
  <si>
    <t>A1908002</t>
  </si>
  <si>
    <t>A1910002</t>
  </si>
  <si>
    <t>A2003001</t>
  </si>
  <si>
    <t>A2004002</t>
  </si>
  <si>
    <t>A2004003</t>
  </si>
  <si>
    <t>A2005001</t>
  </si>
  <si>
    <t>A2006001</t>
  </si>
  <si>
    <t>A2006002</t>
  </si>
  <si>
    <t>A2006003</t>
  </si>
  <si>
    <t>A2006004</t>
  </si>
  <si>
    <t>A2007004</t>
  </si>
  <si>
    <t>A2008001</t>
  </si>
  <si>
    <t>A2009002</t>
  </si>
  <si>
    <t>A2103001</t>
  </si>
  <si>
    <t>A2103002</t>
  </si>
  <si>
    <t>A2103006</t>
  </si>
  <si>
    <t>A2103007</t>
  </si>
  <si>
    <t>A2103008</t>
  </si>
  <si>
    <t>A2103009</t>
  </si>
  <si>
    <t>A2104002</t>
  </si>
  <si>
    <t>A2104005</t>
  </si>
  <si>
    <t>A2104006</t>
  </si>
  <si>
    <t>A2105002</t>
  </si>
  <si>
    <t>A2106001</t>
  </si>
  <si>
    <t>A2106002</t>
  </si>
  <si>
    <t>A2106003</t>
  </si>
  <si>
    <t>A2107001</t>
  </si>
  <si>
    <t>A2107002</t>
  </si>
  <si>
    <t>A2107003</t>
  </si>
  <si>
    <t>A2108001</t>
  </si>
  <si>
    <t>A2110001</t>
  </si>
  <si>
    <t>A2110002</t>
  </si>
  <si>
    <t>A2201002</t>
  </si>
  <si>
    <t>A2202001</t>
  </si>
  <si>
    <t>A2206001</t>
  </si>
  <si>
    <t>A2211001</t>
  </si>
  <si>
    <t>A2212001</t>
  </si>
  <si>
    <t>A2212002</t>
  </si>
  <si>
    <t>A2302001</t>
  </si>
  <si>
    <t>A2302002</t>
  </si>
  <si>
    <t>A2302003</t>
  </si>
  <si>
    <t>A2302004</t>
  </si>
  <si>
    <t>A2302006</t>
  </si>
  <si>
    <t>A2304001</t>
  </si>
  <si>
    <t>A2306001</t>
  </si>
  <si>
    <t>A2306002</t>
  </si>
  <si>
    <t>A2306003</t>
  </si>
  <si>
    <t>A2306004</t>
  </si>
  <si>
    <t>A2306005</t>
  </si>
  <si>
    <t>A2306006</t>
  </si>
  <si>
    <t>A2307001</t>
  </si>
  <si>
    <t>A2307002</t>
  </si>
  <si>
    <t>A2311002</t>
  </si>
  <si>
    <t>A1107043</t>
  </si>
  <si>
    <t>A1306002</t>
  </si>
  <si>
    <t>A1107015</t>
  </si>
  <si>
    <t>A1207023</t>
  </si>
  <si>
    <t>A2111001</t>
  </si>
  <si>
    <t>A1107037</t>
  </si>
  <si>
    <t>A2103005</t>
  </si>
  <si>
    <t>A1107029</t>
  </si>
  <si>
    <t>A1107012</t>
  </si>
  <si>
    <t>A1211002</t>
  </si>
  <si>
    <t>A1212003</t>
  </si>
  <si>
    <t>A1107038</t>
  </si>
  <si>
    <t>A1210001</t>
  </si>
  <si>
    <t>A1107021</t>
  </si>
  <si>
    <t>A1208008</t>
  </si>
  <si>
    <t>A1704001</t>
  </si>
  <si>
    <t>A1304004</t>
  </si>
  <si>
    <t>A1107031</t>
  </si>
  <si>
    <t>A1107017</t>
  </si>
  <si>
    <t>A1107027</t>
  </si>
  <si>
    <t>A1304001</t>
  </si>
  <si>
    <t>A1107018</t>
  </si>
  <si>
    <t>A1109001</t>
  </si>
  <si>
    <t>A1212001</t>
  </si>
  <si>
    <t>A1107035</t>
  </si>
  <si>
    <t>A1107011</t>
  </si>
  <si>
    <t>A1304002</t>
  </si>
  <si>
    <t>A1408001</t>
  </si>
  <si>
    <t>A1305005</t>
  </si>
  <si>
    <t>A1107046</t>
  </si>
  <si>
    <t>员工编号</t>
  </si>
  <si>
    <t>用工类别</t>
  </si>
  <si>
    <t>入职日期</t>
  </si>
  <si>
    <t>在职员工</t>
  </si>
  <si>
    <t>在职员工_E</t>
  </si>
  <si>
    <t>在职员工_F</t>
  </si>
  <si>
    <t>离职员工</t>
  </si>
  <si>
    <t>离职员工_H</t>
  </si>
  <si>
    <t>Column_I</t>
  </si>
  <si>
    <t>劳动合同起始日</t>
  </si>
  <si>
    <t>用工起始日</t>
  </si>
  <si>
    <t>参保起始月</t>
  </si>
  <si>
    <t>离职/退工日期</t>
  </si>
  <si>
    <t>参保终止月</t>
  </si>
  <si>
    <t>直接雇用</t>
  </si>
  <si>
    <t>2011-07-01</t>
  </si>
  <si>
    <t>2017-07-01</t>
  </si>
  <si>
    <t>2011年7月</t>
  </si>
  <si>
    <t>/</t>
  </si>
  <si>
    <t>在职</t>
  </si>
  <si>
    <t>2011-09-19</t>
  </si>
  <si>
    <t>2017-09-19</t>
  </si>
  <si>
    <t>2011年9月</t>
  </si>
  <si>
    <t>2011-10-24</t>
  </si>
  <si>
    <t>2017-10-24</t>
  </si>
  <si>
    <t>2011年10月</t>
  </si>
  <si>
    <t>2012-07-01</t>
  </si>
  <si>
    <t>2012年7月</t>
  </si>
  <si>
    <t>2012-08-27</t>
  </si>
  <si>
    <t>2017-08-27</t>
  </si>
  <si>
    <t>2012年8月</t>
  </si>
  <si>
    <t>2012-10-01</t>
  </si>
  <si>
    <t>2015-10-01</t>
  </si>
  <si>
    <t>2012年10月</t>
  </si>
  <si>
    <t>2012-11-01</t>
  </si>
  <si>
    <t>2017-11-01</t>
  </si>
  <si>
    <t>2012年11月</t>
  </si>
  <si>
    <t>2012-12-01</t>
  </si>
  <si>
    <t>2017-12-01</t>
  </si>
  <si>
    <t>2012年12月</t>
  </si>
  <si>
    <t>2012-12-17</t>
  </si>
  <si>
    <t>2017-12-17</t>
  </si>
  <si>
    <t>2013-04-01</t>
  </si>
  <si>
    <t>2018-04-01</t>
  </si>
  <si>
    <t>2013年4月</t>
  </si>
  <si>
    <t>2013-04-08</t>
  </si>
  <si>
    <t>2018-04-08</t>
  </si>
  <si>
    <t>2013-04-10</t>
  </si>
  <si>
    <t>2018-04-10</t>
  </si>
  <si>
    <t>2013-05-15</t>
  </si>
  <si>
    <t>2016-05-15</t>
  </si>
  <si>
    <t>2013年5月</t>
  </si>
  <si>
    <t>2013-06-17</t>
  </si>
  <si>
    <t>2018-06-17</t>
  </si>
  <si>
    <t>2013年6月</t>
  </si>
  <si>
    <t>2013-07-01</t>
  </si>
  <si>
    <t>2021-07-01</t>
  </si>
  <si>
    <t>2013年7月</t>
  </si>
  <si>
    <t>2013-08-01</t>
  </si>
  <si>
    <t>2018-08-01</t>
  </si>
  <si>
    <t>2013年8月</t>
  </si>
  <si>
    <t>2013-09-01</t>
  </si>
  <si>
    <t>2018-09-01</t>
  </si>
  <si>
    <t>2013年9月</t>
  </si>
  <si>
    <t>2013-11-01</t>
  </si>
  <si>
    <t>2018-11-01</t>
  </si>
  <si>
    <t>2013年11月</t>
  </si>
  <si>
    <t>2014-08-14</t>
  </si>
  <si>
    <t>2019-08-14</t>
  </si>
  <si>
    <t>2014年8月</t>
  </si>
  <si>
    <t>2014-09-10</t>
  </si>
  <si>
    <t>2019-09-10</t>
  </si>
  <si>
    <t>2014年9月</t>
  </si>
  <si>
    <t>2022-09-10</t>
  </si>
  <si>
    <t>2014-12-01</t>
  </si>
  <si>
    <t>2019-12-01</t>
  </si>
  <si>
    <t>2014年12月</t>
  </si>
  <si>
    <t>2015-03-02</t>
  </si>
  <si>
    <t>2020-03-02</t>
  </si>
  <si>
    <t>2015年3月</t>
  </si>
  <si>
    <t>2016-03-01</t>
  </si>
  <si>
    <t>2021-03-01</t>
  </si>
  <si>
    <t>2016年3月</t>
  </si>
  <si>
    <t>2016-03-09</t>
  </si>
  <si>
    <t>2021-03-09</t>
  </si>
  <si>
    <t>2016-04-01</t>
  </si>
  <si>
    <t>2021-04-01</t>
  </si>
  <si>
    <t>2016年4月</t>
  </si>
  <si>
    <t>2016-05-24</t>
  </si>
  <si>
    <t>2021-05-24</t>
  </si>
  <si>
    <t>2016年5月</t>
  </si>
  <si>
    <t>2016-11-08</t>
  </si>
  <si>
    <t>2021-11-08</t>
  </si>
  <si>
    <t>2016年11月</t>
  </si>
  <si>
    <t>2017-03-20</t>
  </si>
  <si>
    <t>2022-03-20</t>
  </si>
  <si>
    <t>2017年3月</t>
  </si>
  <si>
    <t>2017-03-27</t>
  </si>
  <si>
    <t>2022-03-27</t>
  </si>
  <si>
    <t>2017-04-13</t>
  </si>
  <si>
    <t>2022-04-13</t>
  </si>
  <si>
    <t>2017年4月</t>
  </si>
  <si>
    <t>2017-07-03</t>
  </si>
  <si>
    <t>2022-07-03</t>
  </si>
  <si>
    <t>2017年7月</t>
  </si>
  <si>
    <t>2017-08-22</t>
  </si>
  <si>
    <t>2022-08-22</t>
  </si>
  <si>
    <t>2017年8月</t>
  </si>
  <si>
    <t>2018-03-13</t>
  </si>
  <si>
    <t>2023-03-13</t>
  </si>
  <si>
    <t>2018年3月</t>
  </si>
  <si>
    <t>2018-03-27</t>
  </si>
  <si>
    <t>2023-03-27</t>
  </si>
  <si>
    <t>2018-06-21</t>
  </si>
  <si>
    <t>2023-06-21</t>
  </si>
  <si>
    <t>2018年6月</t>
  </si>
  <si>
    <t>2018-08-21</t>
  </si>
  <si>
    <t>2023-08-21</t>
  </si>
  <si>
    <t>2018年8月</t>
  </si>
  <si>
    <t>2018-08-27</t>
  </si>
  <si>
    <t>2023-08-27</t>
  </si>
  <si>
    <t>2019-03-01</t>
  </si>
  <si>
    <t>2019年3月</t>
  </si>
  <si>
    <t>2019-03-05</t>
  </si>
  <si>
    <t>2021-03-05</t>
  </si>
  <si>
    <t>2019-04-08</t>
  </si>
  <si>
    <t>2021-04-08</t>
  </si>
  <si>
    <t>2019年4月</t>
  </si>
  <si>
    <t>2019-05-21</t>
  </si>
  <si>
    <t>2021-05-21</t>
  </si>
  <si>
    <t>2019年5月</t>
  </si>
  <si>
    <t>2019-08-26</t>
  </si>
  <si>
    <t>2021-08-26</t>
  </si>
  <si>
    <t>2019年8月</t>
  </si>
  <si>
    <t>2019-10-21</t>
  </si>
  <si>
    <t>2021-10-21</t>
  </si>
  <si>
    <t>2019年10月</t>
  </si>
  <si>
    <t>2020-03-24</t>
  </si>
  <si>
    <t>2022-03-24</t>
  </si>
  <si>
    <t>2020年3月</t>
  </si>
  <si>
    <t>2020-04-08</t>
  </si>
  <si>
    <t>2022-04-08</t>
  </si>
  <si>
    <t>2020年4月</t>
  </si>
  <si>
    <t>2020-04-13</t>
  </si>
  <si>
    <t>2020-05-12</t>
  </si>
  <si>
    <t>2022-05-12</t>
  </si>
  <si>
    <t>2020年5月</t>
  </si>
  <si>
    <t>2020-06-02</t>
  </si>
  <si>
    <t>2022-06-02</t>
  </si>
  <si>
    <t>2020年6月</t>
  </si>
  <si>
    <t>2020-06-11</t>
  </si>
  <si>
    <t>2022-06-11</t>
  </si>
  <si>
    <t>2020-06-16</t>
  </si>
  <si>
    <t>2022-06-16</t>
  </si>
  <si>
    <t>2020-07-24</t>
  </si>
  <si>
    <t>2022-07-24</t>
  </si>
  <si>
    <t>2020年7月</t>
  </si>
  <si>
    <t>2020-08-17</t>
  </si>
  <si>
    <t>2022-08-17</t>
  </si>
  <si>
    <t>2020年8月</t>
  </si>
  <si>
    <t>2020-09-07</t>
  </si>
  <si>
    <t>2022-09-07</t>
  </si>
  <si>
    <t>2020年9月</t>
  </si>
  <si>
    <t>2023-03-05</t>
  </si>
  <si>
    <t>2021年3月</t>
  </si>
  <si>
    <t>2021-03-17</t>
  </si>
  <si>
    <t>2023-03-17</t>
  </si>
  <si>
    <t>2021-03-23</t>
  </si>
  <si>
    <t>2023-03-23</t>
  </si>
  <si>
    <t>2021-03-24</t>
  </si>
  <si>
    <t>2023-03-24</t>
  </si>
  <si>
    <t>2023-04-01</t>
  </si>
  <si>
    <t>2021年4月</t>
  </si>
  <si>
    <t>A2104003</t>
  </si>
  <si>
    <t>2021-05-07</t>
  </si>
  <si>
    <t>2021年5月</t>
  </si>
  <si>
    <t>2021-04-14</t>
  </si>
  <si>
    <t>2023-04-14</t>
  </si>
  <si>
    <t>2021-04-26</t>
  </si>
  <si>
    <t>2023-04-26</t>
  </si>
  <si>
    <t>2021-05-25</t>
  </si>
  <si>
    <t>2023-05-25</t>
  </si>
  <si>
    <t>2021-06-01</t>
  </si>
  <si>
    <t>2023-06-01</t>
  </si>
  <si>
    <t>2021年6月</t>
  </si>
  <si>
    <t>2021-06-17</t>
  </si>
  <si>
    <t>2023-06-17</t>
  </si>
  <si>
    <t>2023-07-01</t>
  </si>
  <si>
    <t>2021年7月</t>
  </si>
  <si>
    <t>2021-07-14</t>
  </si>
  <si>
    <t>2023-07-14</t>
  </si>
  <si>
    <t>2021-08-02</t>
  </si>
  <si>
    <t>2023-08-02</t>
  </si>
  <si>
    <t>2021年8月</t>
  </si>
  <si>
    <t>2021-10-20</t>
  </si>
  <si>
    <t>2023-10-20</t>
  </si>
  <si>
    <t>2021年10月</t>
  </si>
  <si>
    <t>2021-10-25</t>
  </si>
  <si>
    <t>2023-10-25</t>
  </si>
  <si>
    <t>2021-11-22</t>
  </si>
  <si>
    <t>2023-11-22</t>
  </si>
  <si>
    <t>2021年11月</t>
  </si>
  <si>
    <t>2022-01-10</t>
  </si>
  <si>
    <t>2024-01-10</t>
  </si>
  <si>
    <t>2022年1月</t>
  </si>
  <si>
    <t>2022-02-21</t>
  </si>
  <si>
    <t>2022年2月</t>
  </si>
  <si>
    <t>A2204002</t>
  </si>
  <si>
    <t>2022-06-09</t>
  </si>
  <si>
    <t>2022年6月</t>
  </si>
  <si>
    <t>2022-06-22</t>
  </si>
  <si>
    <t>2022-11-21</t>
  </si>
  <si>
    <t>2022年11月</t>
  </si>
  <si>
    <t>2022-12-13</t>
  </si>
  <si>
    <t>2022年12月</t>
  </si>
  <si>
    <t>2023-02-06</t>
  </si>
  <si>
    <t>2023年2月</t>
  </si>
  <si>
    <t xml:space="preserve"> A2302002</t>
  </si>
  <si>
    <t xml:space="preserve"> A2302003</t>
  </si>
  <si>
    <t>2023-02-20</t>
  </si>
  <si>
    <t xml:space="preserve"> A2302004</t>
  </si>
  <si>
    <t xml:space="preserve"> A2302006</t>
  </si>
  <si>
    <t xml:space="preserve"> A2304001</t>
  </si>
  <si>
    <t>2023-04-03</t>
  </si>
  <si>
    <t>2023年4月</t>
  </si>
  <si>
    <t xml:space="preserve"> A2306001</t>
  </si>
  <si>
    <t>2023年6月</t>
  </si>
  <si>
    <t xml:space="preserve"> A2306002</t>
  </si>
  <si>
    <t xml:space="preserve"> A2306003</t>
  </si>
  <si>
    <t>2023-06-06</t>
  </si>
  <si>
    <t xml:space="preserve"> A2306004</t>
  </si>
  <si>
    <t>2023-06-12</t>
  </si>
  <si>
    <t xml:space="preserve"> A2306005</t>
  </si>
  <si>
    <t xml:space="preserve"> A2306006</t>
  </si>
  <si>
    <t>2023-06-20</t>
  </si>
  <si>
    <t xml:space="preserve"> A2307001</t>
  </si>
  <si>
    <t>2023-07-03</t>
  </si>
  <si>
    <t>2023年7月</t>
  </si>
  <si>
    <t xml:space="preserve"> A2307002</t>
  </si>
  <si>
    <t>2023-07-18</t>
  </si>
  <si>
    <t xml:space="preserve"> A2311002</t>
  </si>
  <si>
    <t>2023-11-06</t>
  </si>
  <si>
    <t>2023年11月</t>
  </si>
  <si>
    <t>2021-01-26</t>
  </si>
  <si>
    <t>2024-01-25</t>
  </si>
  <si>
    <t>2024年1月</t>
  </si>
  <si>
    <t>已离职</t>
  </si>
  <si>
    <t>入职日</t>
  </si>
  <si>
    <t>工数</t>
  </si>
  <si>
    <t>月度固定扣除</t>
  </si>
  <si>
    <t>病假 （H）</t>
  </si>
  <si>
    <t>事假 （H)</t>
  </si>
  <si>
    <t>早班 次数</t>
  </si>
  <si>
    <t>中班 次数</t>
  </si>
  <si>
    <t>夜班 次数</t>
  </si>
  <si>
    <t>平日加班</t>
  </si>
  <si>
    <t>休日加班</t>
  </si>
  <si>
    <t>国假加班</t>
  </si>
  <si>
    <t>时给</t>
  </si>
  <si>
    <t>基本给</t>
  </si>
  <si>
    <t>職能給</t>
  </si>
  <si>
    <t>調整給</t>
  </si>
  <si>
    <t>职务津贴</t>
  </si>
  <si>
    <t>期待給</t>
  </si>
  <si>
    <t>成果給</t>
  </si>
  <si>
    <t>伙食津贴</t>
  </si>
  <si>
    <t>住房津贴</t>
  </si>
  <si>
    <t>交通津贴</t>
  </si>
  <si>
    <t>非整月调整</t>
  </si>
  <si>
    <t>休假扣薪</t>
  </si>
  <si>
    <t>月度奖金</t>
  </si>
  <si>
    <t>改善提案+未然防止+小集团</t>
  </si>
  <si>
    <t>轮班津贴1</t>
  </si>
  <si>
    <t>轮班津贴2</t>
  </si>
  <si>
    <t>加班费</t>
  </si>
  <si>
    <t>日語津贴</t>
  </si>
  <si>
    <t>其他补发</t>
  </si>
  <si>
    <t>其他扣除</t>
  </si>
  <si>
    <t>年终奖</t>
  </si>
  <si>
    <t>高温津贴</t>
  </si>
  <si>
    <t>节日礼金</t>
  </si>
  <si>
    <t>年度工时调整</t>
  </si>
  <si>
    <t>其他补发 （非课税）</t>
  </si>
  <si>
    <t>Column_A</t>
  </si>
  <si>
    <t>社員番号</t>
  </si>
  <si>
    <t>标准工时</t>
  </si>
  <si>
    <t>A</t>
  </si>
  <si>
    <t>B</t>
  </si>
  <si>
    <t>C</t>
  </si>
  <si>
    <t>D</t>
  </si>
  <si>
    <t>平日</t>
  </si>
  <si>
    <t>平日补勤</t>
  </si>
  <si>
    <t>平日残業总计(HOUR)</t>
  </si>
  <si>
    <t>休日残業(HOUR)</t>
  </si>
  <si>
    <t>休日补勤加1</t>
  </si>
  <si>
    <t>休日残業总计(HOUR)</t>
  </si>
  <si>
    <t>年度调整时数</t>
  </si>
  <si>
    <t>振替済み</t>
  </si>
  <si>
    <t>休日小计(HOUR)</t>
  </si>
  <si>
    <t>法定</t>
  </si>
  <si>
    <t>法补</t>
  </si>
  <si>
    <t>法定残業(HOUR)</t>
  </si>
  <si>
    <t>早班(TIME)</t>
  </si>
  <si>
    <t>中班(TIME)</t>
  </si>
  <si>
    <t>夜班(TIME)</t>
  </si>
  <si>
    <t>4级以上人员休日加班津贴</t>
  </si>
  <si>
    <t>4级以上人员休日加班津贴_X</t>
  </si>
  <si>
    <t>呼出津贴</t>
  </si>
  <si>
    <t>深夜津贴</t>
  </si>
  <si>
    <t>勤务调整津贴</t>
  </si>
  <si>
    <t>餐补</t>
  </si>
  <si>
    <t>4级以上人员 加班调休时数</t>
  </si>
  <si>
    <t>4级以上人员 加班调休时数_AD</t>
  </si>
  <si>
    <t>Column_AE</t>
  </si>
  <si>
    <t>Column_AF</t>
  </si>
  <si>
    <t>Column_AG</t>
  </si>
  <si>
    <t>Column_AH</t>
  </si>
  <si>
    <t>Column_AI</t>
  </si>
  <si>
    <t>遅刻/早退(TIME)</t>
  </si>
  <si>
    <t>其他(DAY)</t>
  </si>
  <si>
    <t>病欠(HOUR)</t>
  </si>
  <si>
    <t>欠勤(HOUR)</t>
  </si>
  <si>
    <t>加班时数</t>
  </si>
  <si>
    <t>津贴</t>
  </si>
  <si>
    <t xml:space="preserve">平日时数         </t>
  </si>
  <si>
    <t xml:space="preserve">休日时数    </t>
  </si>
  <si>
    <t>参数名</t>
  </si>
  <si>
    <t>参数值</t>
  </si>
  <si>
    <t>薪资年份</t>
  </si>
  <si>
    <t>薪资月份</t>
  </si>
  <si>
    <t>月标准工时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</si>
</sst>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5"/>
  <sheetViews>
    <sheetView tabSelected="1" workbookViewId="0"/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15">
      <c r="A2">
        <v>1</v>
      </c>
      <c r="B2" t="s">
        <v>20</v>
      </c>
      <c r="C2">
        <f>IFERROR(VLOOKUP(B2,工资明细202401_Sheet1!$B:$BC,37,FALSE),0)</f>
        <v>16397.080000000002</v>
      </c>
      <c r="D2">
        <f>IFERROR(VLOOKUP(B2,工资明细202401_Sheet1!$B:$BC,38,FALSE),0)</f>
        <v>0</v>
      </c>
      <c r="E2">
        <f>IFERROR(VLOOKUP(B2,工资明细202401_Sheet1!$B:$BC,39,FALSE),0)</f>
        <v>0</v>
      </c>
      <c r="F2">
        <f>IFERROR(VLOOKUP(B2,工资明细202401_Sheet1!$B:$BC,40,FALSE),0)</f>
        <v>0</v>
      </c>
      <c r="G2">
        <f>IFERROR(VLOOKUP(B2,工资明细202401_Sheet1!$B:$BC,41,FALSE),0)</f>
        <v>-174.11</v>
      </c>
      <c r="H2">
        <f>IFERROR(VLOOKUP(B2,工资明细202401_Sheet1!$B:$BC,42,FALSE),0)</f>
        <v>0</v>
      </c>
      <c r="I2">
        <f>IFERROR(VLOOKUP(B2,工资明细202401_Sheet1!$B:$BC,43,FALSE),0)</f>
        <v>-30</v>
      </c>
      <c r="J2">
        <f>IFERROR(VLOOKUP(B2,工资明细202401_Sheet1!$B:$BC,44,FALSE),0)</f>
        <v>0</v>
      </c>
      <c r="K2">
        <f>IFERROR(VLOOKUP(B2,工资明细202401_Sheet1!$B:$BC,45,FALSE),0)</f>
        <v>-1211.92</v>
      </c>
      <c r="L2">
        <f>IFERROR(VLOOKUP(B2,工资明细202401_Sheet1!$B:$BC,46,FALSE),0)</f>
        <v>-302.98</v>
      </c>
      <c r="M2">
        <f>IFERROR(VLOOKUP(B2,工资明细202401_Sheet1!$B:$BC,47,FALSE),0)</f>
        <v>-75.75</v>
      </c>
      <c r="N2">
        <f>IFERROR(VLOOKUP(B2,工资明细202401_Sheet1!$B:$BC,48,FALSE),0)</f>
        <v>-5</v>
      </c>
      <c r="O2">
        <f>IFERROR(VLOOKUP(B2,工资明细202401_Sheet1!$B:$BC,49,FALSE),0)</f>
        <v>-94.8</v>
      </c>
      <c r="P2">
        <f>IFERROR(VLOOKUP(B2,工资明细202401_Sheet1!$B:$BC,50,FALSE),0)</f>
        <v>0</v>
      </c>
      <c r="Q2">
        <f>IFERROR(VLOOKUP(B2,工资明细202401_Sheet1!$B:$BC,51,FALSE),0)</f>
        <v>-5.93</v>
      </c>
      <c r="R2">
        <f>IFERROR(VLOOKUP(B2,工资明细202401_Sheet1!$B:$BC,52,FALSE),0)</f>
        <v>0</v>
      </c>
      <c r="S2">
        <f>IFERROR(VLOOKUP(B2,工资明细202401_Sheet1!$B:$BC,53,FALSE),0)</f>
        <v>-1397</v>
      </c>
      <c r="T2">
        <f>IFERROR(VLOOKUP(B2,工资明细202401_Sheet1!$B:$BC,54,FALSE),0)</f>
        <v>13099.59</v>
      </c>
    </row>
    <row r="3" spans="1:20" x14ac:dyDescent="0.15">
      <c r="A3">
        <v>2</v>
      </c>
      <c r="B3" t="s">
        <v>21</v>
      </c>
      <c r="C3">
        <f>IFERROR(VLOOKUP(B3,工资明细202401_Sheet1!$B:$BC,37,FALSE),0)</f>
        <v>13856.36</v>
      </c>
      <c r="D3">
        <f>IFERROR(VLOOKUP(B3,工资明细202401_Sheet1!$B:$BC,38,FALSE),0)</f>
        <v>0</v>
      </c>
      <c r="E3">
        <f>IFERROR(VLOOKUP(B3,工资明细202401_Sheet1!$B:$BC,39,FALSE),0)</f>
        <v>0</v>
      </c>
      <c r="F3">
        <f>IFERROR(VLOOKUP(B3,工资明细202401_Sheet1!$B:$BC,40,FALSE),0)</f>
        <v>0</v>
      </c>
      <c r="G3">
        <f>IFERROR(VLOOKUP(B3,工资明细202401_Sheet1!$B:$BC,41,FALSE),0)</f>
        <v>-81.209999999999994</v>
      </c>
      <c r="H3">
        <f>IFERROR(VLOOKUP(B3,工资明细202401_Sheet1!$B:$BC,42,FALSE),0)</f>
        <v>0</v>
      </c>
      <c r="I3">
        <f>IFERROR(VLOOKUP(B3,工资明细202401_Sheet1!$B:$BC,43,FALSE),0)</f>
        <v>-30</v>
      </c>
      <c r="J3">
        <f>IFERROR(VLOOKUP(B3,工资明细202401_Sheet1!$B:$BC,44,FALSE),0)</f>
        <v>0</v>
      </c>
      <c r="K3">
        <f>IFERROR(VLOOKUP(B3,工资明细202401_Sheet1!$B:$BC,45,FALSE),0)</f>
        <v>-1248.72</v>
      </c>
      <c r="L3">
        <f>IFERROR(VLOOKUP(B3,工资明细202401_Sheet1!$B:$BC,46,FALSE),0)</f>
        <v>-312.18</v>
      </c>
      <c r="M3">
        <f>IFERROR(VLOOKUP(B3,工资明细202401_Sheet1!$B:$BC,47,FALSE),0)</f>
        <v>-78.05</v>
      </c>
      <c r="N3">
        <f>IFERROR(VLOOKUP(B3,工资明细202401_Sheet1!$B:$BC,48,FALSE),0)</f>
        <v>-5</v>
      </c>
      <c r="O3">
        <f>IFERROR(VLOOKUP(B3,工资明细202401_Sheet1!$B:$BC,49,FALSE),0)</f>
        <v>-299.68</v>
      </c>
      <c r="P3">
        <f>IFERROR(VLOOKUP(B3,工资明细202401_Sheet1!$B:$BC,50,FALSE),0)</f>
        <v>0</v>
      </c>
      <c r="Q3">
        <f>IFERROR(VLOOKUP(B3,工资明细202401_Sheet1!$B:$BC,51,FALSE),0)</f>
        <v>-18.73</v>
      </c>
      <c r="R3">
        <f>IFERROR(VLOOKUP(B3,工资明细202401_Sheet1!$B:$BC,52,FALSE),0)</f>
        <v>0</v>
      </c>
      <c r="S3">
        <f>IFERROR(VLOOKUP(B3,工资明细202401_Sheet1!$B:$BC,53,FALSE),0)</f>
        <v>-1187</v>
      </c>
      <c r="T3">
        <f>IFERROR(VLOOKUP(B3,工资明细202401_Sheet1!$B:$BC,54,FALSE),0)</f>
        <v>10595.79</v>
      </c>
    </row>
    <row r="4" spans="1:20" x14ac:dyDescent="0.15">
      <c r="A4">
        <v>3</v>
      </c>
      <c r="B4" t="s">
        <v>22</v>
      </c>
      <c r="C4">
        <f>IFERROR(VLOOKUP(B4,工资明细202401_Sheet1!$B:$BC,37,FALSE),0)</f>
        <v>10307.83</v>
      </c>
      <c r="D4">
        <f>IFERROR(VLOOKUP(B4,工资明细202401_Sheet1!$B:$BC,38,FALSE),0)</f>
        <v>0</v>
      </c>
      <c r="E4">
        <f>IFERROR(VLOOKUP(B4,工资明细202401_Sheet1!$B:$BC,39,FALSE),0)</f>
        <v>0</v>
      </c>
      <c r="F4">
        <f>IFERROR(VLOOKUP(B4,工资明细202401_Sheet1!$B:$BC,40,FALSE),0)</f>
        <v>0</v>
      </c>
      <c r="G4">
        <f>IFERROR(VLOOKUP(B4,工资明细202401_Sheet1!$B:$BC,41,FALSE),0)</f>
        <v>-9.91</v>
      </c>
      <c r="H4">
        <f>IFERROR(VLOOKUP(B4,工资明细202401_Sheet1!$B:$BC,42,FALSE),0)</f>
        <v>0</v>
      </c>
      <c r="I4">
        <f>IFERROR(VLOOKUP(B4,工资明细202401_Sheet1!$B:$BC,43,FALSE),0)</f>
        <v>-30</v>
      </c>
      <c r="J4">
        <f>IFERROR(VLOOKUP(B4,工资明细202401_Sheet1!$B:$BC,44,FALSE),0)</f>
        <v>0</v>
      </c>
      <c r="K4">
        <f>IFERROR(VLOOKUP(B4,工资明细202401_Sheet1!$B:$BC,45,FALSE),0)</f>
        <v>-971.92</v>
      </c>
      <c r="L4">
        <f>IFERROR(VLOOKUP(B4,工资明细202401_Sheet1!$B:$BC,46,FALSE),0)</f>
        <v>-242.98</v>
      </c>
      <c r="M4">
        <f>IFERROR(VLOOKUP(B4,工资明细202401_Sheet1!$B:$BC,47,FALSE),0)</f>
        <v>-60.75</v>
      </c>
      <c r="N4">
        <f>IFERROR(VLOOKUP(B4,工资明细202401_Sheet1!$B:$BC,48,FALSE),0)</f>
        <v>-5</v>
      </c>
      <c r="O4">
        <f>IFERROR(VLOOKUP(B4,工资明细202401_Sheet1!$B:$BC,49,FALSE),0)</f>
        <v>-99.84</v>
      </c>
      <c r="P4">
        <f>IFERROR(VLOOKUP(B4,工资明细202401_Sheet1!$B:$BC,50,FALSE),0)</f>
        <v>0</v>
      </c>
      <c r="Q4">
        <f>IFERROR(VLOOKUP(B4,工资明细202401_Sheet1!$B:$BC,51,FALSE),0)</f>
        <v>-6.24</v>
      </c>
      <c r="R4">
        <f>IFERROR(VLOOKUP(B4,工资明细202401_Sheet1!$B:$BC,52,FALSE),0)</f>
        <v>0</v>
      </c>
      <c r="S4">
        <f>IFERROR(VLOOKUP(B4,工资明细202401_Sheet1!$B:$BC,53,FALSE),0)</f>
        <v>-1091</v>
      </c>
      <c r="T4">
        <f>IFERROR(VLOOKUP(B4,工资明细202401_Sheet1!$B:$BC,54,FALSE),0)</f>
        <v>7790.19</v>
      </c>
    </row>
    <row r="5" spans="1:20" x14ac:dyDescent="0.15">
      <c r="A5">
        <v>4</v>
      </c>
      <c r="B5" t="s">
        <v>23</v>
      </c>
      <c r="C5">
        <f>IFERROR(VLOOKUP(B5,工资明细202401_Sheet1!$B:$BC,37,FALSE),0)</f>
        <v>13519.48</v>
      </c>
      <c r="D5">
        <f>IFERROR(VLOOKUP(B5,工资明细202401_Sheet1!$B:$BC,38,FALSE),0)</f>
        <v>0</v>
      </c>
      <c r="E5">
        <f>IFERROR(VLOOKUP(B5,工资明细202401_Sheet1!$B:$BC,39,FALSE),0)</f>
        <v>0</v>
      </c>
      <c r="F5">
        <f>IFERROR(VLOOKUP(B5,工资明细202401_Sheet1!$B:$BC,40,FALSE),0)</f>
        <v>0</v>
      </c>
      <c r="G5">
        <f>IFERROR(VLOOKUP(B5,工资明细202401_Sheet1!$B:$BC,41,FALSE),0)</f>
        <v>-169.88</v>
      </c>
      <c r="H5">
        <f>IFERROR(VLOOKUP(B5,工资明细202401_Sheet1!$B:$BC,42,FALSE),0)</f>
        <v>0</v>
      </c>
      <c r="I5">
        <f>IFERROR(VLOOKUP(B5,工资明细202401_Sheet1!$B:$BC,43,FALSE),0)</f>
        <v>-30</v>
      </c>
      <c r="J5">
        <f>IFERROR(VLOOKUP(B5,工资明细202401_Sheet1!$B:$BC,44,FALSE),0)</f>
        <v>0</v>
      </c>
      <c r="K5">
        <f>IFERROR(VLOOKUP(B5,工资明细202401_Sheet1!$B:$BC,45,FALSE),0)</f>
        <v>-1119.3599999999999</v>
      </c>
      <c r="L5">
        <f>IFERROR(VLOOKUP(B5,工资明细202401_Sheet1!$B:$BC,46,FALSE),0)</f>
        <v>-279.83999999999997</v>
      </c>
      <c r="M5">
        <f>IFERROR(VLOOKUP(B5,工资明细202401_Sheet1!$B:$BC,47,FALSE),0)</f>
        <v>-69.959999999999994</v>
      </c>
      <c r="N5">
        <f>IFERROR(VLOOKUP(B5,工资明细202401_Sheet1!$B:$BC,48,FALSE),0)</f>
        <v>-5</v>
      </c>
      <c r="O5">
        <f>IFERROR(VLOOKUP(B5,工资明细202401_Sheet1!$B:$BC,49,FALSE),0)</f>
        <v>-93.6</v>
      </c>
      <c r="P5">
        <f>IFERROR(VLOOKUP(B5,工资明细202401_Sheet1!$B:$BC,50,FALSE),0)</f>
        <v>0</v>
      </c>
      <c r="Q5">
        <f>IFERROR(VLOOKUP(B5,工资明细202401_Sheet1!$B:$BC,51,FALSE),0)</f>
        <v>-5.85</v>
      </c>
      <c r="R5">
        <f>IFERROR(VLOOKUP(B5,工资明细202401_Sheet1!$B:$BC,52,FALSE),0)</f>
        <v>0</v>
      </c>
      <c r="S5">
        <f>IFERROR(VLOOKUP(B5,工资明细202401_Sheet1!$B:$BC,53,FALSE),0)</f>
        <v>-1283</v>
      </c>
      <c r="T5">
        <f>IFERROR(VLOOKUP(B5,工资明细202401_Sheet1!$B:$BC,54,FALSE),0)</f>
        <v>10462.99</v>
      </c>
    </row>
    <row r="6" spans="1:20" x14ac:dyDescent="0.15">
      <c r="A6">
        <v>5</v>
      </c>
      <c r="B6" t="s">
        <v>24</v>
      </c>
      <c r="C6">
        <f>IFERROR(VLOOKUP(B6,工资明细202401_Sheet1!$B:$BC,37,FALSE),0)</f>
        <v>18456.89</v>
      </c>
      <c r="D6">
        <f>IFERROR(VLOOKUP(B6,工资明细202401_Sheet1!$B:$BC,38,FALSE),0)</f>
        <v>0</v>
      </c>
      <c r="E6">
        <f>IFERROR(VLOOKUP(B6,工资明细202401_Sheet1!$B:$BC,39,FALSE),0)</f>
        <v>0</v>
      </c>
      <c r="F6">
        <f>IFERROR(VLOOKUP(B6,工资明细202401_Sheet1!$B:$BC,40,FALSE),0)</f>
        <v>0</v>
      </c>
      <c r="G6">
        <f>IFERROR(VLOOKUP(B6,工资明细202401_Sheet1!$B:$BC,41,FALSE),0)</f>
        <v>-216.88</v>
      </c>
      <c r="H6">
        <f>IFERROR(VLOOKUP(B6,工资明细202401_Sheet1!$B:$BC,42,FALSE),0)</f>
        <v>0</v>
      </c>
      <c r="I6">
        <f>IFERROR(VLOOKUP(B6,工资明细202401_Sheet1!$B:$BC,43,FALSE),0)</f>
        <v>-30</v>
      </c>
      <c r="J6">
        <f>IFERROR(VLOOKUP(B6,工资明细202401_Sheet1!$B:$BC,44,FALSE),0)</f>
        <v>-1000</v>
      </c>
      <c r="K6">
        <f>IFERROR(VLOOKUP(B6,工资明细202401_Sheet1!$B:$BC,45,FALSE),0)</f>
        <v>-1461.68</v>
      </c>
      <c r="L6">
        <f>IFERROR(VLOOKUP(B6,工资明细202401_Sheet1!$B:$BC,46,FALSE),0)</f>
        <v>-365.42</v>
      </c>
      <c r="M6">
        <f>IFERROR(VLOOKUP(B6,工资明细202401_Sheet1!$B:$BC,47,FALSE),0)</f>
        <v>-91.36</v>
      </c>
      <c r="N6">
        <f>IFERROR(VLOOKUP(B6,工资明细202401_Sheet1!$B:$BC,48,FALSE),0)</f>
        <v>-5</v>
      </c>
      <c r="O6">
        <f>IFERROR(VLOOKUP(B6,工资明细202401_Sheet1!$B:$BC,49,FALSE),0)</f>
        <v>-127.2</v>
      </c>
      <c r="P6">
        <f>IFERROR(VLOOKUP(B6,工资明细202401_Sheet1!$B:$BC,50,FALSE),0)</f>
        <v>0</v>
      </c>
      <c r="Q6">
        <f>IFERROR(VLOOKUP(B6,工资明细202401_Sheet1!$B:$BC,51,FALSE),0)</f>
        <v>-7.95</v>
      </c>
      <c r="R6">
        <f>IFERROR(VLOOKUP(B6,工资明细202401_Sheet1!$B:$BC,52,FALSE),0)</f>
        <v>0</v>
      </c>
      <c r="S6">
        <f>IFERROR(VLOOKUP(B6,工资明细202401_Sheet1!$B:$BC,53,FALSE),0)</f>
        <v>-1669</v>
      </c>
      <c r="T6">
        <f>IFERROR(VLOOKUP(B6,工资明细202401_Sheet1!$B:$BC,54,FALSE),0)</f>
        <v>13482.4</v>
      </c>
    </row>
    <row r="7" spans="1:20" x14ac:dyDescent="0.15">
      <c r="A7">
        <v>6</v>
      </c>
      <c r="B7" t="s">
        <v>25</v>
      </c>
      <c r="C7">
        <f>IFERROR(VLOOKUP(B7,工资明细202401_Sheet1!$B:$BC,37,FALSE),0)</f>
        <v>16250.68</v>
      </c>
      <c r="D7">
        <f>IFERROR(VLOOKUP(B7,工资明细202401_Sheet1!$B:$BC,38,FALSE),0)</f>
        <v>0</v>
      </c>
      <c r="E7">
        <f>IFERROR(VLOOKUP(B7,工资明细202401_Sheet1!$B:$BC,39,FALSE),0)</f>
        <v>0</v>
      </c>
      <c r="F7">
        <f>IFERROR(VLOOKUP(B7,工资明细202401_Sheet1!$B:$BC,40,FALSE),0)</f>
        <v>0</v>
      </c>
      <c r="G7">
        <f>IFERROR(VLOOKUP(B7,工资明细202401_Sheet1!$B:$BC,41,FALSE),0)</f>
        <v>-87.9</v>
      </c>
      <c r="H7">
        <f>IFERROR(VLOOKUP(B7,工资明细202401_Sheet1!$B:$BC,42,FALSE),0)</f>
        <v>0</v>
      </c>
      <c r="I7">
        <f>IFERROR(VLOOKUP(B7,工资明细202401_Sheet1!$B:$BC,43,FALSE),0)</f>
        <v>-30</v>
      </c>
      <c r="J7">
        <f>IFERROR(VLOOKUP(B7,工资明细202401_Sheet1!$B:$BC,44,FALSE),0)</f>
        <v>0</v>
      </c>
      <c r="K7">
        <f>IFERROR(VLOOKUP(B7,工资明细202401_Sheet1!$B:$BC,45,FALSE),0)</f>
        <v>-1505.52</v>
      </c>
      <c r="L7">
        <f>IFERROR(VLOOKUP(B7,工资明细202401_Sheet1!$B:$BC,46,FALSE),0)</f>
        <v>-376.38</v>
      </c>
      <c r="M7">
        <f>IFERROR(VLOOKUP(B7,工资明细202401_Sheet1!$B:$BC,47,FALSE),0)</f>
        <v>-94.1</v>
      </c>
      <c r="N7">
        <f>IFERROR(VLOOKUP(B7,工资明细202401_Sheet1!$B:$BC,48,FALSE),0)</f>
        <v>-5</v>
      </c>
      <c r="O7">
        <f>IFERROR(VLOOKUP(B7,工资明细202401_Sheet1!$B:$BC,49,FALSE),0)</f>
        <v>-229.12</v>
      </c>
      <c r="P7">
        <f>IFERROR(VLOOKUP(B7,工资明细202401_Sheet1!$B:$BC,50,FALSE),0)</f>
        <v>0</v>
      </c>
      <c r="Q7">
        <f>IFERROR(VLOOKUP(B7,工资明细202401_Sheet1!$B:$BC,51,FALSE),0)</f>
        <v>-14.32</v>
      </c>
      <c r="R7">
        <f>IFERROR(VLOOKUP(B7,工资明细202401_Sheet1!$B:$BC,52,FALSE),0)</f>
        <v>0</v>
      </c>
      <c r="S7">
        <f>IFERROR(VLOOKUP(B7,工资明细202401_Sheet1!$B:$BC,53,FALSE),0)</f>
        <v>-1596</v>
      </c>
      <c r="T7">
        <f>IFERROR(VLOOKUP(B7,工资明细202401_Sheet1!$B:$BC,54,FALSE),0)</f>
        <v>12312.34</v>
      </c>
    </row>
    <row r="8" spans="1:20" x14ac:dyDescent="0.15">
      <c r="A8">
        <v>7</v>
      </c>
      <c r="B8" t="s">
        <v>26</v>
      </c>
      <c r="C8">
        <f>IFERROR(VLOOKUP(B8,工资明细202401_Sheet1!$B:$BC,37,FALSE),0)</f>
        <v>13109.31</v>
      </c>
      <c r="D8">
        <f>IFERROR(VLOOKUP(B8,工资明细202401_Sheet1!$B:$BC,38,FALSE),0)</f>
        <v>0</v>
      </c>
      <c r="E8">
        <f>IFERROR(VLOOKUP(B8,工资明细202401_Sheet1!$B:$BC,39,FALSE),0)</f>
        <v>0</v>
      </c>
      <c r="F8">
        <f>IFERROR(VLOOKUP(B8,工资明细202401_Sheet1!$B:$BC,40,FALSE),0)</f>
        <v>0</v>
      </c>
      <c r="G8">
        <f>IFERROR(VLOOKUP(B8,工资明细202401_Sheet1!$B:$BC,41,FALSE),0)</f>
        <v>-81.819999999999993</v>
      </c>
      <c r="H8">
        <f>IFERROR(VLOOKUP(B8,工资明细202401_Sheet1!$B:$BC,42,FALSE),0)</f>
        <v>0</v>
      </c>
      <c r="I8">
        <f>IFERROR(VLOOKUP(B8,工资明细202401_Sheet1!$B:$BC,43,FALSE),0)</f>
        <v>-30</v>
      </c>
      <c r="J8">
        <f>IFERROR(VLOOKUP(B8,工资明细202401_Sheet1!$B:$BC,44,FALSE),0)</f>
        <v>-1000</v>
      </c>
      <c r="K8">
        <f>IFERROR(VLOOKUP(B8,工资明细202401_Sheet1!$B:$BC,45,FALSE),0)</f>
        <v>-1172.56</v>
      </c>
      <c r="L8">
        <f>IFERROR(VLOOKUP(B8,工资明细202401_Sheet1!$B:$BC,46,FALSE),0)</f>
        <v>-293.14</v>
      </c>
      <c r="M8">
        <f>IFERROR(VLOOKUP(B8,工资明细202401_Sheet1!$B:$BC,47,FALSE),0)</f>
        <v>-73.290000000000006</v>
      </c>
      <c r="N8">
        <f>IFERROR(VLOOKUP(B8,工资明细202401_Sheet1!$B:$BC,48,FALSE),0)</f>
        <v>-5</v>
      </c>
      <c r="O8">
        <f>IFERROR(VLOOKUP(B8,工资明细202401_Sheet1!$B:$BC,49,FALSE),0)</f>
        <v>-151.36000000000001</v>
      </c>
      <c r="P8">
        <f>IFERROR(VLOOKUP(B8,工资明细202401_Sheet1!$B:$BC,50,FALSE),0)</f>
        <v>0</v>
      </c>
      <c r="Q8">
        <f>IFERROR(VLOOKUP(B8,工资明细202401_Sheet1!$B:$BC,51,FALSE),0)</f>
        <v>-9.4600000000000009</v>
      </c>
      <c r="R8">
        <f>IFERROR(VLOOKUP(B8,工资明细202401_Sheet1!$B:$BC,52,FALSE),0)</f>
        <v>0</v>
      </c>
      <c r="S8">
        <f>IFERROR(VLOOKUP(B8,工资明细202401_Sheet1!$B:$BC,53,FALSE),0)</f>
        <v>-1277</v>
      </c>
      <c r="T8">
        <f>IFERROR(VLOOKUP(B8,工资明细202401_Sheet1!$B:$BC,54,FALSE),0)</f>
        <v>9015.68</v>
      </c>
    </row>
    <row r="9" spans="1:20" x14ac:dyDescent="0.15">
      <c r="A9">
        <v>8</v>
      </c>
      <c r="B9" t="s">
        <v>27</v>
      </c>
      <c r="C9">
        <f>IFERROR(VLOOKUP(B9,工资明细202401_Sheet1!$B:$BC,37,FALSE),0)</f>
        <v>15598.04</v>
      </c>
      <c r="D9">
        <f>IFERROR(VLOOKUP(B9,工资明细202401_Sheet1!$B:$BC,38,FALSE),0)</f>
        <v>0</v>
      </c>
      <c r="E9">
        <f>IFERROR(VLOOKUP(B9,工资明细202401_Sheet1!$B:$BC,39,FALSE),0)</f>
        <v>0</v>
      </c>
      <c r="F9">
        <f>IFERROR(VLOOKUP(B9,工资明细202401_Sheet1!$B:$BC,40,FALSE),0)</f>
        <v>0</v>
      </c>
      <c r="G9">
        <f>IFERROR(VLOOKUP(B9,工资明细202401_Sheet1!$B:$BC,41,FALSE),0)</f>
        <v>-58.44</v>
      </c>
      <c r="H9">
        <f>IFERROR(VLOOKUP(B9,工资明细202401_Sheet1!$B:$BC,42,FALSE),0)</f>
        <v>0</v>
      </c>
      <c r="I9">
        <f>IFERROR(VLOOKUP(B9,工资明细202401_Sheet1!$B:$BC,43,FALSE),0)</f>
        <v>-30</v>
      </c>
      <c r="J9">
        <f>IFERROR(VLOOKUP(B9,工资明细202401_Sheet1!$B:$BC,44,FALSE),0)</f>
        <v>0</v>
      </c>
      <c r="K9">
        <f>IFERROR(VLOOKUP(B9,工资明细202401_Sheet1!$B:$BC,45,FALSE),0)</f>
        <v>-1439.04</v>
      </c>
      <c r="L9">
        <f>IFERROR(VLOOKUP(B9,工资明细202401_Sheet1!$B:$BC,46,FALSE),0)</f>
        <v>-359.76</v>
      </c>
      <c r="M9">
        <f>IFERROR(VLOOKUP(B9,工资明细202401_Sheet1!$B:$BC,47,FALSE),0)</f>
        <v>-89.94</v>
      </c>
      <c r="N9">
        <f>IFERROR(VLOOKUP(B9,工资明细202401_Sheet1!$B:$BC,48,FALSE),0)</f>
        <v>-5</v>
      </c>
      <c r="O9">
        <f>IFERROR(VLOOKUP(B9,工资明细202401_Sheet1!$B:$BC,49,FALSE),0)</f>
        <v>-228</v>
      </c>
      <c r="P9">
        <f>IFERROR(VLOOKUP(B9,工资明细202401_Sheet1!$B:$BC,50,FALSE),0)</f>
        <v>0</v>
      </c>
      <c r="Q9">
        <f>IFERROR(VLOOKUP(B9,工资明细202401_Sheet1!$B:$BC,51,FALSE),0)</f>
        <v>-14.25</v>
      </c>
      <c r="R9">
        <f>IFERROR(VLOOKUP(B9,工资明细202401_Sheet1!$B:$BC,52,FALSE),0)</f>
        <v>0</v>
      </c>
      <c r="S9">
        <f>IFERROR(VLOOKUP(B9,工资明细202401_Sheet1!$B:$BC,53,FALSE),0)</f>
        <v>-1514</v>
      </c>
      <c r="T9">
        <f>IFERROR(VLOOKUP(B9,工资明细202401_Sheet1!$B:$BC,54,FALSE),0)</f>
        <v>11859.61</v>
      </c>
    </row>
    <row r="10" spans="1:20" x14ac:dyDescent="0.15">
      <c r="A10">
        <v>9</v>
      </c>
      <c r="B10" t="s">
        <v>28</v>
      </c>
      <c r="C10">
        <f>IFERROR(VLOOKUP(B10,工资明细202401_Sheet1!$B:$BC,37,FALSE),0)</f>
        <v>15097.96</v>
      </c>
      <c r="D10">
        <f>IFERROR(VLOOKUP(B10,工资明细202401_Sheet1!$B:$BC,38,FALSE),0)</f>
        <v>0</v>
      </c>
      <c r="E10">
        <f>IFERROR(VLOOKUP(B10,工资明细202401_Sheet1!$B:$BC,39,FALSE),0)</f>
        <v>0</v>
      </c>
      <c r="F10">
        <f>IFERROR(VLOOKUP(B10,工资明细202401_Sheet1!$B:$BC,40,FALSE),0)</f>
        <v>0</v>
      </c>
      <c r="G10">
        <f>IFERROR(VLOOKUP(B10,工资明细202401_Sheet1!$B:$BC,41,FALSE),0)</f>
        <v>-181</v>
      </c>
      <c r="H10">
        <f>IFERROR(VLOOKUP(B10,工资明细202401_Sheet1!$B:$BC,42,FALSE),0)</f>
        <v>0</v>
      </c>
      <c r="I10">
        <f>IFERROR(VLOOKUP(B10,工资明细202401_Sheet1!$B:$BC,43,FALSE),0)</f>
        <v>-30</v>
      </c>
      <c r="J10">
        <f>IFERROR(VLOOKUP(B10,工资明细202401_Sheet1!$B:$BC,44,FALSE),0)</f>
        <v>0</v>
      </c>
      <c r="K10">
        <f>IFERROR(VLOOKUP(B10,工资明细202401_Sheet1!$B:$BC,45,FALSE),0)</f>
        <v>-1208.24</v>
      </c>
      <c r="L10">
        <f>IFERROR(VLOOKUP(B10,工资明细202401_Sheet1!$B:$BC,46,FALSE),0)</f>
        <v>-302.06</v>
      </c>
      <c r="M10">
        <f>IFERROR(VLOOKUP(B10,工资明细202401_Sheet1!$B:$BC,47,FALSE),0)</f>
        <v>-75.52</v>
      </c>
      <c r="N10">
        <f>IFERROR(VLOOKUP(B10,工资明细202401_Sheet1!$B:$BC,48,FALSE),0)</f>
        <v>-5</v>
      </c>
      <c r="O10">
        <f>IFERROR(VLOOKUP(B10,工资明细202401_Sheet1!$B:$BC,49,FALSE),0)</f>
        <v>-198.24</v>
      </c>
      <c r="P10">
        <f>IFERROR(VLOOKUP(B10,工资明细202401_Sheet1!$B:$BC,50,FALSE),0)</f>
        <v>0</v>
      </c>
      <c r="Q10">
        <f>IFERROR(VLOOKUP(B10,工资明细202401_Sheet1!$B:$BC,51,FALSE),0)</f>
        <v>-12.39</v>
      </c>
      <c r="R10">
        <f>IFERROR(VLOOKUP(B10,工资明细202401_Sheet1!$B:$BC,52,FALSE),0)</f>
        <v>0</v>
      </c>
      <c r="S10">
        <f>IFERROR(VLOOKUP(B10,工资明细202401_Sheet1!$B:$BC,53,FALSE),0)</f>
        <v>-1263</v>
      </c>
      <c r="T10">
        <f>IFERROR(VLOOKUP(B10,工资明细202401_Sheet1!$B:$BC,54,FALSE),0)</f>
        <v>11822.51</v>
      </c>
    </row>
    <row r="11" spans="1:20" x14ac:dyDescent="0.15">
      <c r="A11">
        <v>10</v>
      </c>
      <c r="B11" t="s">
        <v>29</v>
      </c>
      <c r="C11">
        <f>IFERROR(VLOOKUP(B11,工资明细202401_Sheet1!$B:$BC,37,FALSE),0)</f>
        <v>12636.14</v>
      </c>
      <c r="D11">
        <f>IFERROR(VLOOKUP(B11,工资明细202401_Sheet1!$B:$BC,38,FALSE),0)</f>
        <v>0</v>
      </c>
      <c r="E11">
        <f>IFERROR(VLOOKUP(B11,工资明细202401_Sheet1!$B:$BC,39,FALSE),0)</f>
        <v>0</v>
      </c>
      <c r="F11">
        <f>IFERROR(VLOOKUP(B11,工资明细202401_Sheet1!$B:$BC,40,FALSE),0)</f>
        <v>0</v>
      </c>
      <c r="G11">
        <f>IFERROR(VLOOKUP(B11,工资明细202401_Sheet1!$B:$BC,41,FALSE),0)</f>
        <v>-144.25</v>
      </c>
      <c r="H11">
        <f>IFERROR(VLOOKUP(B11,工资明细202401_Sheet1!$B:$BC,42,FALSE),0)</f>
        <v>0</v>
      </c>
      <c r="I11">
        <f>IFERROR(VLOOKUP(B11,工资明细202401_Sheet1!$B:$BC,43,FALSE),0)</f>
        <v>-30</v>
      </c>
      <c r="J11">
        <f>IFERROR(VLOOKUP(B11,工资明细202401_Sheet1!$B:$BC,44,FALSE),0)</f>
        <v>0</v>
      </c>
      <c r="K11">
        <f>IFERROR(VLOOKUP(B11,工资明细202401_Sheet1!$B:$BC,45,FALSE),0)</f>
        <v>-1123.68</v>
      </c>
      <c r="L11">
        <f>IFERROR(VLOOKUP(B11,工资明细202401_Sheet1!$B:$BC,46,FALSE),0)</f>
        <v>-280.92</v>
      </c>
      <c r="M11">
        <f>IFERROR(VLOOKUP(B11,工资明细202401_Sheet1!$B:$BC,47,FALSE),0)</f>
        <v>-70.23</v>
      </c>
      <c r="N11">
        <f>IFERROR(VLOOKUP(B11,工资明细202401_Sheet1!$B:$BC,48,FALSE),0)</f>
        <v>-5</v>
      </c>
      <c r="O11">
        <f>IFERROR(VLOOKUP(B11,工资明细202401_Sheet1!$B:$BC,49,FALSE),0)</f>
        <v>-303.2</v>
      </c>
      <c r="P11">
        <f>IFERROR(VLOOKUP(B11,工资明细202401_Sheet1!$B:$BC,50,FALSE),0)</f>
        <v>0</v>
      </c>
      <c r="Q11">
        <f>IFERROR(VLOOKUP(B11,工资明细202401_Sheet1!$B:$BC,51,FALSE),0)</f>
        <v>-18.95</v>
      </c>
      <c r="R11">
        <f>IFERROR(VLOOKUP(B11,工资明细202401_Sheet1!$B:$BC,52,FALSE),0)</f>
        <v>0</v>
      </c>
      <c r="S11">
        <f>IFERROR(VLOOKUP(B11,工资明细202401_Sheet1!$B:$BC,53,FALSE),0)</f>
        <v>-1026</v>
      </c>
      <c r="T11">
        <f>IFERROR(VLOOKUP(B11,工资明细202401_Sheet1!$B:$BC,54,FALSE),0)</f>
        <v>9633.91</v>
      </c>
    </row>
    <row r="12" spans="1:20" x14ac:dyDescent="0.15">
      <c r="A12">
        <v>11</v>
      </c>
      <c r="B12" t="s">
        <v>30</v>
      </c>
      <c r="C12">
        <f>IFERROR(VLOOKUP(B12,工资明细202401_Sheet1!$B:$BC,37,FALSE),0)</f>
        <v>16238.67</v>
      </c>
      <c r="D12">
        <f>IFERROR(VLOOKUP(B12,工资明细202401_Sheet1!$B:$BC,38,FALSE),0)</f>
        <v>0</v>
      </c>
      <c r="E12">
        <f>IFERROR(VLOOKUP(B12,工资明细202401_Sheet1!$B:$BC,39,FALSE),0)</f>
        <v>0</v>
      </c>
      <c r="F12">
        <f>IFERROR(VLOOKUP(B12,工资明细202401_Sheet1!$B:$BC,40,FALSE),0)</f>
        <v>0</v>
      </c>
      <c r="G12">
        <f>IFERROR(VLOOKUP(B12,工资明细202401_Sheet1!$B:$BC,41,FALSE),0)</f>
        <v>-22.98</v>
      </c>
      <c r="H12">
        <f>IFERROR(VLOOKUP(B12,工资明细202401_Sheet1!$B:$BC,42,FALSE),0)</f>
        <v>0</v>
      </c>
      <c r="I12">
        <f>IFERROR(VLOOKUP(B12,工资明细202401_Sheet1!$B:$BC,43,FALSE),0)</f>
        <v>-30</v>
      </c>
      <c r="J12">
        <f>IFERROR(VLOOKUP(B12,工资明细202401_Sheet1!$B:$BC,44,FALSE),0)</f>
        <v>0</v>
      </c>
      <c r="K12">
        <f>IFERROR(VLOOKUP(B12,工资明细202401_Sheet1!$B:$BC,45,FALSE),0)</f>
        <v>-1535.2</v>
      </c>
      <c r="L12">
        <f>IFERROR(VLOOKUP(B12,工资明细202401_Sheet1!$B:$BC,46,FALSE),0)</f>
        <v>-383.8</v>
      </c>
      <c r="M12">
        <f>IFERROR(VLOOKUP(B12,工资明细202401_Sheet1!$B:$BC,47,FALSE),0)</f>
        <v>-95.95</v>
      </c>
      <c r="N12">
        <f>IFERROR(VLOOKUP(B12,工资明细202401_Sheet1!$B:$BC,48,FALSE),0)</f>
        <v>-5</v>
      </c>
      <c r="O12">
        <f>IFERROR(VLOOKUP(B12,工资明细202401_Sheet1!$B:$BC,49,FALSE),0)</f>
        <v>-356.56</v>
      </c>
      <c r="P12">
        <f>IFERROR(VLOOKUP(B12,工资明细202401_Sheet1!$B:$BC,50,FALSE),0)</f>
        <v>0</v>
      </c>
      <c r="Q12">
        <f>IFERROR(VLOOKUP(B12,工资明细202401_Sheet1!$B:$BC,51,FALSE),0)</f>
        <v>-22.28</v>
      </c>
      <c r="R12">
        <f>IFERROR(VLOOKUP(B12,工资明细202401_Sheet1!$B:$BC,52,FALSE),0)</f>
        <v>0</v>
      </c>
      <c r="S12">
        <f>IFERROR(VLOOKUP(B12,工资明细202401_Sheet1!$B:$BC,53,FALSE),0)</f>
        <v>-1474</v>
      </c>
      <c r="T12">
        <f>IFERROR(VLOOKUP(B12,工资明细202401_Sheet1!$B:$BC,54,FALSE),0)</f>
        <v>12312.9</v>
      </c>
    </row>
    <row r="13" spans="1:20" x14ac:dyDescent="0.15">
      <c r="A13">
        <v>12</v>
      </c>
      <c r="B13" t="s">
        <v>31</v>
      </c>
      <c r="C13">
        <f>IFERROR(VLOOKUP(B13,工资明细202401_Sheet1!$B:$BC,37,FALSE),0)</f>
        <v>16288.63</v>
      </c>
      <c r="D13">
        <f>IFERROR(VLOOKUP(B13,工资明细202401_Sheet1!$B:$BC,38,FALSE),0)</f>
        <v>0</v>
      </c>
      <c r="E13">
        <f>IFERROR(VLOOKUP(B13,工资明细202401_Sheet1!$B:$BC,39,FALSE),0)</f>
        <v>0</v>
      </c>
      <c r="F13">
        <f>IFERROR(VLOOKUP(B13,工资明细202401_Sheet1!$B:$BC,40,FALSE),0)</f>
        <v>0</v>
      </c>
      <c r="G13">
        <f>IFERROR(VLOOKUP(B13,工资明细202401_Sheet1!$B:$BC,41,FALSE),0)</f>
        <v>-197.2</v>
      </c>
      <c r="H13">
        <f>IFERROR(VLOOKUP(B13,工资明细202401_Sheet1!$B:$BC,42,FALSE),0)</f>
        <v>0</v>
      </c>
      <c r="I13">
        <f>IFERROR(VLOOKUP(B13,工资明细202401_Sheet1!$B:$BC,43,FALSE),0)</f>
        <v>-30</v>
      </c>
      <c r="J13">
        <f>IFERROR(VLOOKUP(B13,工资明细202401_Sheet1!$B:$BC,44,FALSE),0)</f>
        <v>-1000</v>
      </c>
      <c r="K13">
        <f>IFERROR(VLOOKUP(B13,工资明细202401_Sheet1!$B:$BC,45,FALSE),0)</f>
        <v>-1469.52</v>
      </c>
      <c r="L13">
        <f>IFERROR(VLOOKUP(B13,工资明细202401_Sheet1!$B:$BC,46,FALSE),0)</f>
        <v>-367.38</v>
      </c>
      <c r="M13">
        <f>IFERROR(VLOOKUP(B13,工资明细202401_Sheet1!$B:$BC,47,FALSE),0)</f>
        <v>-91.85</v>
      </c>
      <c r="N13">
        <f>IFERROR(VLOOKUP(B13,工资明细202401_Sheet1!$B:$BC,48,FALSE),0)</f>
        <v>-5</v>
      </c>
      <c r="O13">
        <f>IFERROR(VLOOKUP(B13,工资明细202401_Sheet1!$B:$BC,49,FALSE),0)</f>
        <v>-300.56</v>
      </c>
      <c r="P13">
        <f>IFERROR(VLOOKUP(B13,工资明细202401_Sheet1!$B:$BC,50,FALSE),0)</f>
        <v>0</v>
      </c>
      <c r="Q13">
        <f>IFERROR(VLOOKUP(B13,工资明细202401_Sheet1!$B:$BC,51,FALSE),0)</f>
        <v>-18.79</v>
      </c>
      <c r="R13">
        <f>IFERROR(VLOOKUP(B13,工资明细202401_Sheet1!$B:$BC,52,FALSE),0)</f>
        <v>0</v>
      </c>
      <c r="S13">
        <f>IFERROR(VLOOKUP(B13,工资明细202401_Sheet1!$B:$BC,53,FALSE),0)</f>
        <v>-1462</v>
      </c>
      <c r="T13">
        <f>IFERROR(VLOOKUP(B13,工资明细202401_Sheet1!$B:$BC,54,FALSE),0)</f>
        <v>11346.33</v>
      </c>
    </row>
    <row r="14" spans="1:20" x14ac:dyDescent="0.15">
      <c r="A14">
        <v>13</v>
      </c>
      <c r="B14" t="s">
        <v>32</v>
      </c>
      <c r="C14">
        <f>IFERROR(VLOOKUP(B14,工资明细202401_Sheet1!$B:$BC,37,FALSE),0)</f>
        <v>14088.84</v>
      </c>
      <c r="D14">
        <f>IFERROR(VLOOKUP(B14,工资明细202401_Sheet1!$B:$BC,38,FALSE),0)</f>
        <v>0</v>
      </c>
      <c r="E14">
        <f>IFERROR(VLOOKUP(B14,工资明细202401_Sheet1!$B:$BC,39,FALSE),0)</f>
        <v>0</v>
      </c>
      <c r="F14">
        <f>IFERROR(VLOOKUP(B14,工资明细202401_Sheet1!$B:$BC,40,FALSE),0)</f>
        <v>0</v>
      </c>
      <c r="G14">
        <f>IFERROR(VLOOKUP(B14,工资明细202401_Sheet1!$B:$BC,41,FALSE),0)</f>
        <v>-4.9000000000000004</v>
      </c>
      <c r="H14">
        <f>IFERROR(VLOOKUP(B14,工资明细202401_Sheet1!$B:$BC,42,FALSE),0)</f>
        <v>0</v>
      </c>
      <c r="I14">
        <f>IFERROR(VLOOKUP(B14,工资明细202401_Sheet1!$B:$BC,43,FALSE),0)</f>
        <v>-30</v>
      </c>
      <c r="J14">
        <f>IFERROR(VLOOKUP(B14,工资明细202401_Sheet1!$B:$BC,44,FALSE),0)</f>
        <v>0</v>
      </c>
      <c r="K14">
        <f>IFERROR(VLOOKUP(B14,工资明细202401_Sheet1!$B:$BC,45,FALSE),0)</f>
        <v>-1236.48</v>
      </c>
      <c r="L14">
        <f>IFERROR(VLOOKUP(B14,工资明细202401_Sheet1!$B:$BC,46,FALSE),0)</f>
        <v>-309.12</v>
      </c>
      <c r="M14">
        <f>IFERROR(VLOOKUP(B14,工资明细202401_Sheet1!$B:$BC,47,FALSE),0)</f>
        <v>-77.28</v>
      </c>
      <c r="N14">
        <f>IFERROR(VLOOKUP(B14,工资明细202401_Sheet1!$B:$BC,48,FALSE),0)</f>
        <v>-5</v>
      </c>
      <c r="O14">
        <f>IFERROR(VLOOKUP(B14,工资明细202401_Sheet1!$B:$BC,49,FALSE),0)</f>
        <v>-157.52000000000001</v>
      </c>
      <c r="P14">
        <f>IFERROR(VLOOKUP(B14,工资明细202401_Sheet1!$B:$BC,50,FALSE),0)</f>
        <v>0</v>
      </c>
      <c r="Q14">
        <f>IFERROR(VLOOKUP(B14,工资明细202401_Sheet1!$B:$BC,51,FALSE),0)</f>
        <v>-9.84</v>
      </c>
      <c r="R14">
        <f>IFERROR(VLOOKUP(B14,工资明细202401_Sheet1!$B:$BC,52,FALSE),0)</f>
        <v>0</v>
      </c>
      <c r="S14">
        <f>IFERROR(VLOOKUP(B14,工资明细202401_Sheet1!$B:$BC,53,FALSE),0)</f>
        <v>-1349</v>
      </c>
      <c r="T14">
        <f>IFERROR(VLOOKUP(B14,工资明细202401_Sheet1!$B:$BC,54,FALSE),0)</f>
        <v>10909.7</v>
      </c>
    </row>
    <row r="15" spans="1:20" x14ac:dyDescent="0.15">
      <c r="A15">
        <v>14</v>
      </c>
      <c r="B15" t="s">
        <v>33</v>
      </c>
      <c r="C15">
        <f>IFERROR(VLOOKUP(B15,工资明细202401_Sheet1!$B:$BC,37,FALSE),0)</f>
        <v>9862.44</v>
      </c>
      <c r="D15">
        <f>IFERROR(VLOOKUP(B15,工资明细202401_Sheet1!$B:$BC,38,FALSE),0)</f>
        <v>0</v>
      </c>
      <c r="E15">
        <f>IFERROR(VLOOKUP(B15,工资明细202401_Sheet1!$B:$BC,39,FALSE),0)</f>
        <v>0</v>
      </c>
      <c r="F15">
        <f>IFERROR(VLOOKUP(B15,工资明细202401_Sheet1!$B:$BC,40,FALSE),0)</f>
        <v>0</v>
      </c>
      <c r="G15">
        <f>IFERROR(VLOOKUP(B15,工资明细202401_Sheet1!$B:$BC,41,FALSE),0)</f>
        <v>0</v>
      </c>
      <c r="H15">
        <f>IFERROR(VLOOKUP(B15,工资明细202401_Sheet1!$B:$BC,42,FALSE),0)</f>
        <v>0</v>
      </c>
      <c r="I15">
        <f>IFERROR(VLOOKUP(B15,工资明细202401_Sheet1!$B:$BC,43,FALSE),0)</f>
        <v>-30</v>
      </c>
      <c r="J15">
        <f>IFERROR(VLOOKUP(B15,工资明细202401_Sheet1!$B:$BC,44,FALSE),0)</f>
        <v>0</v>
      </c>
      <c r="K15">
        <f>IFERROR(VLOOKUP(B15,工资明细202401_Sheet1!$B:$BC,45,FALSE),0)</f>
        <v>-865.28</v>
      </c>
      <c r="L15">
        <f>IFERROR(VLOOKUP(B15,工资明细202401_Sheet1!$B:$BC,46,FALSE),0)</f>
        <v>-216.32</v>
      </c>
      <c r="M15">
        <f>IFERROR(VLOOKUP(B15,工资明细202401_Sheet1!$B:$BC,47,FALSE),0)</f>
        <v>-54.08</v>
      </c>
      <c r="N15">
        <f>IFERROR(VLOOKUP(B15,工资明细202401_Sheet1!$B:$BC,48,FALSE),0)</f>
        <v>-5</v>
      </c>
      <c r="O15">
        <f>IFERROR(VLOOKUP(B15,工资明细202401_Sheet1!$B:$BC,49,FALSE),0)</f>
        <v>-154.80000000000001</v>
      </c>
      <c r="P15">
        <f>IFERROR(VLOOKUP(B15,工资明细202401_Sheet1!$B:$BC,50,FALSE),0)</f>
        <v>0</v>
      </c>
      <c r="Q15">
        <f>IFERROR(VLOOKUP(B15,工资明细202401_Sheet1!$B:$BC,51,FALSE),0)</f>
        <v>-9.67</v>
      </c>
      <c r="R15">
        <f>IFERROR(VLOOKUP(B15,工资明细202401_Sheet1!$B:$BC,52,FALSE),0)</f>
        <v>0</v>
      </c>
      <c r="S15">
        <f>IFERROR(VLOOKUP(B15,工资明细202401_Sheet1!$B:$BC,53,FALSE),0)</f>
        <v>-889</v>
      </c>
      <c r="T15">
        <f>IFERROR(VLOOKUP(B15,工资明细202401_Sheet1!$B:$BC,54,FALSE),0)</f>
        <v>7638.29</v>
      </c>
    </row>
    <row r="16" spans="1:20" x14ac:dyDescent="0.15">
      <c r="A16">
        <v>15</v>
      </c>
      <c r="B16" t="s">
        <v>34</v>
      </c>
      <c r="C16">
        <f>IFERROR(VLOOKUP(B16,工资明细202401_Sheet1!$B:$BC,37,FALSE),0)</f>
        <v>15615.24</v>
      </c>
      <c r="D16">
        <f>IFERROR(VLOOKUP(B16,工资明细202401_Sheet1!$B:$BC,38,FALSE),0)</f>
        <v>0</v>
      </c>
      <c r="E16">
        <f>IFERROR(VLOOKUP(B16,工资明细202401_Sheet1!$B:$BC,39,FALSE),0)</f>
        <v>0</v>
      </c>
      <c r="F16">
        <f>IFERROR(VLOOKUP(B16,工资明细202401_Sheet1!$B:$BC,40,FALSE),0)</f>
        <v>0</v>
      </c>
      <c r="G16">
        <f>IFERROR(VLOOKUP(B16,工资明细202401_Sheet1!$B:$BC,41,FALSE),0)</f>
        <v>-40.46</v>
      </c>
      <c r="H16">
        <f>IFERROR(VLOOKUP(B16,工资明细202401_Sheet1!$B:$BC,42,FALSE),0)</f>
        <v>0</v>
      </c>
      <c r="I16">
        <f>IFERROR(VLOOKUP(B16,工资明细202401_Sheet1!$B:$BC,43,FALSE),0)</f>
        <v>-30</v>
      </c>
      <c r="J16">
        <f>IFERROR(VLOOKUP(B16,工资明细202401_Sheet1!$B:$BC,44,FALSE),0)</f>
        <v>-1000</v>
      </c>
      <c r="K16">
        <f>IFERROR(VLOOKUP(B16,工资明细202401_Sheet1!$B:$BC,45,FALSE),0)</f>
        <v>-1375.36</v>
      </c>
      <c r="L16">
        <f>IFERROR(VLOOKUP(B16,工资明细202401_Sheet1!$B:$BC,46,FALSE),0)</f>
        <v>-343.84</v>
      </c>
      <c r="M16">
        <f>IFERROR(VLOOKUP(B16,工资明细202401_Sheet1!$B:$BC,47,FALSE),0)</f>
        <v>-85.96</v>
      </c>
      <c r="N16">
        <f>IFERROR(VLOOKUP(B16,工资明细202401_Sheet1!$B:$BC,48,FALSE),0)</f>
        <v>-5</v>
      </c>
      <c r="O16">
        <f>IFERROR(VLOOKUP(B16,工资明细202401_Sheet1!$B:$BC,49,FALSE),0)</f>
        <v>-173.84</v>
      </c>
      <c r="P16">
        <f>IFERROR(VLOOKUP(B16,工资明细202401_Sheet1!$B:$BC,50,FALSE),0)</f>
        <v>0</v>
      </c>
      <c r="Q16">
        <f>IFERROR(VLOOKUP(B16,工资明细202401_Sheet1!$B:$BC,51,FALSE),0)</f>
        <v>-10.86</v>
      </c>
      <c r="R16">
        <f>IFERROR(VLOOKUP(B16,工资明细202401_Sheet1!$B:$BC,52,FALSE),0)</f>
        <v>0</v>
      </c>
      <c r="S16">
        <f>IFERROR(VLOOKUP(B16,工资明细202401_Sheet1!$B:$BC,53,FALSE),0)</f>
        <v>-1502</v>
      </c>
      <c r="T16">
        <f>IFERROR(VLOOKUP(B16,工资明细202401_Sheet1!$B:$BC,54,FALSE),0)</f>
        <v>11047.92</v>
      </c>
    </row>
    <row r="17" spans="1:20" x14ac:dyDescent="0.15">
      <c r="A17">
        <v>16</v>
      </c>
      <c r="B17" t="s">
        <v>35</v>
      </c>
      <c r="C17">
        <f>IFERROR(VLOOKUP(B17,工资明细202401_Sheet1!$B:$BC,37,FALSE),0)</f>
        <v>12706.71</v>
      </c>
      <c r="D17">
        <f>IFERROR(VLOOKUP(B17,工资明细202401_Sheet1!$B:$BC,38,FALSE),0)</f>
        <v>0</v>
      </c>
      <c r="E17">
        <f>IFERROR(VLOOKUP(B17,工资明细202401_Sheet1!$B:$BC,39,FALSE),0)</f>
        <v>0</v>
      </c>
      <c r="F17">
        <f>IFERROR(VLOOKUP(B17,工资明细202401_Sheet1!$B:$BC,40,FALSE),0)</f>
        <v>0</v>
      </c>
      <c r="G17">
        <f>IFERROR(VLOOKUP(B17,工资明细202401_Sheet1!$B:$BC,41,FALSE),0)</f>
        <v>-27.13</v>
      </c>
      <c r="H17">
        <f>IFERROR(VLOOKUP(B17,工资明细202401_Sheet1!$B:$BC,42,FALSE),0)</f>
        <v>0</v>
      </c>
      <c r="I17">
        <f>IFERROR(VLOOKUP(B17,工资明细202401_Sheet1!$B:$BC,43,FALSE),0)</f>
        <v>-30</v>
      </c>
      <c r="J17">
        <f>IFERROR(VLOOKUP(B17,工资明细202401_Sheet1!$B:$BC,44,FALSE),0)</f>
        <v>0</v>
      </c>
      <c r="K17">
        <f>IFERROR(VLOOKUP(B17,工资明细202401_Sheet1!$B:$BC,45,FALSE),0)</f>
        <v>-997.04</v>
      </c>
      <c r="L17">
        <f>IFERROR(VLOOKUP(B17,工资明细202401_Sheet1!$B:$BC,46,FALSE),0)</f>
        <v>-249.26</v>
      </c>
      <c r="M17">
        <f>IFERROR(VLOOKUP(B17,工资明细202401_Sheet1!$B:$BC,47,FALSE),0)</f>
        <v>-62.32</v>
      </c>
      <c r="N17">
        <f>IFERROR(VLOOKUP(B17,工资明细202401_Sheet1!$B:$BC,48,FALSE),0)</f>
        <v>-5</v>
      </c>
      <c r="O17">
        <f>IFERROR(VLOOKUP(B17,工资明细202401_Sheet1!$B:$BC,49,FALSE),0)</f>
        <v>-82.72</v>
      </c>
      <c r="P17">
        <f>IFERROR(VLOOKUP(B17,工资明细202401_Sheet1!$B:$BC,50,FALSE),0)</f>
        <v>0</v>
      </c>
      <c r="Q17">
        <f>IFERROR(VLOOKUP(B17,工资明细202401_Sheet1!$B:$BC,51,FALSE),0)</f>
        <v>-5.17</v>
      </c>
      <c r="R17">
        <f>IFERROR(VLOOKUP(B17,工资明细202401_Sheet1!$B:$BC,52,FALSE),0)</f>
        <v>0</v>
      </c>
      <c r="S17">
        <f>IFERROR(VLOOKUP(B17,工资明细202401_Sheet1!$B:$BC,53,FALSE),0)</f>
        <v>-1143</v>
      </c>
      <c r="T17">
        <f>IFERROR(VLOOKUP(B17,工资明细202401_Sheet1!$B:$BC,54,FALSE),0)</f>
        <v>10105.07</v>
      </c>
    </row>
    <row r="18" spans="1:20" x14ac:dyDescent="0.15">
      <c r="A18">
        <v>17</v>
      </c>
      <c r="B18" t="s">
        <v>36</v>
      </c>
      <c r="C18">
        <f>IFERROR(VLOOKUP(B18,工资明细202401_Sheet1!$B:$BC,37,FALSE),0)</f>
        <v>11349.93</v>
      </c>
      <c r="D18">
        <f>IFERROR(VLOOKUP(B18,工资明细202401_Sheet1!$B:$BC,38,FALSE),0)</f>
        <v>0</v>
      </c>
      <c r="E18">
        <f>IFERROR(VLOOKUP(B18,工资明细202401_Sheet1!$B:$BC,39,FALSE),0)</f>
        <v>0</v>
      </c>
      <c r="F18">
        <f>IFERROR(VLOOKUP(B18,工资明细202401_Sheet1!$B:$BC,40,FALSE),0)</f>
        <v>0</v>
      </c>
      <c r="G18">
        <f>IFERROR(VLOOKUP(B18,工资明细202401_Sheet1!$B:$BC,41,FALSE),0)</f>
        <v>-113.83</v>
      </c>
      <c r="H18">
        <f>IFERROR(VLOOKUP(B18,工资明细202401_Sheet1!$B:$BC,42,FALSE),0)</f>
        <v>0</v>
      </c>
      <c r="I18">
        <f>IFERROR(VLOOKUP(B18,工资明细202401_Sheet1!$B:$BC,43,FALSE),0)</f>
        <v>-30</v>
      </c>
      <c r="J18">
        <f>IFERROR(VLOOKUP(B18,工资明细202401_Sheet1!$B:$BC,44,FALSE),0)</f>
        <v>0</v>
      </c>
      <c r="K18">
        <f>IFERROR(VLOOKUP(B18,工资明细202401_Sheet1!$B:$BC,45,FALSE),0)</f>
        <v>-1001.92</v>
      </c>
      <c r="L18">
        <f>IFERROR(VLOOKUP(B18,工资明细202401_Sheet1!$B:$BC,46,FALSE),0)</f>
        <v>-250.48</v>
      </c>
      <c r="M18">
        <f>IFERROR(VLOOKUP(B18,工资明细202401_Sheet1!$B:$BC,47,FALSE),0)</f>
        <v>-62.62</v>
      </c>
      <c r="N18">
        <f>IFERROR(VLOOKUP(B18,工资明细202401_Sheet1!$B:$BC,48,FALSE),0)</f>
        <v>-5</v>
      </c>
      <c r="O18">
        <f>IFERROR(VLOOKUP(B18,工资明细202401_Sheet1!$B:$BC,49,FALSE),0)</f>
        <v>-95.36</v>
      </c>
      <c r="P18">
        <f>IFERROR(VLOOKUP(B18,工资明细202401_Sheet1!$B:$BC,50,FALSE),0)</f>
        <v>0</v>
      </c>
      <c r="Q18">
        <f>IFERROR(VLOOKUP(B18,工资明细202401_Sheet1!$B:$BC,51,FALSE),0)</f>
        <v>-5.96</v>
      </c>
      <c r="R18">
        <f>IFERROR(VLOOKUP(B18,工资明细202401_Sheet1!$B:$BC,52,FALSE),0)</f>
        <v>0</v>
      </c>
      <c r="S18">
        <f>IFERROR(VLOOKUP(B18,工资明细202401_Sheet1!$B:$BC,53,FALSE),0)</f>
        <v>-1134</v>
      </c>
      <c r="T18">
        <f>IFERROR(VLOOKUP(B18,工资明细202401_Sheet1!$B:$BC,54,FALSE),0)</f>
        <v>8650.76</v>
      </c>
    </row>
    <row r="19" spans="1:20" x14ac:dyDescent="0.15">
      <c r="A19">
        <v>18</v>
      </c>
      <c r="B19" t="s">
        <v>37</v>
      </c>
      <c r="C19">
        <f>IFERROR(VLOOKUP(B19,工资明细202401_Sheet1!$B:$BC,37,FALSE),0)</f>
        <v>7258.25</v>
      </c>
      <c r="D19">
        <f>IFERROR(VLOOKUP(B19,工资明细202401_Sheet1!$B:$BC,38,FALSE),0)</f>
        <v>0</v>
      </c>
      <c r="E19">
        <f>IFERROR(VLOOKUP(B19,工资明细202401_Sheet1!$B:$BC,39,FALSE),0)</f>
        <v>0</v>
      </c>
      <c r="F19">
        <f>IFERROR(VLOOKUP(B19,工资明细202401_Sheet1!$B:$BC,40,FALSE),0)</f>
        <v>0</v>
      </c>
      <c r="G19">
        <f>IFERROR(VLOOKUP(B19,工资明细202401_Sheet1!$B:$BC,41,FALSE),0)</f>
        <v>-8.39</v>
      </c>
      <c r="H19">
        <f>IFERROR(VLOOKUP(B19,工资明细202401_Sheet1!$B:$BC,42,FALSE),0)</f>
        <v>0</v>
      </c>
      <c r="I19">
        <f>IFERROR(VLOOKUP(B19,工资明细202401_Sheet1!$B:$BC,43,FALSE),0)</f>
        <v>-30</v>
      </c>
      <c r="J19">
        <f>IFERROR(VLOOKUP(B19,工资明细202401_Sheet1!$B:$BC,44,FALSE),0)</f>
        <v>0</v>
      </c>
      <c r="K19">
        <f>IFERROR(VLOOKUP(B19,工资明细202401_Sheet1!$B:$BC,45,FALSE),0)</f>
        <v>-630.08000000000004</v>
      </c>
      <c r="L19">
        <f>IFERROR(VLOOKUP(B19,工资明细202401_Sheet1!$B:$BC,46,FALSE),0)</f>
        <v>-157.52000000000001</v>
      </c>
      <c r="M19">
        <f>IFERROR(VLOOKUP(B19,工资明细202401_Sheet1!$B:$BC,47,FALSE),0)</f>
        <v>-39.380000000000003</v>
      </c>
      <c r="N19">
        <f>IFERROR(VLOOKUP(B19,工资明细202401_Sheet1!$B:$BC,48,FALSE),0)</f>
        <v>-5</v>
      </c>
      <c r="O19">
        <f>IFERROR(VLOOKUP(B19,工资明细202401_Sheet1!$B:$BC,49,FALSE),0)</f>
        <v>-64.08</v>
      </c>
      <c r="P19">
        <f>IFERROR(VLOOKUP(B19,工资明细202401_Sheet1!$B:$BC,50,FALSE),0)</f>
        <v>0</v>
      </c>
      <c r="Q19">
        <f>IFERROR(VLOOKUP(B19,工资明细202401_Sheet1!$B:$BC,51,FALSE),0)</f>
        <v>-4</v>
      </c>
      <c r="R19">
        <f>IFERROR(VLOOKUP(B19,工资明细202401_Sheet1!$B:$BC,52,FALSE),0)</f>
        <v>0</v>
      </c>
      <c r="S19">
        <f>IFERROR(VLOOKUP(B19,工资明细202401_Sheet1!$B:$BC,53,FALSE),0)</f>
        <v>-708</v>
      </c>
      <c r="T19">
        <f>IFERROR(VLOOKUP(B19,工资明细202401_Sheet1!$B:$BC,54,FALSE),0)</f>
        <v>5611.8</v>
      </c>
    </row>
    <row r="20" spans="1:20" x14ac:dyDescent="0.15">
      <c r="A20">
        <v>19</v>
      </c>
      <c r="B20" t="s">
        <v>38</v>
      </c>
      <c r="C20">
        <f>IFERROR(VLOOKUP(B20,工资明细202401_Sheet1!$B:$BC,37,FALSE),0)</f>
        <v>5414</v>
      </c>
      <c r="D20">
        <f>IFERROR(VLOOKUP(B20,工资明细202401_Sheet1!$B:$BC,38,FALSE),0)</f>
        <v>0</v>
      </c>
      <c r="E20">
        <f>IFERROR(VLOOKUP(B20,工资明细202401_Sheet1!$B:$BC,39,FALSE),0)</f>
        <v>0</v>
      </c>
      <c r="F20">
        <f>IFERROR(VLOOKUP(B20,工资明细202401_Sheet1!$B:$BC,40,FALSE),0)</f>
        <v>0</v>
      </c>
      <c r="G20">
        <f>IFERROR(VLOOKUP(B20,工资明细202401_Sheet1!$B:$BC,41,FALSE),0)</f>
        <v>0</v>
      </c>
      <c r="H20">
        <f>IFERROR(VLOOKUP(B20,工资明细202401_Sheet1!$B:$BC,42,FALSE),0)</f>
        <v>0</v>
      </c>
      <c r="I20">
        <f>IFERROR(VLOOKUP(B20,工资明细202401_Sheet1!$B:$BC,43,FALSE),0)</f>
        <v>-30</v>
      </c>
      <c r="J20">
        <f>IFERROR(VLOOKUP(B20,工资明细202401_Sheet1!$B:$BC,44,FALSE),0)</f>
        <v>-1000</v>
      </c>
      <c r="K20">
        <f>IFERROR(VLOOKUP(B20,工资明细202401_Sheet1!$B:$BC,45,FALSE),0)</f>
        <v>-492.72</v>
      </c>
      <c r="L20">
        <f>IFERROR(VLOOKUP(B20,工资明细202401_Sheet1!$B:$BC,46,FALSE),0)</f>
        <v>-123.18</v>
      </c>
      <c r="M20">
        <f>IFERROR(VLOOKUP(B20,工资明细202401_Sheet1!$B:$BC,47,FALSE),0)</f>
        <v>-30.8</v>
      </c>
      <c r="N20">
        <f>IFERROR(VLOOKUP(B20,工资明细202401_Sheet1!$B:$BC,48,FALSE),0)</f>
        <v>-5</v>
      </c>
      <c r="O20">
        <f>IFERROR(VLOOKUP(B20,工资明细202401_Sheet1!$B:$BC,49,FALSE),0)</f>
        <v>-49.84</v>
      </c>
      <c r="P20">
        <f>IFERROR(VLOOKUP(B20,工资明细202401_Sheet1!$B:$BC,50,FALSE),0)</f>
        <v>0</v>
      </c>
      <c r="Q20">
        <f>IFERROR(VLOOKUP(B20,工资明细202401_Sheet1!$B:$BC,51,FALSE),0)</f>
        <v>-3.12</v>
      </c>
      <c r="R20">
        <f>IFERROR(VLOOKUP(B20,工资明细202401_Sheet1!$B:$BC,52,FALSE),0)</f>
        <v>0</v>
      </c>
      <c r="S20">
        <f>IFERROR(VLOOKUP(B20,工资明细202401_Sheet1!$B:$BC,53,FALSE),0)</f>
        <v>-554</v>
      </c>
      <c r="T20">
        <f>IFERROR(VLOOKUP(B20,工资明细202401_Sheet1!$B:$BC,54,FALSE),0)</f>
        <v>3125.34</v>
      </c>
    </row>
    <row r="21" spans="1:20" x14ac:dyDescent="0.15">
      <c r="A21">
        <v>20</v>
      </c>
      <c r="B21" t="s">
        <v>39</v>
      </c>
      <c r="C21">
        <f>IFERROR(VLOOKUP(B21,工资明细202401_Sheet1!$B:$BC,37,FALSE),0)</f>
        <v>10366.5</v>
      </c>
      <c r="D21">
        <f>IFERROR(VLOOKUP(B21,工资明细202401_Sheet1!$B:$BC,38,FALSE),0)</f>
        <v>0</v>
      </c>
      <c r="E21">
        <f>IFERROR(VLOOKUP(B21,工资明细202401_Sheet1!$B:$BC,39,FALSE),0)</f>
        <v>0</v>
      </c>
      <c r="F21">
        <f>IFERROR(VLOOKUP(B21,工资明细202401_Sheet1!$B:$BC,40,FALSE),0)</f>
        <v>0</v>
      </c>
      <c r="G21">
        <f>IFERROR(VLOOKUP(B21,工资明细202401_Sheet1!$B:$BC,41,FALSE),0)</f>
        <v>0</v>
      </c>
      <c r="H21">
        <f>IFERROR(VLOOKUP(B21,工资明细202401_Sheet1!$B:$BC,42,FALSE),0)</f>
        <v>0</v>
      </c>
      <c r="I21">
        <f>IFERROR(VLOOKUP(B21,工资明细202401_Sheet1!$B:$BC,43,FALSE),0)</f>
        <v>-30</v>
      </c>
      <c r="J21">
        <f>IFERROR(VLOOKUP(B21,工资明细202401_Sheet1!$B:$BC,44,FALSE),0)</f>
        <v>-1000</v>
      </c>
      <c r="K21">
        <f>IFERROR(VLOOKUP(B21,工资明细202401_Sheet1!$B:$BC,45,FALSE),0)</f>
        <v>-967.6</v>
      </c>
      <c r="L21">
        <f>IFERROR(VLOOKUP(B21,工资明细202401_Sheet1!$B:$BC,46,FALSE),0)</f>
        <v>-241.9</v>
      </c>
      <c r="M21">
        <f>IFERROR(VLOOKUP(B21,工资明细202401_Sheet1!$B:$BC,47,FALSE),0)</f>
        <v>-60.48</v>
      </c>
      <c r="N21">
        <f>IFERROR(VLOOKUP(B21,工资明细202401_Sheet1!$B:$BC,48,FALSE),0)</f>
        <v>-5</v>
      </c>
      <c r="O21">
        <f>IFERROR(VLOOKUP(B21,工资明细202401_Sheet1!$B:$BC,49,FALSE),0)</f>
        <v>-172.4</v>
      </c>
      <c r="P21">
        <f>IFERROR(VLOOKUP(B21,工资明细202401_Sheet1!$B:$BC,50,FALSE),0)</f>
        <v>0</v>
      </c>
      <c r="Q21">
        <f>IFERROR(VLOOKUP(B21,工资明细202401_Sheet1!$B:$BC,51,FALSE),0)</f>
        <v>-10.78</v>
      </c>
      <c r="R21">
        <f>IFERROR(VLOOKUP(B21,工资明细202401_Sheet1!$B:$BC,52,FALSE),0)</f>
        <v>0</v>
      </c>
      <c r="S21">
        <f>IFERROR(VLOOKUP(B21,工资明细202401_Sheet1!$B:$BC,53,FALSE),0)</f>
        <v>-994</v>
      </c>
      <c r="T21">
        <f>IFERROR(VLOOKUP(B21,工资明细202401_Sheet1!$B:$BC,54,FALSE),0)</f>
        <v>6884.34</v>
      </c>
    </row>
    <row r="22" spans="1:20" x14ac:dyDescent="0.15">
      <c r="A22">
        <v>21</v>
      </c>
      <c r="B22" t="s">
        <v>40</v>
      </c>
      <c r="C22">
        <f>IFERROR(VLOOKUP(B22,工资明细202401_Sheet1!$B:$BC,37,FALSE),0)</f>
        <v>10738.37</v>
      </c>
      <c r="D22">
        <f>IFERROR(VLOOKUP(B22,工资明细202401_Sheet1!$B:$BC,38,FALSE),0)</f>
        <v>0</v>
      </c>
      <c r="E22">
        <f>IFERROR(VLOOKUP(B22,工资明细202401_Sheet1!$B:$BC,39,FALSE),0)</f>
        <v>0</v>
      </c>
      <c r="F22">
        <f>IFERROR(VLOOKUP(B22,工资明细202401_Sheet1!$B:$BC,40,FALSE),0)</f>
        <v>0</v>
      </c>
      <c r="G22">
        <f>IFERROR(VLOOKUP(B22,工资明细202401_Sheet1!$B:$BC,41,FALSE),0)</f>
        <v>-10.98</v>
      </c>
      <c r="H22">
        <f>IFERROR(VLOOKUP(B22,工资明细202401_Sheet1!$B:$BC,42,FALSE),0)</f>
        <v>0</v>
      </c>
      <c r="I22">
        <f>IFERROR(VLOOKUP(B22,工资明细202401_Sheet1!$B:$BC,43,FALSE),0)</f>
        <v>-30</v>
      </c>
      <c r="J22">
        <f>IFERROR(VLOOKUP(B22,工资明细202401_Sheet1!$B:$BC,44,FALSE),0)</f>
        <v>0</v>
      </c>
      <c r="K22">
        <f>IFERROR(VLOOKUP(B22,工资明细202401_Sheet1!$B:$BC,45,FALSE),0)</f>
        <v>-932.88</v>
      </c>
      <c r="L22">
        <f>IFERROR(VLOOKUP(B22,工资明细202401_Sheet1!$B:$BC,46,FALSE),0)</f>
        <v>-233.22</v>
      </c>
      <c r="M22">
        <f>IFERROR(VLOOKUP(B22,工资明细202401_Sheet1!$B:$BC,47,FALSE),0)</f>
        <v>-58.31</v>
      </c>
      <c r="N22">
        <f>IFERROR(VLOOKUP(B22,工资明细202401_Sheet1!$B:$BC,48,FALSE),0)</f>
        <v>-5</v>
      </c>
      <c r="O22">
        <f>IFERROR(VLOOKUP(B22,工资明细202401_Sheet1!$B:$BC,49,FALSE),0)</f>
        <v>-128.72</v>
      </c>
      <c r="P22">
        <f>IFERROR(VLOOKUP(B22,工资明细202401_Sheet1!$B:$BC,50,FALSE),0)</f>
        <v>0</v>
      </c>
      <c r="Q22">
        <f>IFERROR(VLOOKUP(B22,工资明细202401_Sheet1!$B:$BC,51,FALSE),0)</f>
        <v>-8.0500000000000007</v>
      </c>
      <c r="R22">
        <f>IFERROR(VLOOKUP(B22,工资明细202401_Sheet1!$B:$BC,52,FALSE),0)</f>
        <v>0</v>
      </c>
      <c r="S22">
        <f>IFERROR(VLOOKUP(B22,工资明细202401_Sheet1!$B:$BC,53,FALSE),0)</f>
        <v>-1006</v>
      </c>
      <c r="T22">
        <f>IFERROR(VLOOKUP(B22,工资明细202401_Sheet1!$B:$BC,54,FALSE),0)</f>
        <v>8325.2099999999991</v>
      </c>
    </row>
    <row r="23" spans="1:20" x14ac:dyDescent="0.15">
      <c r="A23">
        <v>22</v>
      </c>
      <c r="B23" t="s">
        <v>41</v>
      </c>
      <c r="C23">
        <f>IFERROR(VLOOKUP(B23,工资明细202401_Sheet1!$B:$BC,37,FALSE),0)</f>
        <v>10782.92</v>
      </c>
      <c r="D23">
        <f>IFERROR(VLOOKUP(B23,工资明细202401_Sheet1!$B:$BC,38,FALSE),0)</f>
        <v>0</v>
      </c>
      <c r="E23">
        <f>IFERROR(VLOOKUP(B23,工资明细202401_Sheet1!$B:$BC,39,FALSE),0)</f>
        <v>0</v>
      </c>
      <c r="F23">
        <f>IFERROR(VLOOKUP(B23,工资明细202401_Sheet1!$B:$BC,40,FALSE),0)</f>
        <v>0</v>
      </c>
      <c r="G23">
        <f>IFERROR(VLOOKUP(B23,工资明细202401_Sheet1!$B:$BC,41,FALSE),0)</f>
        <v>-75.180000000000007</v>
      </c>
      <c r="H23">
        <f>IFERROR(VLOOKUP(B23,工资明细202401_Sheet1!$B:$BC,42,FALSE),0)</f>
        <v>0</v>
      </c>
      <c r="I23">
        <f>IFERROR(VLOOKUP(B23,工资明细202401_Sheet1!$B:$BC,43,FALSE),0)</f>
        <v>-30</v>
      </c>
      <c r="J23">
        <f>IFERROR(VLOOKUP(B23,工资明细202401_Sheet1!$B:$BC,44,FALSE),0)</f>
        <v>0</v>
      </c>
      <c r="K23">
        <f>IFERROR(VLOOKUP(B23,工资明细202401_Sheet1!$B:$BC,45,FALSE),0)</f>
        <v>-852</v>
      </c>
      <c r="L23">
        <f>IFERROR(VLOOKUP(B23,工资明细202401_Sheet1!$B:$BC,46,FALSE),0)</f>
        <v>-213</v>
      </c>
      <c r="M23">
        <f>IFERROR(VLOOKUP(B23,工资明细202401_Sheet1!$B:$BC,47,FALSE),0)</f>
        <v>-53.25</v>
      </c>
      <c r="N23">
        <f>IFERROR(VLOOKUP(B23,工资明细202401_Sheet1!$B:$BC,48,FALSE),0)</f>
        <v>-5</v>
      </c>
      <c r="O23">
        <f>IFERROR(VLOOKUP(B23,工资明细202401_Sheet1!$B:$BC,49,FALSE),0)</f>
        <v>-60.08</v>
      </c>
      <c r="P23">
        <f>IFERROR(VLOOKUP(B23,工资明细202401_Sheet1!$B:$BC,50,FALSE),0)</f>
        <v>0</v>
      </c>
      <c r="Q23">
        <f>IFERROR(VLOOKUP(B23,工资明细202401_Sheet1!$B:$BC,51,FALSE),0)</f>
        <v>-3.75</v>
      </c>
      <c r="R23">
        <f>IFERROR(VLOOKUP(B23,工资明细202401_Sheet1!$B:$BC,52,FALSE),0)</f>
        <v>0</v>
      </c>
      <c r="S23">
        <f>IFERROR(VLOOKUP(B23,工资明细202401_Sheet1!$B:$BC,53,FALSE),0)</f>
        <v>-990</v>
      </c>
      <c r="T23">
        <f>IFERROR(VLOOKUP(B23,工资明细202401_Sheet1!$B:$BC,54,FALSE),0)</f>
        <v>8500.66</v>
      </c>
    </row>
    <row r="24" spans="1:20" x14ac:dyDescent="0.15">
      <c r="A24">
        <v>23</v>
      </c>
      <c r="B24" t="s">
        <v>42</v>
      </c>
      <c r="C24">
        <f>IFERROR(VLOOKUP(B24,工资明细202401_Sheet1!$B:$BC,37,FALSE),0)</f>
        <v>9320.58</v>
      </c>
      <c r="D24">
        <f>IFERROR(VLOOKUP(B24,工资明细202401_Sheet1!$B:$BC,38,FALSE),0)</f>
        <v>0</v>
      </c>
      <c r="E24">
        <f>IFERROR(VLOOKUP(B24,工资明细202401_Sheet1!$B:$BC,39,FALSE),0)</f>
        <v>0</v>
      </c>
      <c r="F24">
        <f>IFERROR(VLOOKUP(B24,工资明细202401_Sheet1!$B:$BC,40,FALSE),0)</f>
        <v>0</v>
      </c>
      <c r="G24">
        <f>IFERROR(VLOOKUP(B24,工资明细202401_Sheet1!$B:$BC,41,FALSE),0)</f>
        <v>0</v>
      </c>
      <c r="H24">
        <f>IFERROR(VLOOKUP(B24,工资明细202401_Sheet1!$B:$BC,42,FALSE),0)</f>
        <v>0</v>
      </c>
      <c r="I24">
        <f>IFERROR(VLOOKUP(B24,工资明细202401_Sheet1!$B:$BC,43,FALSE),0)</f>
        <v>-30</v>
      </c>
      <c r="J24">
        <f>IFERROR(VLOOKUP(B24,工资明细202401_Sheet1!$B:$BC,44,FALSE),0)</f>
        <v>0</v>
      </c>
      <c r="K24">
        <f>IFERROR(VLOOKUP(B24,工资明细202401_Sheet1!$B:$BC,45,FALSE),0)</f>
        <v>-679.68</v>
      </c>
      <c r="L24">
        <f>IFERROR(VLOOKUP(B24,工资明细202401_Sheet1!$B:$BC,46,FALSE),0)</f>
        <v>-169.92</v>
      </c>
      <c r="M24">
        <f>IFERROR(VLOOKUP(B24,工资明细202401_Sheet1!$B:$BC,47,FALSE),0)</f>
        <v>-42.48</v>
      </c>
      <c r="N24">
        <f>IFERROR(VLOOKUP(B24,工资明细202401_Sheet1!$B:$BC,48,FALSE),0)</f>
        <v>-5</v>
      </c>
      <c r="O24">
        <f>IFERROR(VLOOKUP(B24,工资明细202401_Sheet1!$B:$BC,49,FALSE),0)</f>
        <v>-25.12</v>
      </c>
      <c r="P24">
        <f>IFERROR(VLOOKUP(B24,工资明细202401_Sheet1!$B:$BC,50,FALSE),0)</f>
        <v>0</v>
      </c>
      <c r="Q24">
        <f>IFERROR(VLOOKUP(B24,工资明细202401_Sheet1!$B:$BC,51,FALSE),0)</f>
        <v>-1.57</v>
      </c>
      <c r="R24">
        <f>IFERROR(VLOOKUP(B24,工资明细202401_Sheet1!$B:$BC,52,FALSE),0)</f>
        <v>0</v>
      </c>
      <c r="S24">
        <f>IFERROR(VLOOKUP(B24,工资明细202401_Sheet1!$B:$BC,53,FALSE),0)</f>
        <v>-819</v>
      </c>
      <c r="T24">
        <f>IFERROR(VLOOKUP(B24,工资明细202401_Sheet1!$B:$BC,54,FALSE),0)</f>
        <v>7547.81</v>
      </c>
    </row>
    <row r="25" spans="1:20" x14ac:dyDescent="0.15">
      <c r="A25">
        <v>24</v>
      </c>
      <c r="B25" t="s">
        <v>43</v>
      </c>
      <c r="C25">
        <f>IFERROR(VLOOKUP(B25,工资明细202401_Sheet1!$B:$BC,37,FALSE),0)</f>
        <v>8548.4</v>
      </c>
      <c r="D25">
        <f>IFERROR(VLOOKUP(B25,工资明细202401_Sheet1!$B:$BC,38,FALSE),0)</f>
        <v>0</v>
      </c>
      <c r="E25">
        <f>IFERROR(VLOOKUP(B25,工资明细202401_Sheet1!$B:$BC,39,FALSE),0)</f>
        <v>0</v>
      </c>
      <c r="F25">
        <f>IFERROR(VLOOKUP(B25,工资明细202401_Sheet1!$B:$BC,40,FALSE),0)</f>
        <v>0</v>
      </c>
      <c r="G25">
        <f>IFERROR(VLOOKUP(B25,工资明细202401_Sheet1!$B:$BC,41,FALSE),0)</f>
        <v>-54.34</v>
      </c>
      <c r="H25">
        <f>IFERROR(VLOOKUP(B25,工资明细202401_Sheet1!$B:$BC,42,FALSE),0)</f>
        <v>0</v>
      </c>
      <c r="I25">
        <f>IFERROR(VLOOKUP(B25,工资明细202401_Sheet1!$B:$BC,43,FALSE),0)</f>
        <v>-30</v>
      </c>
      <c r="J25">
        <f>IFERROR(VLOOKUP(B25,工资明细202401_Sheet1!$B:$BC,44,FALSE),0)</f>
        <v>-1000</v>
      </c>
      <c r="K25">
        <f>IFERROR(VLOOKUP(B25,工资明细202401_Sheet1!$B:$BC,45,FALSE),0)</f>
        <v>-682.4</v>
      </c>
      <c r="L25">
        <f>IFERROR(VLOOKUP(B25,工资明细202401_Sheet1!$B:$BC,46,FALSE),0)</f>
        <v>-170.6</v>
      </c>
      <c r="M25">
        <f>IFERROR(VLOOKUP(B25,工资明细202401_Sheet1!$B:$BC,47,FALSE),0)</f>
        <v>-42.65</v>
      </c>
      <c r="N25">
        <f>IFERROR(VLOOKUP(B25,工资明细202401_Sheet1!$B:$BC,48,FALSE),0)</f>
        <v>-5</v>
      </c>
      <c r="O25">
        <f>IFERROR(VLOOKUP(B25,工资明细202401_Sheet1!$B:$BC,49,FALSE),0)</f>
        <v>-92.56</v>
      </c>
      <c r="P25">
        <f>IFERROR(VLOOKUP(B25,工资明细202401_Sheet1!$B:$BC,50,FALSE),0)</f>
        <v>0</v>
      </c>
      <c r="Q25">
        <f>IFERROR(VLOOKUP(B25,工资明细202401_Sheet1!$B:$BC,51,FALSE),0)</f>
        <v>-5.78</v>
      </c>
      <c r="R25">
        <f>IFERROR(VLOOKUP(B25,工资明细202401_Sheet1!$B:$BC,52,FALSE),0)</f>
        <v>0</v>
      </c>
      <c r="S25">
        <f>IFERROR(VLOOKUP(B25,工资明细202401_Sheet1!$B:$BC,53,FALSE),0)</f>
        <v>-738</v>
      </c>
      <c r="T25">
        <f>IFERROR(VLOOKUP(B25,工资明细202401_Sheet1!$B:$BC,54,FALSE),0)</f>
        <v>5727.07</v>
      </c>
    </row>
    <row r="26" spans="1:20" x14ac:dyDescent="0.15">
      <c r="A26">
        <v>25</v>
      </c>
      <c r="B26" t="s">
        <v>44</v>
      </c>
      <c r="C26">
        <f>IFERROR(VLOOKUP(B26,工资明细202401_Sheet1!$B:$BC,37,FALSE),0)</f>
        <v>11847.58</v>
      </c>
      <c r="D26">
        <f>IFERROR(VLOOKUP(B26,工资明细202401_Sheet1!$B:$BC,38,FALSE),0)</f>
        <v>0</v>
      </c>
      <c r="E26">
        <f>IFERROR(VLOOKUP(B26,工资明细202401_Sheet1!$B:$BC,39,FALSE),0)</f>
        <v>0</v>
      </c>
      <c r="F26">
        <f>IFERROR(VLOOKUP(B26,工资明细202401_Sheet1!$B:$BC,40,FALSE),0)</f>
        <v>0</v>
      </c>
      <c r="G26">
        <f>IFERROR(VLOOKUP(B26,工资明细202401_Sheet1!$B:$BC,41,FALSE),0)</f>
        <v>0</v>
      </c>
      <c r="H26">
        <f>IFERROR(VLOOKUP(B26,工资明细202401_Sheet1!$B:$BC,42,FALSE),0)</f>
        <v>0</v>
      </c>
      <c r="I26">
        <f>IFERROR(VLOOKUP(B26,工资明细202401_Sheet1!$B:$BC,43,FALSE),0)</f>
        <v>-30</v>
      </c>
      <c r="J26">
        <f>IFERROR(VLOOKUP(B26,工资明细202401_Sheet1!$B:$BC,44,FALSE),0)</f>
        <v>0</v>
      </c>
      <c r="K26">
        <f>IFERROR(VLOOKUP(B26,工资明细202401_Sheet1!$B:$BC,45,FALSE),0)</f>
        <v>-734.4</v>
      </c>
      <c r="L26">
        <f>IFERROR(VLOOKUP(B26,工资明细202401_Sheet1!$B:$BC,46,FALSE),0)</f>
        <v>-183.6</v>
      </c>
      <c r="M26">
        <f>IFERROR(VLOOKUP(B26,工资明细202401_Sheet1!$B:$BC,47,FALSE),0)</f>
        <v>-45.9</v>
      </c>
      <c r="N26">
        <f>IFERROR(VLOOKUP(B26,工资明细202401_Sheet1!$B:$BC,48,FALSE),0)</f>
        <v>-5</v>
      </c>
      <c r="O26">
        <f>IFERROR(VLOOKUP(B26,工资明细202401_Sheet1!$B:$BC,49,FALSE),0)</f>
        <v>-32.479999999999997</v>
      </c>
      <c r="P26">
        <f>IFERROR(VLOOKUP(B26,工资明细202401_Sheet1!$B:$BC,50,FALSE),0)</f>
        <v>0</v>
      </c>
      <c r="Q26">
        <f>IFERROR(VLOOKUP(B26,工资明细202401_Sheet1!$B:$BC,51,FALSE),0)</f>
        <v>-2.0299999999999998</v>
      </c>
      <c r="R26">
        <f>IFERROR(VLOOKUP(B26,工资明细202401_Sheet1!$B:$BC,52,FALSE),0)</f>
        <v>0</v>
      </c>
      <c r="S26">
        <f>IFERROR(VLOOKUP(B26,工资明细202401_Sheet1!$B:$BC,53,FALSE),0)</f>
        <v>-878</v>
      </c>
      <c r="T26">
        <f>IFERROR(VLOOKUP(B26,工资明细202401_Sheet1!$B:$BC,54,FALSE),0)</f>
        <v>9936.17</v>
      </c>
    </row>
    <row r="27" spans="1:20" x14ac:dyDescent="0.15">
      <c r="A27">
        <v>26</v>
      </c>
      <c r="B27" t="s">
        <v>45</v>
      </c>
      <c r="C27">
        <f>IFERROR(VLOOKUP(B27,工资明细202401_Sheet1!$B:$BC,37,FALSE),0)</f>
        <v>10211.709999999999</v>
      </c>
      <c r="D27">
        <f>IFERROR(VLOOKUP(B27,工资明细202401_Sheet1!$B:$BC,38,FALSE),0)</f>
        <v>0</v>
      </c>
      <c r="E27">
        <f>IFERROR(VLOOKUP(B27,工资明细202401_Sheet1!$B:$BC,39,FALSE),0)</f>
        <v>0</v>
      </c>
      <c r="F27">
        <f>IFERROR(VLOOKUP(B27,工资明细202401_Sheet1!$B:$BC,40,FALSE),0)</f>
        <v>0</v>
      </c>
      <c r="G27">
        <f>IFERROR(VLOOKUP(B27,工资明细202401_Sheet1!$B:$BC,41,FALSE),0)</f>
        <v>0</v>
      </c>
      <c r="H27">
        <f>IFERROR(VLOOKUP(B27,工资明细202401_Sheet1!$B:$BC,42,FALSE),0)</f>
        <v>0</v>
      </c>
      <c r="I27">
        <f>IFERROR(VLOOKUP(B27,工资明细202401_Sheet1!$B:$BC,43,FALSE),0)</f>
        <v>-30</v>
      </c>
      <c r="J27">
        <f>IFERROR(VLOOKUP(B27,工资明细202401_Sheet1!$B:$BC,44,FALSE),0)</f>
        <v>0</v>
      </c>
      <c r="K27">
        <f>IFERROR(VLOOKUP(B27,工资明细202401_Sheet1!$B:$BC,45,FALSE),0)</f>
        <v>-913.44</v>
      </c>
      <c r="L27">
        <f>IFERROR(VLOOKUP(B27,工资明细202401_Sheet1!$B:$BC,46,FALSE),0)</f>
        <v>-228.36</v>
      </c>
      <c r="M27">
        <f>IFERROR(VLOOKUP(B27,工资明细202401_Sheet1!$B:$BC,47,FALSE),0)</f>
        <v>-57.09</v>
      </c>
      <c r="N27">
        <f>IFERROR(VLOOKUP(B27,工资明细202401_Sheet1!$B:$BC,48,FALSE),0)</f>
        <v>-5</v>
      </c>
      <c r="O27">
        <f>IFERROR(VLOOKUP(B27,工资明细202401_Sheet1!$B:$BC,49,FALSE),0)</f>
        <v>-44.48</v>
      </c>
      <c r="P27">
        <f>IFERROR(VLOOKUP(B27,工资明细202401_Sheet1!$B:$BC,50,FALSE),0)</f>
        <v>0</v>
      </c>
      <c r="Q27">
        <f>IFERROR(VLOOKUP(B27,工资明细202401_Sheet1!$B:$BC,51,FALSE),0)</f>
        <v>-2.78</v>
      </c>
      <c r="R27">
        <f>IFERROR(VLOOKUP(B27,工资明细202401_Sheet1!$B:$BC,52,FALSE),0)</f>
        <v>0</v>
      </c>
      <c r="S27">
        <f>IFERROR(VLOOKUP(B27,工资明细202401_Sheet1!$B:$BC,53,FALSE),0)</f>
        <v>-1087</v>
      </c>
      <c r="T27">
        <f>IFERROR(VLOOKUP(B27,工资明细202401_Sheet1!$B:$BC,54,FALSE),0)</f>
        <v>7843.56</v>
      </c>
    </row>
    <row r="28" spans="1:20" x14ac:dyDescent="0.15">
      <c r="A28">
        <v>27</v>
      </c>
      <c r="B28" t="s">
        <v>46</v>
      </c>
      <c r="C28">
        <f>IFERROR(VLOOKUP(B28,工资明细202401_Sheet1!$B:$BC,37,FALSE),0)</f>
        <v>8450.9</v>
      </c>
      <c r="D28">
        <f>IFERROR(VLOOKUP(B28,工资明细202401_Sheet1!$B:$BC,38,FALSE),0)</f>
        <v>0</v>
      </c>
      <c r="E28">
        <f>IFERROR(VLOOKUP(B28,工资明细202401_Sheet1!$B:$BC,39,FALSE),0)</f>
        <v>0</v>
      </c>
      <c r="F28">
        <f>IFERROR(VLOOKUP(B28,工资明细202401_Sheet1!$B:$BC,40,FALSE),0)</f>
        <v>0</v>
      </c>
      <c r="G28">
        <f>IFERROR(VLOOKUP(B28,工资明细202401_Sheet1!$B:$BC,41,FALSE),0)</f>
        <v>-50.85</v>
      </c>
      <c r="H28">
        <f>IFERROR(VLOOKUP(B28,工资明细202401_Sheet1!$B:$BC,42,FALSE),0)</f>
        <v>0</v>
      </c>
      <c r="I28">
        <f>IFERROR(VLOOKUP(B28,工资明细202401_Sheet1!$B:$BC,43,FALSE),0)</f>
        <v>-30</v>
      </c>
      <c r="J28">
        <f>IFERROR(VLOOKUP(B28,工资明细202401_Sheet1!$B:$BC,44,FALSE),0)</f>
        <v>-1000</v>
      </c>
      <c r="K28">
        <f>IFERROR(VLOOKUP(B28,工资明细202401_Sheet1!$B:$BC,45,FALSE),0)</f>
        <v>-687.84</v>
      </c>
      <c r="L28">
        <f>IFERROR(VLOOKUP(B28,工资明细202401_Sheet1!$B:$BC,46,FALSE),0)</f>
        <v>-171.96</v>
      </c>
      <c r="M28">
        <f>IFERROR(VLOOKUP(B28,工资明细202401_Sheet1!$B:$BC,47,FALSE),0)</f>
        <v>-42.99</v>
      </c>
      <c r="N28">
        <f>IFERROR(VLOOKUP(B28,工资明细202401_Sheet1!$B:$BC,48,FALSE),0)</f>
        <v>-5</v>
      </c>
      <c r="O28">
        <f>IFERROR(VLOOKUP(B28,工资明细202401_Sheet1!$B:$BC,49,FALSE),0)</f>
        <v>-64.959999999999994</v>
      </c>
      <c r="P28">
        <f>IFERROR(VLOOKUP(B28,工资明细202401_Sheet1!$B:$BC,50,FALSE),0)</f>
        <v>0</v>
      </c>
      <c r="Q28">
        <f>IFERROR(VLOOKUP(B28,工资明细202401_Sheet1!$B:$BC,51,FALSE),0)</f>
        <v>-4.0599999999999996</v>
      </c>
      <c r="R28">
        <f>IFERROR(VLOOKUP(B28,工资明细202401_Sheet1!$B:$BC,52,FALSE),0)</f>
        <v>0</v>
      </c>
      <c r="S28">
        <f>IFERROR(VLOOKUP(B28,工资明细202401_Sheet1!$B:$BC,53,FALSE),0)</f>
        <v>-779</v>
      </c>
      <c r="T28">
        <f>IFERROR(VLOOKUP(B28,工资明细202401_Sheet1!$B:$BC,54,FALSE),0)</f>
        <v>5614.24</v>
      </c>
    </row>
    <row r="29" spans="1:20" x14ac:dyDescent="0.15">
      <c r="A29">
        <v>28</v>
      </c>
      <c r="B29" t="s">
        <v>47</v>
      </c>
      <c r="C29">
        <f>IFERROR(VLOOKUP(B29,工资明细202401_Sheet1!$B:$BC,37,FALSE),0)</f>
        <v>9494.2900000000009</v>
      </c>
      <c r="D29">
        <f>IFERROR(VLOOKUP(B29,工资明细202401_Sheet1!$B:$BC,38,FALSE),0)</f>
        <v>0</v>
      </c>
      <c r="E29">
        <f>IFERROR(VLOOKUP(B29,工资明细202401_Sheet1!$B:$BC,39,FALSE),0)</f>
        <v>0</v>
      </c>
      <c r="F29">
        <f>IFERROR(VLOOKUP(B29,工资明细202401_Sheet1!$B:$BC,40,FALSE),0)</f>
        <v>0</v>
      </c>
      <c r="G29">
        <f>IFERROR(VLOOKUP(B29,工资明细202401_Sheet1!$B:$BC,41,FALSE),0)</f>
        <v>0</v>
      </c>
      <c r="H29">
        <f>IFERROR(VLOOKUP(B29,工资明细202401_Sheet1!$B:$BC,42,FALSE),0)</f>
        <v>0</v>
      </c>
      <c r="I29">
        <f>IFERROR(VLOOKUP(B29,工资明细202401_Sheet1!$B:$BC,43,FALSE),0)</f>
        <v>-30</v>
      </c>
      <c r="J29">
        <f>IFERROR(VLOOKUP(B29,工资明细202401_Sheet1!$B:$BC,44,FALSE),0)</f>
        <v>0</v>
      </c>
      <c r="K29">
        <f>IFERROR(VLOOKUP(B29,工资明细202401_Sheet1!$B:$BC,45,FALSE),0)</f>
        <v>-768</v>
      </c>
      <c r="L29">
        <f>IFERROR(VLOOKUP(B29,工资明细202401_Sheet1!$B:$BC,46,FALSE),0)</f>
        <v>-192</v>
      </c>
      <c r="M29">
        <f>IFERROR(VLOOKUP(B29,工资明细202401_Sheet1!$B:$BC,47,FALSE),0)</f>
        <v>-48</v>
      </c>
      <c r="N29">
        <f>IFERROR(VLOOKUP(B29,工资明细202401_Sheet1!$B:$BC,48,FALSE),0)</f>
        <v>-5</v>
      </c>
      <c r="O29">
        <f>IFERROR(VLOOKUP(B29,工资明细202401_Sheet1!$B:$BC,49,FALSE),0)</f>
        <v>-38.799999999999997</v>
      </c>
      <c r="P29">
        <f>IFERROR(VLOOKUP(B29,工资明细202401_Sheet1!$B:$BC,50,FALSE),0)</f>
        <v>0</v>
      </c>
      <c r="Q29">
        <f>IFERROR(VLOOKUP(B29,工资明细202401_Sheet1!$B:$BC,51,FALSE),0)</f>
        <v>-2.42</v>
      </c>
      <c r="R29">
        <f>IFERROR(VLOOKUP(B29,工资明细202401_Sheet1!$B:$BC,52,FALSE),0)</f>
        <v>0</v>
      </c>
      <c r="S29">
        <f>IFERROR(VLOOKUP(B29,工资明细202401_Sheet1!$B:$BC,53,FALSE),0)</f>
        <v>-912</v>
      </c>
      <c r="T29">
        <f>IFERROR(VLOOKUP(B29,工资明细202401_Sheet1!$B:$BC,54,FALSE),0)</f>
        <v>7498.07</v>
      </c>
    </row>
    <row r="30" spans="1:20" x14ac:dyDescent="0.15">
      <c r="A30">
        <v>29</v>
      </c>
      <c r="B30" t="s">
        <v>48</v>
      </c>
      <c r="C30">
        <f>IFERROR(VLOOKUP(B30,工资明细202401_Sheet1!$B:$BC,37,FALSE),0)</f>
        <v>8442.5</v>
      </c>
      <c r="D30">
        <f>IFERROR(VLOOKUP(B30,工资明细202401_Sheet1!$B:$BC,38,FALSE),0)</f>
        <v>0</v>
      </c>
      <c r="E30">
        <f>IFERROR(VLOOKUP(B30,工资明细202401_Sheet1!$B:$BC,39,FALSE),0)</f>
        <v>0</v>
      </c>
      <c r="F30">
        <f>IFERROR(VLOOKUP(B30,工资明细202401_Sheet1!$B:$BC,40,FALSE),0)</f>
        <v>0</v>
      </c>
      <c r="G30">
        <f>IFERROR(VLOOKUP(B30,工资明细202401_Sheet1!$B:$BC,41,FALSE),0)</f>
        <v>-2.48</v>
      </c>
      <c r="H30">
        <f>IFERROR(VLOOKUP(B30,工资明细202401_Sheet1!$B:$BC,42,FALSE),0)</f>
        <v>0</v>
      </c>
      <c r="I30">
        <f>IFERROR(VLOOKUP(B30,工资明细202401_Sheet1!$B:$BC,43,FALSE),0)</f>
        <v>-30</v>
      </c>
      <c r="J30">
        <f>IFERROR(VLOOKUP(B30,工资明细202401_Sheet1!$B:$BC,44,FALSE),0)</f>
        <v>0</v>
      </c>
      <c r="K30">
        <f>IFERROR(VLOOKUP(B30,工资明细202401_Sheet1!$B:$BC,45,FALSE),0)</f>
        <v>-736</v>
      </c>
      <c r="L30">
        <f>IFERROR(VLOOKUP(B30,工资明细202401_Sheet1!$B:$BC,46,FALSE),0)</f>
        <v>-184</v>
      </c>
      <c r="M30">
        <f>IFERROR(VLOOKUP(B30,工资明细202401_Sheet1!$B:$BC,47,FALSE),0)</f>
        <v>-46</v>
      </c>
      <c r="N30">
        <f>IFERROR(VLOOKUP(B30,工资明细202401_Sheet1!$B:$BC,48,FALSE),0)</f>
        <v>-5</v>
      </c>
      <c r="O30">
        <f>IFERROR(VLOOKUP(B30,工资明细202401_Sheet1!$B:$BC,49,FALSE),0)</f>
        <v>-26.24</v>
      </c>
      <c r="P30">
        <f>IFERROR(VLOOKUP(B30,工资明细202401_Sheet1!$B:$BC,50,FALSE),0)</f>
        <v>0</v>
      </c>
      <c r="Q30">
        <f>IFERROR(VLOOKUP(B30,工资明细202401_Sheet1!$B:$BC,51,FALSE),0)</f>
        <v>-1.64</v>
      </c>
      <c r="R30">
        <f>IFERROR(VLOOKUP(B30,工资明细202401_Sheet1!$B:$BC,52,FALSE),0)</f>
        <v>0</v>
      </c>
      <c r="S30">
        <f>IFERROR(VLOOKUP(B30,工资明细202401_Sheet1!$B:$BC,53,FALSE),0)</f>
        <v>-888</v>
      </c>
      <c r="T30">
        <f>IFERROR(VLOOKUP(B30,工资明细202401_Sheet1!$B:$BC,54,FALSE),0)</f>
        <v>6523.14</v>
      </c>
    </row>
    <row r="31" spans="1:20" x14ac:dyDescent="0.15">
      <c r="A31">
        <v>30</v>
      </c>
      <c r="B31" t="s">
        <v>49</v>
      </c>
      <c r="C31">
        <f>IFERROR(VLOOKUP(B31,工资明细202401_Sheet1!$B:$BC,37,FALSE),0)</f>
        <v>9731.68</v>
      </c>
      <c r="D31">
        <f>IFERROR(VLOOKUP(B31,工资明细202401_Sheet1!$B:$BC,38,FALSE),0)</f>
        <v>0</v>
      </c>
      <c r="E31">
        <f>IFERROR(VLOOKUP(B31,工资明细202401_Sheet1!$B:$BC,39,FALSE),0)</f>
        <v>0</v>
      </c>
      <c r="F31">
        <f>IFERROR(VLOOKUP(B31,工资明细202401_Sheet1!$B:$BC,40,FALSE),0)</f>
        <v>0</v>
      </c>
      <c r="G31">
        <f>IFERROR(VLOOKUP(B31,工资明细202401_Sheet1!$B:$BC,41,FALSE),0)</f>
        <v>-76.959999999999994</v>
      </c>
      <c r="H31">
        <f>IFERROR(VLOOKUP(B31,工资明细202401_Sheet1!$B:$BC,42,FALSE),0)</f>
        <v>0</v>
      </c>
      <c r="I31">
        <f>IFERROR(VLOOKUP(B31,工资明细202401_Sheet1!$B:$BC,43,FALSE),0)</f>
        <v>-30</v>
      </c>
      <c r="J31">
        <f>IFERROR(VLOOKUP(B31,工资明细202401_Sheet1!$B:$BC,44,FALSE),0)</f>
        <v>-1000</v>
      </c>
      <c r="K31">
        <f>IFERROR(VLOOKUP(B31,工资明细202401_Sheet1!$B:$BC,45,FALSE),0)</f>
        <v>-850.88</v>
      </c>
      <c r="L31">
        <f>IFERROR(VLOOKUP(B31,工资明细202401_Sheet1!$B:$BC,46,FALSE),0)</f>
        <v>-212.72</v>
      </c>
      <c r="M31">
        <f>IFERROR(VLOOKUP(B31,工资明细202401_Sheet1!$B:$BC,47,FALSE),0)</f>
        <v>-53.18</v>
      </c>
      <c r="N31">
        <f>IFERROR(VLOOKUP(B31,工资明细202401_Sheet1!$B:$BC,48,FALSE),0)</f>
        <v>-5</v>
      </c>
      <c r="O31">
        <f>IFERROR(VLOOKUP(B31,工资明细202401_Sheet1!$B:$BC,49,FALSE),0)</f>
        <v>-106</v>
      </c>
      <c r="P31">
        <f>IFERROR(VLOOKUP(B31,工资明细202401_Sheet1!$B:$BC,50,FALSE),0)</f>
        <v>0</v>
      </c>
      <c r="Q31">
        <f>IFERROR(VLOOKUP(B31,工资明细202401_Sheet1!$B:$BC,51,FALSE),0)</f>
        <v>-6.62</v>
      </c>
      <c r="R31">
        <f>IFERROR(VLOOKUP(B31,工资明细202401_Sheet1!$B:$BC,52,FALSE),0)</f>
        <v>0</v>
      </c>
      <c r="S31">
        <f>IFERROR(VLOOKUP(B31,工资明细202401_Sheet1!$B:$BC,53,FALSE),0)</f>
        <v>-932</v>
      </c>
      <c r="T31">
        <f>IFERROR(VLOOKUP(B31,工资明细202401_Sheet1!$B:$BC,54,FALSE),0)</f>
        <v>6458.32</v>
      </c>
    </row>
    <row r="32" spans="1:20" x14ac:dyDescent="0.15">
      <c r="A32">
        <v>31</v>
      </c>
      <c r="B32" t="s">
        <v>50</v>
      </c>
      <c r="C32">
        <f>IFERROR(VLOOKUP(B32,工资明细202401_Sheet1!$B:$BC,37,FALSE),0)</f>
        <v>10719.39</v>
      </c>
      <c r="D32">
        <f>IFERROR(VLOOKUP(B32,工资明细202401_Sheet1!$B:$BC,38,FALSE),0)</f>
        <v>0</v>
      </c>
      <c r="E32">
        <f>IFERROR(VLOOKUP(B32,工资明细202401_Sheet1!$B:$BC,39,FALSE),0)</f>
        <v>0</v>
      </c>
      <c r="F32">
        <f>IFERROR(VLOOKUP(B32,工资明细202401_Sheet1!$B:$BC,40,FALSE),0)</f>
        <v>0</v>
      </c>
      <c r="G32">
        <f>IFERROR(VLOOKUP(B32,工资明细202401_Sheet1!$B:$BC,41,FALSE),0)</f>
        <v>0</v>
      </c>
      <c r="H32">
        <f>IFERROR(VLOOKUP(B32,工资明细202401_Sheet1!$B:$BC,42,FALSE),0)</f>
        <v>0</v>
      </c>
      <c r="I32">
        <f>IFERROR(VLOOKUP(B32,工资明细202401_Sheet1!$B:$BC,43,FALSE),0)</f>
        <v>-30</v>
      </c>
      <c r="J32">
        <f>IFERROR(VLOOKUP(B32,工资明细202401_Sheet1!$B:$BC,44,FALSE),0)</f>
        <v>0</v>
      </c>
      <c r="K32">
        <f>IFERROR(VLOOKUP(B32,工资明细202401_Sheet1!$B:$BC,45,FALSE),0)</f>
        <v>-883.44</v>
      </c>
      <c r="L32">
        <f>IFERROR(VLOOKUP(B32,工资明细202401_Sheet1!$B:$BC,46,FALSE),0)</f>
        <v>-220.86</v>
      </c>
      <c r="M32">
        <f>IFERROR(VLOOKUP(B32,工资明细202401_Sheet1!$B:$BC,47,FALSE),0)</f>
        <v>-55.22</v>
      </c>
      <c r="N32">
        <f>IFERROR(VLOOKUP(B32,工资明细202401_Sheet1!$B:$BC,48,FALSE),0)</f>
        <v>-5</v>
      </c>
      <c r="O32">
        <f>IFERROR(VLOOKUP(B32,工资明细202401_Sheet1!$B:$BC,49,FALSE),0)</f>
        <v>-78.64</v>
      </c>
      <c r="P32">
        <f>IFERROR(VLOOKUP(B32,工资明细202401_Sheet1!$B:$BC,50,FALSE),0)</f>
        <v>0</v>
      </c>
      <c r="Q32">
        <f>IFERROR(VLOOKUP(B32,工资明细202401_Sheet1!$B:$BC,51,FALSE),0)</f>
        <v>-4.92</v>
      </c>
      <c r="R32">
        <f>IFERROR(VLOOKUP(B32,工资明细202401_Sheet1!$B:$BC,52,FALSE),0)</f>
        <v>0</v>
      </c>
      <c r="S32">
        <f>IFERROR(VLOOKUP(B32,工资明细202401_Sheet1!$B:$BC,53,FALSE),0)</f>
        <v>-1006</v>
      </c>
      <c r="T32">
        <f>IFERROR(VLOOKUP(B32,工资明细202401_Sheet1!$B:$BC,54,FALSE),0)</f>
        <v>8435.31</v>
      </c>
    </row>
    <row r="33" spans="1:20" x14ac:dyDescent="0.15">
      <c r="A33">
        <v>32</v>
      </c>
      <c r="B33" t="s">
        <v>51</v>
      </c>
      <c r="C33">
        <f>IFERROR(VLOOKUP(B33,工资明细202401_Sheet1!$B:$BC,37,FALSE),0)</f>
        <v>10435.42</v>
      </c>
      <c r="D33">
        <f>IFERROR(VLOOKUP(B33,工资明细202401_Sheet1!$B:$BC,38,FALSE),0)</f>
        <v>0</v>
      </c>
      <c r="E33">
        <f>IFERROR(VLOOKUP(B33,工资明细202401_Sheet1!$B:$BC,39,FALSE),0)</f>
        <v>0</v>
      </c>
      <c r="F33">
        <f>IFERROR(VLOOKUP(B33,工资明细202401_Sheet1!$B:$BC,40,FALSE),0)</f>
        <v>0</v>
      </c>
      <c r="G33">
        <f>IFERROR(VLOOKUP(B33,工资明细202401_Sheet1!$B:$BC,41,FALSE),0)</f>
        <v>-95.05</v>
      </c>
      <c r="H33">
        <f>IFERROR(VLOOKUP(B33,工资明细202401_Sheet1!$B:$BC,42,FALSE),0)</f>
        <v>0</v>
      </c>
      <c r="I33">
        <f>IFERROR(VLOOKUP(B33,工资明细202401_Sheet1!$B:$BC,43,FALSE),0)</f>
        <v>-30</v>
      </c>
      <c r="J33">
        <f>IFERROR(VLOOKUP(B33,工资明细202401_Sheet1!$B:$BC,44,FALSE),0)</f>
        <v>0</v>
      </c>
      <c r="K33">
        <f>IFERROR(VLOOKUP(B33,工资明细202401_Sheet1!$B:$BC,45,FALSE),0)</f>
        <v>-894.32</v>
      </c>
      <c r="L33">
        <f>IFERROR(VLOOKUP(B33,工资明细202401_Sheet1!$B:$BC,46,FALSE),0)</f>
        <v>-223.58</v>
      </c>
      <c r="M33">
        <f>IFERROR(VLOOKUP(B33,工资明细202401_Sheet1!$B:$BC,47,FALSE),0)</f>
        <v>-55.9</v>
      </c>
      <c r="N33">
        <f>IFERROR(VLOOKUP(B33,工资明细202401_Sheet1!$B:$BC,48,FALSE),0)</f>
        <v>-5</v>
      </c>
      <c r="O33">
        <f>IFERROR(VLOOKUP(B33,工资明细202401_Sheet1!$B:$BC,49,FALSE),0)</f>
        <v>-158.32</v>
      </c>
      <c r="P33">
        <f>IFERROR(VLOOKUP(B33,工资明细202401_Sheet1!$B:$BC,50,FALSE),0)</f>
        <v>0</v>
      </c>
      <c r="Q33">
        <f>IFERROR(VLOOKUP(B33,工资明细202401_Sheet1!$B:$BC,51,FALSE),0)</f>
        <v>-9.9</v>
      </c>
      <c r="R33">
        <f>IFERROR(VLOOKUP(B33,工资明细202401_Sheet1!$B:$BC,52,FALSE),0)</f>
        <v>0</v>
      </c>
      <c r="S33">
        <f>IFERROR(VLOOKUP(B33,工资明细202401_Sheet1!$B:$BC,53,FALSE),0)</f>
        <v>-920</v>
      </c>
      <c r="T33">
        <f>IFERROR(VLOOKUP(B33,工资明细202401_Sheet1!$B:$BC,54,FALSE),0)</f>
        <v>8043.35</v>
      </c>
    </row>
    <row r="34" spans="1:20" x14ac:dyDescent="0.15">
      <c r="A34">
        <v>33</v>
      </c>
      <c r="B34" t="s">
        <v>52</v>
      </c>
      <c r="C34">
        <f>IFERROR(VLOOKUP(B34,工资明细202401_Sheet1!$B:$BC,37,FALSE),0)</f>
        <v>9620.08</v>
      </c>
      <c r="D34">
        <f>IFERROR(VLOOKUP(B34,工资明细202401_Sheet1!$B:$BC,38,FALSE),0)</f>
        <v>0</v>
      </c>
      <c r="E34">
        <f>IFERROR(VLOOKUP(B34,工资明细202401_Sheet1!$B:$BC,39,FALSE),0)</f>
        <v>0</v>
      </c>
      <c r="F34">
        <f>IFERROR(VLOOKUP(B34,工资明细202401_Sheet1!$B:$BC,40,FALSE),0)</f>
        <v>0</v>
      </c>
      <c r="G34">
        <f>IFERROR(VLOOKUP(B34,工资明细202401_Sheet1!$B:$BC,41,FALSE),0)</f>
        <v>-27.93</v>
      </c>
      <c r="H34">
        <f>IFERROR(VLOOKUP(B34,工资明细202401_Sheet1!$B:$BC,42,FALSE),0)</f>
        <v>0</v>
      </c>
      <c r="I34">
        <f>IFERROR(VLOOKUP(B34,工资明细202401_Sheet1!$B:$BC,43,FALSE),0)</f>
        <v>-30</v>
      </c>
      <c r="J34">
        <f>IFERROR(VLOOKUP(B34,工资明细202401_Sheet1!$B:$BC,44,FALSE),0)</f>
        <v>0</v>
      </c>
      <c r="K34">
        <f>IFERROR(VLOOKUP(B34,工资明细202401_Sheet1!$B:$BC,45,FALSE),0)</f>
        <v>-870.08</v>
      </c>
      <c r="L34">
        <f>IFERROR(VLOOKUP(B34,工资明细202401_Sheet1!$B:$BC,46,FALSE),0)</f>
        <v>-217.52</v>
      </c>
      <c r="M34">
        <f>IFERROR(VLOOKUP(B34,工资明细202401_Sheet1!$B:$BC,47,FALSE),0)</f>
        <v>-54.38</v>
      </c>
      <c r="N34">
        <f>IFERROR(VLOOKUP(B34,工资明细202401_Sheet1!$B:$BC,48,FALSE),0)</f>
        <v>-5</v>
      </c>
      <c r="O34">
        <f>IFERROR(VLOOKUP(B34,工资明细202401_Sheet1!$B:$BC,49,FALSE),0)</f>
        <v>-243.76</v>
      </c>
      <c r="P34">
        <f>IFERROR(VLOOKUP(B34,工资明细202401_Sheet1!$B:$BC,50,FALSE),0)</f>
        <v>0</v>
      </c>
      <c r="Q34">
        <f>IFERROR(VLOOKUP(B34,工资明细202401_Sheet1!$B:$BC,51,FALSE),0)</f>
        <v>-15.23</v>
      </c>
      <c r="R34">
        <f>IFERROR(VLOOKUP(B34,工资明细202401_Sheet1!$B:$BC,52,FALSE),0)</f>
        <v>0</v>
      </c>
      <c r="S34">
        <f>IFERROR(VLOOKUP(B34,工资明细202401_Sheet1!$B:$BC,53,FALSE),0)</f>
        <v>-783</v>
      </c>
      <c r="T34">
        <f>IFERROR(VLOOKUP(B34,工资明细202401_Sheet1!$B:$BC,54,FALSE),0)</f>
        <v>7373.18</v>
      </c>
    </row>
    <row r="35" spans="1:20" x14ac:dyDescent="0.15">
      <c r="A35">
        <v>34</v>
      </c>
      <c r="B35" t="s">
        <v>53</v>
      </c>
      <c r="C35">
        <f>IFERROR(VLOOKUP(B35,工资明细202401_Sheet1!$B:$BC,37,FALSE),0)</f>
        <v>9342.98</v>
      </c>
      <c r="D35">
        <f>IFERROR(VLOOKUP(B35,工资明细202401_Sheet1!$B:$BC,38,FALSE),0)</f>
        <v>0</v>
      </c>
      <c r="E35">
        <f>IFERROR(VLOOKUP(B35,工资明细202401_Sheet1!$B:$BC,39,FALSE),0)</f>
        <v>0</v>
      </c>
      <c r="F35">
        <f>IFERROR(VLOOKUP(B35,工资明细202401_Sheet1!$B:$BC,40,FALSE),0)</f>
        <v>0</v>
      </c>
      <c r="G35">
        <f>IFERROR(VLOOKUP(B35,工资明细202401_Sheet1!$B:$BC,41,FALSE),0)</f>
        <v>0</v>
      </c>
      <c r="H35">
        <f>IFERROR(VLOOKUP(B35,工资明细202401_Sheet1!$B:$BC,42,FALSE),0)</f>
        <v>0</v>
      </c>
      <c r="I35">
        <f>IFERROR(VLOOKUP(B35,工资明细202401_Sheet1!$B:$BC,43,FALSE),0)</f>
        <v>-30</v>
      </c>
      <c r="J35">
        <f>IFERROR(VLOOKUP(B35,工资明细202401_Sheet1!$B:$BC,44,FALSE),0)</f>
        <v>0</v>
      </c>
      <c r="K35">
        <f>IFERROR(VLOOKUP(B35,工资明细202401_Sheet1!$B:$BC,45,FALSE),0)</f>
        <v>-818.16</v>
      </c>
      <c r="L35">
        <f>IFERROR(VLOOKUP(B35,工资明细202401_Sheet1!$B:$BC,46,FALSE),0)</f>
        <v>-204.54</v>
      </c>
      <c r="M35">
        <f>IFERROR(VLOOKUP(B35,工资明细202401_Sheet1!$B:$BC,47,FALSE),0)</f>
        <v>-51.14</v>
      </c>
      <c r="N35">
        <f>IFERROR(VLOOKUP(B35,工资明细202401_Sheet1!$B:$BC,48,FALSE),0)</f>
        <v>-5</v>
      </c>
      <c r="O35">
        <f>IFERROR(VLOOKUP(B35,工资明细202401_Sheet1!$B:$BC,49,FALSE),0)</f>
        <v>-102.56</v>
      </c>
      <c r="P35">
        <f>IFERROR(VLOOKUP(B35,工资明细202401_Sheet1!$B:$BC,50,FALSE),0)</f>
        <v>0</v>
      </c>
      <c r="Q35">
        <f>IFERROR(VLOOKUP(B35,工资明细202401_Sheet1!$B:$BC,51,FALSE),0)</f>
        <v>-6.41</v>
      </c>
      <c r="R35">
        <f>IFERROR(VLOOKUP(B35,工资明细202401_Sheet1!$B:$BC,52,FALSE),0)</f>
        <v>0</v>
      </c>
      <c r="S35">
        <f>IFERROR(VLOOKUP(B35,工资明细202401_Sheet1!$B:$BC,53,FALSE),0)</f>
        <v>-895</v>
      </c>
      <c r="T35">
        <f>IFERROR(VLOOKUP(B35,工资明细202401_Sheet1!$B:$BC,54,FALSE),0)</f>
        <v>7230.17</v>
      </c>
    </row>
    <row r="36" spans="1:20" x14ac:dyDescent="0.15">
      <c r="A36">
        <v>35</v>
      </c>
      <c r="B36" t="s">
        <v>54</v>
      </c>
      <c r="C36">
        <f>IFERROR(VLOOKUP(B36,工资明细202401_Sheet1!$B:$BC,37,FALSE),0)</f>
        <v>14208.2</v>
      </c>
      <c r="D36">
        <f>IFERROR(VLOOKUP(B36,工资明细202401_Sheet1!$B:$BC,38,FALSE),0)</f>
        <v>0</v>
      </c>
      <c r="E36">
        <f>IFERROR(VLOOKUP(B36,工资明细202401_Sheet1!$B:$BC,39,FALSE),0)</f>
        <v>0</v>
      </c>
      <c r="F36">
        <f>IFERROR(VLOOKUP(B36,工资明细202401_Sheet1!$B:$BC,40,FALSE),0)</f>
        <v>0</v>
      </c>
      <c r="G36">
        <f>IFERROR(VLOOKUP(B36,工资明细202401_Sheet1!$B:$BC,41,FALSE),0)</f>
        <v>-206.06</v>
      </c>
      <c r="H36">
        <f>IFERROR(VLOOKUP(B36,工资明细202401_Sheet1!$B:$BC,42,FALSE),0)</f>
        <v>0</v>
      </c>
      <c r="I36">
        <f>IFERROR(VLOOKUP(B36,工资明细202401_Sheet1!$B:$BC,43,FALSE),0)</f>
        <v>-30</v>
      </c>
      <c r="J36">
        <f>IFERROR(VLOOKUP(B36,工资明细202401_Sheet1!$B:$BC,44,FALSE),0)</f>
        <v>-1000</v>
      </c>
      <c r="K36">
        <f>IFERROR(VLOOKUP(B36,工资明细202401_Sheet1!$B:$BC,45,FALSE),0)</f>
        <v>-921.28</v>
      </c>
      <c r="L36">
        <f>IFERROR(VLOOKUP(B36,工资明细202401_Sheet1!$B:$BC,46,FALSE),0)</f>
        <v>-230.32</v>
      </c>
      <c r="M36">
        <f>IFERROR(VLOOKUP(B36,工资明细202401_Sheet1!$B:$BC,47,FALSE),0)</f>
        <v>-57.58</v>
      </c>
      <c r="N36">
        <f>IFERROR(VLOOKUP(B36,工资明细202401_Sheet1!$B:$BC,48,FALSE),0)</f>
        <v>-5</v>
      </c>
      <c r="O36">
        <f>IFERROR(VLOOKUP(B36,工资明细202401_Sheet1!$B:$BC,49,FALSE),0)</f>
        <v>-145.12</v>
      </c>
      <c r="P36">
        <f>IFERROR(VLOOKUP(B36,工资明细202401_Sheet1!$B:$BC,50,FALSE),0)</f>
        <v>0</v>
      </c>
      <c r="Q36">
        <f>IFERROR(VLOOKUP(B36,工资明细202401_Sheet1!$B:$BC,51,FALSE),0)</f>
        <v>-9.07</v>
      </c>
      <c r="R36">
        <f>IFERROR(VLOOKUP(B36,工资明细202401_Sheet1!$B:$BC,52,FALSE),0)</f>
        <v>0</v>
      </c>
      <c r="S36">
        <f>IFERROR(VLOOKUP(B36,工资明细202401_Sheet1!$B:$BC,53,FALSE),0)</f>
        <v>-971</v>
      </c>
      <c r="T36">
        <f>IFERROR(VLOOKUP(B36,工资明细202401_Sheet1!$B:$BC,54,FALSE),0)</f>
        <v>10632.77</v>
      </c>
    </row>
    <row r="37" spans="1:20" x14ac:dyDescent="0.15">
      <c r="A37">
        <v>36</v>
      </c>
      <c r="B37" t="s">
        <v>55</v>
      </c>
      <c r="C37">
        <f>IFERROR(VLOOKUP(B37,工资明细202401_Sheet1!$B:$BC,37,FALSE),0)</f>
        <v>10945.81</v>
      </c>
      <c r="D37">
        <f>IFERROR(VLOOKUP(B37,工资明细202401_Sheet1!$B:$BC,38,FALSE),0)</f>
        <v>0</v>
      </c>
      <c r="E37">
        <f>IFERROR(VLOOKUP(B37,工资明细202401_Sheet1!$B:$BC,39,FALSE),0)</f>
        <v>0</v>
      </c>
      <c r="F37">
        <f>IFERROR(VLOOKUP(B37,工资明细202401_Sheet1!$B:$BC,40,FALSE),0)</f>
        <v>0</v>
      </c>
      <c r="G37">
        <f>IFERROR(VLOOKUP(B37,工资明细202401_Sheet1!$B:$BC,41,FALSE),0)</f>
        <v>-111.24</v>
      </c>
      <c r="H37">
        <f>IFERROR(VLOOKUP(B37,工资明细202401_Sheet1!$B:$BC,42,FALSE),0)</f>
        <v>0</v>
      </c>
      <c r="I37">
        <f>IFERROR(VLOOKUP(B37,工资明细202401_Sheet1!$B:$BC,43,FALSE),0)</f>
        <v>-30</v>
      </c>
      <c r="J37">
        <f>IFERROR(VLOOKUP(B37,工资明细202401_Sheet1!$B:$BC,44,FALSE),0)</f>
        <v>-1000</v>
      </c>
      <c r="K37">
        <f>IFERROR(VLOOKUP(B37,工资明细202401_Sheet1!$B:$BC,45,FALSE),0)</f>
        <v>-881.84</v>
      </c>
      <c r="L37">
        <f>IFERROR(VLOOKUP(B37,工资明细202401_Sheet1!$B:$BC,46,FALSE),0)</f>
        <v>-220.46</v>
      </c>
      <c r="M37">
        <f>IFERROR(VLOOKUP(B37,工资明细202401_Sheet1!$B:$BC,47,FALSE),0)</f>
        <v>-55.12</v>
      </c>
      <c r="N37">
        <f>IFERROR(VLOOKUP(B37,工资明细202401_Sheet1!$B:$BC,48,FALSE),0)</f>
        <v>-5</v>
      </c>
      <c r="O37">
        <f>IFERROR(VLOOKUP(B37,工资明细202401_Sheet1!$B:$BC,49,FALSE),0)</f>
        <v>-143.6</v>
      </c>
      <c r="P37">
        <f>IFERROR(VLOOKUP(B37,工资明细202401_Sheet1!$B:$BC,50,FALSE),0)</f>
        <v>0</v>
      </c>
      <c r="Q37">
        <f>IFERROR(VLOOKUP(B37,工资明细202401_Sheet1!$B:$BC,51,FALSE),0)</f>
        <v>-8.98</v>
      </c>
      <c r="R37">
        <f>IFERROR(VLOOKUP(B37,工资明细202401_Sheet1!$B:$BC,52,FALSE),0)</f>
        <v>0</v>
      </c>
      <c r="S37">
        <f>IFERROR(VLOOKUP(B37,工资明细202401_Sheet1!$B:$BC,53,FALSE),0)</f>
        <v>-923</v>
      </c>
      <c r="T37">
        <f>IFERROR(VLOOKUP(B37,工资明细202401_Sheet1!$B:$BC,54,FALSE),0)</f>
        <v>7566.57</v>
      </c>
    </row>
    <row r="38" spans="1:20" x14ac:dyDescent="0.15">
      <c r="A38">
        <v>37</v>
      </c>
      <c r="B38" t="s">
        <v>56</v>
      </c>
      <c r="C38">
        <f>IFERROR(VLOOKUP(B38,工资明细202401_Sheet1!$B:$BC,37,FALSE),0)</f>
        <v>10580.53</v>
      </c>
      <c r="D38">
        <f>IFERROR(VLOOKUP(B38,工资明细202401_Sheet1!$B:$BC,38,FALSE),0)</f>
        <v>0</v>
      </c>
      <c r="E38">
        <f>IFERROR(VLOOKUP(B38,工资明细202401_Sheet1!$B:$BC,39,FALSE),0)</f>
        <v>0</v>
      </c>
      <c r="F38">
        <f>IFERROR(VLOOKUP(B38,工资明细202401_Sheet1!$B:$BC,40,FALSE),0)</f>
        <v>0</v>
      </c>
      <c r="G38">
        <f>IFERROR(VLOOKUP(B38,工资明细202401_Sheet1!$B:$BC,41,FALSE),0)</f>
        <v>-100.29</v>
      </c>
      <c r="H38">
        <f>IFERROR(VLOOKUP(B38,工资明细202401_Sheet1!$B:$BC,42,FALSE),0)</f>
        <v>0</v>
      </c>
      <c r="I38">
        <f>IFERROR(VLOOKUP(B38,工资明细202401_Sheet1!$B:$BC,43,FALSE),0)</f>
        <v>-30</v>
      </c>
      <c r="J38">
        <f>IFERROR(VLOOKUP(B38,工资明细202401_Sheet1!$B:$BC,44,FALSE),0)</f>
        <v>0</v>
      </c>
      <c r="K38">
        <f>IFERROR(VLOOKUP(B38,工资明细202401_Sheet1!$B:$BC,45,FALSE),0)</f>
        <v>-889.76</v>
      </c>
      <c r="L38">
        <f>IFERROR(VLOOKUP(B38,工资明细202401_Sheet1!$B:$BC,46,FALSE),0)</f>
        <v>-222.44</v>
      </c>
      <c r="M38">
        <f>IFERROR(VLOOKUP(B38,工资明细202401_Sheet1!$B:$BC,47,FALSE),0)</f>
        <v>-55.61</v>
      </c>
      <c r="N38">
        <f>IFERROR(VLOOKUP(B38,工资明细202401_Sheet1!$B:$BC,48,FALSE),0)</f>
        <v>-5</v>
      </c>
      <c r="O38">
        <f>IFERROR(VLOOKUP(B38,工资明细202401_Sheet1!$B:$BC,49,FALSE),0)</f>
        <v>-255.76</v>
      </c>
      <c r="P38">
        <f>IFERROR(VLOOKUP(B38,工资明细202401_Sheet1!$B:$BC,50,FALSE),0)</f>
        <v>0</v>
      </c>
      <c r="Q38">
        <f>IFERROR(VLOOKUP(B38,工资明细202401_Sheet1!$B:$BC,51,FALSE),0)</f>
        <v>-15.98</v>
      </c>
      <c r="R38">
        <f>IFERROR(VLOOKUP(B38,工资明细202401_Sheet1!$B:$BC,52,FALSE),0)</f>
        <v>0</v>
      </c>
      <c r="S38">
        <f>IFERROR(VLOOKUP(B38,工资明细202401_Sheet1!$B:$BC,53,FALSE),0)</f>
        <v>-793</v>
      </c>
      <c r="T38">
        <f>IFERROR(VLOOKUP(B38,工资明细202401_Sheet1!$B:$BC,54,FALSE),0)</f>
        <v>8212.69</v>
      </c>
    </row>
    <row r="39" spans="1:20" x14ac:dyDescent="0.15">
      <c r="A39">
        <v>38</v>
      </c>
      <c r="B39" t="s">
        <v>57</v>
      </c>
      <c r="C39">
        <f>IFERROR(VLOOKUP(B39,工资明细202401_Sheet1!$B:$BC,37,FALSE),0)</f>
        <v>7488.66</v>
      </c>
      <c r="D39">
        <f>IFERROR(VLOOKUP(B39,工资明细202401_Sheet1!$B:$BC,38,FALSE),0)</f>
        <v>0</v>
      </c>
      <c r="E39">
        <f>IFERROR(VLOOKUP(B39,工资明细202401_Sheet1!$B:$BC,39,FALSE),0)</f>
        <v>0</v>
      </c>
      <c r="F39">
        <f>IFERROR(VLOOKUP(B39,工资明细202401_Sheet1!$B:$BC,40,FALSE),0)</f>
        <v>0</v>
      </c>
      <c r="G39">
        <f>IFERROR(VLOOKUP(B39,工资明细202401_Sheet1!$B:$BC,41,FALSE),0)</f>
        <v>-19.18</v>
      </c>
      <c r="H39">
        <f>IFERROR(VLOOKUP(B39,工资明细202401_Sheet1!$B:$BC,42,FALSE),0)</f>
        <v>0</v>
      </c>
      <c r="I39">
        <f>IFERROR(VLOOKUP(B39,工资明细202401_Sheet1!$B:$BC,43,FALSE),0)</f>
        <v>-30</v>
      </c>
      <c r="J39">
        <f>IFERROR(VLOOKUP(B39,工资明细202401_Sheet1!$B:$BC,44,FALSE),0)</f>
        <v>0</v>
      </c>
      <c r="K39">
        <f>IFERROR(VLOOKUP(B39,工资明细202401_Sheet1!$B:$BC,45,FALSE),0)</f>
        <v>-726</v>
      </c>
      <c r="L39">
        <f>IFERROR(VLOOKUP(B39,工资明细202401_Sheet1!$B:$BC,46,FALSE),0)</f>
        <v>-181.5</v>
      </c>
      <c r="M39">
        <f>IFERROR(VLOOKUP(B39,工资明细202401_Sheet1!$B:$BC,47,FALSE),0)</f>
        <v>-45.38</v>
      </c>
      <c r="N39">
        <f>IFERROR(VLOOKUP(B39,工资明细202401_Sheet1!$B:$BC,48,FALSE),0)</f>
        <v>-5</v>
      </c>
      <c r="O39">
        <f>IFERROR(VLOOKUP(B39,工资明细202401_Sheet1!$B:$BC,49,FALSE),0)</f>
        <v>-87.92</v>
      </c>
      <c r="P39">
        <f>IFERROR(VLOOKUP(B39,工资明细202401_Sheet1!$B:$BC,50,FALSE),0)</f>
        <v>0</v>
      </c>
      <c r="Q39">
        <f>IFERROR(VLOOKUP(B39,工资明细202401_Sheet1!$B:$BC,51,FALSE),0)</f>
        <v>-5.5</v>
      </c>
      <c r="R39">
        <f>IFERROR(VLOOKUP(B39,工资明细202401_Sheet1!$B:$BC,52,FALSE),0)</f>
        <v>0</v>
      </c>
      <c r="S39">
        <f>IFERROR(VLOOKUP(B39,工资明细202401_Sheet1!$B:$BC,53,FALSE),0)</f>
        <v>-798</v>
      </c>
      <c r="T39">
        <f>IFERROR(VLOOKUP(B39,工资明细202401_Sheet1!$B:$BC,54,FALSE),0)</f>
        <v>5590.18</v>
      </c>
    </row>
    <row r="40" spans="1:20" x14ac:dyDescent="0.15">
      <c r="A40">
        <v>39</v>
      </c>
      <c r="B40" t="s">
        <v>58</v>
      </c>
      <c r="C40">
        <f>IFERROR(VLOOKUP(B40,工资明细202401_Sheet1!$B:$BC,37,FALSE),0)</f>
        <v>7593.05</v>
      </c>
      <c r="D40">
        <f>IFERROR(VLOOKUP(B40,工资明细202401_Sheet1!$B:$BC,38,FALSE),0)</f>
        <v>0</v>
      </c>
      <c r="E40">
        <f>IFERROR(VLOOKUP(B40,工资明细202401_Sheet1!$B:$BC,39,FALSE),0)</f>
        <v>0</v>
      </c>
      <c r="F40">
        <f>IFERROR(VLOOKUP(B40,工资明细202401_Sheet1!$B:$BC,40,FALSE),0)</f>
        <v>0</v>
      </c>
      <c r="G40">
        <f>IFERROR(VLOOKUP(B40,工资明细202401_Sheet1!$B:$BC,41,FALSE),0)</f>
        <v>0</v>
      </c>
      <c r="H40">
        <f>IFERROR(VLOOKUP(B40,工资明细202401_Sheet1!$B:$BC,42,FALSE),0)</f>
        <v>0</v>
      </c>
      <c r="I40">
        <f>IFERROR(VLOOKUP(B40,工资明细202401_Sheet1!$B:$BC,43,FALSE),0)</f>
        <v>-30</v>
      </c>
      <c r="J40">
        <f>IFERROR(VLOOKUP(B40,工资明细202401_Sheet1!$B:$BC,44,FALSE),0)</f>
        <v>0</v>
      </c>
      <c r="K40">
        <f>IFERROR(VLOOKUP(B40,工资明细202401_Sheet1!$B:$BC,45,FALSE),0)</f>
        <v>-690.96</v>
      </c>
      <c r="L40">
        <f>IFERROR(VLOOKUP(B40,工资明细202401_Sheet1!$B:$BC,46,FALSE),0)</f>
        <v>-172.74</v>
      </c>
      <c r="M40">
        <f>IFERROR(VLOOKUP(B40,工资明细202401_Sheet1!$B:$BC,47,FALSE),0)</f>
        <v>-43.19</v>
      </c>
      <c r="N40">
        <f>IFERROR(VLOOKUP(B40,工资明细202401_Sheet1!$B:$BC,48,FALSE),0)</f>
        <v>-5</v>
      </c>
      <c r="O40">
        <f>IFERROR(VLOOKUP(B40,工资明细202401_Sheet1!$B:$BC,49,FALSE),0)</f>
        <v>-94.88</v>
      </c>
      <c r="P40">
        <f>IFERROR(VLOOKUP(B40,工资明细202401_Sheet1!$B:$BC,50,FALSE),0)</f>
        <v>0</v>
      </c>
      <c r="Q40">
        <f>IFERROR(VLOOKUP(B40,工资明细202401_Sheet1!$B:$BC,51,FALSE),0)</f>
        <v>-5.93</v>
      </c>
      <c r="R40">
        <f>IFERROR(VLOOKUP(B40,工资明细202401_Sheet1!$B:$BC,52,FALSE),0)</f>
        <v>0</v>
      </c>
      <c r="S40">
        <f>IFERROR(VLOOKUP(B40,工资明细202401_Sheet1!$B:$BC,53,FALSE),0)</f>
        <v>-746</v>
      </c>
      <c r="T40">
        <f>IFERROR(VLOOKUP(B40,工资明细202401_Sheet1!$B:$BC,54,FALSE),0)</f>
        <v>5804.35</v>
      </c>
    </row>
    <row r="41" spans="1:20" x14ac:dyDescent="0.15">
      <c r="A41">
        <v>40</v>
      </c>
      <c r="B41" t="s">
        <v>59</v>
      </c>
      <c r="C41">
        <f>IFERROR(VLOOKUP(B41,工资明细202401_Sheet1!$B:$BC,37,FALSE),0)</f>
        <v>8933.64</v>
      </c>
      <c r="D41">
        <f>IFERROR(VLOOKUP(B41,工资明细202401_Sheet1!$B:$BC,38,FALSE),0)</f>
        <v>0</v>
      </c>
      <c r="E41">
        <f>IFERROR(VLOOKUP(B41,工资明细202401_Sheet1!$B:$BC,39,FALSE),0)</f>
        <v>0</v>
      </c>
      <c r="F41">
        <f>IFERROR(VLOOKUP(B41,工资明细202401_Sheet1!$B:$BC,40,FALSE),0)</f>
        <v>0</v>
      </c>
      <c r="G41">
        <f>IFERROR(VLOOKUP(B41,工资明细202401_Sheet1!$B:$BC,41,FALSE),0)</f>
        <v>-63.57</v>
      </c>
      <c r="H41">
        <f>IFERROR(VLOOKUP(B41,工资明细202401_Sheet1!$B:$BC,42,FALSE),0)</f>
        <v>0</v>
      </c>
      <c r="I41">
        <f>IFERROR(VLOOKUP(B41,工资明细202401_Sheet1!$B:$BC,43,FALSE),0)</f>
        <v>-30</v>
      </c>
      <c r="J41">
        <f>IFERROR(VLOOKUP(B41,工资明细202401_Sheet1!$B:$BC,44,FALSE),0)</f>
        <v>0</v>
      </c>
      <c r="K41">
        <f>IFERROR(VLOOKUP(B41,工资明细202401_Sheet1!$B:$BC,45,FALSE),0)</f>
        <v>-710.48</v>
      </c>
      <c r="L41">
        <f>IFERROR(VLOOKUP(B41,工资明细202401_Sheet1!$B:$BC,46,FALSE),0)</f>
        <v>-177.62</v>
      </c>
      <c r="M41">
        <f>IFERROR(VLOOKUP(B41,工资明细202401_Sheet1!$B:$BC,47,FALSE),0)</f>
        <v>-44.41</v>
      </c>
      <c r="N41">
        <f>IFERROR(VLOOKUP(B41,工资明细202401_Sheet1!$B:$BC,48,FALSE),0)</f>
        <v>-5</v>
      </c>
      <c r="O41">
        <f>IFERROR(VLOOKUP(B41,工资明细202401_Sheet1!$B:$BC,49,FALSE),0)</f>
        <v>-62.24</v>
      </c>
      <c r="P41">
        <f>IFERROR(VLOOKUP(B41,工资明细202401_Sheet1!$B:$BC,50,FALSE),0)</f>
        <v>0</v>
      </c>
      <c r="Q41">
        <f>IFERROR(VLOOKUP(B41,工资明细202401_Sheet1!$B:$BC,51,FALSE),0)</f>
        <v>-3.89</v>
      </c>
      <c r="R41">
        <f>IFERROR(VLOOKUP(B41,工资明细202401_Sheet1!$B:$BC,52,FALSE),0)</f>
        <v>0</v>
      </c>
      <c r="S41">
        <f>IFERROR(VLOOKUP(B41,工资明细202401_Sheet1!$B:$BC,53,FALSE),0)</f>
        <v>-811</v>
      </c>
      <c r="T41">
        <f>IFERROR(VLOOKUP(B41,工资明细202401_Sheet1!$B:$BC,54,FALSE),0)</f>
        <v>7025.43</v>
      </c>
    </row>
    <row r="42" spans="1:20" x14ac:dyDescent="0.15">
      <c r="A42">
        <v>41</v>
      </c>
      <c r="B42" t="s">
        <v>60</v>
      </c>
      <c r="C42">
        <f>IFERROR(VLOOKUP(B42,工资明细202401_Sheet1!$B:$BC,37,FALSE),0)</f>
        <v>9397.98</v>
      </c>
      <c r="D42">
        <f>IFERROR(VLOOKUP(B42,工资明细202401_Sheet1!$B:$BC,38,FALSE),0)</f>
        <v>0</v>
      </c>
      <c r="E42">
        <f>IFERROR(VLOOKUP(B42,工资明细202401_Sheet1!$B:$BC,39,FALSE),0)</f>
        <v>0</v>
      </c>
      <c r="F42">
        <f>IFERROR(VLOOKUP(B42,工资明细202401_Sheet1!$B:$BC,40,FALSE),0)</f>
        <v>0</v>
      </c>
      <c r="G42">
        <f>IFERROR(VLOOKUP(B42,工资明细202401_Sheet1!$B:$BC,41,FALSE),0)</f>
        <v>0</v>
      </c>
      <c r="H42">
        <f>IFERROR(VLOOKUP(B42,工资明细202401_Sheet1!$B:$BC,42,FALSE),0)</f>
        <v>0</v>
      </c>
      <c r="I42">
        <f>IFERROR(VLOOKUP(B42,工资明细202401_Sheet1!$B:$BC,43,FALSE),0)</f>
        <v>-30</v>
      </c>
      <c r="J42">
        <f>IFERROR(VLOOKUP(B42,工资明细202401_Sheet1!$B:$BC,44,FALSE),0)</f>
        <v>0</v>
      </c>
      <c r="K42">
        <f>IFERROR(VLOOKUP(B42,工资明细202401_Sheet1!$B:$BC,45,FALSE),0)</f>
        <v>-868.4</v>
      </c>
      <c r="L42">
        <f>IFERROR(VLOOKUP(B42,工资明细202401_Sheet1!$B:$BC,46,FALSE),0)</f>
        <v>-217.1</v>
      </c>
      <c r="M42">
        <f>IFERROR(VLOOKUP(B42,工资明细202401_Sheet1!$B:$BC,47,FALSE),0)</f>
        <v>-54.28</v>
      </c>
      <c r="N42">
        <f>IFERROR(VLOOKUP(B42,工资明细202401_Sheet1!$B:$BC,48,FALSE),0)</f>
        <v>-5</v>
      </c>
      <c r="O42">
        <f>IFERROR(VLOOKUP(B42,工资明细202401_Sheet1!$B:$BC,49,FALSE),0)</f>
        <v>-95.44</v>
      </c>
      <c r="P42">
        <f>IFERROR(VLOOKUP(B42,工资明细202401_Sheet1!$B:$BC,50,FALSE),0)</f>
        <v>0</v>
      </c>
      <c r="Q42">
        <f>IFERROR(VLOOKUP(B42,工资明细202401_Sheet1!$B:$BC,51,FALSE),0)</f>
        <v>-5.97</v>
      </c>
      <c r="R42">
        <f>IFERROR(VLOOKUP(B42,工资明细202401_Sheet1!$B:$BC,52,FALSE),0)</f>
        <v>0</v>
      </c>
      <c r="S42">
        <f>IFERROR(VLOOKUP(B42,工资明细202401_Sheet1!$B:$BC,53,FALSE),0)</f>
        <v>-967</v>
      </c>
      <c r="T42">
        <f>IFERROR(VLOOKUP(B42,工资明细202401_Sheet1!$B:$BC,54,FALSE),0)</f>
        <v>7154.79</v>
      </c>
    </row>
    <row r="43" spans="1:20" x14ac:dyDescent="0.15">
      <c r="A43">
        <v>42</v>
      </c>
      <c r="B43" t="s">
        <v>61</v>
      </c>
      <c r="C43">
        <f>IFERROR(VLOOKUP(B43,工资明细202401_Sheet1!$B:$BC,37,FALSE),0)</f>
        <v>10473.870000000001</v>
      </c>
      <c r="D43">
        <f>IFERROR(VLOOKUP(B43,工资明细202401_Sheet1!$B:$BC,38,FALSE),0)</f>
        <v>0</v>
      </c>
      <c r="E43">
        <f>IFERROR(VLOOKUP(B43,工资明细202401_Sheet1!$B:$BC,39,FALSE),0)</f>
        <v>0</v>
      </c>
      <c r="F43">
        <f>IFERROR(VLOOKUP(B43,工资明细202401_Sheet1!$B:$BC,40,FALSE),0)</f>
        <v>0</v>
      </c>
      <c r="G43">
        <f>IFERROR(VLOOKUP(B43,工资明细202401_Sheet1!$B:$BC,41,FALSE),0)</f>
        <v>0</v>
      </c>
      <c r="H43">
        <f>IFERROR(VLOOKUP(B43,工资明细202401_Sheet1!$B:$BC,42,FALSE),0)</f>
        <v>0</v>
      </c>
      <c r="I43">
        <f>IFERROR(VLOOKUP(B43,工资明细202401_Sheet1!$B:$BC,43,FALSE),0)</f>
        <v>-30</v>
      </c>
      <c r="J43">
        <f>IFERROR(VLOOKUP(B43,工资明细202401_Sheet1!$B:$BC,44,FALSE),0)</f>
        <v>0</v>
      </c>
      <c r="K43">
        <f>IFERROR(VLOOKUP(B43,工资明细202401_Sheet1!$B:$BC,45,FALSE),0)</f>
        <v>-891.52</v>
      </c>
      <c r="L43">
        <f>IFERROR(VLOOKUP(B43,工资明细202401_Sheet1!$B:$BC,46,FALSE),0)</f>
        <v>-222.88</v>
      </c>
      <c r="M43">
        <f>IFERROR(VLOOKUP(B43,工资明细202401_Sheet1!$B:$BC,47,FALSE),0)</f>
        <v>-55.72</v>
      </c>
      <c r="N43">
        <f>IFERROR(VLOOKUP(B43,工资明细202401_Sheet1!$B:$BC,48,FALSE),0)</f>
        <v>-5</v>
      </c>
      <c r="O43">
        <f>IFERROR(VLOOKUP(B43,工资明细202401_Sheet1!$B:$BC,49,FALSE),0)</f>
        <v>-286.88</v>
      </c>
      <c r="P43">
        <f>IFERROR(VLOOKUP(B43,工资明细202401_Sheet1!$B:$BC,50,FALSE),0)</f>
        <v>0</v>
      </c>
      <c r="Q43">
        <f>IFERROR(VLOOKUP(B43,工资明细202401_Sheet1!$B:$BC,51,FALSE),0)</f>
        <v>-17.93</v>
      </c>
      <c r="R43">
        <f>IFERROR(VLOOKUP(B43,工资明细202401_Sheet1!$B:$BC,52,FALSE),0)</f>
        <v>0</v>
      </c>
      <c r="S43">
        <f>IFERROR(VLOOKUP(B43,工资明细202401_Sheet1!$B:$BC,53,FALSE),0)</f>
        <v>-756</v>
      </c>
      <c r="T43">
        <f>IFERROR(VLOOKUP(B43,工资明细202401_Sheet1!$B:$BC,54,FALSE),0)</f>
        <v>8207.94</v>
      </c>
    </row>
    <row r="44" spans="1:20" x14ac:dyDescent="0.15">
      <c r="A44">
        <v>43</v>
      </c>
      <c r="B44" t="s">
        <v>62</v>
      </c>
      <c r="C44">
        <f>IFERROR(VLOOKUP(B44,工资明细202401_Sheet1!$B:$BC,37,FALSE),0)</f>
        <v>9101.9599999999991</v>
      </c>
      <c r="D44">
        <f>IFERROR(VLOOKUP(B44,工资明细202401_Sheet1!$B:$BC,38,FALSE),0)</f>
        <v>0</v>
      </c>
      <c r="E44">
        <f>IFERROR(VLOOKUP(B44,工资明细202401_Sheet1!$B:$BC,39,FALSE),0)</f>
        <v>0</v>
      </c>
      <c r="F44">
        <f>IFERROR(VLOOKUP(B44,工资明细202401_Sheet1!$B:$BC,40,FALSE),0)</f>
        <v>0</v>
      </c>
      <c r="G44">
        <f>IFERROR(VLOOKUP(B44,工资明细202401_Sheet1!$B:$BC,41,FALSE),0)</f>
        <v>0</v>
      </c>
      <c r="H44">
        <f>IFERROR(VLOOKUP(B44,工资明细202401_Sheet1!$B:$BC,42,FALSE),0)</f>
        <v>0</v>
      </c>
      <c r="I44">
        <f>IFERROR(VLOOKUP(B44,工资明细202401_Sheet1!$B:$BC,43,FALSE),0)</f>
        <v>-30</v>
      </c>
      <c r="J44">
        <f>IFERROR(VLOOKUP(B44,工资明细202401_Sheet1!$B:$BC,44,FALSE),0)</f>
        <v>0</v>
      </c>
      <c r="K44">
        <f>IFERROR(VLOOKUP(B44,工资明细202401_Sheet1!$B:$BC,45,FALSE),0)</f>
        <v>-866.08</v>
      </c>
      <c r="L44">
        <f>IFERROR(VLOOKUP(B44,工资明细202401_Sheet1!$B:$BC,46,FALSE),0)</f>
        <v>-216.52</v>
      </c>
      <c r="M44">
        <f>IFERROR(VLOOKUP(B44,工资明细202401_Sheet1!$B:$BC,47,FALSE),0)</f>
        <v>-54.13</v>
      </c>
      <c r="N44">
        <f>IFERROR(VLOOKUP(B44,工资明细202401_Sheet1!$B:$BC,48,FALSE),0)</f>
        <v>-5</v>
      </c>
      <c r="O44">
        <f>IFERROR(VLOOKUP(B44,工资明细202401_Sheet1!$B:$BC,49,FALSE),0)</f>
        <v>-248.96</v>
      </c>
      <c r="P44">
        <f>IFERROR(VLOOKUP(B44,工资明细202401_Sheet1!$B:$BC,50,FALSE),0)</f>
        <v>0</v>
      </c>
      <c r="Q44">
        <f>IFERROR(VLOOKUP(B44,工资明细202401_Sheet1!$B:$BC,51,FALSE),0)</f>
        <v>-15.56</v>
      </c>
      <c r="R44">
        <f>IFERROR(VLOOKUP(B44,工资明细202401_Sheet1!$B:$BC,52,FALSE),0)</f>
        <v>0</v>
      </c>
      <c r="S44">
        <f>IFERROR(VLOOKUP(B44,工资明细202401_Sheet1!$B:$BC,53,FALSE),0)</f>
        <v>-772</v>
      </c>
      <c r="T44">
        <f>IFERROR(VLOOKUP(B44,工资明细202401_Sheet1!$B:$BC,54,FALSE),0)</f>
        <v>6893.71</v>
      </c>
    </row>
    <row r="45" spans="1:20" x14ac:dyDescent="0.15">
      <c r="A45">
        <v>44</v>
      </c>
      <c r="B45" t="s">
        <v>63</v>
      </c>
      <c r="C45">
        <f>IFERROR(VLOOKUP(B45,工资明细202401_Sheet1!$B:$BC,37,FALSE),0)</f>
        <v>7057.96</v>
      </c>
      <c r="D45">
        <f>IFERROR(VLOOKUP(B45,工资明细202401_Sheet1!$B:$BC,38,FALSE),0)</f>
        <v>0</v>
      </c>
      <c r="E45">
        <f>IFERROR(VLOOKUP(B45,工资明细202401_Sheet1!$B:$BC,39,FALSE),0)</f>
        <v>0</v>
      </c>
      <c r="F45">
        <f>IFERROR(VLOOKUP(B45,工资明细202401_Sheet1!$B:$BC,40,FALSE),0)</f>
        <v>0</v>
      </c>
      <c r="G45">
        <f>IFERROR(VLOOKUP(B45,工资明细202401_Sheet1!$B:$BC,41,FALSE),0)</f>
        <v>-11.03</v>
      </c>
      <c r="H45">
        <f>IFERROR(VLOOKUP(B45,工资明细202401_Sheet1!$B:$BC,42,FALSE),0)</f>
        <v>0</v>
      </c>
      <c r="I45">
        <f>IFERROR(VLOOKUP(B45,工资明细202401_Sheet1!$B:$BC,43,FALSE),0)</f>
        <v>-30</v>
      </c>
      <c r="J45">
        <f>IFERROR(VLOOKUP(B45,工资明细202401_Sheet1!$B:$BC,44,FALSE),0)</f>
        <v>-1000</v>
      </c>
      <c r="K45">
        <f>IFERROR(VLOOKUP(B45,工资明细202401_Sheet1!$B:$BC,45,FALSE),0)</f>
        <v>-662.08</v>
      </c>
      <c r="L45">
        <f>IFERROR(VLOOKUP(B45,工资明细202401_Sheet1!$B:$BC,46,FALSE),0)</f>
        <v>-165.52</v>
      </c>
      <c r="M45">
        <f>IFERROR(VLOOKUP(B45,工资明细202401_Sheet1!$B:$BC,47,FALSE),0)</f>
        <v>-41.38</v>
      </c>
      <c r="N45">
        <f>IFERROR(VLOOKUP(B45,工资明细202401_Sheet1!$B:$BC,48,FALSE),0)</f>
        <v>-5</v>
      </c>
      <c r="O45">
        <f>IFERROR(VLOOKUP(B45,工资明细202401_Sheet1!$B:$BC,49,FALSE),0)</f>
        <v>-61.52</v>
      </c>
      <c r="P45">
        <f>IFERROR(VLOOKUP(B45,工资明细202401_Sheet1!$B:$BC,50,FALSE),0)</f>
        <v>0</v>
      </c>
      <c r="Q45">
        <f>IFERROR(VLOOKUP(B45,工资明细202401_Sheet1!$B:$BC,51,FALSE),0)</f>
        <v>-3.84</v>
      </c>
      <c r="R45">
        <f>IFERROR(VLOOKUP(B45,工资明细202401_Sheet1!$B:$BC,52,FALSE),0)</f>
        <v>0</v>
      </c>
      <c r="S45">
        <f>IFERROR(VLOOKUP(B45,工资明细202401_Sheet1!$B:$BC,53,FALSE),0)</f>
        <v>-751</v>
      </c>
      <c r="T45">
        <f>IFERROR(VLOOKUP(B45,工资明细202401_Sheet1!$B:$BC,54,FALSE),0)</f>
        <v>4326.59</v>
      </c>
    </row>
    <row r="46" spans="1:20" x14ac:dyDescent="0.15">
      <c r="A46">
        <v>45</v>
      </c>
      <c r="B46" t="s">
        <v>64</v>
      </c>
      <c r="C46">
        <f>IFERROR(VLOOKUP(B46,工资明细202401_Sheet1!$B:$BC,37,FALSE),0)</f>
        <v>9762.8700000000008</v>
      </c>
      <c r="D46">
        <f>IFERROR(VLOOKUP(B46,工资明细202401_Sheet1!$B:$BC,38,FALSE),0)</f>
        <v>0</v>
      </c>
      <c r="E46">
        <f>IFERROR(VLOOKUP(B46,工资明细202401_Sheet1!$B:$BC,39,FALSE),0)</f>
        <v>0</v>
      </c>
      <c r="F46">
        <f>IFERROR(VLOOKUP(B46,工资明细202401_Sheet1!$B:$BC,40,FALSE),0)</f>
        <v>0</v>
      </c>
      <c r="G46">
        <f>IFERROR(VLOOKUP(B46,工资明细202401_Sheet1!$B:$BC,41,FALSE),0)</f>
        <v>-80.989999999999995</v>
      </c>
      <c r="H46">
        <f>IFERROR(VLOOKUP(B46,工资明细202401_Sheet1!$B:$BC,42,FALSE),0)</f>
        <v>0</v>
      </c>
      <c r="I46">
        <f>IFERROR(VLOOKUP(B46,工资明细202401_Sheet1!$B:$BC,43,FALSE),0)</f>
        <v>-30</v>
      </c>
      <c r="J46">
        <f>IFERROR(VLOOKUP(B46,工资明细202401_Sheet1!$B:$BC,44,FALSE),0)</f>
        <v>0</v>
      </c>
      <c r="K46">
        <f>IFERROR(VLOOKUP(B46,工资明细202401_Sheet1!$B:$BC,45,FALSE),0)</f>
        <v>-817.84</v>
      </c>
      <c r="L46">
        <f>IFERROR(VLOOKUP(B46,工资明细202401_Sheet1!$B:$BC,46,FALSE),0)</f>
        <v>-204.46</v>
      </c>
      <c r="M46">
        <f>IFERROR(VLOOKUP(B46,工资明细202401_Sheet1!$B:$BC,47,FALSE),0)</f>
        <v>-51.12</v>
      </c>
      <c r="N46">
        <f>IFERROR(VLOOKUP(B46,工资明细202401_Sheet1!$B:$BC,48,FALSE),0)</f>
        <v>-5</v>
      </c>
      <c r="O46">
        <f>IFERROR(VLOOKUP(B46,工资明细202401_Sheet1!$B:$BC,49,FALSE),0)</f>
        <v>-203.84</v>
      </c>
      <c r="P46">
        <f>IFERROR(VLOOKUP(B46,工资明细202401_Sheet1!$B:$BC,50,FALSE),0)</f>
        <v>0</v>
      </c>
      <c r="Q46">
        <f>IFERROR(VLOOKUP(B46,工资明细202401_Sheet1!$B:$BC,51,FALSE),0)</f>
        <v>-12.74</v>
      </c>
      <c r="R46">
        <f>IFERROR(VLOOKUP(B46,工资明细202401_Sheet1!$B:$BC,52,FALSE),0)</f>
        <v>0</v>
      </c>
      <c r="S46">
        <f>IFERROR(VLOOKUP(B46,工资明细202401_Sheet1!$B:$BC,53,FALSE),0)</f>
        <v>-768</v>
      </c>
      <c r="T46">
        <f>IFERROR(VLOOKUP(B46,工资明细202401_Sheet1!$B:$BC,54,FALSE),0)</f>
        <v>7588.88</v>
      </c>
    </row>
    <row r="47" spans="1:20" x14ac:dyDescent="0.15">
      <c r="A47">
        <v>46</v>
      </c>
      <c r="B47" t="s">
        <v>65</v>
      </c>
      <c r="C47">
        <f>IFERROR(VLOOKUP(B47,工资明细202401_Sheet1!$B:$BC,37,FALSE),0)</f>
        <v>10219.530000000001</v>
      </c>
      <c r="D47">
        <f>IFERROR(VLOOKUP(B47,工资明细202401_Sheet1!$B:$BC,38,FALSE),0)</f>
        <v>0</v>
      </c>
      <c r="E47">
        <f>IFERROR(VLOOKUP(B47,工资明细202401_Sheet1!$B:$BC,39,FALSE),0)</f>
        <v>0</v>
      </c>
      <c r="F47">
        <f>IFERROR(VLOOKUP(B47,工资明细202401_Sheet1!$B:$BC,40,FALSE),0)</f>
        <v>0</v>
      </c>
      <c r="G47">
        <f>IFERROR(VLOOKUP(B47,工资明细202401_Sheet1!$B:$BC,41,FALSE),0)</f>
        <v>-93.01</v>
      </c>
      <c r="H47">
        <f>IFERROR(VLOOKUP(B47,工资明细202401_Sheet1!$B:$BC,42,FALSE),0)</f>
        <v>0</v>
      </c>
      <c r="I47">
        <f>IFERROR(VLOOKUP(B47,工资明细202401_Sheet1!$B:$BC,43,FALSE),0)</f>
        <v>-30</v>
      </c>
      <c r="J47">
        <f>IFERROR(VLOOKUP(B47,工资明细202401_Sheet1!$B:$BC,44,FALSE),0)</f>
        <v>0</v>
      </c>
      <c r="K47">
        <f>IFERROR(VLOOKUP(B47,工资明细202401_Sheet1!$B:$BC,45,FALSE),0)</f>
        <v>-831.04</v>
      </c>
      <c r="L47">
        <f>IFERROR(VLOOKUP(B47,工资明细202401_Sheet1!$B:$BC,46,FALSE),0)</f>
        <v>-207.76</v>
      </c>
      <c r="M47">
        <f>IFERROR(VLOOKUP(B47,工资明细202401_Sheet1!$B:$BC,47,FALSE),0)</f>
        <v>-51.94</v>
      </c>
      <c r="N47">
        <f>IFERROR(VLOOKUP(B47,工资明细202401_Sheet1!$B:$BC,48,FALSE),0)</f>
        <v>-5</v>
      </c>
      <c r="O47">
        <f>IFERROR(VLOOKUP(B47,工资明细202401_Sheet1!$B:$BC,49,FALSE),0)</f>
        <v>-80.72</v>
      </c>
      <c r="P47">
        <f>IFERROR(VLOOKUP(B47,工资明细202401_Sheet1!$B:$BC,50,FALSE),0)</f>
        <v>0</v>
      </c>
      <c r="Q47">
        <f>IFERROR(VLOOKUP(B47,工资明细202401_Sheet1!$B:$BC,51,FALSE),0)</f>
        <v>-5.04</v>
      </c>
      <c r="R47">
        <f>IFERROR(VLOOKUP(B47,工资明细202401_Sheet1!$B:$BC,52,FALSE),0)</f>
        <v>0</v>
      </c>
      <c r="S47">
        <f>IFERROR(VLOOKUP(B47,工资明细202401_Sheet1!$B:$BC,53,FALSE),0)</f>
        <v>-938</v>
      </c>
      <c r="T47">
        <f>IFERROR(VLOOKUP(B47,工资明细202401_Sheet1!$B:$BC,54,FALSE),0)</f>
        <v>7977.02</v>
      </c>
    </row>
    <row r="48" spans="1:20" x14ac:dyDescent="0.15">
      <c r="A48">
        <v>47</v>
      </c>
      <c r="B48" t="s">
        <v>66</v>
      </c>
      <c r="C48">
        <f>IFERROR(VLOOKUP(B48,工资明细202401_Sheet1!$B:$BC,37,FALSE),0)</f>
        <v>12362.67</v>
      </c>
      <c r="D48">
        <f>IFERROR(VLOOKUP(B48,工资明细202401_Sheet1!$B:$BC,38,FALSE),0)</f>
        <v>0</v>
      </c>
      <c r="E48">
        <f>IFERROR(VLOOKUP(B48,工资明细202401_Sheet1!$B:$BC,39,FALSE),0)</f>
        <v>0</v>
      </c>
      <c r="F48">
        <f>IFERROR(VLOOKUP(B48,工资明细202401_Sheet1!$B:$BC,40,FALSE),0)</f>
        <v>0</v>
      </c>
      <c r="G48">
        <f>IFERROR(VLOOKUP(B48,工资明细202401_Sheet1!$B:$BC,41,FALSE),0)</f>
        <v>-142.05000000000001</v>
      </c>
      <c r="H48">
        <f>IFERROR(VLOOKUP(B48,工资明细202401_Sheet1!$B:$BC,42,FALSE),0)</f>
        <v>0</v>
      </c>
      <c r="I48">
        <f>IFERROR(VLOOKUP(B48,工资明细202401_Sheet1!$B:$BC,43,FALSE),0)</f>
        <v>-30</v>
      </c>
      <c r="J48">
        <f>IFERROR(VLOOKUP(B48,工资明细202401_Sheet1!$B:$BC,44,FALSE),0)</f>
        <v>0</v>
      </c>
      <c r="K48">
        <f>IFERROR(VLOOKUP(B48,工资明细202401_Sheet1!$B:$BC,45,FALSE),0)</f>
        <v>-1031.28</v>
      </c>
      <c r="L48">
        <f>IFERROR(VLOOKUP(B48,工资明细202401_Sheet1!$B:$BC,46,FALSE),0)</f>
        <v>-257.82</v>
      </c>
      <c r="M48">
        <f>IFERROR(VLOOKUP(B48,工资明细202401_Sheet1!$B:$BC,47,FALSE),0)</f>
        <v>-64.459999999999994</v>
      </c>
      <c r="N48">
        <f>IFERROR(VLOOKUP(B48,工资明细202401_Sheet1!$B:$BC,48,FALSE),0)</f>
        <v>-5</v>
      </c>
      <c r="O48">
        <f>IFERROR(VLOOKUP(B48,工资明细202401_Sheet1!$B:$BC,49,FALSE),0)</f>
        <v>-108.32</v>
      </c>
      <c r="P48">
        <f>IFERROR(VLOOKUP(B48,工资明细202401_Sheet1!$B:$BC,50,FALSE),0)</f>
        <v>0</v>
      </c>
      <c r="Q48">
        <f>IFERROR(VLOOKUP(B48,工资明细202401_Sheet1!$B:$BC,51,FALSE),0)</f>
        <v>-6.77</v>
      </c>
      <c r="R48">
        <f>IFERROR(VLOOKUP(B48,工资明细202401_Sheet1!$B:$BC,52,FALSE),0)</f>
        <v>0</v>
      </c>
      <c r="S48">
        <f>IFERROR(VLOOKUP(B48,工资明细202401_Sheet1!$B:$BC,53,FALSE),0)</f>
        <v>-1154</v>
      </c>
      <c r="T48">
        <f>IFERROR(VLOOKUP(B48,工资明细202401_Sheet1!$B:$BC,54,FALSE),0)</f>
        <v>9562.9699999999993</v>
      </c>
    </row>
    <row r="49" spans="1:20" x14ac:dyDescent="0.15">
      <c r="A49">
        <v>48</v>
      </c>
      <c r="B49" t="s">
        <v>67</v>
      </c>
      <c r="C49">
        <f>IFERROR(VLOOKUP(B49,工资明细202401_Sheet1!$B:$BC,37,FALSE),0)</f>
        <v>9602.83</v>
      </c>
      <c r="D49">
        <f>IFERROR(VLOOKUP(B49,工资明细202401_Sheet1!$B:$BC,38,FALSE),0)</f>
        <v>0</v>
      </c>
      <c r="E49">
        <f>IFERROR(VLOOKUP(B49,工资明细202401_Sheet1!$B:$BC,39,FALSE),0)</f>
        <v>0</v>
      </c>
      <c r="F49">
        <f>IFERROR(VLOOKUP(B49,工资明细202401_Sheet1!$B:$BC,40,FALSE),0)</f>
        <v>0</v>
      </c>
      <c r="G49">
        <f>IFERROR(VLOOKUP(B49,工资明细202401_Sheet1!$B:$BC,41,FALSE),0)</f>
        <v>-74.59</v>
      </c>
      <c r="H49">
        <f>IFERROR(VLOOKUP(B49,工资明细202401_Sheet1!$B:$BC,42,FALSE),0)</f>
        <v>0</v>
      </c>
      <c r="I49">
        <f>IFERROR(VLOOKUP(B49,工资明细202401_Sheet1!$B:$BC,43,FALSE),0)</f>
        <v>-30</v>
      </c>
      <c r="J49">
        <f>IFERROR(VLOOKUP(B49,工资明细202401_Sheet1!$B:$BC,44,FALSE),0)</f>
        <v>-1000</v>
      </c>
      <c r="K49">
        <f>IFERROR(VLOOKUP(B49,工资明细202401_Sheet1!$B:$BC,45,FALSE),0)</f>
        <v>-839.92</v>
      </c>
      <c r="L49">
        <f>IFERROR(VLOOKUP(B49,工资明细202401_Sheet1!$B:$BC,46,FALSE),0)</f>
        <v>-209.98</v>
      </c>
      <c r="M49">
        <f>IFERROR(VLOOKUP(B49,工资明细202401_Sheet1!$B:$BC,47,FALSE),0)</f>
        <v>-52.5</v>
      </c>
      <c r="N49">
        <f>IFERROR(VLOOKUP(B49,工资明细202401_Sheet1!$B:$BC,48,FALSE),0)</f>
        <v>-5</v>
      </c>
      <c r="O49">
        <f>IFERROR(VLOOKUP(B49,工资明细202401_Sheet1!$B:$BC,49,FALSE),0)</f>
        <v>-218.64</v>
      </c>
      <c r="P49">
        <f>IFERROR(VLOOKUP(B49,工资明细202401_Sheet1!$B:$BC,50,FALSE),0)</f>
        <v>0</v>
      </c>
      <c r="Q49">
        <f>IFERROR(VLOOKUP(B49,工资明细202401_Sheet1!$B:$BC,51,FALSE),0)</f>
        <v>-13.67</v>
      </c>
      <c r="R49">
        <f>IFERROR(VLOOKUP(B49,工资明细202401_Sheet1!$B:$BC,52,FALSE),0)</f>
        <v>0</v>
      </c>
      <c r="S49">
        <f>IFERROR(VLOOKUP(B49,工资明细202401_Sheet1!$B:$BC,53,FALSE),0)</f>
        <v>-777</v>
      </c>
      <c r="T49">
        <f>IFERROR(VLOOKUP(B49,工资明细202401_Sheet1!$B:$BC,54,FALSE),0)</f>
        <v>6381.53</v>
      </c>
    </row>
    <row r="50" spans="1:20" x14ac:dyDescent="0.15">
      <c r="A50">
        <v>49</v>
      </c>
      <c r="B50" t="s">
        <v>68</v>
      </c>
      <c r="C50">
        <f>IFERROR(VLOOKUP(B50,工资明细202401_Sheet1!$B:$BC,37,FALSE),0)</f>
        <v>8699.1</v>
      </c>
      <c r="D50">
        <f>IFERROR(VLOOKUP(B50,工资明细202401_Sheet1!$B:$BC,38,FALSE),0)</f>
        <v>0</v>
      </c>
      <c r="E50">
        <f>IFERROR(VLOOKUP(B50,工资明细202401_Sheet1!$B:$BC,39,FALSE),0)</f>
        <v>0</v>
      </c>
      <c r="F50">
        <f>IFERROR(VLOOKUP(B50,工资明细202401_Sheet1!$B:$BC,40,FALSE),0)</f>
        <v>0</v>
      </c>
      <c r="G50">
        <f>IFERROR(VLOOKUP(B50,工资明细202401_Sheet1!$B:$BC,41,FALSE),0)</f>
        <v>-18.100000000000001</v>
      </c>
      <c r="H50">
        <f>IFERROR(VLOOKUP(B50,工资明细202401_Sheet1!$B:$BC,42,FALSE),0)</f>
        <v>0</v>
      </c>
      <c r="I50">
        <f>IFERROR(VLOOKUP(B50,工资明细202401_Sheet1!$B:$BC,43,FALSE),0)</f>
        <v>-30</v>
      </c>
      <c r="J50">
        <f>IFERROR(VLOOKUP(B50,工资明细202401_Sheet1!$B:$BC,44,FALSE),0)</f>
        <v>0</v>
      </c>
      <c r="K50">
        <f>IFERROR(VLOOKUP(B50,工资明细202401_Sheet1!$B:$BC,45,FALSE),0)</f>
        <v>-823.84</v>
      </c>
      <c r="L50">
        <f>IFERROR(VLOOKUP(B50,工资明细202401_Sheet1!$B:$BC,46,FALSE),0)</f>
        <v>-205.96</v>
      </c>
      <c r="M50">
        <f>IFERROR(VLOOKUP(B50,工资明细202401_Sheet1!$B:$BC,47,FALSE),0)</f>
        <v>-51.49</v>
      </c>
      <c r="N50">
        <f>IFERROR(VLOOKUP(B50,工资明细202401_Sheet1!$B:$BC,48,FALSE),0)</f>
        <v>-5</v>
      </c>
      <c r="O50">
        <f>IFERROR(VLOOKUP(B50,工资明细202401_Sheet1!$B:$BC,49,FALSE),0)</f>
        <v>-109.76</v>
      </c>
      <c r="P50">
        <f>IFERROR(VLOOKUP(B50,工资明细202401_Sheet1!$B:$BC,50,FALSE),0)</f>
        <v>0</v>
      </c>
      <c r="Q50">
        <f>IFERROR(VLOOKUP(B50,工资明细202401_Sheet1!$B:$BC,51,FALSE),0)</f>
        <v>-6.86</v>
      </c>
      <c r="R50">
        <f>IFERROR(VLOOKUP(B50,工资明细202401_Sheet1!$B:$BC,52,FALSE),0)</f>
        <v>0</v>
      </c>
      <c r="S50">
        <f>IFERROR(VLOOKUP(B50,工资明细202401_Sheet1!$B:$BC,53,FALSE),0)</f>
        <v>-893</v>
      </c>
      <c r="T50">
        <f>IFERROR(VLOOKUP(B50,工资明细202401_Sheet1!$B:$BC,54,FALSE),0)</f>
        <v>6555.09</v>
      </c>
    </row>
    <row r="51" spans="1:20" x14ac:dyDescent="0.15">
      <c r="A51">
        <v>50</v>
      </c>
      <c r="B51" t="s">
        <v>69</v>
      </c>
      <c r="C51">
        <f>IFERROR(VLOOKUP(B51,工资明细202401_Sheet1!$B:$BC,37,FALSE),0)</f>
        <v>15484.7</v>
      </c>
      <c r="D51">
        <f>IFERROR(VLOOKUP(B51,工资明细202401_Sheet1!$B:$BC,38,FALSE),0)</f>
        <v>0</v>
      </c>
      <c r="E51">
        <f>IFERROR(VLOOKUP(B51,工资明细202401_Sheet1!$B:$BC,39,FALSE),0)</f>
        <v>0</v>
      </c>
      <c r="F51">
        <f>IFERROR(VLOOKUP(B51,工资明细202401_Sheet1!$B:$BC,40,FALSE),0)</f>
        <v>0</v>
      </c>
      <c r="G51">
        <f>IFERROR(VLOOKUP(B51,工资明细202401_Sheet1!$B:$BC,41,FALSE),0)</f>
        <v>-189.7</v>
      </c>
      <c r="H51">
        <f>IFERROR(VLOOKUP(B51,工资明细202401_Sheet1!$B:$BC,42,FALSE),0)</f>
        <v>0</v>
      </c>
      <c r="I51">
        <f>IFERROR(VLOOKUP(B51,工资明细202401_Sheet1!$B:$BC,43,FALSE),0)</f>
        <v>-30</v>
      </c>
      <c r="J51">
        <f>IFERROR(VLOOKUP(B51,工资明细202401_Sheet1!$B:$BC,44,FALSE),0)</f>
        <v>0</v>
      </c>
      <c r="K51">
        <f>IFERROR(VLOOKUP(B51,工资明细202401_Sheet1!$B:$BC,45,FALSE),0)</f>
        <v>-1242.56</v>
      </c>
      <c r="L51">
        <f>IFERROR(VLOOKUP(B51,工资明细202401_Sheet1!$B:$BC,46,FALSE),0)</f>
        <v>-310.64</v>
      </c>
      <c r="M51">
        <f>IFERROR(VLOOKUP(B51,工资明细202401_Sheet1!$B:$BC,47,FALSE),0)</f>
        <v>-77.66</v>
      </c>
      <c r="N51">
        <f>IFERROR(VLOOKUP(B51,工资明细202401_Sheet1!$B:$BC,48,FALSE),0)</f>
        <v>-5</v>
      </c>
      <c r="O51">
        <f>IFERROR(VLOOKUP(B51,工资明细202401_Sheet1!$B:$BC,49,FALSE),0)</f>
        <v>-148.24</v>
      </c>
      <c r="P51">
        <f>IFERROR(VLOOKUP(B51,工资明细202401_Sheet1!$B:$BC,50,FALSE),0)</f>
        <v>0</v>
      </c>
      <c r="Q51">
        <f>IFERROR(VLOOKUP(B51,工资明细202401_Sheet1!$B:$BC,51,FALSE),0)</f>
        <v>-9.26</v>
      </c>
      <c r="R51">
        <f>IFERROR(VLOOKUP(B51,工资明细202401_Sheet1!$B:$BC,52,FALSE),0)</f>
        <v>0</v>
      </c>
      <c r="S51">
        <f>IFERROR(VLOOKUP(B51,工资明细202401_Sheet1!$B:$BC,53,FALSE),0)</f>
        <v>-1368</v>
      </c>
      <c r="T51">
        <f>IFERROR(VLOOKUP(B51,工资明细202401_Sheet1!$B:$BC,54,FALSE),0)</f>
        <v>12103.64</v>
      </c>
    </row>
    <row r="52" spans="1:20" x14ac:dyDescent="0.15">
      <c r="A52">
        <v>51</v>
      </c>
      <c r="B52" t="s">
        <v>70</v>
      </c>
      <c r="C52">
        <f>IFERROR(VLOOKUP(B52,工资明细202401_Sheet1!$B:$BC,37,FALSE),0)</f>
        <v>13457.5</v>
      </c>
      <c r="D52">
        <f>IFERROR(VLOOKUP(B52,工资明细202401_Sheet1!$B:$BC,38,FALSE),0)</f>
        <v>0</v>
      </c>
      <c r="E52">
        <f>IFERROR(VLOOKUP(B52,工资明细202401_Sheet1!$B:$BC,39,FALSE),0)</f>
        <v>0</v>
      </c>
      <c r="F52">
        <f>IFERROR(VLOOKUP(B52,工资明细202401_Sheet1!$B:$BC,40,FALSE),0)</f>
        <v>0</v>
      </c>
      <c r="G52">
        <f>IFERROR(VLOOKUP(B52,工资明细202401_Sheet1!$B:$BC,41,FALSE),0)</f>
        <v>-61.4</v>
      </c>
      <c r="H52">
        <f>IFERROR(VLOOKUP(B52,工资明细202401_Sheet1!$B:$BC,42,FALSE),0)</f>
        <v>0</v>
      </c>
      <c r="I52">
        <f>IFERROR(VLOOKUP(B52,工资明细202401_Sheet1!$B:$BC,43,FALSE),0)</f>
        <v>-30</v>
      </c>
      <c r="J52">
        <f>IFERROR(VLOOKUP(B52,工资明细202401_Sheet1!$B:$BC,44,FALSE),0)</f>
        <v>-1000</v>
      </c>
      <c r="K52">
        <f>IFERROR(VLOOKUP(B52,工资明细202401_Sheet1!$B:$BC,45,FALSE),0)</f>
        <v>-1142.32</v>
      </c>
      <c r="L52">
        <f>IFERROR(VLOOKUP(B52,工资明细202401_Sheet1!$B:$BC,46,FALSE),0)</f>
        <v>-285.58</v>
      </c>
      <c r="M52">
        <f>IFERROR(VLOOKUP(B52,工资明细202401_Sheet1!$B:$BC,47,FALSE),0)</f>
        <v>-71.400000000000006</v>
      </c>
      <c r="N52">
        <f>IFERROR(VLOOKUP(B52,工资明细202401_Sheet1!$B:$BC,48,FALSE),0)</f>
        <v>-5</v>
      </c>
      <c r="O52">
        <f>IFERROR(VLOOKUP(B52,工资明细202401_Sheet1!$B:$BC,49,FALSE),0)</f>
        <v>-115.52</v>
      </c>
      <c r="P52">
        <f>IFERROR(VLOOKUP(B52,工资明细202401_Sheet1!$B:$BC,50,FALSE),0)</f>
        <v>0</v>
      </c>
      <c r="Q52">
        <f>IFERROR(VLOOKUP(B52,工资明细202401_Sheet1!$B:$BC,51,FALSE),0)</f>
        <v>-7.22</v>
      </c>
      <c r="R52">
        <f>IFERROR(VLOOKUP(B52,工资明细202401_Sheet1!$B:$BC,52,FALSE),0)</f>
        <v>0</v>
      </c>
      <c r="S52">
        <f>IFERROR(VLOOKUP(B52,工资明细202401_Sheet1!$B:$BC,53,FALSE),0)</f>
        <v>-1284</v>
      </c>
      <c r="T52">
        <f>IFERROR(VLOOKUP(B52,工资明细202401_Sheet1!$B:$BC,54,FALSE),0)</f>
        <v>9455.06</v>
      </c>
    </row>
    <row r="53" spans="1:20" x14ac:dyDescent="0.15">
      <c r="A53">
        <v>52</v>
      </c>
      <c r="B53" t="s">
        <v>71</v>
      </c>
      <c r="C53">
        <f>IFERROR(VLOOKUP(B53,工资明细202401_Sheet1!$B:$BC,37,FALSE),0)</f>
        <v>10595.94</v>
      </c>
      <c r="D53">
        <f>IFERROR(VLOOKUP(B53,工资明细202401_Sheet1!$B:$BC,38,FALSE),0)</f>
        <v>0</v>
      </c>
      <c r="E53">
        <f>IFERROR(VLOOKUP(B53,工资明细202401_Sheet1!$B:$BC,39,FALSE),0)</f>
        <v>0</v>
      </c>
      <c r="F53">
        <f>IFERROR(VLOOKUP(B53,工资明细202401_Sheet1!$B:$BC,40,FALSE),0)</f>
        <v>0</v>
      </c>
      <c r="G53">
        <f>IFERROR(VLOOKUP(B53,工资明细202401_Sheet1!$B:$BC,41,FALSE),0)</f>
        <v>-102.52</v>
      </c>
      <c r="H53">
        <f>IFERROR(VLOOKUP(B53,工资明细202401_Sheet1!$B:$BC,42,FALSE),0)</f>
        <v>0</v>
      </c>
      <c r="I53">
        <f>IFERROR(VLOOKUP(B53,工资明细202401_Sheet1!$B:$BC,43,FALSE),0)</f>
        <v>-30</v>
      </c>
      <c r="J53">
        <f>IFERROR(VLOOKUP(B53,工资明细202401_Sheet1!$B:$BC,44,FALSE),0)</f>
        <v>0</v>
      </c>
      <c r="K53">
        <f>IFERROR(VLOOKUP(B53,工资明细202401_Sheet1!$B:$BC,45,FALSE),0)</f>
        <v>-864.8</v>
      </c>
      <c r="L53">
        <f>IFERROR(VLOOKUP(B53,工资明细202401_Sheet1!$B:$BC,46,FALSE),0)</f>
        <v>-216.2</v>
      </c>
      <c r="M53">
        <f>IFERROR(VLOOKUP(B53,工资明细202401_Sheet1!$B:$BC,47,FALSE),0)</f>
        <v>-54.05</v>
      </c>
      <c r="N53">
        <f>IFERROR(VLOOKUP(B53,工资明细202401_Sheet1!$B:$BC,48,FALSE),0)</f>
        <v>-5</v>
      </c>
      <c r="O53">
        <f>IFERROR(VLOOKUP(B53,工资明细202401_Sheet1!$B:$BC,49,FALSE),0)</f>
        <v>-228.16</v>
      </c>
      <c r="P53">
        <f>IFERROR(VLOOKUP(B53,工资明细202401_Sheet1!$B:$BC,50,FALSE),0)</f>
        <v>0</v>
      </c>
      <c r="Q53">
        <f>IFERROR(VLOOKUP(B53,工资明细202401_Sheet1!$B:$BC,51,FALSE),0)</f>
        <v>-14.26</v>
      </c>
      <c r="R53">
        <f>IFERROR(VLOOKUP(B53,工资明细202401_Sheet1!$B:$BC,52,FALSE),0)</f>
        <v>0</v>
      </c>
      <c r="S53">
        <f>IFERROR(VLOOKUP(B53,工资明细202401_Sheet1!$B:$BC,53,FALSE),0)</f>
        <v>-796</v>
      </c>
      <c r="T53">
        <f>IFERROR(VLOOKUP(B53,工资明细202401_Sheet1!$B:$BC,54,FALSE),0)</f>
        <v>8284.9500000000007</v>
      </c>
    </row>
    <row r="54" spans="1:20" x14ac:dyDescent="0.15">
      <c r="A54">
        <v>53</v>
      </c>
      <c r="B54" t="s">
        <v>72</v>
      </c>
      <c r="C54">
        <f>IFERROR(VLOOKUP(B54,工资明细202401_Sheet1!$B:$BC,37,FALSE),0)</f>
        <v>9479.5</v>
      </c>
      <c r="D54">
        <f>IFERROR(VLOOKUP(B54,工资明细202401_Sheet1!$B:$BC,38,FALSE),0)</f>
        <v>0</v>
      </c>
      <c r="E54">
        <f>IFERROR(VLOOKUP(B54,工资明细202401_Sheet1!$B:$BC,39,FALSE),0)</f>
        <v>0</v>
      </c>
      <c r="F54">
        <f>IFERROR(VLOOKUP(B54,工资明细202401_Sheet1!$B:$BC,40,FALSE),0)</f>
        <v>0</v>
      </c>
      <c r="G54">
        <f>IFERROR(VLOOKUP(B54,工资明细202401_Sheet1!$B:$BC,41,FALSE),0)</f>
        <v>-74.739999999999995</v>
      </c>
      <c r="H54">
        <f>IFERROR(VLOOKUP(B54,工资明细202401_Sheet1!$B:$BC,42,FALSE),0)</f>
        <v>0</v>
      </c>
      <c r="I54">
        <f>IFERROR(VLOOKUP(B54,工资明细202401_Sheet1!$B:$BC,43,FALSE),0)</f>
        <v>-30</v>
      </c>
      <c r="J54">
        <f>IFERROR(VLOOKUP(B54,工资明细202401_Sheet1!$B:$BC,44,FALSE),0)</f>
        <v>0</v>
      </c>
      <c r="K54">
        <f>IFERROR(VLOOKUP(B54,工资明细202401_Sheet1!$B:$BC,45,FALSE),0)</f>
        <v>-785.28</v>
      </c>
      <c r="L54">
        <f>IFERROR(VLOOKUP(B54,工资明细202401_Sheet1!$B:$BC,46,FALSE),0)</f>
        <v>-196.32</v>
      </c>
      <c r="M54">
        <f>IFERROR(VLOOKUP(B54,工资明细202401_Sheet1!$B:$BC,47,FALSE),0)</f>
        <v>-49.08</v>
      </c>
      <c r="N54">
        <f>IFERROR(VLOOKUP(B54,工资明细202401_Sheet1!$B:$BC,48,FALSE),0)</f>
        <v>-5</v>
      </c>
      <c r="O54">
        <f>IFERROR(VLOOKUP(B54,工资明细202401_Sheet1!$B:$BC,49,FALSE),0)</f>
        <v>-156.88</v>
      </c>
      <c r="P54">
        <f>IFERROR(VLOOKUP(B54,工资明细202401_Sheet1!$B:$BC,50,FALSE),0)</f>
        <v>0</v>
      </c>
      <c r="Q54">
        <f>IFERROR(VLOOKUP(B54,工资明细202401_Sheet1!$B:$BC,51,FALSE),0)</f>
        <v>-9.8000000000000007</v>
      </c>
      <c r="R54">
        <f>IFERROR(VLOOKUP(B54,工资明细202401_Sheet1!$B:$BC,52,FALSE),0)</f>
        <v>0</v>
      </c>
      <c r="S54">
        <f>IFERROR(VLOOKUP(B54,工资明细202401_Sheet1!$B:$BC,53,FALSE),0)</f>
        <v>-786</v>
      </c>
      <c r="T54">
        <f>IFERROR(VLOOKUP(B54,工资明细202401_Sheet1!$B:$BC,54,FALSE),0)</f>
        <v>7386.4</v>
      </c>
    </row>
    <row r="55" spans="1:20" x14ac:dyDescent="0.15">
      <c r="A55">
        <v>54</v>
      </c>
      <c r="B55" t="s">
        <v>73</v>
      </c>
      <c r="C55">
        <f>IFERROR(VLOOKUP(B55,工资明细202401_Sheet1!$B:$BC,37,FALSE),0)</f>
        <v>8724.35</v>
      </c>
      <c r="D55">
        <f>IFERROR(VLOOKUP(B55,工资明细202401_Sheet1!$B:$BC,38,FALSE),0)</f>
        <v>0</v>
      </c>
      <c r="E55">
        <f>IFERROR(VLOOKUP(B55,工资明细202401_Sheet1!$B:$BC,39,FALSE),0)</f>
        <v>0</v>
      </c>
      <c r="F55">
        <f>IFERROR(VLOOKUP(B55,工资明细202401_Sheet1!$B:$BC,40,FALSE),0)</f>
        <v>0</v>
      </c>
      <c r="G55">
        <f>IFERROR(VLOOKUP(B55,工资明细202401_Sheet1!$B:$BC,41,FALSE),0)</f>
        <v>-1.18</v>
      </c>
      <c r="H55">
        <f>IFERROR(VLOOKUP(B55,工资明细202401_Sheet1!$B:$BC,42,FALSE),0)</f>
        <v>0</v>
      </c>
      <c r="I55">
        <f>IFERROR(VLOOKUP(B55,工资明细202401_Sheet1!$B:$BC,43,FALSE),0)</f>
        <v>-30</v>
      </c>
      <c r="J55">
        <f>IFERROR(VLOOKUP(B55,工资明细202401_Sheet1!$B:$BC,44,FALSE),0)</f>
        <v>-1000</v>
      </c>
      <c r="K55">
        <f>IFERROR(VLOOKUP(B55,工资明细202401_Sheet1!$B:$BC,45,FALSE),0)</f>
        <v>-676.32</v>
      </c>
      <c r="L55">
        <f>IFERROR(VLOOKUP(B55,工资明细202401_Sheet1!$B:$BC,46,FALSE),0)</f>
        <v>-169.08</v>
      </c>
      <c r="M55">
        <f>IFERROR(VLOOKUP(B55,工资明细202401_Sheet1!$B:$BC,47,FALSE),0)</f>
        <v>-42.27</v>
      </c>
      <c r="N55">
        <f>IFERROR(VLOOKUP(B55,工资明细202401_Sheet1!$B:$BC,48,FALSE),0)</f>
        <v>-5</v>
      </c>
      <c r="O55">
        <f>IFERROR(VLOOKUP(B55,工资明细202401_Sheet1!$B:$BC,49,FALSE),0)</f>
        <v>-25.2</v>
      </c>
      <c r="P55">
        <f>IFERROR(VLOOKUP(B55,工资明细202401_Sheet1!$B:$BC,50,FALSE),0)</f>
        <v>0</v>
      </c>
      <c r="Q55">
        <f>IFERROR(VLOOKUP(B55,工资明细202401_Sheet1!$B:$BC,51,FALSE),0)</f>
        <v>-1.57</v>
      </c>
      <c r="R55">
        <f>IFERROR(VLOOKUP(B55,工资明细202401_Sheet1!$B:$BC,52,FALSE),0)</f>
        <v>0</v>
      </c>
      <c r="S55">
        <f>IFERROR(VLOOKUP(B55,工资明细202401_Sheet1!$B:$BC,53,FALSE),0)</f>
        <v>-814</v>
      </c>
      <c r="T55">
        <f>IFERROR(VLOOKUP(B55,工资明细202401_Sheet1!$B:$BC,54,FALSE),0)</f>
        <v>5959.73</v>
      </c>
    </row>
    <row r="56" spans="1:20" x14ac:dyDescent="0.15">
      <c r="A56">
        <v>55</v>
      </c>
      <c r="B56" t="s">
        <v>74</v>
      </c>
      <c r="C56">
        <f>IFERROR(VLOOKUP(B56,工资明细202401_Sheet1!$B:$BC,37,FALSE),0)</f>
        <v>5159.92</v>
      </c>
      <c r="D56">
        <f>IFERROR(VLOOKUP(B56,工资明细202401_Sheet1!$B:$BC,38,FALSE),0)</f>
        <v>0</v>
      </c>
      <c r="E56">
        <f>IFERROR(VLOOKUP(B56,工资明细202401_Sheet1!$B:$BC,39,FALSE),0)</f>
        <v>0</v>
      </c>
      <c r="F56">
        <f>IFERROR(VLOOKUP(B56,工资明细202401_Sheet1!$B:$BC,40,FALSE),0)</f>
        <v>0</v>
      </c>
      <c r="G56">
        <f>IFERROR(VLOOKUP(B56,工资明细202401_Sheet1!$B:$BC,41,FALSE),0)</f>
        <v>0</v>
      </c>
      <c r="H56">
        <f>IFERROR(VLOOKUP(B56,工资明细202401_Sheet1!$B:$BC,42,FALSE),0)</f>
        <v>0</v>
      </c>
      <c r="I56">
        <f>IFERROR(VLOOKUP(B56,工资明细202401_Sheet1!$B:$BC,43,FALSE),0)</f>
        <v>-30</v>
      </c>
      <c r="J56">
        <f>IFERROR(VLOOKUP(B56,工资明细202401_Sheet1!$B:$BC,44,FALSE),0)</f>
        <v>0</v>
      </c>
      <c r="K56">
        <f>IFERROR(VLOOKUP(B56,工资明细202401_Sheet1!$B:$BC,45,FALSE),0)</f>
        <v>-380</v>
      </c>
      <c r="L56">
        <f>IFERROR(VLOOKUP(B56,工资明细202401_Sheet1!$B:$BC,46,FALSE),0)</f>
        <v>-95</v>
      </c>
      <c r="M56">
        <f>IFERROR(VLOOKUP(B56,工资明细202401_Sheet1!$B:$BC,47,FALSE),0)</f>
        <v>-23.75</v>
      </c>
      <c r="N56">
        <f>IFERROR(VLOOKUP(B56,工资明细202401_Sheet1!$B:$BC,48,FALSE),0)</f>
        <v>-5</v>
      </c>
      <c r="O56">
        <f>IFERROR(VLOOKUP(B56,工资明细202401_Sheet1!$B:$BC,49,FALSE),0)</f>
        <v>0</v>
      </c>
      <c r="P56">
        <f>IFERROR(VLOOKUP(B56,工资明细202401_Sheet1!$B:$BC,50,FALSE),0)</f>
        <v>0</v>
      </c>
      <c r="Q56">
        <f>IFERROR(VLOOKUP(B56,工资明细202401_Sheet1!$B:$BC,51,FALSE),0)</f>
        <v>0</v>
      </c>
      <c r="R56">
        <f>IFERROR(VLOOKUP(B56,工资明细202401_Sheet1!$B:$BC,52,FALSE),0)</f>
        <v>0</v>
      </c>
      <c r="S56">
        <f>IFERROR(VLOOKUP(B56,工资明细202401_Sheet1!$B:$BC,53,FALSE),0)</f>
        <v>-755</v>
      </c>
      <c r="T56">
        <f>IFERROR(VLOOKUP(B56,工资明细202401_Sheet1!$B:$BC,54,FALSE),0)</f>
        <v>3871.17</v>
      </c>
    </row>
    <row r="57" spans="1:20" x14ac:dyDescent="0.15">
      <c r="A57">
        <v>56</v>
      </c>
      <c r="B57" t="s">
        <v>75</v>
      </c>
      <c r="C57">
        <f>IFERROR(VLOOKUP(B57,工资明细202401_Sheet1!$B:$BC,37,FALSE),0)</f>
        <v>9305.09</v>
      </c>
      <c r="D57">
        <f>IFERROR(VLOOKUP(B57,工资明细202401_Sheet1!$B:$BC,38,FALSE),0)</f>
        <v>0</v>
      </c>
      <c r="E57">
        <f>IFERROR(VLOOKUP(B57,工资明细202401_Sheet1!$B:$BC,39,FALSE),0)</f>
        <v>0</v>
      </c>
      <c r="F57">
        <f>IFERROR(VLOOKUP(B57,工资明细202401_Sheet1!$B:$BC,40,FALSE),0)</f>
        <v>0</v>
      </c>
      <c r="G57">
        <f>IFERROR(VLOOKUP(B57,工资明细202401_Sheet1!$B:$BC,41,FALSE),0)</f>
        <v>-74.08</v>
      </c>
      <c r="H57">
        <f>IFERROR(VLOOKUP(B57,工资明细202401_Sheet1!$B:$BC,42,FALSE),0)</f>
        <v>0</v>
      </c>
      <c r="I57">
        <f>IFERROR(VLOOKUP(B57,工资明细202401_Sheet1!$B:$BC,43,FALSE),0)</f>
        <v>-30</v>
      </c>
      <c r="J57">
        <f>IFERROR(VLOOKUP(B57,工资明细202401_Sheet1!$B:$BC,44,FALSE),0)</f>
        <v>-1000</v>
      </c>
      <c r="K57">
        <f>IFERROR(VLOOKUP(B57,工资明细202401_Sheet1!$B:$BC,45,FALSE),0)</f>
        <v>-720.96</v>
      </c>
      <c r="L57">
        <f>IFERROR(VLOOKUP(B57,工资明细202401_Sheet1!$B:$BC,46,FALSE),0)</f>
        <v>-180.24</v>
      </c>
      <c r="M57">
        <f>IFERROR(VLOOKUP(B57,工资明细202401_Sheet1!$B:$BC,47,FALSE),0)</f>
        <v>-45.06</v>
      </c>
      <c r="N57">
        <f>IFERROR(VLOOKUP(B57,工资明细202401_Sheet1!$B:$BC,48,FALSE),0)</f>
        <v>-5</v>
      </c>
      <c r="O57">
        <f>IFERROR(VLOOKUP(B57,工资明细202401_Sheet1!$B:$BC,49,FALSE),0)</f>
        <v>-91.92</v>
      </c>
      <c r="P57">
        <f>IFERROR(VLOOKUP(B57,工资明细202401_Sheet1!$B:$BC,50,FALSE),0)</f>
        <v>0</v>
      </c>
      <c r="Q57">
        <f>IFERROR(VLOOKUP(B57,工资明细202401_Sheet1!$B:$BC,51,FALSE),0)</f>
        <v>-5.74</v>
      </c>
      <c r="R57">
        <f>IFERROR(VLOOKUP(B57,工资明细202401_Sheet1!$B:$BC,52,FALSE),0)</f>
        <v>0</v>
      </c>
      <c r="S57">
        <f>IFERROR(VLOOKUP(B57,工资明细202401_Sheet1!$B:$BC,53,FALSE),0)</f>
        <v>-787</v>
      </c>
      <c r="T57">
        <f>IFERROR(VLOOKUP(B57,工资明细202401_Sheet1!$B:$BC,54,FALSE),0)</f>
        <v>6365.09</v>
      </c>
    </row>
    <row r="58" spans="1:20" x14ac:dyDescent="0.15">
      <c r="A58">
        <v>57</v>
      </c>
      <c r="B58" t="s">
        <v>76</v>
      </c>
      <c r="C58">
        <f>IFERROR(VLOOKUP(B58,工资明细202401_Sheet1!$B:$BC,37,FALSE),0)</f>
        <v>9313.6200000000008</v>
      </c>
      <c r="D58">
        <f>IFERROR(VLOOKUP(B58,工资明细202401_Sheet1!$B:$BC,38,FALSE),0)</f>
        <v>0</v>
      </c>
      <c r="E58">
        <f>IFERROR(VLOOKUP(B58,工资明细202401_Sheet1!$B:$BC,39,FALSE),0)</f>
        <v>0</v>
      </c>
      <c r="F58">
        <f>IFERROR(VLOOKUP(B58,工资明细202401_Sheet1!$B:$BC,40,FALSE),0)</f>
        <v>0</v>
      </c>
      <c r="G58">
        <f>IFERROR(VLOOKUP(B58,工资明细202401_Sheet1!$B:$BC,41,FALSE),0)</f>
        <v>0</v>
      </c>
      <c r="H58">
        <f>IFERROR(VLOOKUP(B58,工资明细202401_Sheet1!$B:$BC,42,FALSE),0)</f>
        <v>0</v>
      </c>
      <c r="I58">
        <f>IFERROR(VLOOKUP(B58,工资明细202401_Sheet1!$B:$BC,43,FALSE),0)</f>
        <v>-30</v>
      </c>
      <c r="J58">
        <f>IFERROR(VLOOKUP(B58,工资明细202401_Sheet1!$B:$BC,44,FALSE),0)</f>
        <v>0</v>
      </c>
      <c r="K58">
        <f>IFERROR(VLOOKUP(B58,工资明细202401_Sheet1!$B:$BC,45,FALSE),0)</f>
        <v>-672.32</v>
      </c>
      <c r="L58">
        <f>IFERROR(VLOOKUP(B58,工资明细202401_Sheet1!$B:$BC,46,FALSE),0)</f>
        <v>-168.08</v>
      </c>
      <c r="M58">
        <f>IFERROR(VLOOKUP(B58,工资明细202401_Sheet1!$B:$BC,47,FALSE),0)</f>
        <v>-42.02</v>
      </c>
      <c r="N58">
        <f>IFERROR(VLOOKUP(B58,工资明细202401_Sheet1!$B:$BC,48,FALSE),0)</f>
        <v>-5</v>
      </c>
      <c r="O58">
        <f>IFERROR(VLOOKUP(B58,工资明细202401_Sheet1!$B:$BC,49,FALSE),0)</f>
        <v>-79.84</v>
      </c>
      <c r="P58">
        <f>IFERROR(VLOOKUP(B58,工资明细202401_Sheet1!$B:$BC,50,FALSE),0)</f>
        <v>0</v>
      </c>
      <c r="Q58">
        <f>IFERROR(VLOOKUP(B58,工资明细202401_Sheet1!$B:$BC,51,FALSE),0)</f>
        <v>-4.99</v>
      </c>
      <c r="R58">
        <f>IFERROR(VLOOKUP(B58,工资明细202401_Sheet1!$B:$BC,52,FALSE),0)</f>
        <v>0</v>
      </c>
      <c r="S58">
        <f>IFERROR(VLOOKUP(B58,工资明细202401_Sheet1!$B:$BC,53,FALSE),0)</f>
        <v>-741</v>
      </c>
      <c r="T58">
        <f>IFERROR(VLOOKUP(B58,工资明细202401_Sheet1!$B:$BC,54,FALSE),0)</f>
        <v>7570.37</v>
      </c>
    </row>
    <row r="59" spans="1:20" x14ac:dyDescent="0.15">
      <c r="A59">
        <v>58</v>
      </c>
      <c r="B59" t="s">
        <v>77</v>
      </c>
      <c r="C59">
        <f>IFERROR(VLOOKUP(B59,工资明细202401_Sheet1!$B:$BC,37,FALSE),0)</f>
        <v>9421.2800000000007</v>
      </c>
      <c r="D59">
        <f>IFERROR(VLOOKUP(B59,工资明细202401_Sheet1!$B:$BC,38,FALSE),0)</f>
        <v>0</v>
      </c>
      <c r="E59">
        <f>IFERROR(VLOOKUP(B59,工资明细202401_Sheet1!$B:$BC,39,FALSE),0)</f>
        <v>0</v>
      </c>
      <c r="F59">
        <f>IFERROR(VLOOKUP(B59,工资明细202401_Sheet1!$B:$BC,40,FALSE),0)</f>
        <v>0</v>
      </c>
      <c r="G59">
        <f>IFERROR(VLOOKUP(B59,工资明细202401_Sheet1!$B:$BC,41,FALSE),0)</f>
        <v>0</v>
      </c>
      <c r="H59">
        <f>IFERROR(VLOOKUP(B59,工资明细202401_Sheet1!$B:$BC,42,FALSE),0)</f>
        <v>0</v>
      </c>
      <c r="I59">
        <f>IFERROR(VLOOKUP(B59,工资明细202401_Sheet1!$B:$BC,43,FALSE),0)</f>
        <v>-30</v>
      </c>
      <c r="J59">
        <f>IFERROR(VLOOKUP(B59,工资明细202401_Sheet1!$B:$BC,44,FALSE),0)</f>
        <v>0</v>
      </c>
      <c r="K59">
        <f>IFERROR(VLOOKUP(B59,工资明细202401_Sheet1!$B:$BC,45,FALSE),0)</f>
        <v>-678.8</v>
      </c>
      <c r="L59">
        <f>IFERROR(VLOOKUP(B59,工资明细202401_Sheet1!$B:$BC,46,FALSE),0)</f>
        <v>-169.7</v>
      </c>
      <c r="M59">
        <f>IFERROR(VLOOKUP(B59,工资明细202401_Sheet1!$B:$BC,47,FALSE),0)</f>
        <v>-42.43</v>
      </c>
      <c r="N59">
        <f>IFERROR(VLOOKUP(B59,工资明细202401_Sheet1!$B:$BC,48,FALSE),0)</f>
        <v>-5</v>
      </c>
      <c r="O59">
        <f>IFERROR(VLOOKUP(B59,工资明细202401_Sheet1!$B:$BC,49,FALSE),0)</f>
        <v>-72.48</v>
      </c>
      <c r="P59">
        <f>IFERROR(VLOOKUP(B59,工资明细202401_Sheet1!$B:$BC,50,FALSE),0)</f>
        <v>0</v>
      </c>
      <c r="Q59">
        <f>IFERROR(VLOOKUP(B59,工资明细202401_Sheet1!$B:$BC,51,FALSE),0)</f>
        <v>-4.53</v>
      </c>
      <c r="R59">
        <f>IFERROR(VLOOKUP(B59,工资明细202401_Sheet1!$B:$BC,52,FALSE),0)</f>
        <v>0</v>
      </c>
      <c r="S59">
        <f>IFERROR(VLOOKUP(B59,工资明细202401_Sheet1!$B:$BC,53,FALSE),0)</f>
        <v>-758</v>
      </c>
      <c r="T59">
        <f>IFERROR(VLOOKUP(B59,工资明细202401_Sheet1!$B:$BC,54,FALSE),0)</f>
        <v>7660.34</v>
      </c>
    </row>
    <row r="60" spans="1:20" x14ac:dyDescent="0.15">
      <c r="A60">
        <v>59</v>
      </c>
      <c r="B60" t="s">
        <v>78</v>
      </c>
      <c r="C60">
        <f>IFERROR(VLOOKUP(B60,工资明细202401_Sheet1!$B:$BC,37,FALSE),0)</f>
        <v>11481.24</v>
      </c>
      <c r="D60">
        <f>IFERROR(VLOOKUP(B60,工资明细202401_Sheet1!$B:$BC,38,FALSE),0)</f>
        <v>0</v>
      </c>
      <c r="E60">
        <f>IFERROR(VLOOKUP(B60,工资明细202401_Sheet1!$B:$BC,39,FALSE),0)</f>
        <v>0</v>
      </c>
      <c r="F60">
        <f>IFERROR(VLOOKUP(B60,工资明细202401_Sheet1!$B:$BC,40,FALSE),0)</f>
        <v>0</v>
      </c>
      <c r="G60">
        <f>IFERROR(VLOOKUP(B60,工资明细202401_Sheet1!$B:$BC,41,FALSE),0)</f>
        <v>0</v>
      </c>
      <c r="H60">
        <f>IFERROR(VLOOKUP(B60,工资明细202401_Sheet1!$B:$BC,42,FALSE),0)</f>
        <v>0</v>
      </c>
      <c r="I60">
        <f>IFERROR(VLOOKUP(B60,工资明细202401_Sheet1!$B:$BC,43,FALSE),0)</f>
        <v>-30</v>
      </c>
      <c r="J60">
        <f>IFERROR(VLOOKUP(B60,工资明细202401_Sheet1!$B:$BC,44,FALSE),0)</f>
        <v>0</v>
      </c>
      <c r="K60">
        <f>IFERROR(VLOOKUP(B60,工资明细202401_Sheet1!$B:$BC,45,FALSE),0)</f>
        <v>-878.08</v>
      </c>
      <c r="L60">
        <f>IFERROR(VLOOKUP(B60,工资明细202401_Sheet1!$B:$BC,46,FALSE),0)</f>
        <v>-219.52</v>
      </c>
      <c r="M60">
        <f>IFERROR(VLOOKUP(B60,工资明细202401_Sheet1!$B:$BC,47,FALSE),0)</f>
        <v>-54.88</v>
      </c>
      <c r="N60">
        <f>IFERROR(VLOOKUP(B60,工资明细202401_Sheet1!$B:$BC,48,FALSE),0)</f>
        <v>-5</v>
      </c>
      <c r="O60">
        <f>IFERROR(VLOOKUP(B60,工资明细202401_Sheet1!$B:$BC,49,FALSE),0)</f>
        <v>-48.8</v>
      </c>
      <c r="P60">
        <f>IFERROR(VLOOKUP(B60,工资明细202401_Sheet1!$B:$BC,50,FALSE),0)</f>
        <v>0</v>
      </c>
      <c r="Q60">
        <f>IFERROR(VLOOKUP(B60,工资明细202401_Sheet1!$B:$BC,51,FALSE),0)</f>
        <v>-3.05</v>
      </c>
      <c r="R60">
        <f>IFERROR(VLOOKUP(B60,工资明细202401_Sheet1!$B:$BC,52,FALSE),0)</f>
        <v>0</v>
      </c>
      <c r="S60">
        <f>IFERROR(VLOOKUP(B60,工资明细202401_Sheet1!$B:$BC,53,FALSE),0)</f>
        <v>-1037</v>
      </c>
      <c r="T60">
        <f>IFERROR(VLOOKUP(B60,工资明细202401_Sheet1!$B:$BC,54,FALSE),0)</f>
        <v>9204.91</v>
      </c>
    </row>
    <row r="61" spans="1:20" x14ac:dyDescent="0.15">
      <c r="A61">
        <v>60</v>
      </c>
      <c r="B61" t="s">
        <v>79</v>
      </c>
      <c r="C61">
        <f>IFERROR(VLOOKUP(B61,工资明细202401_Sheet1!$B:$BC,37,FALSE),0)</f>
        <v>7199.18</v>
      </c>
      <c r="D61">
        <f>IFERROR(VLOOKUP(B61,工资明细202401_Sheet1!$B:$BC,38,FALSE),0)</f>
        <v>0</v>
      </c>
      <c r="E61">
        <f>IFERROR(VLOOKUP(B61,工资明细202401_Sheet1!$B:$BC,39,FALSE),0)</f>
        <v>0</v>
      </c>
      <c r="F61">
        <f>IFERROR(VLOOKUP(B61,工资明细202401_Sheet1!$B:$BC,40,FALSE),0)</f>
        <v>0</v>
      </c>
      <c r="G61">
        <f>IFERROR(VLOOKUP(B61,工资明细202401_Sheet1!$B:$BC,41,FALSE),0)</f>
        <v>0</v>
      </c>
      <c r="H61">
        <f>IFERROR(VLOOKUP(B61,工资明细202401_Sheet1!$B:$BC,42,FALSE),0)</f>
        <v>0</v>
      </c>
      <c r="I61">
        <f>IFERROR(VLOOKUP(B61,工资明细202401_Sheet1!$B:$BC,43,FALSE),0)</f>
        <v>-30</v>
      </c>
      <c r="J61">
        <f>IFERROR(VLOOKUP(B61,工资明细202401_Sheet1!$B:$BC,44,FALSE),0)</f>
        <v>-1000</v>
      </c>
      <c r="K61">
        <f>IFERROR(VLOOKUP(B61,工资明细202401_Sheet1!$B:$BC,45,FALSE),0)</f>
        <v>-636.08000000000004</v>
      </c>
      <c r="L61">
        <f>IFERROR(VLOOKUP(B61,工资明细202401_Sheet1!$B:$BC,46,FALSE),0)</f>
        <v>-159.02000000000001</v>
      </c>
      <c r="M61">
        <f>IFERROR(VLOOKUP(B61,工资明细202401_Sheet1!$B:$BC,47,FALSE),0)</f>
        <v>-39.76</v>
      </c>
      <c r="N61">
        <f>IFERROR(VLOOKUP(B61,工资明细202401_Sheet1!$B:$BC,48,FALSE),0)</f>
        <v>-5</v>
      </c>
      <c r="O61">
        <f>IFERROR(VLOOKUP(B61,工资明细202401_Sheet1!$B:$BC,49,FALSE),0)</f>
        <v>-52.48</v>
      </c>
      <c r="P61">
        <f>IFERROR(VLOOKUP(B61,工资明细202401_Sheet1!$B:$BC,50,FALSE),0)</f>
        <v>0</v>
      </c>
      <c r="Q61">
        <f>IFERROR(VLOOKUP(B61,工资明细202401_Sheet1!$B:$BC,51,FALSE),0)</f>
        <v>-3.28</v>
      </c>
      <c r="R61">
        <f>IFERROR(VLOOKUP(B61,工资明细202401_Sheet1!$B:$BC,52,FALSE),0)</f>
        <v>0</v>
      </c>
      <c r="S61">
        <f>IFERROR(VLOOKUP(B61,工资明细202401_Sheet1!$B:$BC,53,FALSE),0)</f>
        <v>-730</v>
      </c>
      <c r="T61">
        <f>IFERROR(VLOOKUP(B61,工资明细202401_Sheet1!$B:$BC,54,FALSE),0)</f>
        <v>4543.5600000000004</v>
      </c>
    </row>
    <row r="62" spans="1:20" x14ac:dyDescent="0.15">
      <c r="A62">
        <v>61</v>
      </c>
      <c r="B62" t="s">
        <v>80</v>
      </c>
      <c r="C62">
        <f>IFERROR(VLOOKUP(B62,工资明细202401_Sheet1!$B:$BC,37,FALSE),0)</f>
        <v>9725.57</v>
      </c>
      <c r="D62">
        <f>IFERROR(VLOOKUP(B62,工资明细202401_Sheet1!$B:$BC,38,FALSE),0)</f>
        <v>0</v>
      </c>
      <c r="E62">
        <f>IFERROR(VLOOKUP(B62,工资明细202401_Sheet1!$B:$BC,39,FALSE),0)</f>
        <v>0</v>
      </c>
      <c r="F62">
        <f>IFERROR(VLOOKUP(B62,工资明细202401_Sheet1!$B:$BC,40,FALSE),0)</f>
        <v>0</v>
      </c>
      <c r="G62">
        <f>IFERROR(VLOOKUP(B62,工资明细202401_Sheet1!$B:$BC,41,FALSE),0)</f>
        <v>-71.78</v>
      </c>
      <c r="H62">
        <f>IFERROR(VLOOKUP(B62,工资明细202401_Sheet1!$B:$BC,42,FALSE),0)</f>
        <v>0</v>
      </c>
      <c r="I62">
        <f>IFERROR(VLOOKUP(B62,工资明细202401_Sheet1!$B:$BC,43,FALSE),0)</f>
        <v>-30</v>
      </c>
      <c r="J62">
        <f>IFERROR(VLOOKUP(B62,工资明细202401_Sheet1!$B:$BC,44,FALSE),0)</f>
        <v>0</v>
      </c>
      <c r="K62">
        <f>IFERROR(VLOOKUP(B62,工资明细202401_Sheet1!$B:$BC,45,FALSE),0)</f>
        <v>-919.04</v>
      </c>
      <c r="L62">
        <f>IFERROR(VLOOKUP(B62,工资明细202401_Sheet1!$B:$BC,46,FALSE),0)</f>
        <v>-229.76</v>
      </c>
      <c r="M62">
        <f>IFERROR(VLOOKUP(B62,工资明细202401_Sheet1!$B:$BC,47,FALSE),0)</f>
        <v>-57.44</v>
      </c>
      <c r="N62">
        <f>IFERROR(VLOOKUP(B62,工资明细202401_Sheet1!$B:$BC,48,FALSE),0)</f>
        <v>-5</v>
      </c>
      <c r="O62">
        <f>IFERROR(VLOOKUP(B62,工资明细202401_Sheet1!$B:$BC,49,FALSE),0)</f>
        <v>-146.63999999999999</v>
      </c>
      <c r="P62">
        <f>IFERROR(VLOOKUP(B62,工资明细202401_Sheet1!$B:$BC,50,FALSE),0)</f>
        <v>0</v>
      </c>
      <c r="Q62">
        <f>IFERROR(VLOOKUP(B62,工资明细202401_Sheet1!$B:$BC,51,FALSE),0)</f>
        <v>-9.16</v>
      </c>
      <c r="R62">
        <f>IFERROR(VLOOKUP(B62,工资明细202401_Sheet1!$B:$BC,52,FALSE),0)</f>
        <v>0</v>
      </c>
      <c r="S62">
        <f>IFERROR(VLOOKUP(B62,工资明细202401_Sheet1!$B:$BC,53,FALSE),0)</f>
        <v>-966</v>
      </c>
      <c r="T62">
        <f>IFERROR(VLOOKUP(B62,工资明细202401_Sheet1!$B:$BC,54,FALSE),0)</f>
        <v>7290.75</v>
      </c>
    </row>
    <row r="63" spans="1:20" x14ac:dyDescent="0.15">
      <c r="A63">
        <v>62</v>
      </c>
      <c r="B63" t="s">
        <v>81</v>
      </c>
      <c r="C63">
        <f>IFERROR(VLOOKUP(B63,工资明细202401_Sheet1!$B:$BC,37,FALSE),0)</f>
        <v>7682.53</v>
      </c>
      <c r="D63">
        <f>IFERROR(VLOOKUP(B63,工资明细202401_Sheet1!$B:$BC,38,FALSE),0)</f>
        <v>0</v>
      </c>
      <c r="E63">
        <f>IFERROR(VLOOKUP(B63,工资明细202401_Sheet1!$B:$BC,39,FALSE),0)</f>
        <v>0</v>
      </c>
      <c r="F63">
        <f>IFERROR(VLOOKUP(B63,工资明细202401_Sheet1!$B:$BC,40,FALSE),0)</f>
        <v>0</v>
      </c>
      <c r="G63">
        <f>IFERROR(VLOOKUP(B63,工资明细202401_Sheet1!$B:$BC,41,FALSE),0)</f>
        <v>-26.52</v>
      </c>
      <c r="H63">
        <f>IFERROR(VLOOKUP(B63,工资明细202401_Sheet1!$B:$BC,42,FALSE),0)</f>
        <v>0</v>
      </c>
      <c r="I63">
        <f>IFERROR(VLOOKUP(B63,工资明细202401_Sheet1!$B:$BC,43,FALSE),0)</f>
        <v>-30</v>
      </c>
      <c r="J63">
        <f>IFERROR(VLOOKUP(B63,工资明细202401_Sheet1!$B:$BC,44,FALSE),0)</f>
        <v>0</v>
      </c>
      <c r="K63">
        <f>IFERROR(VLOOKUP(B63,工资明细202401_Sheet1!$B:$BC,45,FALSE),0)</f>
        <v>-701.92</v>
      </c>
      <c r="L63">
        <f>IFERROR(VLOOKUP(B63,工资明细202401_Sheet1!$B:$BC,46,FALSE),0)</f>
        <v>-175.48</v>
      </c>
      <c r="M63">
        <f>IFERROR(VLOOKUP(B63,工资明细202401_Sheet1!$B:$BC,47,FALSE),0)</f>
        <v>-43.87</v>
      </c>
      <c r="N63">
        <f>IFERROR(VLOOKUP(B63,工资明细202401_Sheet1!$B:$BC,48,FALSE),0)</f>
        <v>-5</v>
      </c>
      <c r="O63">
        <f>IFERROR(VLOOKUP(B63,工资明细202401_Sheet1!$B:$BC,49,FALSE),0)</f>
        <v>-32.24</v>
      </c>
      <c r="P63">
        <f>IFERROR(VLOOKUP(B63,工资明细202401_Sheet1!$B:$BC,50,FALSE),0)</f>
        <v>0</v>
      </c>
      <c r="Q63">
        <f>IFERROR(VLOOKUP(B63,工资明细202401_Sheet1!$B:$BC,51,FALSE),0)</f>
        <v>-2.0099999999999998</v>
      </c>
      <c r="R63">
        <f>IFERROR(VLOOKUP(B63,工资明细202401_Sheet1!$B:$BC,52,FALSE),0)</f>
        <v>0</v>
      </c>
      <c r="S63">
        <f>IFERROR(VLOOKUP(B63,工资明细202401_Sheet1!$B:$BC,53,FALSE),0)</f>
        <v>-838</v>
      </c>
      <c r="T63">
        <f>IFERROR(VLOOKUP(B63,工资明细202401_Sheet1!$B:$BC,54,FALSE),0)</f>
        <v>5827.49</v>
      </c>
    </row>
    <row r="64" spans="1:20" x14ac:dyDescent="0.15">
      <c r="A64">
        <v>63</v>
      </c>
      <c r="B64" t="s">
        <v>82</v>
      </c>
      <c r="C64">
        <f>IFERROR(VLOOKUP(B64,工资明细202401_Sheet1!$B:$BC,37,FALSE),0)</f>
        <v>9797.2099999999991</v>
      </c>
      <c r="D64">
        <f>IFERROR(VLOOKUP(B64,工资明细202401_Sheet1!$B:$BC,38,FALSE),0)</f>
        <v>0</v>
      </c>
      <c r="E64">
        <f>IFERROR(VLOOKUP(B64,工资明细202401_Sheet1!$B:$BC,39,FALSE),0)</f>
        <v>0</v>
      </c>
      <c r="F64">
        <f>IFERROR(VLOOKUP(B64,工资明细202401_Sheet1!$B:$BC,40,FALSE),0)</f>
        <v>0</v>
      </c>
      <c r="G64">
        <f>IFERROR(VLOOKUP(B64,工资明细202401_Sheet1!$B:$BC,41,FALSE),0)</f>
        <v>0</v>
      </c>
      <c r="H64">
        <f>IFERROR(VLOOKUP(B64,工资明细202401_Sheet1!$B:$BC,42,FALSE),0)</f>
        <v>0</v>
      </c>
      <c r="I64">
        <f>IFERROR(VLOOKUP(B64,工资明细202401_Sheet1!$B:$BC,43,FALSE),0)</f>
        <v>-30</v>
      </c>
      <c r="J64">
        <f>IFERROR(VLOOKUP(B64,工资明细202401_Sheet1!$B:$BC,44,FALSE),0)</f>
        <v>-1000</v>
      </c>
      <c r="K64">
        <f>IFERROR(VLOOKUP(B64,工资明细202401_Sheet1!$B:$BC,45,FALSE),0)</f>
        <v>-861.68</v>
      </c>
      <c r="L64">
        <f>IFERROR(VLOOKUP(B64,工资明细202401_Sheet1!$B:$BC,46,FALSE),0)</f>
        <v>-215.42</v>
      </c>
      <c r="M64">
        <f>IFERROR(VLOOKUP(B64,工资明细202401_Sheet1!$B:$BC,47,FALSE),0)</f>
        <v>-53.86</v>
      </c>
      <c r="N64">
        <f>IFERROR(VLOOKUP(B64,工资明细202401_Sheet1!$B:$BC,48,FALSE),0)</f>
        <v>-5</v>
      </c>
      <c r="O64">
        <f>IFERROR(VLOOKUP(B64,工资明细202401_Sheet1!$B:$BC,49,FALSE),0)</f>
        <v>-84.4</v>
      </c>
      <c r="P64">
        <f>IFERROR(VLOOKUP(B64,工资明细202401_Sheet1!$B:$BC,50,FALSE),0)</f>
        <v>0</v>
      </c>
      <c r="Q64">
        <f>IFERROR(VLOOKUP(B64,工资明细202401_Sheet1!$B:$BC,51,FALSE),0)</f>
        <v>-5.28</v>
      </c>
      <c r="R64">
        <f>IFERROR(VLOOKUP(B64,工资明细202401_Sheet1!$B:$BC,52,FALSE),0)</f>
        <v>0</v>
      </c>
      <c r="S64">
        <f>IFERROR(VLOOKUP(B64,工资明细202401_Sheet1!$B:$BC,53,FALSE),0)</f>
        <v>-972</v>
      </c>
      <c r="T64">
        <f>IFERROR(VLOOKUP(B64,工资明细202401_Sheet1!$B:$BC,54,FALSE),0)</f>
        <v>6569.57</v>
      </c>
    </row>
    <row r="65" spans="1:20" x14ac:dyDescent="0.15">
      <c r="A65">
        <v>64</v>
      </c>
      <c r="B65" t="s">
        <v>83</v>
      </c>
      <c r="C65">
        <f>IFERROR(VLOOKUP(B65,工资明细202401_Sheet1!$B:$BC,37,FALSE),0)</f>
        <v>7647.99</v>
      </c>
      <c r="D65">
        <f>IFERROR(VLOOKUP(B65,工资明细202401_Sheet1!$B:$BC,38,FALSE),0)</f>
        <v>0</v>
      </c>
      <c r="E65">
        <f>IFERROR(VLOOKUP(B65,工资明细202401_Sheet1!$B:$BC,39,FALSE),0)</f>
        <v>0</v>
      </c>
      <c r="F65">
        <f>IFERROR(VLOOKUP(B65,工资明细202401_Sheet1!$B:$BC,40,FALSE),0)</f>
        <v>0</v>
      </c>
      <c r="G65">
        <f>IFERROR(VLOOKUP(B65,工资明细202401_Sheet1!$B:$BC,41,FALSE),0)</f>
        <v>-25.21</v>
      </c>
      <c r="H65">
        <f>IFERROR(VLOOKUP(B65,工资明细202401_Sheet1!$B:$BC,42,FALSE),0)</f>
        <v>0</v>
      </c>
      <c r="I65">
        <f>IFERROR(VLOOKUP(B65,工资明细202401_Sheet1!$B:$BC,43,FALSE),0)</f>
        <v>-30</v>
      </c>
      <c r="J65">
        <f>IFERROR(VLOOKUP(B65,工资明细202401_Sheet1!$B:$BC,44,FALSE),0)</f>
        <v>0</v>
      </c>
      <c r="K65">
        <f>IFERROR(VLOOKUP(B65,工资明细202401_Sheet1!$B:$BC,45,FALSE),0)</f>
        <v>-658.96</v>
      </c>
      <c r="L65">
        <f>IFERROR(VLOOKUP(B65,工资明细202401_Sheet1!$B:$BC,46,FALSE),0)</f>
        <v>-164.74</v>
      </c>
      <c r="M65">
        <f>IFERROR(VLOOKUP(B65,工资明细202401_Sheet1!$B:$BC,47,FALSE),0)</f>
        <v>-41.19</v>
      </c>
      <c r="N65">
        <f>IFERROR(VLOOKUP(B65,工资明细202401_Sheet1!$B:$BC,48,FALSE),0)</f>
        <v>-5</v>
      </c>
      <c r="O65">
        <f>IFERROR(VLOOKUP(B65,工资明细202401_Sheet1!$B:$BC,49,FALSE),0)</f>
        <v>-80.72</v>
      </c>
      <c r="P65">
        <f>IFERROR(VLOOKUP(B65,工资明细202401_Sheet1!$B:$BC,50,FALSE),0)</f>
        <v>0</v>
      </c>
      <c r="Q65">
        <f>IFERROR(VLOOKUP(B65,工资明细202401_Sheet1!$B:$BC,51,FALSE),0)</f>
        <v>-5.05</v>
      </c>
      <c r="R65">
        <f>IFERROR(VLOOKUP(B65,工资明细202401_Sheet1!$B:$BC,52,FALSE),0)</f>
        <v>0</v>
      </c>
      <c r="S65">
        <f>IFERROR(VLOOKUP(B65,工资明细202401_Sheet1!$B:$BC,53,FALSE),0)</f>
        <v>-723</v>
      </c>
      <c r="T65">
        <f>IFERROR(VLOOKUP(B65,工资明细202401_Sheet1!$B:$BC,54,FALSE),0)</f>
        <v>5914.12</v>
      </c>
    </row>
    <row r="66" spans="1:20" x14ac:dyDescent="0.15">
      <c r="A66">
        <v>65</v>
      </c>
      <c r="B66" t="s">
        <v>84</v>
      </c>
      <c r="C66">
        <f>IFERROR(VLOOKUP(B66,工资明细202401_Sheet1!$B:$BC,37,FALSE),0)</f>
        <v>6207.65</v>
      </c>
      <c r="D66">
        <f>IFERROR(VLOOKUP(B66,工资明细202401_Sheet1!$B:$BC,38,FALSE),0)</f>
        <v>0</v>
      </c>
      <c r="E66">
        <f>IFERROR(VLOOKUP(B66,工资明细202401_Sheet1!$B:$BC,39,FALSE),0)</f>
        <v>0</v>
      </c>
      <c r="F66">
        <f>IFERROR(VLOOKUP(B66,工资明细202401_Sheet1!$B:$BC,40,FALSE),0)</f>
        <v>0</v>
      </c>
      <c r="G66">
        <f>IFERROR(VLOOKUP(B66,工资明细202401_Sheet1!$B:$BC,41,FALSE),0)</f>
        <v>0</v>
      </c>
      <c r="H66">
        <f>IFERROR(VLOOKUP(B66,工资明细202401_Sheet1!$B:$BC,42,FALSE),0)</f>
        <v>0</v>
      </c>
      <c r="I66">
        <f>IFERROR(VLOOKUP(B66,工资明细202401_Sheet1!$B:$BC,43,FALSE),0)</f>
        <v>-30</v>
      </c>
      <c r="J66">
        <f>IFERROR(VLOOKUP(B66,工资明细202401_Sheet1!$B:$BC,44,FALSE),0)</f>
        <v>0</v>
      </c>
      <c r="K66">
        <f>IFERROR(VLOOKUP(B66,工资明细202401_Sheet1!$B:$BC,45,FALSE),0)</f>
        <v>-505.76</v>
      </c>
      <c r="L66">
        <f>IFERROR(VLOOKUP(B66,工资明细202401_Sheet1!$B:$BC,46,FALSE),0)</f>
        <v>-126.44</v>
      </c>
      <c r="M66">
        <f>IFERROR(VLOOKUP(B66,工资明细202401_Sheet1!$B:$BC,47,FALSE),0)</f>
        <v>-31.61</v>
      </c>
      <c r="N66">
        <f>IFERROR(VLOOKUP(B66,工资明细202401_Sheet1!$B:$BC,48,FALSE),0)</f>
        <v>-5</v>
      </c>
      <c r="O66">
        <f>IFERROR(VLOOKUP(B66,工资明细202401_Sheet1!$B:$BC,49,FALSE),0)</f>
        <v>-56.32</v>
      </c>
      <c r="P66">
        <f>IFERROR(VLOOKUP(B66,工资明细202401_Sheet1!$B:$BC,50,FALSE),0)</f>
        <v>0</v>
      </c>
      <c r="Q66">
        <f>IFERROR(VLOOKUP(B66,工资明细202401_Sheet1!$B:$BC,51,FALSE),0)</f>
        <v>-3.52</v>
      </c>
      <c r="R66">
        <f>IFERROR(VLOOKUP(B66,工资明细202401_Sheet1!$B:$BC,52,FALSE),0)</f>
        <v>0</v>
      </c>
      <c r="S66">
        <f>IFERROR(VLOOKUP(B66,工资明细202401_Sheet1!$B:$BC,53,FALSE),0)</f>
        <v>-562</v>
      </c>
      <c r="T66">
        <f>IFERROR(VLOOKUP(B66,工资明细202401_Sheet1!$B:$BC,54,FALSE),0)</f>
        <v>4887</v>
      </c>
    </row>
    <row r="67" spans="1:20" x14ac:dyDescent="0.15">
      <c r="A67">
        <v>66</v>
      </c>
      <c r="B67" t="s">
        <v>85</v>
      </c>
      <c r="C67">
        <f>IFERROR(VLOOKUP(B67,工资明细202401_Sheet1!$B:$BC,37,FALSE),0)</f>
        <v>9139.11</v>
      </c>
      <c r="D67">
        <f>IFERROR(VLOOKUP(B67,工资明细202401_Sheet1!$B:$BC,38,FALSE),0)</f>
        <v>0</v>
      </c>
      <c r="E67">
        <f>IFERROR(VLOOKUP(B67,工资明细202401_Sheet1!$B:$BC,39,FALSE),0)</f>
        <v>0</v>
      </c>
      <c r="F67">
        <f>IFERROR(VLOOKUP(B67,工资明细202401_Sheet1!$B:$BC,40,FALSE),0)</f>
        <v>0</v>
      </c>
      <c r="G67">
        <f>IFERROR(VLOOKUP(B67,工资明细202401_Sheet1!$B:$BC,41,FALSE),0)</f>
        <v>-70.38</v>
      </c>
      <c r="H67">
        <f>IFERROR(VLOOKUP(B67,工资明细202401_Sheet1!$B:$BC,42,FALSE),0)</f>
        <v>0</v>
      </c>
      <c r="I67">
        <f>IFERROR(VLOOKUP(B67,工资明细202401_Sheet1!$B:$BC,43,FALSE),0)</f>
        <v>-30</v>
      </c>
      <c r="J67">
        <f>IFERROR(VLOOKUP(B67,工资明细202401_Sheet1!$B:$BC,44,FALSE),0)</f>
        <v>0</v>
      </c>
      <c r="K67">
        <f>IFERROR(VLOOKUP(B67,工资明细202401_Sheet1!$B:$BC,45,FALSE),0)</f>
        <v>-704</v>
      </c>
      <c r="L67">
        <f>IFERROR(VLOOKUP(B67,工资明细202401_Sheet1!$B:$BC,46,FALSE),0)</f>
        <v>-176</v>
      </c>
      <c r="M67">
        <f>IFERROR(VLOOKUP(B67,工资明细202401_Sheet1!$B:$BC,47,FALSE),0)</f>
        <v>-44</v>
      </c>
      <c r="N67">
        <f>IFERROR(VLOOKUP(B67,工资明细202401_Sheet1!$B:$BC,48,FALSE),0)</f>
        <v>-5</v>
      </c>
      <c r="O67">
        <f>IFERROR(VLOOKUP(B67,工资明细202401_Sheet1!$B:$BC,49,FALSE),0)</f>
        <v>-85.92</v>
      </c>
      <c r="P67">
        <f>IFERROR(VLOOKUP(B67,工资明细202401_Sheet1!$B:$BC,50,FALSE),0)</f>
        <v>0</v>
      </c>
      <c r="Q67">
        <f>IFERROR(VLOOKUP(B67,工资明细202401_Sheet1!$B:$BC,51,FALSE),0)</f>
        <v>-5.37</v>
      </c>
      <c r="R67">
        <f>IFERROR(VLOOKUP(B67,工资明细202401_Sheet1!$B:$BC,52,FALSE),0)</f>
        <v>0</v>
      </c>
      <c r="S67">
        <f>IFERROR(VLOOKUP(B67,工资明细202401_Sheet1!$B:$BC,53,FALSE),0)</f>
        <v>-773</v>
      </c>
      <c r="T67">
        <f>IFERROR(VLOOKUP(B67,工资明细202401_Sheet1!$B:$BC,54,FALSE),0)</f>
        <v>7245.44</v>
      </c>
    </row>
    <row r="68" spans="1:20" x14ac:dyDescent="0.15">
      <c r="A68">
        <v>67</v>
      </c>
      <c r="B68" t="s">
        <v>86</v>
      </c>
      <c r="C68">
        <f>IFERROR(VLOOKUP(B68,工资明细202401_Sheet1!$B:$BC,37,FALSE),0)</f>
        <v>10602.52</v>
      </c>
      <c r="D68">
        <f>IFERROR(VLOOKUP(B68,工资明细202401_Sheet1!$B:$BC,38,FALSE),0)</f>
        <v>0</v>
      </c>
      <c r="E68">
        <f>IFERROR(VLOOKUP(B68,工资明细202401_Sheet1!$B:$BC,39,FALSE),0)</f>
        <v>0</v>
      </c>
      <c r="F68">
        <f>IFERROR(VLOOKUP(B68,工资明细202401_Sheet1!$B:$BC,40,FALSE),0)</f>
        <v>0</v>
      </c>
      <c r="G68">
        <f>IFERROR(VLOOKUP(B68,工资明细202401_Sheet1!$B:$BC,41,FALSE),0)</f>
        <v>-101.05</v>
      </c>
      <c r="H68">
        <f>IFERROR(VLOOKUP(B68,工资明细202401_Sheet1!$B:$BC,42,FALSE),0)</f>
        <v>0</v>
      </c>
      <c r="I68">
        <f>IFERROR(VLOOKUP(B68,工资明细202401_Sheet1!$B:$BC,43,FALSE),0)</f>
        <v>-30</v>
      </c>
      <c r="J68">
        <f>IFERROR(VLOOKUP(B68,工资明细202401_Sheet1!$B:$BC,44,FALSE),0)</f>
        <v>0</v>
      </c>
      <c r="K68">
        <f>IFERROR(VLOOKUP(B68,工资明细202401_Sheet1!$B:$BC,45,FALSE),0)</f>
        <v>-877.2</v>
      </c>
      <c r="L68">
        <f>IFERROR(VLOOKUP(B68,工资明细202401_Sheet1!$B:$BC,46,FALSE),0)</f>
        <v>-219.3</v>
      </c>
      <c r="M68">
        <f>IFERROR(VLOOKUP(B68,工资明细202401_Sheet1!$B:$BC,47,FALSE),0)</f>
        <v>-54.83</v>
      </c>
      <c r="N68">
        <f>IFERROR(VLOOKUP(B68,工资明细202401_Sheet1!$B:$BC,48,FALSE),0)</f>
        <v>-5</v>
      </c>
      <c r="O68">
        <f>IFERROR(VLOOKUP(B68,工资明细202401_Sheet1!$B:$BC,49,FALSE),0)</f>
        <v>-102.4</v>
      </c>
      <c r="P68">
        <f>IFERROR(VLOOKUP(B68,工资明细202401_Sheet1!$B:$BC,50,FALSE),0)</f>
        <v>0</v>
      </c>
      <c r="Q68">
        <f>IFERROR(VLOOKUP(B68,工资明细202401_Sheet1!$B:$BC,51,FALSE),0)</f>
        <v>-6.4</v>
      </c>
      <c r="R68">
        <f>IFERROR(VLOOKUP(B68,工资明细202401_Sheet1!$B:$BC,52,FALSE),0)</f>
        <v>0</v>
      </c>
      <c r="S68">
        <f>IFERROR(VLOOKUP(B68,工资明细202401_Sheet1!$B:$BC,53,FALSE),0)</f>
        <v>-969</v>
      </c>
      <c r="T68">
        <f>IFERROR(VLOOKUP(B68,工资明细202401_Sheet1!$B:$BC,54,FALSE),0)</f>
        <v>8237.34</v>
      </c>
    </row>
    <row r="69" spans="1:20" x14ac:dyDescent="0.15">
      <c r="A69">
        <v>68</v>
      </c>
      <c r="B69" t="s">
        <v>87</v>
      </c>
      <c r="C69">
        <f>IFERROR(VLOOKUP(B69,工资明细202401_Sheet1!$B:$BC,37,FALSE),0)</f>
        <v>10859.93</v>
      </c>
      <c r="D69">
        <f>IFERROR(VLOOKUP(B69,工资明细202401_Sheet1!$B:$BC,38,FALSE),0)</f>
        <v>0</v>
      </c>
      <c r="E69">
        <f>IFERROR(VLOOKUP(B69,工资明细202401_Sheet1!$B:$BC,39,FALSE),0)</f>
        <v>0</v>
      </c>
      <c r="F69">
        <f>IFERROR(VLOOKUP(B69,工资明细202401_Sheet1!$B:$BC,40,FALSE),0)</f>
        <v>0</v>
      </c>
      <c r="G69">
        <f>IFERROR(VLOOKUP(B69,工资明细202401_Sheet1!$B:$BC,41,FALSE),0)</f>
        <v>-11.51</v>
      </c>
      <c r="H69">
        <f>IFERROR(VLOOKUP(B69,工资明细202401_Sheet1!$B:$BC,42,FALSE),0)</f>
        <v>0</v>
      </c>
      <c r="I69">
        <f>IFERROR(VLOOKUP(B69,工资明细202401_Sheet1!$B:$BC,43,FALSE),0)</f>
        <v>-30</v>
      </c>
      <c r="J69">
        <f>IFERROR(VLOOKUP(B69,工资明细202401_Sheet1!$B:$BC,44,FALSE),0)</f>
        <v>0</v>
      </c>
      <c r="K69">
        <f>IFERROR(VLOOKUP(B69,工资明细202401_Sheet1!$B:$BC,45,FALSE),0)</f>
        <v>-932.96</v>
      </c>
      <c r="L69">
        <f>IFERROR(VLOOKUP(B69,工资明细202401_Sheet1!$B:$BC,46,FALSE),0)</f>
        <v>-233.24</v>
      </c>
      <c r="M69">
        <f>IFERROR(VLOOKUP(B69,工资明细202401_Sheet1!$B:$BC,47,FALSE),0)</f>
        <v>-58.31</v>
      </c>
      <c r="N69">
        <f>IFERROR(VLOOKUP(B69,工资明细202401_Sheet1!$B:$BC,48,FALSE),0)</f>
        <v>-5</v>
      </c>
      <c r="O69">
        <f>IFERROR(VLOOKUP(B69,工资明细202401_Sheet1!$B:$BC,49,FALSE),0)</f>
        <v>-103.36</v>
      </c>
      <c r="P69">
        <f>IFERROR(VLOOKUP(B69,工资明细202401_Sheet1!$B:$BC,50,FALSE),0)</f>
        <v>0</v>
      </c>
      <c r="Q69">
        <f>IFERROR(VLOOKUP(B69,工资明细202401_Sheet1!$B:$BC,51,FALSE),0)</f>
        <v>-6.46</v>
      </c>
      <c r="R69">
        <f>IFERROR(VLOOKUP(B69,工资明细202401_Sheet1!$B:$BC,52,FALSE),0)</f>
        <v>0</v>
      </c>
      <c r="S69">
        <f>IFERROR(VLOOKUP(B69,工资明细202401_Sheet1!$B:$BC,53,FALSE),0)</f>
        <v>-1037</v>
      </c>
      <c r="T69">
        <f>IFERROR(VLOOKUP(B69,工资明细202401_Sheet1!$B:$BC,54,FALSE),0)</f>
        <v>8442.09</v>
      </c>
    </row>
    <row r="70" spans="1:20" x14ac:dyDescent="0.15">
      <c r="A70">
        <v>69</v>
      </c>
      <c r="B70" t="s">
        <v>88</v>
      </c>
      <c r="C70">
        <f>IFERROR(VLOOKUP(B70,工资明细202401_Sheet1!$B:$BC,37,FALSE),0)</f>
        <v>8277.9</v>
      </c>
      <c r="D70">
        <f>IFERROR(VLOOKUP(B70,工资明细202401_Sheet1!$B:$BC,38,FALSE),0)</f>
        <v>0</v>
      </c>
      <c r="E70">
        <f>IFERROR(VLOOKUP(B70,工资明细202401_Sheet1!$B:$BC,39,FALSE),0)</f>
        <v>0</v>
      </c>
      <c r="F70">
        <f>IFERROR(VLOOKUP(B70,工资明细202401_Sheet1!$B:$BC,40,FALSE),0)</f>
        <v>0</v>
      </c>
      <c r="G70">
        <f>IFERROR(VLOOKUP(B70,工资明细202401_Sheet1!$B:$BC,41,FALSE),0)</f>
        <v>-46.48</v>
      </c>
      <c r="H70">
        <f>IFERROR(VLOOKUP(B70,工资明细202401_Sheet1!$B:$BC,42,FALSE),0)</f>
        <v>0</v>
      </c>
      <c r="I70">
        <f>IFERROR(VLOOKUP(B70,工资明细202401_Sheet1!$B:$BC,43,FALSE),0)</f>
        <v>-30</v>
      </c>
      <c r="J70">
        <f>IFERROR(VLOOKUP(B70,工资明细202401_Sheet1!$B:$BC,44,FALSE),0)</f>
        <v>0</v>
      </c>
      <c r="K70">
        <f>IFERROR(VLOOKUP(B70,工资明细202401_Sheet1!$B:$BC,45,FALSE),0)</f>
        <v>-678.4</v>
      </c>
      <c r="L70">
        <f>IFERROR(VLOOKUP(B70,工资明细202401_Sheet1!$B:$BC,46,FALSE),0)</f>
        <v>-169.6</v>
      </c>
      <c r="M70">
        <f>IFERROR(VLOOKUP(B70,工资明细202401_Sheet1!$B:$BC,47,FALSE),0)</f>
        <v>-42.4</v>
      </c>
      <c r="N70">
        <f>IFERROR(VLOOKUP(B70,工资明细202401_Sheet1!$B:$BC,48,FALSE),0)</f>
        <v>-5</v>
      </c>
      <c r="O70">
        <f>IFERROR(VLOOKUP(B70,工资明细202401_Sheet1!$B:$BC,49,FALSE),0)</f>
        <v>-78.48</v>
      </c>
      <c r="P70">
        <f>IFERROR(VLOOKUP(B70,工资明细202401_Sheet1!$B:$BC,50,FALSE),0)</f>
        <v>0</v>
      </c>
      <c r="Q70">
        <f>IFERROR(VLOOKUP(B70,工资明细202401_Sheet1!$B:$BC,51,FALSE),0)</f>
        <v>-4.9000000000000004</v>
      </c>
      <c r="R70">
        <f>IFERROR(VLOOKUP(B70,工资明细202401_Sheet1!$B:$BC,52,FALSE),0)</f>
        <v>0</v>
      </c>
      <c r="S70">
        <f>IFERROR(VLOOKUP(B70,工资明细202401_Sheet1!$B:$BC,53,FALSE),0)</f>
        <v>-750</v>
      </c>
      <c r="T70">
        <f>IFERROR(VLOOKUP(B70,工资明细202401_Sheet1!$B:$BC,54,FALSE),0)</f>
        <v>6472.64</v>
      </c>
    </row>
    <row r="71" spans="1:20" x14ac:dyDescent="0.15">
      <c r="A71">
        <v>70</v>
      </c>
      <c r="B71" t="s">
        <v>89</v>
      </c>
      <c r="C71">
        <f>IFERROR(VLOOKUP(B71,工资明细202401_Sheet1!$B:$BC,37,FALSE),0)</f>
        <v>6831.69</v>
      </c>
      <c r="D71">
        <f>IFERROR(VLOOKUP(B71,工资明细202401_Sheet1!$B:$BC,38,FALSE),0)</f>
        <v>0</v>
      </c>
      <c r="E71">
        <f>IFERROR(VLOOKUP(B71,工资明细202401_Sheet1!$B:$BC,39,FALSE),0)</f>
        <v>0</v>
      </c>
      <c r="F71">
        <f>IFERROR(VLOOKUP(B71,工资明细202401_Sheet1!$B:$BC,40,FALSE),0)</f>
        <v>0</v>
      </c>
      <c r="G71">
        <f>IFERROR(VLOOKUP(B71,工资明细202401_Sheet1!$B:$BC,41,FALSE),0)</f>
        <v>-3.18</v>
      </c>
      <c r="H71">
        <f>IFERROR(VLOOKUP(B71,工资明细202401_Sheet1!$B:$BC,42,FALSE),0)</f>
        <v>0</v>
      </c>
      <c r="I71">
        <f>IFERROR(VLOOKUP(B71,工资明细202401_Sheet1!$B:$BC,43,FALSE),0)</f>
        <v>-30</v>
      </c>
      <c r="J71">
        <f>IFERROR(VLOOKUP(B71,工资明细202401_Sheet1!$B:$BC,44,FALSE),0)</f>
        <v>0</v>
      </c>
      <c r="K71">
        <f>IFERROR(VLOOKUP(B71,工资明细202401_Sheet1!$B:$BC,45,FALSE),0)</f>
        <v>-512.16</v>
      </c>
      <c r="L71">
        <f>IFERROR(VLOOKUP(B71,工资明细202401_Sheet1!$B:$BC,46,FALSE),0)</f>
        <v>-128.04</v>
      </c>
      <c r="M71">
        <f>IFERROR(VLOOKUP(B71,工资明细202401_Sheet1!$B:$BC,47,FALSE),0)</f>
        <v>-32.01</v>
      </c>
      <c r="N71">
        <f>IFERROR(VLOOKUP(B71,工资明细202401_Sheet1!$B:$BC,48,FALSE),0)</f>
        <v>-5</v>
      </c>
      <c r="O71">
        <f>IFERROR(VLOOKUP(B71,工资明细202401_Sheet1!$B:$BC,49,FALSE),0)</f>
        <v>-87.92</v>
      </c>
      <c r="P71">
        <f>IFERROR(VLOOKUP(B71,工资明细202401_Sheet1!$B:$BC,50,FALSE),0)</f>
        <v>0</v>
      </c>
      <c r="Q71">
        <f>IFERROR(VLOOKUP(B71,工资明细202401_Sheet1!$B:$BC,51,FALSE),0)</f>
        <v>-5.49</v>
      </c>
      <c r="R71">
        <f>IFERROR(VLOOKUP(B71,工资明细202401_Sheet1!$B:$BC,52,FALSE),0)</f>
        <v>0</v>
      </c>
      <c r="S71">
        <f>IFERROR(VLOOKUP(B71,工资明细202401_Sheet1!$B:$BC,53,FALSE),0)</f>
        <v>-531</v>
      </c>
      <c r="T71">
        <f>IFERROR(VLOOKUP(B71,工资明细202401_Sheet1!$B:$BC,54,FALSE),0)</f>
        <v>5496.89</v>
      </c>
    </row>
    <row r="72" spans="1:20" x14ac:dyDescent="0.15">
      <c r="A72">
        <v>71</v>
      </c>
      <c r="B72" t="s">
        <v>90</v>
      </c>
      <c r="C72">
        <f>IFERROR(VLOOKUP(B72,工资明细202401_Sheet1!$B:$BC,37,FALSE),0)</f>
        <v>8070.27</v>
      </c>
      <c r="D72">
        <f>IFERROR(VLOOKUP(B72,工资明细202401_Sheet1!$B:$BC,38,FALSE),0)</f>
        <v>0</v>
      </c>
      <c r="E72">
        <f>IFERROR(VLOOKUP(B72,工资明细202401_Sheet1!$B:$BC,39,FALSE),0)</f>
        <v>0</v>
      </c>
      <c r="F72">
        <f>IFERROR(VLOOKUP(B72,工资明细202401_Sheet1!$B:$BC,40,FALSE),0)</f>
        <v>0</v>
      </c>
      <c r="G72">
        <f>IFERROR(VLOOKUP(B72,工资明细202401_Sheet1!$B:$BC,41,FALSE),0)</f>
        <v>-40.619999999999997</v>
      </c>
      <c r="H72">
        <f>IFERROR(VLOOKUP(B72,工资明细202401_Sheet1!$B:$BC,42,FALSE),0)</f>
        <v>0</v>
      </c>
      <c r="I72">
        <f>IFERROR(VLOOKUP(B72,工资明细202401_Sheet1!$B:$BC,43,FALSE),0)</f>
        <v>-30</v>
      </c>
      <c r="J72">
        <f>IFERROR(VLOOKUP(B72,工资明细202401_Sheet1!$B:$BC,44,FALSE),0)</f>
        <v>0</v>
      </c>
      <c r="K72">
        <f>IFERROR(VLOOKUP(B72,工资明细202401_Sheet1!$B:$BC,45,FALSE),0)</f>
        <v>-681.2</v>
      </c>
      <c r="L72">
        <f>IFERROR(VLOOKUP(B72,工资明细202401_Sheet1!$B:$BC,46,FALSE),0)</f>
        <v>-170.3</v>
      </c>
      <c r="M72">
        <f>IFERROR(VLOOKUP(B72,工资明细202401_Sheet1!$B:$BC,47,FALSE),0)</f>
        <v>-42.58</v>
      </c>
      <c r="N72">
        <f>IFERROR(VLOOKUP(B72,工资明细202401_Sheet1!$B:$BC,48,FALSE),0)</f>
        <v>-5</v>
      </c>
      <c r="O72">
        <f>IFERROR(VLOOKUP(B72,工资明细202401_Sheet1!$B:$BC,49,FALSE),0)</f>
        <v>-184.48</v>
      </c>
      <c r="P72">
        <f>IFERROR(VLOOKUP(B72,工资明细202401_Sheet1!$B:$BC,50,FALSE),0)</f>
        <v>0</v>
      </c>
      <c r="Q72">
        <f>IFERROR(VLOOKUP(B72,工资明细202401_Sheet1!$B:$BC,51,FALSE),0)</f>
        <v>-11.53</v>
      </c>
      <c r="R72">
        <f>IFERROR(VLOOKUP(B72,工资明细202401_Sheet1!$B:$BC,52,FALSE),0)</f>
        <v>0</v>
      </c>
      <c r="S72">
        <f>IFERROR(VLOOKUP(B72,工资明细202401_Sheet1!$B:$BC,53,FALSE),0)</f>
        <v>-621</v>
      </c>
      <c r="T72">
        <f>IFERROR(VLOOKUP(B72,工资明细202401_Sheet1!$B:$BC,54,FALSE),0)</f>
        <v>6283.56</v>
      </c>
    </row>
    <row r="73" spans="1:20" x14ac:dyDescent="0.15">
      <c r="A73">
        <v>72</v>
      </c>
      <c r="B73" t="s">
        <v>91</v>
      </c>
      <c r="C73">
        <f>IFERROR(VLOOKUP(B73,工资明细202401_Sheet1!$B:$BC,37,FALSE),0)</f>
        <v>8560.98</v>
      </c>
      <c r="D73">
        <f>IFERROR(VLOOKUP(B73,工资明细202401_Sheet1!$B:$BC,38,FALSE),0)</f>
        <v>0</v>
      </c>
      <c r="E73">
        <f>IFERROR(VLOOKUP(B73,工资明细202401_Sheet1!$B:$BC,39,FALSE),0)</f>
        <v>0</v>
      </c>
      <c r="F73">
        <f>IFERROR(VLOOKUP(B73,工资明细202401_Sheet1!$B:$BC,40,FALSE),0)</f>
        <v>0</v>
      </c>
      <c r="G73">
        <f>IFERROR(VLOOKUP(B73,工资明细202401_Sheet1!$B:$BC,41,FALSE),0)</f>
        <v>-52.24</v>
      </c>
      <c r="H73">
        <f>IFERROR(VLOOKUP(B73,工资明细202401_Sheet1!$B:$BC,42,FALSE),0)</f>
        <v>0</v>
      </c>
      <c r="I73">
        <f>IFERROR(VLOOKUP(B73,工资明细202401_Sheet1!$B:$BC,43,FALSE),0)</f>
        <v>-30</v>
      </c>
      <c r="J73">
        <f>IFERROR(VLOOKUP(B73,工资明细202401_Sheet1!$B:$BC,44,FALSE),0)</f>
        <v>0</v>
      </c>
      <c r="K73">
        <f>IFERROR(VLOOKUP(B73,工资明细202401_Sheet1!$B:$BC,45,FALSE),0)</f>
        <v>-713.76</v>
      </c>
      <c r="L73">
        <f>IFERROR(VLOOKUP(B73,工资明细202401_Sheet1!$B:$BC,46,FALSE),0)</f>
        <v>-178.44</v>
      </c>
      <c r="M73">
        <f>IFERROR(VLOOKUP(B73,工资明细202401_Sheet1!$B:$BC,47,FALSE),0)</f>
        <v>-44.61</v>
      </c>
      <c r="N73">
        <f>IFERROR(VLOOKUP(B73,工资明细202401_Sheet1!$B:$BC,48,FALSE),0)</f>
        <v>-5</v>
      </c>
      <c r="O73">
        <f>IFERROR(VLOOKUP(B73,工资明细202401_Sheet1!$B:$BC,49,FALSE),0)</f>
        <v>-79.680000000000007</v>
      </c>
      <c r="P73">
        <f>IFERROR(VLOOKUP(B73,工资明细202401_Sheet1!$B:$BC,50,FALSE),0)</f>
        <v>0</v>
      </c>
      <c r="Q73">
        <f>IFERROR(VLOOKUP(B73,工资明细202401_Sheet1!$B:$BC,51,FALSE),0)</f>
        <v>-4.9800000000000004</v>
      </c>
      <c r="R73">
        <f>IFERROR(VLOOKUP(B73,工资明细202401_Sheet1!$B:$BC,52,FALSE),0)</f>
        <v>0</v>
      </c>
      <c r="S73">
        <f>IFERROR(VLOOKUP(B73,工资明细202401_Sheet1!$B:$BC,53,FALSE),0)</f>
        <v>-793</v>
      </c>
      <c r="T73">
        <f>IFERROR(VLOOKUP(B73,工资明细202401_Sheet1!$B:$BC,54,FALSE),0)</f>
        <v>6659.27</v>
      </c>
    </row>
    <row r="74" spans="1:20" x14ac:dyDescent="0.15">
      <c r="A74">
        <v>73</v>
      </c>
      <c r="B74" t="s">
        <v>92</v>
      </c>
      <c r="C74">
        <f>IFERROR(VLOOKUP(B74,工资明细202401_Sheet1!$B:$BC,37,FALSE),0)</f>
        <v>9115.65</v>
      </c>
      <c r="D74">
        <f>IFERROR(VLOOKUP(B74,工资明细202401_Sheet1!$B:$BC,38,FALSE),0)</f>
        <v>0</v>
      </c>
      <c r="E74">
        <f>IFERROR(VLOOKUP(B74,工资明细202401_Sheet1!$B:$BC,39,FALSE),0)</f>
        <v>0</v>
      </c>
      <c r="F74">
        <f>IFERROR(VLOOKUP(B74,工资明细202401_Sheet1!$B:$BC,40,FALSE),0)</f>
        <v>0</v>
      </c>
      <c r="G74">
        <f>IFERROR(VLOOKUP(B74,工资明细202401_Sheet1!$B:$BC,41,FALSE),0)</f>
        <v>-73.42</v>
      </c>
      <c r="H74">
        <f>IFERROR(VLOOKUP(B74,工资明细202401_Sheet1!$B:$BC,42,FALSE),0)</f>
        <v>0</v>
      </c>
      <c r="I74">
        <f>IFERROR(VLOOKUP(B74,工资明细202401_Sheet1!$B:$BC,43,FALSE),0)</f>
        <v>-30</v>
      </c>
      <c r="J74">
        <f>IFERROR(VLOOKUP(B74,工资明细202401_Sheet1!$B:$BC,44,FALSE),0)</f>
        <v>0</v>
      </c>
      <c r="K74">
        <f>IFERROR(VLOOKUP(B74,工资明细202401_Sheet1!$B:$BC,45,FALSE),0)</f>
        <v>-653.04</v>
      </c>
      <c r="L74">
        <f>IFERROR(VLOOKUP(B74,工资明细202401_Sheet1!$B:$BC,46,FALSE),0)</f>
        <v>-163.26</v>
      </c>
      <c r="M74">
        <f>IFERROR(VLOOKUP(B74,工资明细202401_Sheet1!$B:$BC,47,FALSE),0)</f>
        <v>-40.82</v>
      </c>
      <c r="N74">
        <f>IFERROR(VLOOKUP(B74,工资明细202401_Sheet1!$B:$BC,48,FALSE),0)</f>
        <v>-5</v>
      </c>
      <c r="O74">
        <f>IFERROR(VLOOKUP(B74,工资明细202401_Sheet1!$B:$BC,49,FALSE),0)</f>
        <v>-58.4</v>
      </c>
      <c r="P74">
        <f>IFERROR(VLOOKUP(B74,工资明细202401_Sheet1!$B:$BC,50,FALSE),0)</f>
        <v>0</v>
      </c>
      <c r="Q74">
        <f>IFERROR(VLOOKUP(B74,工资明细202401_Sheet1!$B:$BC,51,FALSE),0)</f>
        <v>-3.65</v>
      </c>
      <c r="R74">
        <f>IFERROR(VLOOKUP(B74,工资明细202401_Sheet1!$B:$BC,52,FALSE),0)</f>
        <v>0</v>
      </c>
      <c r="S74">
        <f>IFERROR(VLOOKUP(B74,工资明细202401_Sheet1!$B:$BC,53,FALSE),0)</f>
        <v>-744</v>
      </c>
      <c r="T74">
        <f>IFERROR(VLOOKUP(B74,工资明细202401_Sheet1!$B:$BC,54,FALSE),0)</f>
        <v>7344.06</v>
      </c>
    </row>
    <row r="75" spans="1:20" x14ac:dyDescent="0.15">
      <c r="A75">
        <v>74</v>
      </c>
      <c r="B75" t="s">
        <v>93</v>
      </c>
      <c r="C75">
        <f>IFERROR(VLOOKUP(B75,工资明细202401_Sheet1!$B:$BC,37,FALSE),0)</f>
        <v>7019.44</v>
      </c>
      <c r="D75">
        <f>IFERROR(VLOOKUP(B75,工资明细202401_Sheet1!$B:$BC,38,FALSE),0)</f>
        <v>0</v>
      </c>
      <c r="E75">
        <f>IFERROR(VLOOKUP(B75,工资明细202401_Sheet1!$B:$BC,39,FALSE),0)</f>
        <v>0</v>
      </c>
      <c r="F75">
        <f>IFERROR(VLOOKUP(B75,工资明细202401_Sheet1!$B:$BC,40,FALSE),0)</f>
        <v>0</v>
      </c>
      <c r="G75">
        <f>IFERROR(VLOOKUP(B75,工资明细202401_Sheet1!$B:$BC,41,FALSE),0)</f>
        <v>-17.77</v>
      </c>
      <c r="H75">
        <f>IFERROR(VLOOKUP(B75,工资明细202401_Sheet1!$B:$BC,42,FALSE),0)</f>
        <v>0</v>
      </c>
      <c r="I75">
        <f>IFERROR(VLOOKUP(B75,工资明细202401_Sheet1!$B:$BC,43,FALSE),0)</f>
        <v>-30</v>
      </c>
      <c r="J75">
        <f>IFERROR(VLOOKUP(B75,工资明细202401_Sheet1!$B:$BC,44,FALSE),0)</f>
        <v>0</v>
      </c>
      <c r="K75">
        <f>IFERROR(VLOOKUP(B75,工资明细202401_Sheet1!$B:$BC,45,FALSE),0)</f>
        <v>-561.20000000000005</v>
      </c>
      <c r="L75">
        <f>IFERROR(VLOOKUP(B75,工资明细202401_Sheet1!$B:$BC,46,FALSE),0)</f>
        <v>-140.30000000000001</v>
      </c>
      <c r="M75">
        <f>IFERROR(VLOOKUP(B75,工资明细202401_Sheet1!$B:$BC,47,FALSE),0)</f>
        <v>-35.08</v>
      </c>
      <c r="N75">
        <f>IFERROR(VLOOKUP(B75,工资明细202401_Sheet1!$B:$BC,48,FALSE),0)</f>
        <v>-5</v>
      </c>
      <c r="O75">
        <f>IFERROR(VLOOKUP(B75,工资明细202401_Sheet1!$B:$BC,49,FALSE),0)</f>
        <v>-89.04</v>
      </c>
      <c r="P75">
        <f>IFERROR(VLOOKUP(B75,工资明细202401_Sheet1!$B:$BC,50,FALSE),0)</f>
        <v>0</v>
      </c>
      <c r="Q75">
        <f>IFERROR(VLOOKUP(B75,工资明细202401_Sheet1!$B:$BC,51,FALSE),0)</f>
        <v>-5.57</v>
      </c>
      <c r="R75">
        <f>IFERROR(VLOOKUP(B75,工资明细202401_Sheet1!$B:$BC,52,FALSE),0)</f>
        <v>0</v>
      </c>
      <c r="S75">
        <f>IFERROR(VLOOKUP(B75,工资明细202401_Sheet1!$B:$BC,53,FALSE),0)</f>
        <v>-591</v>
      </c>
      <c r="T75">
        <f>IFERROR(VLOOKUP(B75,工资明细202401_Sheet1!$B:$BC,54,FALSE),0)</f>
        <v>5544.48</v>
      </c>
    </row>
    <row r="76" spans="1:20" x14ac:dyDescent="0.15">
      <c r="A76">
        <v>75</v>
      </c>
      <c r="B76" t="s">
        <v>94</v>
      </c>
      <c r="C76">
        <f>IFERROR(VLOOKUP(B76,工资明细202401_Sheet1!$B:$BC,37,FALSE),0)</f>
        <v>7531.33</v>
      </c>
      <c r="D76">
        <f>IFERROR(VLOOKUP(B76,工资明细202401_Sheet1!$B:$BC,38,FALSE),0)</f>
        <v>0</v>
      </c>
      <c r="E76">
        <f>IFERROR(VLOOKUP(B76,工资明细202401_Sheet1!$B:$BC,39,FALSE),0)</f>
        <v>0</v>
      </c>
      <c r="F76">
        <f>IFERROR(VLOOKUP(B76,工资明细202401_Sheet1!$B:$BC,40,FALSE),0)</f>
        <v>0</v>
      </c>
      <c r="G76">
        <f>IFERROR(VLOOKUP(B76,工资明细202401_Sheet1!$B:$BC,41,FALSE),0)</f>
        <v>0</v>
      </c>
      <c r="H76">
        <f>IFERROR(VLOOKUP(B76,工资明细202401_Sheet1!$B:$BC,42,FALSE),0)</f>
        <v>0</v>
      </c>
      <c r="I76">
        <f>IFERROR(VLOOKUP(B76,工资明细202401_Sheet1!$B:$BC,43,FALSE),0)</f>
        <v>-30</v>
      </c>
      <c r="J76">
        <f>IFERROR(VLOOKUP(B76,工资明细202401_Sheet1!$B:$BC,44,FALSE),0)</f>
        <v>0</v>
      </c>
      <c r="K76">
        <f>IFERROR(VLOOKUP(B76,工资明细202401_Sheet1!$B:$BC,45,FALSE),0)</f>
        <v>-657.6</v>
      </c>
      <c r="L76">
        <f>IFERROR(VLOOKUP(B76,工资明细202401_Sheet1!$B:$BC,46,FALSE),0)</f>
        <v>-164.4</v>
      </c>
      <c r="M76">
        <f>IFERROR(VLOOKUP(B76,工资明细202401_Sheet1!$B:$BC,47,FALSE),0)</f>
        <v>-41.1</v>
      </c>
      <c r="N76">
        <f>IFERROR(VLOOKUP(B76,工资明细202401_Sheet1!$B:$BC,48,FALSE),0)</f>
        <v>-5</v>
      </c>
      <c r="O76">
        <f>IFERROR(VLOOKUP(B76,工资明细202401_Sheet1!$B:$BC,49,FALSE),0)</f>
        <v>-113.6</v>
      </c>
      <c r="P76">
        <f>IFERROR(VLOOKUP(B76,工资明细202401_Sheet1!$B:$BC,50,FALSE),0)</f>
        <v>0</v>
      </c>
      <c r="Q76">
        <f>IFERROR(VLOOKUP(B76,工资明细202401_Sheet1!$B:$BC,51,FALSE),0)</f>
        <v>-7.1</v>
      </c>
      <c r="R76">
        <f>IFERROR(VLOOKUP(B76,工资明细202401_Sheet1!$B:$BC,52,FALSE),0)</f>
        <v>0</v>
      </c>
      <c r="S76">
        <f>IFERROR(VLOOKUP(B76,工资明细202401_Sheet1!$B:$BC,53,FALSE),0)</f>
        <v>-680</v>
      </c>
      <c r="T76">
        <f>IFERROR(VLOOKUP(B76,工资明细202401_Sheet1!$B:$BC,54,FALSE),0)</f>
        <v>5832.53</v>
      </c>
    </row>
    <row r="77" spans="1:20" x14ac:dyDescent="0.15">
      <c r="A77">
        <v>76</v>
      </c>
      <c r="B77" t="s">
        <v>95</v>
      </c>
      <c r="C77">
        <f>IFERROR(VLOOKUP(B77,工资明细202401_Sheet1!$B:$BC,37,FALSE),0)</f>
        <v>7754.52</v>
      </c>
      <c r="D77">
        <f>IFERROR(VLOOKUP(B77,工资明细202401_Sheet1!$B:$BC,38,FALSE),0)</f>
        <v>0</v>
      </c>
      <c r="E77">
        <f>IFERROR(VLOOKUP(B77,工资明细202401_Sheet1!$B:$BC,39,FALSE),0)</f>
        <v>0</v>
      </c>
      <c r="F77">
        <f>IFERROR(VLOOKUP(B77,工资明细202401_Sheet1!$B:$BC,40,FALSE),0)</f>
        <v>0</v>
      </c>
      <c r="G77">
        <f>IFERROR(VLOOKUP(B77,工资明细202401_Sheet1!$B:$BC,41,FALSE),0)</f>
        <v>-32.39</v>
      </c>
      <c r="H77">
        <f>IFERROR(VLOOKUP(B77,工资明细202401_Sheet1!$B:$BC,42,FALSE),0)</f>
        <v>0</v>
      </c>
      <c r="I77">
        <f>IFERROR(VLOOKUP(B77,工资明细202401_Sheet1!$B:$BC,43,FALSE),0)</f>
        <v>-30</v>
      </c>
      <c r="J77">
        <f>IFERROR(VLOOKUP(B77,工资明细202401_Sheet1!$B:$BC,44,FALSE),0)</f>
        <v>0</v>
      </c>
      <c r="K77">
        <f>IFERROR(VLOOKUP(B77,工资明细202401_Sheet1!$B:$BC,45,FALSE),0)</f>
        <v>-662.4</v>
      </c>
      <c r="L77">
        <f>IFERROR(VLOOKUP(B77,工资明细202401_Sheet1!$B:$BC,46,FALSE),0)</f>
        <v>-165.6</v>
      </c>
      <c r="M77">
        <f>IFERROR(VLOOKUP(B77,工资明细202401_Sheet1!$B:$BC,47,FALSE),0)</f>
        <v>-41.4</v>
      </c>
      <c r="N77">
        <f>IFERROR(VLOOKUP(B77,工资明细202401_Sheet1!$B:$BC,48,FALSE),0)</f>
        <v>-5</v>
      </c>
      <c r="O77">
        <f>IFERROR(VLOOKUP(B77,工资明细202401_Sheet1!$B:$BC,49,FALSE),0)</f>
        <v>-147.36000000000001</v>
      </c>
      <c r="P77">
        <f>IFERROR(VLOOKUP(B77,工资明细202401_Sheet1!$B:$BC,50,FALSE),0)</f>
        <v>0</v>
      </c>
      <c r="Q77">
        <f>IFERROR(VLOOKUP(B77,工资明细202401_Sheet1!$B:$BC,51,FALSE),0)</f>
        <v>-9.2100000000000009</v>
      </c>
      <c r="R77">
        <f>IFERROR(VLOOKUP(B77,工资明细202401_Sheet1!$B:$BC,52,FALSE),0)</f>
        <v>0</v>
      </c>
      <c r="S77">
        <f>IFERROR(VLOOKUP(B77,工资明细202401_Sheet1!$B:$BC,53,FALSE),0)</f>
        <v>-644</v>
      </c>
      <c r="T77">
        <f>IFERROR(VLOOKUP(B77,工资明细202401_Sheet1!$B:$BC,54,FALSE),0)</f>
        <v>6017.16</v>
      </c>
    </row>
    <row r="78" spans="1:20" x14ac:dyDescent="0.15">
      <c r="A78">
        <v>77</v>
      </c>
      <c r="B78" t="s">
        <v>96</v>
      </c>
      <c r="C78">
        <f>IFERROR(VLOOKUP(B78,工资明细202401_Sheet1!$B:$BC,37,FALSE),0)</f>
        <v>7650.93</v>
      </c>
      <c r="D78">
        <f>IFERROR(VLOOKUP(B78,工资明细202401_Sheet1!$B:$BC,38,FALSE),0)</f>
        <v>0</v>
      </c>
      <c r="E78">
        <f>IFERROR(VLOOKUP(B78,工资明细202401_Sheet1!$B:$BC,39,FALSE),0)</f>
        <v>0</v>
      </c>
      <c r="F78">
        <f>IFERROR(VLOOKUP(B78,工资明细202401_Sheet1!$B:$BC,40,FALSE),0)</f>
        <v>0</v>
      </c>
      <c r="G78">
        <f>IFERROR(VLOOKUP(B78,工资明细202401_Sheet1!$B:$BC,41,FALSE),0)</f>
        <v>-29.33</v>
      </c>
      <c r="H78">
        <f>IFERROR(VLOOKUP(B78,工资明细202401_Sheet1!$B:$BC,42,FALSE),0)</f>
        <v>0</v>
      </c>
      <c r="I78">
        <f>IFERROR(VLOOKUP(B78,工资明细202401_Sheet1!$B:$BC,43,FALSE),0)</f>
        <v>-30</v>
      </c>
      <c r="J78">
        <f>IFERROR(VLOOKUP(B78,工资明细202401_Sheet1!$B:$BC,44,FALSE),0)</f>
        <v>0</v>
      </c>
      <c r="K78">
        <f>IFERROR(VLOOKUP(B78,工资明细202401_Sheet1!$B:$BC,45,FALSE),0)</f>
        <v>-673.84</v>
      </c>
      <c r="L78">
        <f>IFERROR(VLOOKUP(B78,工资明细202401_Sheet1!$B:$BC,46,FALSE),0)</f>
        <v>-168.46</v>
      </c>
      <c r="M78">
        <f>IFERROR(VLOOKUP(B78,工资明细202401_Sheet1!$B:$BC,47,FALSE),0)</f>
        <v>-42.12</v>
      </c>
      <c r="N78">
        <f>IFERROR(VLOOKUP(B78,工资明细202401_Sheet1!$B:$BC,48,FALSE),0)</f>
        <v>-5</v>
      </c>
      <c r="O78">
        <f>IFERROR(VLOOKUP(B78,工资明细202401_Sheet1!$B:$BC,49,FALSE),0)</f>
        <v>-314.32</v>
      </c>
      <c r="P78">
        <f>IFERROR(VLOOKUP(B78,工资明细202401_Sheet1!$B:$BC,50,FALSE),0)</f>
        <v>0</v>
      </c>
      <c r="Q78">
        <f>IFERROR(VLOOKUP(B78,工资明细202401_Sheet1!$B:$BC,51,FALSE),0)</f>
        <v>-19.649999999999999</v>
      </c>
      <c r="R78">
        <f>IFERROR(VLOOKUP(B78,工资明细202401_Sheet1!$B:$BC,52,FALSE),0)</f>
        <v>0</v>
      </c>
      <c r="S78">
        <f>IFERROR(VLOOKUP(B78,工资明细202401_Sheet1!$B:$BC,53,FALSE),0)</f>
        <v>-450</v>
      </c>
      <c r="T78">
        <f>IFERROR(VLOOKUP(B78,工资明细202401_Sheet1!$B:$BC,54,FALSE),0)</f>
        <v>5918.21</v>
      </c>
    </row>
    <row r="79" spans="1:20" x14ac:dyDescent="0.15">
      <c r="A79">
        <v>78</v>
      </c>
      <c r="B79" t="s">
        <v>97</v>
      </c>
      <c r="C79">
        <f>IFERROR(VLOOKUP(B79,工资明细202401_Sheet1!$B:$BC,37,FALSE),0)</f>
        <v>6400.29</v>
      </c>
      <c r="D79">
        <f>IFERROR(VLOOKUP(B79,工资明细202401_Sheet1!$B:$BC,38,FALSE),0)</f>
        <v>0</v>
      </c>
      <c r="E79">
        <f>IFERROR(VLOOKUP(B79,工资明细202401_Sheet1!$B:$BC,39,FALSE),0)</f>
        <v>0</v>
      </c>
      <c r="F79">
        <f>IFERROR(VLOOKUP(B79,工资明细202401_Sheet1!$B:$BC,40,FALSE),0)</f>
        <v>0</v>
      </c>
      <c r="G79">
        <f>IFERROR(VLOOKUP(B79,工资明细202401_Sheet1!$B:$BC,41,FALSE),0)</f>
        <v>-3.51</v>
      </c>
      <c r="H79">
        <f>IFERROR(VLOOKUP(B79,工资明细202401_Sheet1!$B:$BC,42,FALSE),0)</f>
        <v>0</v>
      </c>
      <c r="I79">
        <f>IFERROR(VLOOKUP(B79,工资明细202401_Sheet1!$B:$BC,43,FALSE),0)</f>
        <v>-30</v>
      </c>
      <c r="J79">
        <f>IFERROR(VLOOKUP(B79,工资明细202401_Sheet1!$B:$BC,44,FALSE),0)</f>
        <v>0</v>
      </c>
      <c r="K79">
        <f>IFERROR(VLOOKUP(B79,工资明细202401_Sheet1!$B:$BC,45,FALSE),0)</f>
        <v>-520.08000000000004</v>
      </c>
      <c r="L79">
        <f>IFERROR(VLOOKUP(B79,工资明细202401_Sheet1!$B:$BC,46,FALSE),0)</f>
        <v>-130.02000000000001</v>
      </c>
      <c r="M79">
        <f>IFERROR(VLOOKUP(B79,工资明细202401_Sheet1!$B:$BC,47,FALSE),0)</f>
        <v>-32.51</v>
      </c>
      <c r="N79">
        <f>IFERROR(VLOOKUP(B79,工资明细202401_Sheet1!$B:$BC,48,FALSE),0)</f>
        <v>-5</v>
      </c>
      <c r="O79">
        <f>IFERROR(VLOOKUP(B79,工资明细202401_Sheet1!$B:$BC,49,FALSE),0)</f>
        <v>-160.56</v>
      </c>
      <c r="P79">
        <f>IFERROR(VLOOKUP(B79,工资明细202401_Sheet1!$B:$BC,50,FALSE),0)</f>
        <v>0</v>
      </c>
      <c r="Q79">
        <f>IFERROR(VLOOKUP(B79,工资明细202401_Sheet1!$B:$BC,51,FALSE),0)</f>
        <v>-10.039999999999999</v>
      </c>
      <c r="R79">
        <f>IFERROR(VLOOKUP(B79,工资明细202401_Sheet1!$B:$BC,52,FALSE),0)</f>
        <v>0</v>
      </c>
      <c r="S79">
        <f>IFERROR(VLOOKUP(B79,工资明细202401_Sheet1!$B:$BC,53,FALSE),0)</f>
        <v>-425</v>
      </c>
      <c r="T79">
        <f>IFERROR(VLOOKUP(B79,工资明细202401_Sheet1!$B:$BC,54,FALSE),0)</f>
        <v>5083.57</v>
      </c>
    </row>
    <row r="80" spans="1:20" x14ac:dyDescent="0.15">
      <c r="A80">
        <v>79</v>
      </c>
      <c r="B80" t="s">
        <v>98</v>
      </c>
      <c r="C80">
        <f>IFERROR(VLOOKUP(B80,工资明细202401_Sheet1!$B:$BC,37,FALSE),0)</f>
        <v>7806.43</v>
      </c>
      <c r="D80">
        <f>IFERROR(VLOOKUP(B80,工资明细202401_Sheet1!$B:$BC,38,FALSE),0)</f>
        <v>0</v>
      </c>
      <c r="E80">
        <f>IFERROR(VLOOKUP(B80,工资明细202401_Sheet1!$B:$BC,39,FALSE),0)</f>
        <v>0</v>
      </c>
      <c r="F80">
        <f>IFERROR(VLOOKUP(B80,工资明细202401_Sheet1!$B:$BC,40,FALSE),0)</f>
        <v>0</v>
      </c>
      <c r="G80">
        <f>IFERROR(VLOOKUP(B80,工资明细202401_Sheet1!$B:$BC,41,FALSE),0)</f>
        <v>-36.68</v>
      </c>
      <c r="H80">
        <f>IFERROR(VLOOKUP(B80,工资明细202401_Sheet1!$B:$BC,42,FALSE),0)</f>
        <v>0</v>
      </c>
      <c r="I80">
        <f>IFERROR(VLOOKUP(B80,工资明细202401_Sheet1!$B:$BC,43,FALSE),0)</f>
        <v>-30</v>
      </c>
      <c r="J80">
        <f>IFERROR(VLOOKUP(B80,工资明细202401_Sheet1!$B:$BC,44,FALSE),0)</f>
        <v>0</v>
      </c>
      <c r="K80">
        <f>IFERROR(VLOOKUP(B80,工资明细202401_Sheet1!$B:$BC,45,FALSE),0)</f>
        <v>-646.55999999999995</v>
      </c>
      <c r="L80">
        <f>IFERROR(VLOOKUP(B80,工资明细202401_Sheet1!$B:$BC,46,FALSE),0)</f>
        <v>-161.63999999999999</v>
      </c>
      <c r="M80">
        <f>IFERROR(VLOOKUP(B80,工资明细202401_Sheet1!$B:$BC,47,FALSE),0)</f>
        <v>-40.409999999999997</v>
      </c>
      <c r="N80">
        <f>IFERROR(VLOOKUP(B80,工资明细202401_Sheet1!$B:$BC,48,FALSE),0)</f>
        <v>-5</v>
      </c>
      <c r="O80">
        <f>IFERROR(VLOOKUP(B80,工资明细202401_Sheet1!$B:$BC,49,FALSE),0)</f>
        <v>-287.04000000000002</v>
      </c>
      <c r="P80">
        <f>IFERROR(VLOOKUP(B80,工资明细202401_Sheet1!$B:$BC,50,FALSE),0)</f>
        <v>0</v>
      </c>
      <c r="Q80">
        <f>IFERROR(VLOOKUP(B80,工资明细202401_Sheet1!$B:$BC,51,FALSE),0)</f>
        <v>-17.940000000000001</v>
      </c>
      <c r="R80">
        <f>IFERROR(VLOOKUP(B80,工资明细202401_Sheet1!$B:$BC,52,FALSE),0)</f>
        <v>0</v>
      </c>
      <c r="S80">
        <f>IFERROR(VLOOKUP(B80,工资明细202401_Sheet1!$B:$BC,53,FALSE),0)</f>
        <v>-425</v>
      </c>
      <c r="T80">
        <f>IFERROR(VLOOKUP(B80,工资明细202401_Sheet1!$B:$BC,54,FALSE),0)</f>
        <v>6156.16</v>
      </c>
    </row>
    <row r="81" spans="1:20" x14ac:dyDescent="0.15">
      <c r="A81">
        <v>80</v>
      </c>
      <c r="B81" t="s">
        <v>99</v>
      </c>
      <c r="C81">
        <f>IFERROR(VLOOKUP(B81,工资明细202401_Sheet1!$B:$BC,37,FALSE),0)</f>
        <v>6488.75</v>
      </c>
      <c r="D81">
        <f>IFERROR(VLOOKUP(B81,工资明细202401_Sheet1!$B:$BC,38,FALSE),0)</f>
        <v>0</v>
      </c>
      <c r="E81">
        <f>IFERROR(VLOOKUP(B81,工资明细202401_Sheet1!$B:$BC,39,FALSE),0)</f>
        <v>0</v>
      </c>
      <c r="F81">
        <f>IFERROR(VLOOKUP(B81,工资明细202401_Sheet1!$B:$BC,40,FALSE),0)</f>
        <v>0</v>
      </c>
      <c r="G81">
        <f>IFERROR(VLOOKUP(B81,工资明细202401_Sheet1!$B:$BC,41,FALSE),0)</f>
        <v>-1.28</v>
      </c>
      <c r="H81">
        <f>IFERROR(VLOOKUP(B81,工资明细202401_Sheet1!$B:$BC,42,FALSE),0)</f>
        <v>0</v>
      </c>
      <c r="I81">
        <f>IFERROR(VLOOKUP(B81,工资明细202401_Sheet1!$B:$BC,43,FALSE),0)</f>
        <v>-30</v>
      </c>
      <c r="J81">
        <f>IFERROR(VLOOKUP(B81,工资明细202401_Sheet1!$B:$BC,44,FALSE),0)</f>
        <v>0</v>
      </c>
      <c r="K81">
        <f>IFERROR(VLOOKUP(B81,工资明细202401_Sheet1!$B:$BC,45,FALSE),0)</f>
        <v>-480.24</v>
      </c>
      <c r="L81">
        <f>IFERROR(VLOOKUP(B81,工资明细202401_Sheet1!$B:$BC,46,FALSE),0)</f>
        <v>-120.06</v>
      </c>
      <c r="M81">
        <f>IFERROR(VLOOKUP(B81,工资明细202401_Sheet1!$B:$BC,47,FALSE),0)</f>
        <v>-30.02</v>
      </c>
      <c r="N81">
        <f>IFERROR(VLOOKUP(B81,工资明细202401_Sheet1!$B:$BC,48,FALSE),0)</f>
        <v>-5</v>
      </c>
      <c r="O81">
        <f>IFERROR(VLOOKUP(B81,工资明细202401_Sheet1!$B:$BC,49,FALSE),0)</f>
        <v>-120.72</v>
      </c>
      <c r="P81">
        <f>IFERROR(VLOOKUP(B81,工资明细202401_Sheet1!$B:$BC,50,FALSE),0)</f>
        <v>0</v>
      </c>
      <c r="Q81">
        <f>IFERROR(VLOOKUP(B81,工资明细202401_Sheet1!$B:$BC,51,FALSE),0)</f>
        <v>-7.55</v>
      </c>
      <c r="R81">
        <f>IFERROR(VLOOKUP(B81,工资明细202401_Sheet1!$B:$BC,52,FALSE),0)</f>
        <v>0</v>
      </c>
      <c r="S81">
        <f>IFERROR(VLOOKUP(B81,工资明细202401_Sheet1!$B:$BC,53,FALSE),0)</f>
        <v>-425</v>
      </c>
      <c r="T81">
        <f>IFERROR(VLOOKUP(B81,工资明细202401_Sheet1!$B:$BC,54,FALSE),0)</f>
        <v>5268.88</v>
      </c>
    </row>
    <row r="82" spans="1:20" x14ac:dyDescent="0.15">
      <c r="A82">
        <v>81</v>
      </c>
      <c r="B82" t="s">
        <v>100</v>
      </c>
      <c r="C82">
        <f>IFERROR(VLOOKUP(B82,工资明细202401_Sheet1!$B:$BC,37,FALSE),0)</f>
        <v>7826.16</v>
      </c>
      <c r="D82">
        <f>IFERROR(VLOOKUP(B82,工资明细202401_Sheet1!$B:$BC,38,FALSE),0)</f>
        <v>0</v>
      </c>
      <c r="E82">
        <f>IFERROR(VLOOKUP(B82,工资明细202401_Sheet1!$B:$BC,39,FALSE),0)</f>
        <v>0</v>
      </c>
      <c r="F82">
        <f>IFERROR(VLOOKUP(B82,工资明细202401_Sheet1!$B:$BC,40,FALSE),0)</f>
        <v>0</v>
      </c>
      <c r="G82">
        <f>IFERROR(VLOOKUP(B82,工资明细202401_Sheet1!$B:$BC,41,FALSE),0)</f>
        <v>-41.12</v>
      </c>
      <c r="H82">
        <f>IFERROR(VLOOKUP(B82,工资明细202401_Sheet1!$B:$BC,42,FALSE),0)</f>
        <v>0</v>
      </c>
      <c r="I82">
        <f>IFERROR(VLOOKUP(B82,工资明细202401_Sheet1!$B:$BC,43,FALSE),0)</f>
        <v>-30</v>
      </c>
      <c r="J82">
        <f>IFERROR(VLOOKUP(B82,工资明细202401_Sheet1!$B:$BC,44,FALSE),0)</f>
        <v>0</v>
      </c>
      <c r="K82">
        <f>IFERROR(VLOOKUP(B82,工资明细202401_Sheet1!$B:$BC,45,FALSE),0)</f>
        <v>-592.64</v>
      </c>
      <c r="L82">
        <f>IFERROR(VLOOKUP(B82,工资明细202401_Sheet1!$B:$BC,46,FALSE),0)</f>
        <v>-148.16</v>
      </c>
      <c r="M82">
        <f>IFERROR(VLOOKUP(B82,工资明细202401_Sheet1!$B:$BC,47,FALSE),0)</f>
        <v>-37.04</v>
      </c>
      <c r="N82">
        <f>IFERROR(VLOOKUP(B82,工资明细202401_Sheet1!$B:$BC,48,FALSE),0)</f>
        <v>-5</v>
      </c>
      <c r="O82">
        <f>IFERROR(VLOOKUP(B82,工资明细202401_Sheet1!$B:$BC,49,FALSE),0)</f>
        <v>-233.12</v>
      </c>
      <c r="P82">
        <f>IFERROR(VLOOKUP(B82,工资明细202401_Sheet1!$B:$BC,50,FALSE),0)</f>
        <v>0</v>
      </c>
      <c r="Q82">
        <f>IFERROR(VLOOKUP(B82,工资明细202401_Sheet1!$B:$BC,51,FALSE),0)</f>
        <v>-14.57</v>
      </c>
      <c r="R82">
        <f>IFERROR(VLOOKUP(B82,工资明细202401_Sheet1!$B:$BC,52,FALSE),0)</f>
        <v>0</v>
      </c>
      <c r="S82">
        <f>IFERROR(VLOOKUP(B82,工资明细202401_Sheet1!$B:$BC,53,FALSE),0)</f>
        <v>-425</v>
      </c>
      <c r="T82">
        <f>IFERROR(VLOOKUP(B82,工资明细202401_Sheet1!$B:$BC,54,FALSE),0)</f>
        <v>6299.51</v>
      </c>
    </row>
    <row r="83" spans="1:20" x14ac:dyDescent="0.15">
      <c r="A83">
        <v>82</v>
      </c>
      <c r="B83" t="s">
        <v>101</v>
      </c>
      <c r="C83">
        <f>IFERROR(VLOOKUP(B83,工资明细202401_Sheet1!$B:$BC,37,FALSE),0)</f>
        <v>6252.32</v>
      </c>
      <c r="D83">
        <f>IFERROR(VLOOKUP(B83,工资明细202401_Sheet1!$B:$BC,38,FALSE),0)</f>
        <v>0</v>
      </c>
      <c r="E83">
        <f>IFERROR(VLOOKUP(B83,工资明细202401_Sheet1!$B:$BC,39,FALSE),0)</f>
        <v>0</v>
      </c>
      <c r="F83">
        <f>IFERROR(VLOOKUP(B83,工资明细202401_Sheet1!$B:$BC,40,FALSE),0)</f>
        <v>0</v>
      </c>
      <c r="G83">
        <f>IFERROR(VLOOKUP(B83,工资明细202401_Sheet1!$B:$BC,41,FALSE),0)</f>
        <v>0</v>
      </c>
      <c r="H83">
        <f>IFERROR(VLOOKUP(B83,工资明细202401_Sheet1!$B:$BC,42,FALSE),0)</f>
        <v>0</v>
      </c>
      <c r="I83">
        <f>IFERROR(VLOOKUP(B83,工资明细202401_Sheet1!$B:$BC,43,FALSE),0)</f>
        <v>-30</v>
      </c>
      <c r="J83">
        <f>IFERROR(VLOOKUP(B83,工资明细202401_Sheet1!$B:$BC,44,FALSE),0)</f>
        <v>0</v>
      </c>
      <c r="K83">
        <f>IFERROR(VLOOKUP(B83,工资明细202401_Sheet1!$B:$BC,45,FALSE),0)</f>
        <v>-536.16</v>
      </c>
      <c r="L83">
        <f>IFERROR(VLOOKUP(B83,工资明细202401_Sheet1!$B:$BC,46,FALSE),0)</f>
        <v>-134.04</v>
      </c>
      <c r="M83">
        <f>IFERROR(VLOOKUP(B83,工资明细202401_Sheet1!$B:$BC,47,FALSE),0)</f>
        <v>-33.51</v>
      </c>
      <c r="N83">
        <f>IFERROR(VLOOKUP(B83,工资明细202401_Sheet1!$B:$BC,48,FALSE),0)</f>
        <v>-5</v>
      </c>
      <c r="O83">
        <f>IFERROR(VLOOKUP(B83,工资明细202401_Sheet1!$B:$BC,49,FALSE),0)</f>
        <v>-120.48</v>
      </c>
      <c r="P83">
        <f>IFERROR(VLOOKUP(B83,工资明细202401_Sheet1!$B:$BC,50,FALSE),0)</f>
        <v>0</v>
      </c>
      <c r="Q83">
        <f>IFERROR(VLOOKUP(B83,工资明细202401_Sheet1!$B:$BC,51,FALSE),0)</f>
        <v>-7.53</v>
      </c>
      <c r="R83">
        <f>IFERROR(VLOOKUP(B83,工资明细202401_Sheet1!$B:$BC,52,FALSE),0)</f>
        <v>0</v>
      </c>
      <c r="S83">
        <f>IFERROR(VLOOKUP(B83,工资明细202401_Sheet1!$B:$BC,53,FALSE),0)</f>
        <v>-520</v>
      </c>
      <c r="T83">
        <f>IFERROR(VLOOKUP(B83,工资明细202401_Sheet1!$B:$BC,54,FALSE),0)</f>
        <v>4865.6000000000004</v>
      </c>
    </row>
    <row r="84" spans="1:20" x14ac:dyDescent="0.15">
      <c r="A84">
        <v>83</v>
      </c>
      <c r="B84" t="s">
        <v>102</v>
      </c>
      <c r="C84">
        <f>IFERROR(VLOOKUP(B84,工资明细202401_Sheet1!$B:$BC,37,FALSE),0)</f>
        <v>5755.68</v>
      </c>
      <c r="D84">
        <f>IFERROR(VLOOKUP(B84,工资明细202401_Sheet1!$B:$BC,38,FALSE),0)</f>
        <v>0</v>
      </c>
      <c r="E84">
        <f>IFERROR(VLOOKUP(B84,工资明细202401_Sheet1!$B:$BC,39,FALSE),0)</f>
        <v>0</v>
      </c>
      <c r="F84">
        <f>IFERROR(VLOOKUP(B84,工资明细202401_Sheet1!$B:$BC,40,FALSE),0)</f>
        <v>0</v>
      </c>
      <c r="G84">
        <f>IFERROR(VLOOKUP(B84,工资明细202401_Sheet1!$B:$BC,41,FALSE),0)</f>
        <v>0</v>
      </c>
      <c r="H84">
        <f>IFERROR(VLOOKUP(B84,工资明细202401_Sheet1!$B:$BC,42,FALSE),0)</f>
        <v>0</v>
      </c>
      <c r="I84">
        <f>IFERROR(VLOOKUP(B84,工资明细202401_Sheet1!$B:$BC,43,FALSE),0)</f>
        <v>-30</v>
      </c>
      <c r="J84">
        <f>IFERROR(VLOOKUP(B84,工资明细202401_Sheet1!$B:$BC,44,FALSE),0)</f>
        <v>0</v>
      </c>
      <c r="K84">
        <f>IFERROR(VLOOKUP(B84,工资明细202401_Sheet1!$B:$BC,45,FALSE),0)</f>
        <v>-438.96</v>
      </c>
      <c r="L84">
        <f>IFERROR(VLOOKUP(B84,工资明细202401_Sheet1!$B:$BC,46,FALSE),0)</f>
        <v>-109.74</v>
      </c>
      <c r="M84">
        <f>IFERROR(VLOOKUP(B84,工资明细202401_Sheet1!$B:$BC,47,FALSE),0)</f>
        <v>-27.44</v>
      </c>
      <c r="N84">
        <f>IFERROR(VLOOKUP(B84,工资明细202401_Sheet1!$B:$BC,48,FALSE),0)</f>
        <v>-5</v>
      </c>
      <c r="O84">
        <f>IFERROR(VLOOKUP(B84,工资明细202401_Sheet1!$B:$BC,49,FALSE),0)</f>
        <v>-79.44</v>
      </c>
      <c r="P84">
        <f>IFERROR(VLOOKUP(B84,工资明细202401_Sheet1!$B:$BC,50,FALSE),0)</f>
        <v>0</v>
      </c>
      <c r="Q84">
        <f>IFERROR(VLOOKUP(B84,工资明细202401_Sheet1!$B:$BC,51,FALSE),0)</f>
        <v>-4.97</v>
      </c>
      <c r="R84">
        <f>IFERROR(VLOOKUP(B84,工资明细202401_Sheet1!$B:$BC,52,FALSE),0)</f>
        <v>0</v>
      </c>
      <c r="S84">
        <f>IFERROR(VLOOKUP(B84,工资明细202401_Sheet1!$B:$BC,53,FALSE),0)</f>
        <v>-425</v>
      </c>
      <c r="T84">
        <f>IFERROR(VLOOKUP(B84,工资明细202401_Sheet1!$B:$BC,54,FALSE),0)</f>
        <v>4635.13</v>
      </c>
    </row>
    <row r="85" spans="1:20" x14ac:dyDescent="0.15">
      <c r="A85">
        <v>84</v>
      </c>
      <c r="B85" t="s">
        <v>103</v>
      </c>
      <c r="C85">
        <f>IFERROR(VLOOKUP(B85,工资明细202401_Sheet1!$B:$BC,37,FALSE),0)</f>
        <v>7415.78</v>
      </c>
      <c r="D85">
        <f>IFERROR(VLOOKUP(B85,工资明细202401_Sheet1!$B:$BC,38,FALSE),0)</f>
        <v>0</v>
      </c>
      <c r="E85">
        <f>IFERROR(VLOOKUP(B85,工资明细202401_Sheet1!$B:$BC,39,FALSE),0)</f>
        <v>0</v>
      </c>
      <c r="F85">
        <f>IFERROR(VLOOKUP(B85,工资明细202401_Sheet1!$B:$BC,40,FALSE),0)</f>
        <v>0</v>
      </c>
      <c r="G85">
        <f>IFERROR(VLOOKUP(B85,工资明细202401_Sheet1!$B:$BC,41,FALSE),0)</f>
        <v>-28.93</v>
      </c>
      <c r="H85">
        <f>IFERROR(VLOOKUP(B85,工资明细202401_Sheet1!$B:$BC,42,FALSE),0)</f>
        <v>0</v>
      </c>
      <c r="I85">
        <f>IFERROR(VLOOKUP(B85,工资明细202401_Sheet1!$B:$BC,43,FALSE),0)</f>
        <v>-30</v>
      </c>
      <c r="J85">
        <f>IFERROR(VLOOKUP(B85,工资明细202401_Sheet1!$B:$BC,44,FALSE),0)</f>
        <v>0</v>
      </c>
      <c r="K85">
        <f>IFERROR(VLOOKUP(B85,工资明细202401_Sheet1!$B:$BC,45,FALSE),0)</f>
        <v>-590.96</v>
      </c>
      <c r="L85">
        <f>IFERROR(VLOOKUP(B85,工资明细202401_Sheet1!$B:$BC,46,FALSE),0)</f>
        <v>-147.74</v>
      </c>
      <c r="M85">
        <f>IFERROR(VLOOKUP(B85,工资明细202401_Sheet1!$B:$BC,47,FALSE),0)</f>
        <v>-36.94</v>
      </c>
      <c r="N85">
        <f>IFERROR(VLOOKUP(B85,工资明细202401_Sheet1!$B:$BC,48,FALSE),0)</f>
        <v>-5</v>
      </c>
      <c r="O85">
        <f>IFERROR(VLOOKUP(B85,工资明细202401_Sheet1!$B:$BC,49,FALSE),0)</f>
        <v>-231.44</v>
      </c>
      <c r="P85">
        <f>IFERROR(VLOOKUP(B85,工资明细202401_Sheet1!$B:$BC,50,FALSE),0)</f>
        <v>0</v>
      </c>
      <c r="Q85">
        <f>IFERROR(VLOOKUP(B85,工资明细202401_Sheet1!$B:$BC,51,FALSE),0)</f>
        <v>-14.47</v>
      </c>
      <c r="R85">
        <f>IFERROR(VLOOKUP(B85,工资明细202401_Sheet1!$B:$BC,52,FALSE),0)</f>
        <v>0</v>
      </c>
      <c r="S85">
        <f>IFERROR(VLOOKUP(B85,工资明细202401_Sheet1!$B:$BC,53,FALSE),0)</f>
        <v>-425</v>
      </c>
      <c r="T85">
        <f>IFERROR(VLOOKUP(B85,工资明细202401_Sheet1!$B:$BC,54,FALSE),0)</f>
        <v>5905.3</v>
      </c>
    </row>
    <row r="86" spans="1:20" x14ac:dyDescent="0.15">
      <c r="A86">
        <v>85</v>
      </c>
      <c r="B86" t="s">
        <v>104</v>
      </c>
      <c r="C86">
        <f>IFERROR(VLOOKUP(B86,工资明细202401_Sheet1!$B:$BC,37,FALSE),0)</f>
        <v>7072.67</v>
      </c>
      <c r="D86">
        <f>IFERROR(VLOOKUP(B86,工资明细202401_Sheet1!$B:$BC,38,FALSE),0)</f>
        <v>0</v>
      </c>
      <c r="E86">
        <f>IFERROR(VLOOKUP(B86,工资明细202401_Sheet1!$B:$BC,39,FALSE),0)</f>
        <v>0</v>
      </c>
      <c r="F86">
        <f>IFERROR(VLOOKUP(B86,工资明细202401_Sheet1!$B:$BC,40,FALSE),0)</f>
        <v>0</v>
      </c>
      <c r="G86">
        <f>IFERROR(VLOOKUP(B86,工资明细202401_Sheet1!$B:$BC,41,FALSE),0)</f>
        <v>-17.739999999999998</v>
      </c>
      <c r="H86">
        <f>IFERROR(VLOOKUP(B86,工资明细202401_Sheet1!$B:$BC,42,FALSE),0)</f>
        <v>0</v>
      </c>
      <c r="I86">
        <f>IFERROR(VLOOKUP(B86,工资明细202401_Sheet1!$B:$BC,43,FALSE),0)</f>
        <v>-30</v>
      </c>
      <c r="J86">
        <f>IFERROR(VLOOKUP(B86,工资明细202401_Sheet1!$B:$BC,44,FALSE),0)</f>
        <v>0</v>
      </c>
      <c r="K86">
        <f>IFERROR(VLOOKUP(B86,工资明细202401_Sheet1!$B:$BC,45,FALSE),0)</f>
        <v>-603.52</v>
      </c>
      <c r="L86">
        <f>IFERROR(VLOOKUP(B86,工资明细202401_Sheet1!$B:$BC,46,FALSE),0)</f>
        <v>-150.88</v>
      </c>
      <c r="M86">
        <f>IFERROR(VLOOKUP(B86,工资明细202401_Sheet1!$B:$BC,47,FALSE),0)</f>
        <v>-37.72</v>
      </c>
      <c r="N86">
        <f>IFERROR(VLOOKUP(B86,工资明细202401_Sheet1!$B:$BC,48,FALSE),0)</f>
        <v>-5</v>
      </c>
      <c r="O86">
        <f>IFERROR(VLOOKUP(B86,工资明细202401_Sheet1!$B:$BC,49,FALSE),0)</f>
        <v>-244</v>
      </c>
      <c r="P86">
        <f>IFERROR(VLOOKUP(B86,工资明细202401_Sheet1!$B:$BC,50,FALSE),0)</f>
        <v>0</v>
      </c>
      <c r="Q86">
        <f>IFERROR(VLOOKUP(B86,工资明细202401_Sheet1!$B:$BC,51,FALSE),0)</f>
        <v>-15.25</v>
      </c>
      <c r="R86">
        <f>IFERROR(VLOOKUP(B86,工资明细202401_Sheet1!$B:$BC,52,FALSE),0)</f>
        <v>0</v>
      </c>
      <c r="S86">
        <f>IFERROR(VLOOKUP(B86,工资明细202401_Sheet1!$B:$BC,53,FALSE),0)</f>
        <v>-425</v>
      </c>
      <c r="T86">
        <f>IFERROR(VLOOKUP(B86,工资明细202401_Sheet1!$B:$BC,54,FALSE),0)</f>
        <v>5543.56</v>
      </c>
    </row>
    <row r="87" spans="1:20" x14ac:dyDescent="0.15">
      <c r="A87">
        <v>86</v>
      </c>
      <c r="B87" t="s">
        <v>105</v>
      </c>
      <c r="C87">
        <f>IFERROR(VLOOKUP(B87,工资明细202401_Sheet1!$B:$BC,37,FALSE),0)</f>
        <v>6839.21</v>
      </c>
      <c r="D87">
        <f>IFERROR(VLOOKUP(B87,工资明细202401_Sheet1!$B:$BC,38,FALSE),0)</f>
        <v>0</v>
      </c>
      <c r="E87">
        <f>IFERROR(VLOOKUP(B87,工资明细202401_Sheet1!$B:$BC,39,FALSE),0)</f>
        <v>0</v>
      </c>
      <c r="F87">
        <f>IFERROR(VLOOKUP(B87,工资明细202401_Sheet1!$B:$BC,40,FALSE),0)</f>
        <v>0</v>
      </c>
      <c r="G87">
        <f>IFERROR(VLOOKUP(B87,工资明细202401_Sheet1!$B:$BC,41,FALSE),0)</f>
        <v>-9.2799999999999994</v>
      </c>
      <c r="H87">
        <f>IFERROR(VLOOKUP(B87,工资明细202401_Sheet1!$B:$BC,42,FALSE),0)</f>
        <v>0</v>
      </c>
      <c r="I87">
        <f>IFERROR(VLOOKUP(B87,工资明细202401_Sheet1!$B:$BC,43,FALSE),0)</f>
        <v>-30</v>
      </c>
      <c r="J87">
        <f>IFERROR(VLOOKUP(B87,工资明细202401_Sheet1!$B:$BC,44,FALSE),0)</f>
        <v>0</v>
      </c>
      <c r="K87">
        <f>IFERROR(VLOOKUP(B87,工资明细202401_Sheet1!$B:$BC,45,FALSE),0)</f>
        <v>-606.88</v>
      </c>
      <c r="L87">
        <f>IFERROR(VLOOKUP(B87,工资明细202401_Sheet1!$B:$BC,46,FALSE),0)</f>
        <v>-151.72</v>
      </c>
      <c r="M87">
        <f>IFERROR(VLOOKUP(B87,工资明细202401_Sheet1!$B:$BC,47,FALSE),0)</f>
        <v>-37.93</v>
      </c>
      <c r="N87">
        <f>IFERROR(VLOOKUP(B87,工资明细202401_Sheet1!$B:$BC,48,FALSE),0)</f>
        <v>-5</v>
      </c>
      <c r="O87">
        <f>IFERROR(VLOOKUP(B87,工资明细202401_Sheet1!$B:$BC,49,FALSE),0)</f>
        <v>-165.92</v>
      </c>
      <c r="P87">
        <f>IFERROR(VLOOKUP(B87,工资明细202401_Sheet1!$B:$BC,50,FALSE),0)</f>
        <v>0</v>
      </c>
      <c r="Q87">
        <f>IFERROR(VLOOKUP(B87,工资明细202401_Sheet1!$B:$BC,51,FALSE),0)</f>
        <v>-10.37</v>
      </c>
      <c r="R87">
        <f>IFERROR(VLOOKUP(B87,工资明细202401_Sheet1!$B:$BC,52,FALSE),0)</f>
        <v>0</v>
      </c>
      <c r="S87">
        <f>IFERROR(VLOOKUP(B87,工资明细202401_Sheet1!$B:$BC,53,FALSE),0)</f>
        <v>-552</v>
      </c>
      <c r="T87">
        <f>IFERROR(VLOOKUP(B87,工资明细202401_Sheet1!$B:$BC,54,FALSE),0)</f>
        <v>5270.11</v>
      </c>
    </row>
    <row r="88" spans="1:20" x14ac:dyDescent="0.15">
      <c r="A88">
        <v>87</v>
      </c>
      <c r="B88" t="s">
        <v>106</v>
      </c>
      <c r="C88">
        <f>IFERROR(VLOOKUP(B88,工资明细202401_Sheet1!$B:$BC,37,FALSE),0)</f>
        <v>7655.52</v>
      </c>
      <c r="D88">
        <f>IFERROR(VLOOKUP(B88,工资明细202401_Sheet1!$B:$BC,38,FALSE),0)</f>
        <v>0</v>
      </c>
      <c r="E88">
        <f>IFERROR(VLOOKUP(B88,工资明细202401_Sheet1!$B:$BC,39,FALSE),0)</f>
        <v>0</v>
      </c>
      <c r="F88">
        <f>IFERROR(VLOOKUP(B88,工资明细202401_Sheet1!$B:$BC,40,FALSE),0)</f>
        <v>0</v>
      </c>
      <c r="G88">
        <f>IFERROR(VLOOKUP(B88,工资明细202401_Sheet1!$B:$BC,41,FALSE),0)</f>
        <v>-35.35</v>
      </c>
      <c r="H88">
        <f>IFERROR(VLOOKUP(B88,工资明细202401_Sheet1!$B:$BC,42,FALSE),0)</f>
        <v>0</v>
      </c>
      <c r="I88">
        <f>IFERROR(VLOOKUP(B88,工资明细202401_Sheet1!$B:$BC,43,FALSE),0)</f>
        <v>-30</v>
      </c>
      <c r="J88">
        <f>IFERROR(VLOOKUP(B88,工资明细202401_Sheet1!$B:$BC,44,FALSE),0)</f>
        <v>0</v>
      </c>
      <c r="K88">
        <f>IFERROR(VLOOKUP(B88,工资明细202401_Sheet1!$B:$BC,45,FALSE),0)</f>
        <v>-601.67999999999995</v>
      </c>
      <c r="L88">
        <f>IFERROR(VLOOKUP(B88,工资明细202401_Sheet1!$B:$BC,46,FALSE),0)</f>
        <v>-150.41999999999999</v>
      </c>
      <c r="M88">
        <f>IFERROR(VLOOKUP(B88,工资明细202401_Sheet1!$B:$BC,47,FALSE),0)</f>
        <v>-37.61</v>
      </c>
      <c r="N88">
        <f>IFERROR(VLOOKUP(B88,工资明细202401_Sheet1!$B:$BC,48,FALSE),0)</f>
        <v>-5</v>
      </c>
      <c r="O88">
        <f>IFERROR(VLOOKUP(B88,工资明细202401_Sheet1!$B:$BC,49,FALSE),0)</f>
        <v>-242.16</v>
      </c>
      <c r="P88">
        <f>IFERROR(VLOOKUP(B88,工资明细202401_Sheet1!$B:$BC,50,FALSE),0)</f>
        <v>0</v>
      </c>
      <c r="Q88">
        <f>IFERROR(VLOOKUP(B88,工资明细202401_Sheet1!$B:$BC,51,FALSE),0)</f>
        <v>-15.14</v>
      </c>
      <c r="R88">
        <f>IFERROR(VLOOKUP(B88,工资明细202401_Sheet1!$B:$BC,52,FALSE),0)</f>
        <v>0</v>
      </c>
      <c r="S88">
        <f>IFERROR(VLOOKUP(B88,工资明细202401_Sheet1!$B:$BC,53,FALSE),0)</f>
        <v>-425</v>
      </c>
      <c r="T88">
        <f>IFERROR(VLOOKUP(B88,工资明细202401_Sheet1!$B:$BC,54,FALSE),0)</f>
        <v>6113.16</v>
      </c>
    </row>
    <row r="89" spans="1:20" x14ac:dyDescent="0.15">
      <c r="A89">
        <v>88</v>
      </c>
      <c r="B89" t="s">
        <v>107</v>
      </c>
      <c r="C89">
        <f>IFERROR(VLOOKUP(B89,工资明细202401_Sheet1!$B:$BC,37,FALSE),0)</f>
        <v>7543.34</v>
      </c>
      <c r="D89">
        <f>IFERROR(VLOOKUP(B89,工资明细202401_Sheet1!$B:$BC,38,FALSE),0)</f>
        <v>0</v>
      </c>
      <c r="E89">
        <f>IFERROR(VLOOKUP(B89,工资明细202401_Sheet1!$B:$BC,39,FALSE),0)</f>
        <v>0</v>
      </c>
      <c r="F89">
        <f>IFERROR(VLOOKUP(B89,工资明细202401_Sheet1!$B:$BC,40,FALSE),0)</f>
        <v>0</v>
      </c>
      <c r="G89">
        <f>IFERROR(VLOOKUP(B89,工资明细202401_Sheet1!$B:$BC,41,FALSE),0)</f>
        <v>-35.340000000000003</v>
      </c>
      <c r="H89">
        <f>IFERROR(VLOOKUP(B89,工资明细202401_Sheet1!$B:$BC,42,FALSE),0)</f>
        <v>0</v>
      </c>
      <c r="I89">
        <f>IFERROR(VLOOKUP(B89,工资明细202401_Sheet1!$B:$BC,43,FALSE),0)</f>
        <v>-30</v>
      </c>
      <c r="J89">
        <f>IFERROR(VLOOKUP(B89,工资明细202401_Sheet1!$B:$BC,44,FALSE),0)</f>
        <v>0</v>
      </c>
      <c r="K89">
        <f>IFERROR(VLOOKUP(B89,工资明细202401_Sheet1!$B:$BC,45,FALSE),0)</f>
        <v>-554.55999999999995</v>
      </c>
      <c r="L89">
        <f>IFERROR(VLOOKUP(B89,工资明细202401_Sheet1!$B:$BC,46,FALSE),0)</f>
        <v>-138.63999999999999</v>
      </c>
      <c r="M89">
        <f>IFERROR(VLOOKUP(B89,工资明细202401_Sheet1!$B:$BC,47,FALSE),0)</f>
        <v>-34.659999999999997</v>
      </c>
      <c r="N89">
        <f>IFERROR(VLOOKUP(B89,工资明细202401_Sheet1!$B:$BC,48,FALSE),0)</f>
        <v>-5</v>
      </c>
      <c r="O89">
        <f>IFERROR(VLOOKUP(B89,工资明细202401_Sheet1!$B:$BC,49,FALSE),0)</f>
        <v>-195.04</v>
      </c>
      <c r="P89">
        <f>IFERROR(VLOOKUP(B89,工资明细202401_Sheet1!$B:$BC,50,FALSE),0)</f>
        <v>0</v>
      </c>
      <c r="Q89">
        <f>IFERROR(VLOOKUP(B89,工资明细202401_Sheet1!$B:$BC,51,FALSE),0)</f>
        <v>-12.19</v>
      </c>
      <c r="R89">
        <f>IFERROR(VLOOKUP(B89,工资明细202401_Sheet1!$B:$BC,52,FALSE),0)</f>
        <v>0</v>
      </c>
      <c r="S89">
        <f>IFERROR(VLOOKUP(B89,工资明细202401_Sheet1!$B:$BC,53,FALSE),0)</f>
        <v>-425</v>
      </c>
      <c r="T89">
        <f>IFERROR(VLOOKUP(B89,工资明细202401_Sheet1!$B:$BC,54,FALSE),0)</f>
        <v>6112.91</v>
      </c>
    </row>
    <row r="90" spans="1:20" x14ac:dyDescent="0.15">
      <c r="A90">
        <v>89</v>
      </c>
      <c r="B90" t="s">
        <v>108</v>
      </c>
      <c r="C90">
        <f>IFERROR(VLOOKUP(B90,工资明细202401_Sheet1!$B:$BC,37,FALSE),0)</f>
        <v>10916.4</v>
      </c>
      <c r="D90">
        <f>IFERROR(VLOOKUP(B90,工资明细202401_Sheet1!$B:$BC,38,FALSE),0)</f>
        <v>0</v>
      </c>
      <c r="E90">
        <f>IFERROR(VLOOKUP(B90,工资明细202401_Sheet1!$B:$BC,39,FALSE),0)</f>
        <v>0</v>
      </c>
      <c r="F90">
        <f>IFERROR(VLOOKUP(B90,工资明细202401_Sheet1!$B:$BC,40,FALSE),0)</f>
        <v>0</v>
      </c>
      <c r="G90">
        <f>IFERROR(VLOOKUP(B90,工资明细202401_Sheet1!$B:$BC,41,FALSE),0)</f>
        <v>-114.86</v>
      </c>
      <c r="H90">
        <f>IFERROR(VLOOKUP(B90,工资明细202401_Sheet1!$B:$BC,42,FALSE),0)</f>
        <v>0</v>
      </c>
      <c r="I90">
        <f>IFERROR(VLOOKUP(B90,工资明细202401_Sheet1!$B:$BC,43,FALSE),0)</f>
        <v>-30</v>
      </c>
      <c r="J90">
        <f>IFERROR(VLOOKUP(B90,工资明细202401_Sheet1!$B:$BC,44,FALSE),0)</f>
        <v>0</v>
      </c>
      <c r="K90">
        <f>IFERROR(VLOOKUP(B90,工资明细202401_Sheet1!$B:$BC,45,FALSE),0)</f>
        <v>-828.32</v>
      </c>
      <c r="L90">
        <f>IFERROR(VLOOKUP(B90,工资明细202401_Sheet1!$B:$BC,46,FALSE),0)</f>
        <v>-207.08</v>
      </c>
      <c r="M90">
        <f>IFERROR(VLOOKUP(B90,工资明细202401_Sheet1!$B:$BC,47,FALSE),0)</f>
        <v>-51.77</v>
      </c>
      <c r="N90">
        <f>IFERROR(VLOOKUP(B90,工资明细202401_Sheet1!$B:$BC,48,FALSE),0)</f>
        <v>-5</v>
      </c>
      <c r="O90">
        <f>IFERROR(VLOOKUP(B90,工资明细202401_Sheet1!$B:$BC,49,FALSE),0)</f>
        <v>-211.52</v>
      </c>
      <c r="P90">
        <f>IFERROR(VLOOKUP(B90,工资明细202401_Sheet1!$B:$BC,50,FALSE),0)</f>
        <v>0</v>
      </c>
      <c r="Q90">
        <f>IFERROR(VLOOKUP(B90,工资明细202401_Sheet1!$B:$BC,51,FALSE),0)</f>
        <v>-13.22</v>
      </c>
      <c r="R90">
        <f>IFERROR(VLOOKUP(B90,工资明细202401_Sheet1!$B:$BC,52,FALSE),0)</f>
        <v>0</v>
      </c>
      <c r="S90">
        <f>IFERROR(VLOOKUP(B90,工资明细202401_Sheet1!$B:$BC,53,FALSE),0)</f>
        <v>-771</v>
      </c>
      <c r="T90">
        <f>IFERROR(VLOOKUP(B90,工资明细202401_Sheet1!$B:$BC,54,FALSE),0)</f>
        <v>8683.6299999999992</v>
      </c>
    </row>
    <row r="91" spans="1:20" x14ac:dyDescent="0.15">
      <c r="A91">
        <v>90</v>
      </c>
      <c r="B91" t="s">
        <v>109</v>
      </c>
      <c r="C91">
        <f>IFERROR(VLOOKUP(B91,工资明细202401_Sheet1!$B:$BC,37,FALSE),0)</f>
        <v>6495.93</v>
      </c>
      <c r="D91">
        <f>IFERROR(VLOOKUP(B91,工资明细202401_Sheet1!$B:$BC,38,FALSE),0)</f>
        <v>0</v>
      </c>
      <c r="E91">
        <f>IFERROR(VLOOKUP(B91,工资明细202401_Sheet1!$B:$BC,39,FALSE),0)</f>
        <v>0</v>
      </c>
      <c r="F91">
        <f>IFERROR(VLOOKUP(B91,工资明细202401_Sheet1!$B:$BC,40,FALSE),0)</f>
        <v>0</v>
      </c>
      <c r="G91">
        <f>IFERROR(VLOOKUP(B91,工资明细202401_Sheet1!$B:$BC,41,FALSE),0)</f>
        <v>0</v>
      </c>
      <c r="H91">
        <f>IFERROR(VLOOKUP(B91,工资明细202401_Sheet1!$B:$BC,42,FALSE),0)</f>
        <v>0</v>
      </c>
      <c r="I91">
        <f>IFERROR(VLOOKUP(B91,工资明细202401_Sheet1!$B:$BC,43,FALSE),0)</f>
        <v>-30</v>
      </c>
      <c r="J91">
        <f>IFERROR(VLOOKUP(B91,工资明细202401_Sheet1!$B:$BC,44,FALSE),0)</f>
        <v>0</v>
      </c>
      <c r="K91">
        <f>IFERROR(VLOOKUP(B91,工资明细202401_Sheet1!$B:$BC,45,FALSE),0)</f>
        <v>-418.64</v>
      </c>
      <c r="L91">
        <f>IFERROR(VLOOKUP(B91,工资明细202401_Sheet1!$B:$BC,46,FALSE),0)</f>
        <v>-104.66</v>
      </c>
      <c r="M91">
        <f>IFERROR(VLOOKUP(B91,工资明细202401_Sheet1!$B:$BC,47,FALSE),0)</f>
        <v>-26.17</v>
      </c>
      <c r="N91">
        <f>IFERROR(VLOOKUP(B91,工资明细202401_Sheet1!$B:$BC,48,FALSE),0)</f>
        <v>-5</v>
      </c>
      <c r="O91">
        <f>IFERROR(VLOOKUP(B91,工资明细202401_Sheet1!$B:$BC,49,FALSE),0)</f>
        <v>-59.12</v>
      </c>
      <c r="P91">
        <f>IFERROR(VLOOKUP(B91,工资明细202401_Sheet1!$B:$BC,50,FALSE),0)</f>
        <v>0</v>
      </c>
      <c r="Q91">
        <f>IFERROR(VLOOKUP(B91,工资明细202401_Sheet1!$B:$BC,51,FALSE),0)</f>
        <v>-3.7</v>
      </c>
      <c r="R91">
        <f>IFERROR(VLOOKUP(B91,工资明细202401_Sheet1!$B:$BC,52,FALSE),0)</f>
        <v>0</v>
      </c>
      <c r="S91">
        <f>IFERROR(VLOOKUP(B91,工资明细202401_Sheet1!$B:$BC,53,FALSE),0)</f>
        <v>-425</v>
      </c>
      <c r="T91">
        <f>IFERROR(VLOOKUP(B91,工资明细202401_Sheet1!$B:$BC,54,FALSE),0)</f>
        <v>5423.64</v>
      </c>
    </row>
    <row r="92" spans="1:20" x14ac:dyDescent="0.15">
      <c r="A92">
        <v>91</v>
      </c>
      <c r="B92" t="s">
        <v>110</v>
      </c>
      <c r="C92">
        <f>IFERROR(VLOOKUP(B92,工资明细202401_Sheet1!$B:$BC,37,FALSE),0)</f>
        <v>7462.46</v>
      </c>
      <c r="D92">
        <f>IFERROR(VLOOKUP(B92,工资明细202401_Sheet1!$B:$BC,38,FALSE),0)</f>
        <v>0</v>
      </c>
      <c r="E92">
        <f>IFERROR(VLOOKUP(B92,工资明细202401_Sheet1!$B:$BC,39,FALSE),0)</f>
        <v>0</v>
      </c>
      <c r="F92">
        <f>IFERROR(VLOOKUP(B92,工资明细202401_Sheet1!$B:$BC,40,FALSE),0)</f>
        <v>0</v>
      </c>
      <c r="G92">
        <f>IFERROR(VLOOKUP(B92,工资明细202401_Sheet1!$B:$BC,41,FALSE),0)</f>
        <v>-34.65</v>
      </c>
      <c r="H92">
        <f>IFERROR(VLOOKUP(B92,工资明细202401_Sheet1!$B:$BC,42,FALSE),0)</f>
        <v>0</v>
      </c>
      <c r="I92">
        <f>IFERROR(VLOOKUP(B92,工资明细202401_Sheet1!$B:$BC,43,FALSE),0)</f>
        <v>-30</v>
      </c>
      <c r="J92">
        <f>IFERROR(VLOOKUP(B92,工资明细202401_Sheet1!$B:$BC,44,FALSE),0)</f>
        <v>0</v>
      </c>
      <c r="K92">
        <f>IFERROR(VLOOKUP(B92,工资明细202401_Sheet1!$B:$BC,45,FALSE),0)</f>
        <v>-530.24</v>
      </c>
      <c r="L92">
        <f>IFERROR(VLOOKUP(B92,工资明细202401_Sheet1!$B:$BC,46,FALSE),0)</f>
        <v>-132.56</v>
      </c>
      <c r="M92">
        <f>IFERROR(VLOOKUP(B92,工资明细202401_Sheet1!$B:$BC,47,FALSE),0)</f>
        <v>-33.14</v>
      </c>
      <c r="N92">
        <f>IFERROR(VLOOKUP(B92,工资明细202401_Sheet1!$B:$BC,48,FALSE),0)</f>
        <v>-5</v>
      </c>
      <c r="O92">
        <f>IFERROR(VLOOKUP(B92,工资明细202401_Sheet1!$B:$BC,49,FALSE),0)</f>
        <v>-170.72</v>
      </c>
      <c r="P92">
        <f>IFERROR(VLOOKUP(B92,工资明细202401_Sheet1!$B:$BC,50,FALSE),0)</f>
        <v>0</v>
      </c>
      <c r="Q92">
        <f>IFERROR(VLOOKUP(B92,工资明细202401_Sheet1!$B:$BC,51,FALSE),0)</f>
        <v>-10.67</v>
      </c>
      <c r="R92">
        <f>IFERROR(VLOOKUP(B92,工资明细202401_Sheet1!$B:$BC,52,FALSE),0)</f>
        <v>0</v>
      </c>
      <c r="S92">
        <f>IFERROR(VLOOKUP(B92,工资明细202401_Sheet1!$B:$BC,53,FALSE),0)</f>
        <v>-425</v>
      </c>
      <c r="T92">
        <f>IFERROR(VLOOKUP(B92,工资明细202401_Sheet1!$B:$BC,54,FALSE),0)</f>
        <v>6090.48</v>
      </c>
    </row>
    <row r="93" spans="1:20" x14ac:dyDescent="0.15">
      <c r="A93">
        <v>92</v>
      </c>
      <c r="B93" t="s">
        <v>111</v>
      </c>
      <c r="C93">
        <f>IFERROR(VLOOKUP(B93,工资明细202401_Sheet1!$B:$BC,37,FALSE),0)</f>
        <v>7187.26</v>
      </c>
      <c r="D93">
        <f>IFERROR(VLOOKUP(B93,工资明细202401_Sheet1!$B:$BC,38,FALSE),0)</f>
        <v>0</v>
      </c>
      <c r="E93">
        <f>IFERROR(VLOOKUP(B93,工资明细202401_Sheet1!$B:$BC,39,FALSE),0)</f>
        <v>0</v>
      </c>
      <c r="F93">
        <f>IFERROR(VLOOKUP(B93,工资明细202401_Sheet1!$B:$BC,40,FALSE),0)</f>
        <v>0</v>
      </c>
      <c r="G93">
        <f>IFERROR(VLOOKUP(B93,工资明细202401_Sheet1!$B:$BC,41,FALSE),0)</f>
        <v>-24.53</v>
      </c>
      <c r="H93">
        <f>IFERROR(VLOOKUP(B93,工资明细202401_Sheet1!$B:$BC,42,FALSE),0)</f>
        <v>0</v>
      </c>
      <c r="I93">
        <f>IFERROR(VLOOKUP(B93,工资明细202401_Sheet1!$B:$BC,43,FALSE),0)</f>
        <v>-30</v>
      </c>
      <c r="J93">
        <f>IFERROR(VLOOKUP(B93,工资明细202401_Sheet1!$B:$BC,44,FALSE),0)</f>
        <v>0</v>
      </c>
      <c r="K93">
        <f>IFERROR(VLOOKUP(B93,工资明细202401_Sheet1!$B:$BC,45,FALSE),0)</f>
        <v>-545.84</v>
      </c>
      <c r="L93">
        <f>IFERROR(VLOOKUP(B93,工资明细202401_Sheet1!$B:$BC,46,FALSE),0)</f>
        <v>-136.46</v>
      </c>
      <c r="M93">
        <f>IFERROR(VLOOKUP(B93,工资明细202401_Sheet1!$B:$BC,47,FALSE),0)</f>
        <v>-34.119999999999997</v>
      </c>
      <c r="N93">
        <f>IFERROR(VLOOKUP(B93,工资明细202401_Sheet1!$B:$BC,48,FALSE),0)</f>
        <v>-5</v>
      </c>
      <c r="O93">
        <f>IFERROR(VLOOKUP(B93,工资明细202401_Sheet1!$B:$BC,49,FALSE),0)</f>
        <v>-186.32</v>
      </c>
      <c r="P93">
        <f>IFERROR(VLOOKUP(B93,工资明细202401_Sheet1!$B:$BC,50,FALSE),0)</f>
        <v>0</v>
      </c>
      <c r="Q93">
        <f>IFERROR(VLOOKUP(B93,工资明细202401_Sheet1!$B:$BC,51,FALSE),0)</f>
        <v>-11.65</v>
      </c>
      <c r="R93">
        <f>IFERROR(VLOOKUP(B93,工资明细202401_Sheet1!$B:$BC,52,FALSE),0)</f>
        <v>0</v>
      </c>
      <c r="S93">
        <f>IFERROR(VLOOKUP(B93,工资明细202401_Sheet1!$B:$BC,53,FALSE),0)</f>
        <v>-450</v>
      </c>
      <c r="T93">
        <f>IFERROR(VLOOKUP(B93,工资明细202401_Sheet1!$B:$BC,54,FALSE),0)</f>
        <v>5763.34</v>
      </c>
    </row>
    <row r="94" spans="1:20" x14ac:dyDescent="0.15">
      <c r="A94">
        <v>93</v>
      </c>
      <c r="B94" t="s">
        <v>112</v>
      </c>
      <c r="C94">
        <f>IFERROR(VLOOKUP(B94,工资明细202401_Sheet1!$B:$BC,37,FALSE),0)</f>
        <v>7058.38</v>
      </c>
      <c r="D94">
        <f>IFERROR(VLOOKUP(B94,工资明细202401_Sheet1!$B:$BC,38,FALSE),0)</f>
        <v>0</v>
      </c>
      <c r="E94">
        <f>IFERROR(VLOOKUP(B94,工资明细202401_Sheet1!$B:$BC,39,FALSE),0)</f>
        <v>0</v>
      </c>
      <c r="F94">
        <f>IFERROR(VLOOKUP(B94,工资明细202401_Sheet1!$B:$BC,40,FALSE),0)</f>
        <v>0</v>
      </c>
      <c r="G94">
        <f>IFERROR(VLOOKUP(B94,工资明细202401_Sheet1!$B:$BC,41,FALSE),0)</f>
        <v>-3.2</v>
      </c>
      <c r="H94">
        <f>IFERROR(VLOOKUP(B94,工资明细202401_Sheet1!$B:$BC,42,FALSE),0)</f>
        <v>0</v>
      </c>
      <c r="I94">
        <f>IFERROR(VLOOKUP(B94,工资明细202401_Sheet1!$B:$BC,43,FALSE),0)</f>
        <v>-30</v>
      </c>
      <c r="J94">
        <f>IFERROR(VLOOKUP(B94,工资明细202401_Sheet1!$B:$BC,44,FALSE),0)</f>
        <v>0</v>
      </c>
      <c r="K94">
        <f>IFERROR(VLOOKUP(B94,工资明细202401_Sheet1!$B:$BC,45,FALSE),0)</f>
        <v>-448</v>
      </c>
      <c r="L94">
        <f>IFERROR(VLOOKUP(B94,工资明细202401_Sheet1!$B:$BC,46,FALSE),0)</f>
        <v>-112</v>
      </c>
      <c r="M94">
        <f>IFERROR(VLOOKUP(B94,工资明细202401_Sheet1!$B:$BC,47,FALSE),0)</f>
        <v>-28</v>
      </c>
      <c r="N94">
        <f>IFERROR(VLOOKUP(B94,工资明细202401_Sheet1!$B:$BC,48,FALSE),0)</f>
        <v>-5</v>
      </c>
      <c r="O94">
        <f>IFERROR(VLOOKUP(B94,工资明细202401_Sheet1!$B:$BC,49,FALSE),0)</f>
        <v>-88.48</v>
      </c>
      <c r="P94">
        <f>IFERROR(VLOOKUP(B94,工资明细202401_Sheet1!$B:$BC,50,FALSE),0)</f>
        <v>0</v>
      </c>
      <c r="Q94">
        <f>IFERROR(VLOOKUP(B94,工资明细202401_Sheet1!$B:$BC,51,FALSE),0)</f>
        <v>-5.53</v>
      </c>
      <c r="R94">
        <f>IFERROR(VLOOKUP(B94,工资明细202401_Sheet1!$B:$BC,52,FALSE),0)</f>
        <v>0</v>
      </c>
      <c r="S94">
        <f>IFERROR(VLOOKUP(B94,工资明细202401_Sheet1!$B:$BC,53,FALSE),0)</f>
        <v>-450</v>
      </c>
      <c r="T94">
        <f>IFERROR(VLOOKUP(B94,工资明细202401_Sheet1!$B:$BC,54,FALSE),0)</f>
        <v>5888.17</v>
      </c>
    </row>
    <row r="95" spans="1:20" x14ac:dyDescent="0.15">
      <c r="A95">
        <v>94</v>
      </c>
      <c r="B95" t="s">
        <v>113</v>
      </c>
      <c r="C95">
        <f>IFERROR(VLOOKUP(B95,工资明细202401_Sheet1!$B:$BC,37,FALSE),0)</f>
        <v>7630.47</v>
      </c>
      <c r="D95">
        <f>IFERROR(VLOOKUP(B95,工资明细202401_Sheet1!$B:$BC,38,FALSE),0)</f>
        <v>0</v>
      </c>
      <c r="E95">
        <f>IFERROR(VLOOKUP(B95,工资明细202401_Sheet1!$B:$BC,39,FALSE),0)</f>
        <v>0</v>
      </c>
      <c r="F95">
        <f>IFERROR(VLOOKUP(B95,工资明细202401_Sheet1!$B:$BC,40,FALSE),0)</f>
        <v>0</v>
      </c>
      <c r="G95">
        <f>IFERROR(VLOOKUP(B95,工资明细202401_Sheet1!$B:$BC,41,FALSE),0)</f>
        <v>0</v>
      </c>
      <c r="H95">
        <f>IFERROR(VLOOKUP(B95,工资明细202401_Sheet1!$B:$BC,42,FALSE),0)</f>
        <v>0</v>
      </c>
      <c r="I95">
        <f>IFERROR(VLOOKUP(B95,工资明细202401_Sheet1!$B:$BC,43,FALSE),0)</f>
        <v>-30</v>
      </c>
      <c r="J95">
        <f>IFERROR(VLOOKUP(B95,工资明细202401_Sheet1!$B:$BC,44,FALSE),0)</f>
        <v>0</v>
      </c>
      <c r="K95">
        <f>IFERROR(VLOOKUP(B95,工资明细202401_Sheet1!$B:$BC,45,FALSE),0)</f>
        <v>-359.52</v>
      </c>
      <c r="L95">
        <f>IFERROR(VLOOKUP(B95,工资明细202401_Sheet1!$B:$BC,46,FALSE),0)</f>
        <v>-89.88</v>
      </c>
      <c r="M95">
        <f>IFERROR(VLOOKUP(B95,工资明细202401_Sheet1!$B:$BC,47,FALSE),0)</f>
        <v>-22.47</v>
      </c>
      <c r="N95">
        <f>IFERROR(VLOOKUP(B95,工资明细202401_Sheet1!$B:$BC,48,FALSE),0)</f>
        <v>-5</v>
      </c>
      <c r="O95">
        <f>IFERROR(VLOOKUP(B95,工资明细202401_Sheet1!$B:$BC,49,FALSE),0)</f>
        <v>0</v>
      </c>
      <c r="P95">
        <f>IFERROR(VLOOKUP(B95,工资明细202401_Sheet1!$B:$BC,50,FALSE),0)</f>
        <v>0</v>
      </c>
      <c r="Q95">
        <f>IFERROR(VLOOKUP(B95,工资明细202401_Sheet1!$B:$BC,51,FALSE),0)</f>
        <v>0</v>
      </c>
      <c r="R95">
        <f>IFERROR(VLOOKUP(B95,工资明细202401_Sheet1!$B:$BC,52,FALSE),0)</f>
        <v>0</v>
      </c>
      <c r="S95">
        <f>IFERROR(VLOOKUP(B95,工资明细202401_Sheet1!$B:$BC,53,FALSE),0)</f>
        <v>-450</v>
      </c>
      <c r="T95">
        <f>IFERROR(VLOOKUP(B95,工资明细202401_Sheet1!$B:$BC,54,FALSE),0)</f>
        <v>6673.6</v>
      </c>
    </row>
    <row r="96" spans="1:20" x14ac:dyDescent="0.15">
      <c r="A96">
        <v>95</v>
      </c>
      <c r="B96" t="s">
        <v>114</v>
      </c>
      <c r="C96">
        <f>IFERROR(VLOOKUP(B96,工资明细202401_Sheet1!$B:$BC,37,FALSE),0)</f>
        <v>11302.4</v>
      </c>
      <c r="D96">
        <f>IFERROR(VLOOKUP(B96,工资明细202401_Sheet1!$B:$BC,38,FALSE),0)</f>
        <v>0</v>
      </c>
      <c r="E96">
        <f>IFERROR(VLOOKUP(B96,工资明细202401_Sheet1!$B:$BC,39,FALSE),0)</f>
        <v>0</v>
      </c>
      <c r="F96">
        <f>IFERROR(VLOOKUP(B96,工资明细202401_Sheet1!$B:$BC,40,FALSE),0)</f>
        <v>0</v>
      </c>
      <c r="G96">
        <f>IFERROR(VLOOKUP(B96,工资明细202401_Sheet1!$B:$BC,41,FALSE),0)</f>
        <v>0</v>
      </c>
      <c r="H96">
        <f>IFERROR(VLOOKUP(B96,工资明细202401_Sheet1!$B:$BC,42,FALSE),0)</f>
        <v>0</v>
      </c>
      <c r="I96">
        <f>IFERROR(VLOOKUP(B96,工资明细202401_Sheet1!$B:$BC,43,FALSE),0)</f>
        <v>-30</v>
      </c>
      <c r="J96">
        <f>IFERROR(VLOOKUP(B96,工资明细202401_Sheet1!$B:$BC,44,FALSE),0)</f>
        <v>0</v>
      </c>
      <c r="K96">
        <f>IFERROR(VLOOKUP(B96,工资明细202401_Sheet1!$B:$BC,45,FALSE),0)</f>
        <v>-1163.8399999999999</v>
      </c>
      <c r="L96">
        <f>IFERROR(VLOOKUP(B96,工资明细202401_Sheet1!$B:$BC,46,FALSE),0)</f>
        <v>-290.95999999999998</v>
      </c>
      <c r="M96">
        <f>IFERROR(VLOOKUP(B96,工资明细202401_Sheet1!$B:$BC,47,FALSE),0)</f>
        <v>-72.739999999999995</v>
      </c>
      <c r="N96">
        <f>IFERROR(VLOOKUP(B96,工资明细202401_Sheet1!$B:$BC,48,FALSE),0)</f>
        <v>-5</v>
      </c>
      <c r="O96">
        <f>IFERROR(VLOOKUP(B96,工资明细202401_Sheet1!$B:$BC,49,FALSE),0)</f>
        <v>0</v>
      </c>
      <c r="P96">
        <f>IFERROR(VLOOKUP(B96,工资明细202401_Sheet1!$B:$BC,50,FALSE),0)</f>
        <v>0</v>
      </c>
      <c r="Q96">
        <f>IFERROR(VLOOKUP(B96,工资明细202401_Sheet1!$B:$BC,51,FALSE),0)</f>
        <v>0</v>
      </c>
      <c r="R96">
        <f>IFERROR(VLOOKUP(B96,工资明细202401_Sheet1!$B:$BC,52,FALSE),0)</f>
        <v>0</v>
      </c>
      <c r="S96">
        <f>IFERROR(VLOOKUP(B96,工资明细202401_Sheet1!$B:$BC,53,FALSE),0)</f>
        <v>-1790</v>
      </c>
      <c r="T96">
        <f>IFERROR(VLOOKUP(B96,工资明细202401_Sheet1!$B:$BC,54,FALSE),0)</f>
        <v>7949.86</v>
      </c>
    </row>
    <row r="97" spans="1:20" x14ac:dyDescent="0.15">
      <c r="A97">
        <v>96</v>
      </c>
      <c r="B97" t="s">
        <v>115</v>
      </c>
      <c r="C97">
        <f>IFERROR(VLOOKUP(B97,工资明细202401_Sheet1!$B:$BC,37,FALSE),0)</f>
        <v>12844.9</v>
      </c>
      <c r="D97">
        <f>IFERROR(VLOOKUP(B97,工资明细202401_Sheet1!$B:$BC,38,FALSE),0)</f>
        <v>0</v>
      </c>
      <c r="E97">
        <f>IFERROR(VLOOKUP(B97,工资明细202401_Sheet1!$B:$BC,39,FALSE),0)</f>
        <v>0</v>
      </c>
      <c r="F97">
        <f>IFERROR(VLOOKUP(B97,工资明细202401_Sheet1!$B:$BC,40,FALSE),0)</f>
        <v>0</v>
      </c>
      <c r="G97">
        <f>IFERROR(VLOOKUP(B97,工资明细202401_Sheet1!$B:$BC,41,FALSE),0)</f>
        <v>-113.19</v>
      </c>
      <c r="H97">
        <f>IFERROR(VLOOKUP(B97,工资明细202401_Sheet1!$B:$BC,42,FALSE),0)</f>
        <v>0</v>
      </c>
      <c r="I97">
        <f>IFERROR(VLOOKUP(B97,工资明细202401_Sheet1!$B:$BC,43,FALSE),0)</f>
        <v>-30</v>
      </c>
      <c r="J97">
        <f>IFERROR(VLOOKUP(B97,工资明细202401_Sheet1!$B:$BC,44,FALSE),0)</f>
        <v>0</v>
      </c>
      <c r="K97">
        <f>IFERROR(VLOOKUP(B97,工资明细202401_Sheet1!$B:$BC,45,FALSE),0)</f>
        <v>-1214.32</v>
      </c>
      <c r="L97">
        <f>IFERROR(VLOOKUP(B97,工资明细202401_Sheet1!$B:$BC,46,FALSE),0)</f>
        <v>-303.58</v>
      </c>
      <c r="M97">
        <f>IFERROR(VLOOKUP(B97,工资明细202401_Sheet1!$B:$BC,47,FALSE),0)</f>
        <v>-75.900000000000006</v>
      </c>
      <c r="N97">
        <f>IFERROR(VLOOKUP(B97,工资明细202401_Sheet1!$B:$BC,48,FALSE),0)</f>
        <v>-5</v>
      </c>
      <c r="O97">
        <f>IFERROR(VLOOKUP(B97,工资明细202401_Sheet1!$B:$BC,49,FALSE),0)</f>
        <v>-244.64</v>
      </c>
      <c r="P97">
        <f>IFERROR(VLOOKUP(B97,工资明细202401_Sheet1!$B:$BC,50,FALSE),0)</f>
        <v>0</v>
      </c>
      <c r="Q97">
        <f>IFERROR(VLOOKUP(B97,工资明细202401_Sheet1!$B:$BC,51,FALSE),0)</f>
        <v>-15.29</v>
      </c>
      <c r="R97">
        <f>IFERROR(VLOOKUP(B97,工资明细202401_Sheet1!$B:$BC,52,FALSE),0)</f>
        <v>0</v>
      </c>
      <c r="S97">
        <f>IFERROR(VLOOKUP(B97,工资明细202401_Sheet1!$B:$BC,53,FALSE),0)</f>
        <v>-1213</v>
      </c>
      <c r="T97">
        <f>IFERROR(VLOOKUP(B97,工资明细202401_Sheet1!$B:$BC,54,FALSE),0)</f>
        <v>9629.98</v>
      </c>
    </row>
    <row r="98" spans="1:20" x14ac:dyDescent="0.15">
      <c r="A98">
        <v>97</v>
      </c>
      <c r="B98" t="s">
        <v>116</v>
      </c>
      <c r="C98">
        <f>IFERROR(VLOOKUP(B98,工资明细202401_Sheet1!$B:$BC,37,FALSE),0)</f>
        <v>13653.5</v>
      </c>
      <c r="D98">
        <f>IFERROR(VLOOKUP(B98,工资明细202401_Sheet1!$B:$BC,38,FALSE),0)</f>
        <v>0</v>
      </c>
      <c r="E98">
        <f>IFERROR(VLOOKUP(B98,工资明细202401_Sheet1!$B:$BC,39,FALSE),0)</f>
        <v>0</v>
      </c>
      <c r="F98">
        <f>IFERROR(VLOOKUP(B98,工资明细202401_Sheet1!$B:$BC,40,FALSE),0)</f>
        <v>0</v>
      </c>
      <c r="G98">
        <f>IFERROR(VLOOKUP(B98,工资明细202401_Sheet1!$B:$BC,41,FALSE),0)</f>
        <v>0</v>
      </c>
      <c r="H98">
        <f>IFERROR(VLOOKUP(B98,工资明细202401_Sheet1!$B:$BC,42,FALSE),0)</f>
        <v>0</v>
      </c>
      <c r="I98">
        <f>IFERROR(VLOOKUP(B98,工资明细202401_Sheet1!$B:$BC,43,FALSE),0)</f>
        <v>-30</v>
      </c>
      <c r="J98">
        <f>IFERROR(VLOOKUP(B98,工资明细202401_Sheet1!$B:$BC,44,FALSE),0)</f>
        <v>0</v>
      </c>
      <c r="K98">
        <f>IFERROR(VLOOKUP(B98,工资明细202401_Sheet1!$B:$BC,45,FALSE),0)</f>
        <v>-1188.8</v>
      </c>
      <c r="L98">
        <f>IFERROR(VLOOKUP(B98,工资明细202401_Sheet1!$B:$BC,46,FALSE),0)</f>
        <v>-297.2</v>
      </c>
      <c r="M98">
        <f>IFERROR(VLOOKUP(B98,工资明细202401_Sheet1!$B:$BC,47,FALSE),0)</f>
        <v>-74.3</v>
      </c>
      <c r="N98">
        <f>IFERROR(VLOOKUP(B98,工资明细202401_Sheet1!$B:$BC,48,FALSE),0)</f>
        <v>-5</v>
      </c>
      <c r="O98">
        <f>IFERROR(VLOOKUP(B98,工资明细202401_Sheet1!$B:$BC,49,FALSE),0)</f>
        <v>-146.72</v>
      </c>
      <c r="P98">
        <f>IFERROR(VLOOKUP(B98,工资明细202401_Sheet1!$B:$BC,50,FALSE),0)</f>
        <v>0</v>
      </c>
      <c r="Q98">
        <f>IFERROR(VLOOKUP(B98,工资明细202401_Sheet1!$B:$BC,51,FALSE),0)</f>
        <v>-9.17</v>
      </c>
      <c r="R98">
        <f>IFERROR(VLOOKUP(B98,工资明细202401_Sheet1!$B:$BC,52,FALSE),0)</f>
        <v>0</v>
      </c>
      <c r="S98">
        <f>IFERROR(VLOOKUP(B98,工资明细202401_Sheet1!$B:$BC,53,FALSE),0)</f>
        <v>-1303</v>
      </c>
      <c r="T98">
        <f>IFERROR(VLOOKUP(B98,工资明细202401_Sheet1!$B:$BC,54,FALSE),0)</f>
        <v>10599.31</v>
      </c>
    </row>
    <row r="99" spans="1:20" x14ac:dyDescent="0.15">
      <c r="A99">
        <v>98</v>
      </c>
      <c r="B99" t="s">
        <v>117</v>
      </c>
      <c r="C99">
        <f>IFERROR(VLOOKUP(B99,工资明细202401_Sheet1!$B:$BC,37,FALSE),0)</f>
        <v>14203.33</v>
      </c>
      <c r="D99">
        <f>IFERROR(VLOOKUP(B99,工资明细202401_Sheet1!$B:$BC,38,FALSE),0)</f>
        <v>0</v>
      </c>
      <c r="E99">
        <f>IFERROR(VLOOKUP(B99,工资明细202401_Sheet1!$B:$BC,39,FALSE),0)</f>
        <v>0</v>
      </c>
      <c r="F99">
        <f>IFERROR(VLOOKUP(B99,工资明细202401_Sheet1!$B:$BC,40,FALSE),0)</f>
        <v>0</v>
      </c>
      <c r="G99">
        <f>IFERROR(VLOOKUP(B99,工资明细202401_Sheet1!$B:$BC,41,FALSE),0)</f>
        <v>0</v>
      </c>
      <c r="H99">
        <f>IFERROR(VLOOKUP(B99,工资明细202401_Sheet1!$B:$BC,42,FALSE),0)</f>
        <v>0</v>
      </c>
      <c r="I99">
        <f>IFERROR(VLOOKUP(B99,工资明细202401_Sheet1!$B:$BC,43,FALSE),0)</f>
        <v>-30</v>
      </c>
      <c r="J99">
        <f>IFERROR(VLOOKUP(B99,工资明细202401_Sheet1!$B:$BC,44,FALSE),0)</f>
        <v>-1000</v>
      </c>
      <c r="K99">
        <f>IFERROR(VLOOKUP(B99,工资明细202401_Sheet1!$B:$BC,45,FALSE),0)</f>
        <v>-1402.4</v>
      </c>
      <c r="L99">
        <f>IFERROR(VLOOKUP(B99,工资明细202401_Sheet1!$B:$BC,46,FALSE),0)</f>
        <v>-350.6</v>
      </c>
      <c r="M99">
        <f>IFERROR(VLOOKUP(B99,工资明细202401_Sheet1!$B:$BC,47,FALSE),0)</f>
        <v>-87.65</v>
      </c>
      <c r="N99">
        <f>IFERROR(VLOOKUP(B99,工资明细202401_Sheet1!$B:$BC,48,FALSE),0)</f>
        <v>-5</v>
      </c>
      <c r="O99">
        <f>IFERROR(VLOOKUP(B99,工资明细202401_Sheet1!$B:$BC,49,FALSE),0)</f>
        <v>-132.88</v>
      </c>
      <c r="P99">
        <f>IFERROR(VLOOKUP(B99,工资明细202401_Sheet1!$B:$BC,50,FALSE),0)</f>
        <v>0</v>
      </c>
      <c r="Q99">
        <f>IFERROR(VLOOKUP(B99,工资明细202401_Sheet1!$B:$BC,51,FALSE),0)</f>
        <v>-8.3000000000000007</v>
      </c>
      <c r="R99">
        <f>IFERROR(VLOOKUP(B99,工资明细202401_Sheet1!$B:$BC,52,FALSE),0)</f>
        <v>0</v>
      </c>
      <c r="S99">
        <f>IFERROR(VLOOKUP(B99,工资明细202401_Sheet1!$B:$BC,53,FALSE),0)</f>
        <v>-1587</v>
      </c>
      <c r="T99">
        <f>IFERROR(VLOOKUP(B99,工资明细202401_Sheet1!$B:$BC,54,FALSE),0)</f>
        <v>9599.5</v>
      </c>
    </row>
    <row r="100" spans="1:20" x14ac:dyDescent="0.15">
      <c r="A100">
        <v>99</v>
      </c>
      <c r="B100" t="s">
        <v>118</v>
      </c>
      <c r="C100">
        <f>IFERROR(VLOOKUP(B100,工资明细202401_Sheet1!$B:$BC,37,FALSE),0)</f>
        <v>13159.5</v>
      </c>
      <c r="D100">
        <f>IFERROR(VLOOKUP(B100,工资明细202401_Sheet1!$B:$BC,38,FALSE),0)</f>
        <v>0</v>
      </c>
      <c r="E100">
        <f>IFERROR(VLOOKUP(B100,工资明细202401_Sheet1!$B:$BC,39,FALSE),0)</f>
        <v>0</v>
      </c>
      <c r="F100">
        <f>IFERROR(VLOOKUP(B100,工资明细202401_Sheet1!$B:$BC,40,FALSE),0)</f>
        <v>0</v>
      </c>
      <c r="G100">
        <f>IFERROR(VLOOKUP(B100,工资明细202401_Sheet1!$B:$BC,41,FALSE),0)</f>
        <v>-56.42</v>
      </c>
      <c r="H100">
        <f>IFERROR(VLOOKUP(B100,工资明细202401_Sheet1!$B:$BC,42,FALSE),0)</f>
        <v>0</v>
      </c>
      <c r="I100">
        <f>IFERROR(VLOOKUP(B100,工资明细202401_Sheet1!$B:$BC,43,FALSE),0)</f>
        <v>-30</v>
      </c>
      <c r="J100">
        <f>IFERROR(VLOOKUP(B100,工资明细202401_Sheet1!$B:$BC,44,FALSE),0)</f>
        <v>-1000</v>
      </c>
      <c r="K100">
        <f>IFERROR(VLOOKUP(B100,工资明细202401_Sheet1!$B:$BC,45,FALSE),0)</f>
        <v>-922.16</v>
      </c>
      <c r="L100">
        <f>IFERROR(VLOOKUP(B100,工资明细202401_Sheet1!$B:$BC,46,FALSE),0)</f>
        <v>-230.54</v>
      </c>
      <c r="M100">
        <f>IFERROR(VLOOKUP(B100,工资明细202401_Sheet1!$B:$BC,47,FALSE),0)</f>
        <v>-57.64</v>
      </c>
      <c r="N100">
        <f>IFERROR(VLOOKUP(B100,工资明细202401_Sheet1!$B:$BC,48,FALSE),0)</f>
        <v>-5</v>
      </c>
      <c r="O100">
        <f>IFERROR(VLOOKUP(B100,工资明细202401_Sheet1!$B:$BC,49,FALSE),0)</f>
        <v>-86.08</v>
      </c>
      <c r="P100">
        <f>IFERROR(VLOOKUP(B100,工资明细202401_Sheet1!$B:$BC,50,FALSE),0)</f>
        <v>0</v>
      </c>
      <c r="Q100">
        <f>IFERROR(VLOOKUP(B100,工资明细202401_Sheet1!$B:$BC,51,FALSE),0)</f>
        <v>-5.38</v>
      </c>
      <c r="R100">
        <f>IFERROR(VLOOKUP(B100,工资明细202401_Sheet1!$B:$BC,52,FALSE),0)</f>
        <v>0</v>
      </c>
      <c r="S100">
        <f>IFERROR(VLOOKUP(B100,工资明细202401_Sheet1!$B:$BC,53,FALSE),0)</f>
        <v>-1046</v>
      </c>
      <c r="T100">
        <f>IFERROR(VLOOKUP(B100,工资明细202401_Sheet1!$B:$BC,54,FALSE),0)</f>
        <v>9720.2800000000007</v>
      </c>
    </row>
    <row r="101" spans="1:20" x14ac:dyDescent="0.15">
      <c r="A101">
        <v>100</v>
      </c>
      <c r="B101" t="s">
        <v>119</v>
      </c>
      <c r="C101">
        <f>IFERROR(VLOOKUP(B101,工资明细202401_Sheet1!$B:$BC,37,FALSE),0)</f>
        <v>15675.4</v>
      </c>
      <c r="D101">
        <f>IFERROR(VLOOKUP(B101,工资明细202401_Sheet1!$B:$BC,38,FALSE),0)</f>
        <v>0</v>
      </c>
      <c r="E101">
        <f>IFERROR(VLOOKUP(B101,工资明细202401_Sheet1!$B:$BC,39,FALSE),0)</f>
        <v>0</v>
      </c>
      <c r="F101">
        <f>IFERROR(VLOOKUP(B101,工资明细202401_Sheet1!$B:$BC,40,FALSE),0)</f>
        <v>0</v>
      </c>
      <c r="G101">
        <f>IFERROR(VLOOKUP(B101,工资明细202401_Sheet1!$B:$BC,41,FALSE),0)</f>
        <v>-125.32</v>
      </c>
      <c r="H101">
        <f>IFERROR(VLOOKUP(B101,工资明细202401_Sheet1!$B:$BC,42,FALSE),0)</f>
        <v>0</v>
      </c>
      <c r="I101">
        <f>IFERROR(VLOOKUP(B101,工资明细202401_Sheet1!$B:$BC,43,FALSE),0)</f>
        <v>-30</v>
      </c>
      <c r="J101">
        <f>IFERROR(VLOOKUP(B101,工资明细202401_Sheet1!$B:$BC,44,FALSE),0)</f>
        <v>0</v>
      </c>
      <c r="K101">
        <f>IFERROR(VLOOKUP(B101,工资明细202401_Sheet1!$B:$BC,45,FALSE),0)</f>
        <v>-1379.84</v>
      </c>
      <c r="L101">
        <f>IFERROR(VLOOKUP(B101,工资明细202401_Sheet1!$B:$BC,46,FALSE),0)</f>
        <v>-344.96</v>
      </c>
      <c r="M101">
        <f>IFERROR(VLOOKUP(B101,工资明细202401_Sheet1!$B:$BC,47,FALSE),0)</f>
        <v>-86.24</v>
      </c>
      <c r="N101">
        <f>IFERROR(VLOOKUP(B101,工资明细202401_Sheet1!$B:$BC,48,FALSE),0)</f>
        <v>-5</v>
      </c>
      <c r="O101">
        <f>IFERROR(VLOOKUP(B101,工资明细202401_Sheet1!$B:$BC,49,FALSE),0)</f>
        <v>-231.6</v>
      </c>
      <c r="P101">
        <f>IFERROR(VLOOKUP(B101,工资明细202401_Sheet1!$B:$BC,50,FALSE),0)</f>
        <v>0</v>
      </c>
      <c r="Q101">
        <f>IFERROR(VLOOKUP(B101,工资明细202401_Sheet1!$B:$BC,51,FALSE),0)</f>
        <v>-14.47</v>
      </c>
      <c r="R101">
        <f>IFERROR(VLOOKUP(B101,工资明细202401_Sheet1!$B:$BC,52,FALSE),0)</f>
        <v>0</v>
      </c>
      <c r="S101">
        <f>IFERROR(VLOOKUP(B101,工资明细202401_Sheet1!$B:$BC,53,FALSE),0)</f>
        <v>-1436</v>
      </c>
      <c r="T101">
        <f>IFERROR(VLOOKUP(B101,工资明细202401_Sheet1!$B:$BC,54,FALSE),0)</f>
        <v>12021.97</v>
      </c>
    </row>
    <row r="102" spans="1:20" x14ac:dyDescent="0.15">
      <c r="A102">
        <v>101</v>
      </c>
      <c r="B102" t="s">
        <v>120</v>
      </c>
      <c r="C102">
        <f>IFERROR(VLOOKUP(B102,工资明细202401_Sheet1!$B:$BC,37,FALSE),0)</f>
        <v>16325.25</v>
      </c>
      <c r="D102">
        <f>IFERROR(VLOOKUP(B102,工资明细202401_Sheet1!$B:$BC,38,FALSE),0)</f>
        <v>0</v>
      </c>
      <c r="E102">
        <f>IFERROR(VLOOKUP(B102,工资明细202401_Sheet1!$B:$BC,39,FALSE),0)</f>
        <v>0</v>
      </c>
      <c r="F102">
        <f>IFERROR(VLOOKUP(B102,工资明细202401_Sheet1!$B:$BC,40,FALSE),0)</f>
        <v>0</v>
      </c>
      <c r="G102">
        <f>IFERROR(VLOOKUP(B102,工资明细202401_Sheet1!$B:$BC,41,FALSE),0)</f>
        <v>-189.92</v>
      </c>
      <c r="H102">
        <f>IFERROR(VLOOKUP(B102,工资明细202401_Sheet1!$B:$BC,42,FALSE),0)</f>
        <v>0</v>
      </c>
      <c r="I102">
        <f>IFERROR(VLOOKUP(B102,工资明细202401_Sheet1!$B:$BC,43,FALSE),0)</f>
        <v>-30</v>
      </c>
      <c r="J102">
        <f>IFERROR(VLOOKUP(B102,工资明细202401_Sheet1!$B:$BC,44,FALSE),0)</f>
        <v>0</v>
      </c>
      <c r="K102">
        <f>IFERROR(VLOOKUP(B102,工资明细202401_Sheet1!$B:$BC,45,FALSE),0)</f>
        <v>-1373.68</v>
      </c>
      <c r="L102">
        <f>IFERROR(VLOOKUP(B102,工资明细202401_Sheet1!$B:$BC,46,FALSE),0)</f>
        <v>-343.42</v>
      </c>
      <c r="M102">
        <f>IFERROR(VLOOKUP(B102,工资明细202401_Sheet1!$B:$BC,47,FALSE),0)</f>
        <v>-85.86</v>
      </c>
      <c r="N102">
        <f>IFERROR(VLOOKUP(B102,工资明细202401_Sheet1!$B:$BC,48,FALSE),0)</f>
        <v>-5</v>
      </c>
      <c r="O102">
        <f>IFERROR(VLOOKUP(B102,工资明细202401_Sheet1!$B:$BC,49,FALSE),0)</f>
        <v>-168</v>
      </c>
      <c r="P102">
        <f>IFERROR(VLOOKUP(B102,工资明细202401_Sheet1!$B:$BC,50,FALSE),0)</f>
        <v>0</v>
      </c>
      <c r="Q102">
        <f>IFERROR(VLOOKUP(B102,工资明细202401_Sheet1!$B:$BC,51,FALSE),0)</f>
        <v>-10.5</v>
      </c>
      <c r="R102">
        <f>IFERROR(VLOOKUP(B102,工资明细202401_Sheet1!$B:$BC,52,FALSE),0)</f>
        <v>0</v>
      </c>
      <c r="S102">
        <f>IFERROR(VLOOKUP(B102,工资明细202401_Sheet1!$B:$BC,53,FALSE),0)</f>
        <v>-1508</v>
      </c>
      <c r="T102">
        <f>IFERROR(VLOOKUP(B102,工资明细202401_Sheet1!$B:$BC,54,FALSE),0)</f>
        <v>12610.87</v>
      </c>
    </row>
    <row r="103" spans="1:20" x14ac:dyDescent="0.15">
      <c r="A103">
        <v>102</v>
      </c>
      <c r="B103" t="s">
        <v>121</v>
      </c>
      <c r="C103">
        <f>IFERROR(VLOOKUP(B103,工资明细202401_Sheet1!$B:$BC,37,FALSE),0)</f>
        <v>15783.67</v>
      </c>
      <c r="D103">
        <f>IFERROR(VLOOKUP(B103,工资明细202401_Sheet1!$B:$BC,38,FALSE),0)</f>
        <v>0</v>
      </c>
      <c r="E103">
        <f>IFERROR(VLOOKUP(B103,工资明细202401_Sheet1!$B:$BC,39,FALSE),0)</f>
        <v>0</v>
      </c>
      <c r="F103">
        <f>IFERROR(VLOOKUP(B103,工资明细202401_Sheet1!$B:$BC,40,FALSE),0)</f>
        <v>0</v>
      </c>
      <c r="G103">
        <f>IFERROR(VLOOKUP(B103,工资明细202401_Sheet1!$B:$BC,41,FALSE),0)</f>
        <v>-37.72</v>
      </c>
      <c r="H103">
        <f>IFERROR(VLOOKUP(B103,工资明细202401_Sheet1!$B:$BC,42,FALSE),0)</f>
        <v>0</v>
      </c>
      <c r="I103">
        <f>IFERROR(VLOOKUP(B103,工资明细202401_Sheet1!$B:$BC,43,FALSE),0)</f>
        <v>-30</v>
      </c>
      <c r="J103">
        <f>IFERROR(VLOOKUP(B103,工资明细202401_Sheet1!$B:$BC,44,FALSE),0)</f>
        <v>0</v>
      </c>
      <c r="K103">
        <f>IFERROR(VLOOKUP(B103,工资明细202401_Sheet1!$B:$BC,45,FALSE),0)</f>
        <v>-1394.88</v>
      </c>
      <c r="L103">
        <f>IFERROR(VLOOKUP(B103,工资明细202401_Sheet1!$B:$BC,46,FALSE),0)</f>
        <v>-348.72</v>
      </c>
      <c r="M103">
        <f>IFERROR(VLOOKUP(B103,工资明细202401_Sheet1!$B:$BC,47,FALSE),0)</f>
        <v>-87.18</v>
      </c>
      <c r="N103">
        <f>IFERROR(VLOOKUP(B103,工资明细202401_Sheet1!$B:$BC,48,FALSE),0)</f>
        <v>-5</v>
      </c>
      <c r="O103">
        <f>IFERROR(VLOOKUP(B103,工资明细202401_Sheet1!$B:$BC,49,FALSE),0)</f>
        <v>-283.76</v>
      </c>
      <c r="P103">
        <f>IFERROR(VLOOKUP(B103,工资明细202401_Sheet1!$B:$BC,50,FALSE),0)</f>
        <v>0</v>
      </c>
      <c r="Q103">
        <f>IFERROR(VLOOKUP(B103,工资明细202401_Sheet1!$B:$BC,51,FALSE),0)</f>
        <v>-17.73</v>
      </c>
      <c r="R103">
        <f>IFERROR(VLOOKUP(B103,工资明细202401_Sheet1!$B:$BC,52,FALSE),0)</f>
        <v>0</v>
      </c>
      <c r="S103">
        <f>IFERROR(VLOOKUP(B103,工资明细202401_Sheet1!$B:$BC,53,FALSE),0)</f>
        <v>-1389</v>
      </c>
      <c r="T103">
        <f>IFERROR(VLOOKUP(B103,工资明细202401_Sheet1!$B:$BC,54,FALSE),0)</f>
        <v>12189.68</v>
      </c>
    </row>
    <row r="104" spans="1:20" x14ac:dyDescent="0.15">
      <c r="A104">
        <v>103</v>
      </c>
      <c r="B104" t="s">
        <v>122</v>
      </c>
      <c r="C104">
        <f>IFERROR(VLOOKUP(B104,工资明细202401_Sheet1!$B:$BC,37,FALSE),0)</f>
        <v>16553.48</v>
      </c>
      <c r="D104">
        <f>IFERROR(VLOOKUP(B104,工资明细202401_Sheet1!$B:$BC,38,FALSE),0)</f>
        <v>0</v>
      </c>
      <c r="E104">
        <f>IFERROR(VLOOKUP(B104,工资明细202401_Sheet1!$B:$BC,39,FALSE),0)</f>
        <v>0</v>
      </c>
      <c r="F104">
        <f>IFERROR(VLOOKUP(B104,工资明细202401_Sheet1!$B:$BC,40,FALSE),0)</f>
        <v>0</v>
      </c>
      <c r="G104">
        <f>IFERROR(VLOOKUP(B104,工资明细202401_Sheet1!$B:$BC,41,FALSE),0)</f>
        <v>-203.46</v>
      </c>
      <c r="H104">
        <f>IFERROR(VLOOKUP(B104,工资明细202401_Sheet1!$B:$BC,42,FALSE),0)</f>
        <v>0</v>
      </c>
      <c r="I104">
        <f>IFERROR(VLOOKUP(B104,工资明细202401_Sheet1!$B:$BC,43,FALSE),0)</f>
        <v>-30</v>
      </c>
      <c r="J104">
        <f>IFERROR(VLOOKUP(B104,工资明细202401_Sheet1!$B:$BC,44,FALSE),0)</f>
        <v>0</v>
      </c>
      <c r="K104">
        <f>IFERROR(VLOOKUP(B104,工资明细202401_Sheet1!$B:$BC,45,FALSE),0)</f>
        <v>-1485.04</v>
      </c>
      <c r="L104">
        <f>IFERROR(VLOOKUP(B104,工资明细202401_Sheet1!$B:$BC,46,FALSE),0)</f>
        <v>-371.26</v>
      </c>
      <c r="M104">
        <f>IFERROR(VLOOKUP(B104,工资明细202401_Sheet1!$B:$BC,47,FALSE),0)</f>
        <v>-92.82</v>
      </c>
      <c r="N104">
        <f>IFERROR(VLOOKUP(B104,工资明细202401_Sheet1!$B:$BC,48,FALSE),0)</f>
        <v>-5</v>
      </c>
      <c r="O104">
        <f>IFERROR(VLOOKUP(B104,工资明细202401_Sheet1!$B:$BC,49,FALSE),0)</f>
        <v>-208.32</v>
      </c>
      <c r="P104">
        <f>IFERROR(VLOOKUP(B104,工资明细202401_Sheet1!$B:$BC,50,FALSE),0)</f>
        <v>0</v>
      </c>
      <c r="Q104">
        <f>IFERROR(VLOOKUP(B104,工资明细202401_Sheet1!$B:$BC,51,FALSE),0)</f>
        <v>-13.02</v>
      </c>
      <c r="R104">
        <f>IFERROR(VLOOKUP(B104,工资明细202401_Sheet1!$B:$BC,52,FALSE),0)</f>
        <v>0</v>
      </c>
      <c r="S104">
        <f>IFERROR(VLOOKUP(B104,工资明细202401_Sheet1!$B:$BC,53,FALSE),0)</f>
        <v>-1596</v>
      </c>
      <c r="T104">
        <f>IFERROR(VLOOKUP(B104,工资明细202401_Sheet1!$B:$BC,54,FALSE),0)</f>
        <v>12548.56</v>
      </c>
    </row>
    <row r="105" spans="1:20" x14ac:dyDescent="0.15">
      <c r="A105">
        <v>104</v>
      </c>
      <c r="B105" t="s">
        <v>123</v>
      </c>
      <c r="C105">
        <f>IFERROR(VLOOKUP(B105,工资明细202401_Sheet1!$B:$BC,37,FALSE),0)</f>
        <v>14472.4</v>
      </c>
      <c r="D105">
        <f>IFERROR(VLOOKUP(B105,工资明细202401_Sheet1!$B:$BC,38,FALSE),0)</f>
        <v>0</v>
      </c>
      <c r="E105">
        <f>IFERROR(VLOOKUP(B105,工资明细202401_Sheet1!$B:$BC,39,FALSE),0)</f>
        <v>0</v>
      </c>
      <c r="F105">
        <f>IFERROR(VLOOKUP(B105,工资明细202401_Sheet1!$B:$BC,40,FALSE),0)</f>
        <v>0</v>
      </c>
      <c r="G105">
        <f>IFERROR(VLOOKUP(B105,工资明细202401_Sheet1!$B:$BC,41,FALSE),0)</f>
        <v>-185.42</v>
      </c>
      <c r="H105">
        <f>IFERROR(VLOOKUP(B105,工资明细202401_Sheet1!$B:$BC,42,FALSE),0)</f>
        <v>0</v>
      </c>
      <c r="I105">
        <f>IFERROR(VLOOKUP(B105,工资明细202401_Sheet1!$B:$BC,43,FALSE),0)</f>
        <v>-30</v>
      </c>
      <c r="J105">
        <f>IFERROR(VLOOKUP(B105,工资明细202401_Sheet1!$B:$BC,44,FALSE),0)</f>
        <v>0</v>
      </c>
      <c r="K105">
        <f>IFERROR(VLOOKUP(B105,工资明细202401_Sheet1!$B:$BC,45,FALSE),0)</f>
        <v>-1287.68</v>
      </c>
      <c r="L105">
        <f>IFERROR(VLOOKUP(B105,工资明细202401_Sheet1!$B:$BC,46,FALSE),0)</f>
        <v>-321.92</v>
      </c>
      <c r="M105">
        <f>IFERROR(VLOOKUP(B105,工资明细202401_Sheet1!$B:$BC,47,FALSE),0)</f>
        <v>-80.48</v>
      </c>
      <c r="N105">
        <f>IFERROR(VLOOKUP(B105,工资明细202401_Sheet1!$B:$BC,48,FALSE),0)</f>
        <v>-5</v>
      </c>
      <c r="O105">
        <f>IFERROR(VLOOKUP(B105,工资明细202401_Sheet1!$B:$BC,49,FALSE),0)</f>
        <v>-72.959999999999994</v>
      </c>
      <c r="P105">
        <f>IFERROR(VLOOKUP(B105,工资明细202401_Sheet1!$B:$BC,50,FALSE),0)</f>
        <v>0</v>
      </c>
      <c r="Q105">
        <f>IFERROR(VLOOKUP(B105,工资明细202401_Sheet1!$B:$BC,51,FALSE),0)</f>
        <v>-4.5599999999999996</v>
      </c>
      <c r="R105">
        <f>IFERROR(VLOOKUP(B105,工资明细202401_Sheet1!$B:$BC,52,FALSE),0)</f>
        <v>0</v>
      </c>
      <c r="S105">
        <f>IFERROR(VLOOKUP(B105,工资明细202401_Sheet1!$B:$BC,53,FALSE),0)</f>
        <v>-1519</v>
      </c>
      <c r="T105">
        <f>IFERROR(VLOOKUP(B105,工资明细202401_Sheet1!$B:$BC,54,FALSE),0)</f>
        <v>10965.38</v>
      </c>
    </row>
    <row r="106" spans="1:20" x14ac:dyDescent="0.15">
      <c r="A106">
        <v>105</v>
      </c>
      <c r="B106" t="s">
        <v>124</v>
      </c>
      <c r="C106">
        <f>IFERROR(VLOOKUP(B106,工资明细202401_Sheet1!$B:$BC,37,FALSE),0)</f>
        <v>15202.89</v>
      </c>
      <c r="D106">
        <f>IFERROR(VLOOKUP(B106,工资明细202401_Sheet1!$B:$BC,38,FALSE),0)</f>
        <v>0</v>
      </c>
      <c r="E106">
        <f>IFERROR(VLOOKUP(B106,工资明细202401_Sheet1!$B:$BC,39,FALSE),0)</f>
        <v>0</v>
      </c>
      <c r="F106">
        <f>IFERROR(VLOOKUP(B106,工资明细202401_Sheet1!$B:$BC,40,FALSE),0)</f>
        <v>0</v>
      </c>
      <c r="G106">
        <f>IFERROR(VLOOKUP(B106,工资明细202401_Sheet1!$B:$BC,41,FALSE),0)</f>
        <v>-77.180000000000007</v>
      </c>
      <c r="H106">
        <f>IFERROR(VLOOKUP(B106,工资明细202401_Sheet1!$B:$BC,42,FALSE),0)</f>
        <v>0</v>
      </c>
      <c r="I106">
        <f>IFERROR(VLOOKUP(B106,工资明细202401_Sheet1!$B:$BC,43,FALSE),0)</f>
        <v>-30</v>
      </c>
      <c r="J106">
        <f>IFERROR(VLOOKUP(B106,工资明细202401_Sheet1!$B:$BC,44,FALSE),0)</f>
        <v>0</v>
      </c>
      <c r="K106">
        <f>IFERROR(VLOOKUP(B106,工资明细202401_Sheet1!$B:$BC,45,FALSE),0)</f>
        <v>-1240.56</v>
      </c>
      <c r="L106">
        <f>IFERROR(VLOOKUP(B106,工资明细202401_Sheet1!$B:$BC,46,FALSE),0)</f>
        <v>-310.14</v>
      </c>
      <c r="M106">
        <f>IFERROR(VLOOKUP(B106,工资明细202401_Sheet1!$B:$BC,47,FALSE),0)</f>
        <v>-77.540000000000006</v>
      </c>
      <c r="N106">
        <f>IFERROR(VLOOKUP(B106,工资明细202401_Sheet1!$B:$BC,48,FALSE),0)</f>
        <v>-5</v>
      </c>
      <c r="O106">
        <f>IFERROR(VLOOKUP(B106,工资明细202401_Sheet1!$B:$BC,49,FALSE),0)</f>
        <v>-291.68</v>
      </c>
      <c r="P106">
        <f>IFERROR(VLOOKUP(B106,工资明细202401_Sheet1!$B:$BC,50,FALSE),0)</f>
        <v>0</v>
      </c>
      <c r="Q106">
        <f>IFERROR(VLOOKUP(B106,工资明细202401_Sheet1!$B:$BC,51,FALSE),0)</f>
        <v>-18.23</v>
      </c>
      <c r="R106">
        <f>IFERROR(VLOOKUP(B106,工资明细202401_Sheet1!$B:$BC,52,FALSE),0)</f>
        <v>0</v>
      </c>
      <c r="S106">
        <f>IFERROR(VLOOKUP(B106,工资明细202401_Sheet1!$B:$BC,53,FALSE),0)</f>
        <v>-1187</v>
      </c>
      <c r="T106">
        <f>IFERROR(VLOOKUP(B106,工资明细202401_Sheet1!$B:$BC,54,FALSE),0)</f>
        <v>11965.56</v>
      </c>
    </row>
    <row r="107" spans="1:20" x14ac:dyDescent="0.15">
      <c r="A107">
        <v>106</v>
      </c>
      <c r="B107" t="s">
        <v>125</v>
      </c>
      <c r="C107">
        <f>IFERROR(VLOOKUP(B107,工资明细202401_Sheet1!$B:$BC,37,FALSE),0)</f>
        <v>19742</v>
      </c>
      <c r="D107">
        <f>IFERROR(VLOOKUP(B107,工资明细202401_Sheet1!$B:$BC,38,FALSE),0)</f>
        <v>0</v>
      </c>
      <c r="E107">
        <f>IFERROR(VLOOKUP(B107,工资明细202401_Sheet1!$B:$BC,39,FALSE),0)</f>
        <v>0</v>
      </c>
      <c r="F107">
        <f>IFERROR(VLOOKUP(B107,工资明细202401_Sheet1!$B:$BC,40,FALSE),0)</f>
        <v>0</v>
      </c>
      <c r="G107">
        <f>IFERROR(VLOOKUP(B107,工资明细202401_Sheet1!$B:$BC,41,FALSE),0)</f>
        <v>-233.05</v>
      </c>
      <c r="H107">
        <f>IFERROR(VLOOKUP(B107,工资明细202401_Sheet1!$B:$BC,42,FALSE),0)</f>
        <v>0</v>
      </c>
      <c r="I107">
        <f>IFERROR(VLOOKUP(B107,工资明细202401_Sheet1!$B:$BC,43,FALSE),0)</f>
        <v>-30</v>
      </c>
      <c r="J107">
        <f>IFERROR(VLOOKUP(B107,工资明细202401_Sheet1!$B:$BC,44,FALSE),0)</f>
        <v>0</v>
      </c>
      <c r="K107">
        <f>IFERROR(VLOOKUP(B107,工资明细202401_Sheet1!$B:$BC,45,FALSE),0)</f>
        <v>-1768.8</v>
      </c>
      <c r="L107">
        <f>IFERROR(VLOOKUP(B107,工资明细202401_Sheet1!$B:$BC,46,FALSE),0)</f>
        <v>-442.2</v>
      </c>
      <c r="M107">
        <f>IFERROR(VLOOKUP(B107,工资明细202401_Sheet1!$B:$BC,47,FALSE),0)</f>
        <v>-110.55</v>
      </c>
      <c r="N107">
        <f>IFERROR(VLOOKUP(B107,工资明细202401_Sheet1!$B:$BC,48,FALSE),0)</f>
        <v>-5</v>
      </c>
      <c r="O107">
        <f>IFERROR(VLOOKUP(B107,工资明细202401_Sheet1!$B:$BC,49,FALSE),0)</f>
        <v>-340.08</v>
      </c>
      <c r="P107">
        <f>IFERROR(VLOOKUP(B107,工资明细202401_Sheet1!$B:$BC,50,FALSE),0)</f>
        <v>0</v>
      </c>
      <c r="Q107">
        <f>IFERROR(VLOOKUP(B107,工资明细202401_Sheet1!$B:$BC,51,FALSE),0)</f>
        <v>-21.25</v>
      </c>
      <c r="R107">
        <f>IFERROR(VLOOKUP(B107,工资明细202401_Sheet1!$B:$BC,52,FALSE),0)</f>
        <v>0</v>
      </c>
      <c r="S107">
        <f>IFERROR(VLOOKUP(B107,工资明细202401_Sheet1!$B:$BC,53,FALSE),0)</f>
        <v>-1786</v>
      </c>
      <c r="T107">
        <f>IFERROR(VLOOKUP(B107,工资明细202401_Sheet1!$B:$BC,54,FALSE),0)</f>
        <v>15005.07</v>
      </c>
    </row>
    <row r="108" spans="1:20" x14ac:dyDescent="0.15">
      <c r="A108">
        <v>107</v>
      </c>
      <c r="B108" t="s">
        <v>126</v>
      </c>
      <c r="C108">
        <f>IFERROR(VLOOKUP(B108,工资明细202401_Sheet1!$B:$BC,37,FALSE),0)</f>
        <v>28786.98</v>
      </c>
      <c r="D108">
        <f>IFERROR(VLOOKUP(B108,工资明细202401_Sheet1!$B:$BC,38,FALSE),0)</f>
        <v>0</v>
      </c>
      <c r="E108">
        <f>IFERROR(VLOOKUP(B108,工资明细202401_Sheet1!$B:$BC,39,FALSE),0)</f>
        <v>0</v>
      </c>
      <c r="F108">
        <f>IFERROR(VLOOKUP(B108,工资明细202401_Sheet1!$B:$BC,40,FALSE),0)</f>
        <v>0</v>
      </c>
      <c r="G108">
        <f>IFERROR(VLOOKUP(B108,工资明细202401_Sheet1!$B:$BC,41,FALSE),0)</f>
        <v>-506.47</v>
      </c>
      <c r="H108">
        <f>IFERROR(VLOOKUP(B108,工资明细202401_Sheet1!$B:$BC,42,FALSE),0)</f>
        <v>0</v>
      </c>
      <c r="I108">
        <f>IFERROR(VLOOKUP(B108,工资明细202401_Sheet1!$B:$BC,43,FALSE),0)</f>
        <v>-30</v>
      </c>
      <c r="J108">
        <f>IFERROR(VLOOKUP(B108,工资明细202401_Sheet1!$B:$BC,44,FALSE),0)</f>
        <v>0</v>
      </c>
      <c r="K108">
        <f>IFERROR(VLOOKUP(B108,工资明细202401_Sheet1!$B:$BC,45,FALSE),0)</f>
        <v>-1923.36</v>
      </c>
      <c r="L108">
        <f>IFERROR(VLOOKUP(B108,工资明细202401_Sheet1!$B:$BC,46,FALSE),0)</f>
        <v>-480.84</v>
      </c>
      <c r="M108">
        <f>IFERROR(VLOOKUP(B108,工资明细202401_Sheet1!$B:$BC,47,FALSE),0)</f>
        <v>-120.21</v>
      </c>
      <c r="N108">
        <f>IFERROR(VLOOKUP(B108,工资明细202401_Sheet1!$B:$BC,48,FALSE),0)</f>
        <v>-5</v>
      </c>
      <c r="O108">
        <f>IFERROR(VLOOKUP(B108,工资明细202401_Sheet1!$B:$BC,49,FALSE),0)</f>
        <v>0</v>
      </c>
      <c r="P108">
        <f>IFERROR(VLOOKUP(B108,工资明细202401_Sheet1!$B:$BC,50,FALSE),0)</f>
        <v>0</v>
      </c>
      <c r="Q108">
        <f>IFERROR(VLOOKUP(B108,工资明细202401_Sheet1!$B:$BC,51,FALSE),0)</f>
        <v>0</v>
      </c>
      <c r="R108">
        <f>IFERROR(VLOOKUP(B108,工资明细202401_Sheet1!$B:$BC,52,FALSE),0)</f>
        <v>0</v>
      </c>
      <c r="S108">
        <f>IFERROR(VLOOKUP(B108,工资明细202401_Sheet1!$B:$BC,53,FALSE),0)</f>
        <v>-2875</v>
      </c>
      <c r="T108">
        <f>IFERROR(VLOOKUP(B108,工资明细202401_Sheet1!$B:$BC,54,FALSE),0)</f>
        <v>22846.1</v>
      </c>
    </row>
    <row r="109" spans="1:20" x14ac:dyDescent="0.15">
      <c r="A109">
        <v>108</v>
      </c>
      <c r="B109" t="s">
        <v>127</v>
      </c>
      <c r="C109">
        <f>IFERROR(VLOOKUP(B109,工资明细202401_Sheet1!$B:$BC,37,FALSE),0)</f>
        <v>24206</v>
      </c>
      <c r="D109">
        <f>IFERROR(VLOOKUP(B109,工资明细202401_Sheet1!$B:$BC,38,FALSE),0)</f>
        <v>0</v>
      </c>
      <c r="E109">
        <f>IFERROR(VLOOKUP(B109,工资明细202401_Sheet1!$B:$BC,39,FALSE),0)</f>
        <v>0</v>
      </c>
      <c r="F109">
        <f>IFERROR(VLOOKUP(B109,工资明细202401_Sheet1!$B:$BC,40,FALSE),0)</f>
        <v>0</v>
      </c>
      <c r="G109">
        <f>IFERROR(VLOOKUP(B109,工资明细202401_Sheet1!$B:$BC,41,FALSE),0)</f>
        <v>-293.38</v>
      </c>
      <c r="H109">
        <f>IFERROR(VLOOKUP(B109,工资明细202401_Sheet1!$B:$BC,42,FALSE),0)</f>
        <v>0</v>
      </c>
      <c r="I109">
        <f>IFERROR(VLOOKUP(B109,工资明细202401_Sheet1!$B:$BC,43,FALSE),0)</f>
        <v>-30</v>
      </c>
      <c r="J109">
        <f>IFERROR(VLOOKUP(B109,工资明细202401_Sheet1!$B:$BC,44,FALSE),0)</f>
        <v>0</v>
      </c>
      <c r="K109">
        <f>IFERROR(VLOOKUP(B109,工资明细202401_Sheet1!$B:$BC,45,FALSE),0)</f>
        <v>-1923.36</v>
      </c>
      <c r="L109">
        <f>IFERROR(VLOOKUP(B109,工资明细202401_Sheet1!$B:$BC,46,FALSE),0)</f>
        <v>-480.84</v>
      </c>
      <c r="M109">
        <f>IFERROR(VLOOKUP(B109,工资明细202401_Sheet1!$B:$BC,47,FALSE),0)</f>
        <v>-120.21</v>
      </c>
      <c r="N109">
        <f>IFERROR(VLOOKUP(B109,工资明细202401_Sheet1!$B:$BC,48,FALSE),0)</f>
        <v>-5</v>
      </c>
      <c r="O109">
        <f>IFERROR(VLOOKUP(B109,工资明细202401_Sheet1!$B:$BC,49,FALSE),0)</f>
        <v>-39.68</v>
      </c>
      <c r="P109">
        <f>IFERROR(VLOOKUP(B109,工资明细202401_Sheet1!$B:$BC,50,FALSE),0)</f>
        <v>0</v>
      </c>
      <c r="Q109">
        <f>IFERROR(VLOOKUP(B109,工资明细202401_Sheet1!$B:$BC,51,FALSE),0)</f>
        <v>-2.48</v>
      </c>
      <c r="R109">
        <f>IFERROR(VLOOKUP(B109,工资明细202401_Sheet1!$B:$BC,52,FALSE),0)</f>
        <v>0</v>
      </c>
      <c r="S109">
        <f>IFERROR(VLOOKUP(B109,工资明细202401_Sheet1!$B:$BC,53,FALSE),0)</f>
        <v>-2355</v>
      </c>
      <c r="T109">
        <f>IFERROR(VLOOKUP(B109,工资明细202401_Sheet1!$B:$BC,54,FALSE),0)</f>
        <v>18956.05</v>
      </c>
    </row>
    <row r="110" spans="1:20" x14ac:dyDescent="0.15">
      <c r="A110">
        <v>109</v>
      </c>
      <c r="B110" t="s">
        <v>128</v>
      </c>
      <c r="C110">
        <f>IFERROR(VLOOKUP(B110,工资明细202401_Sheet1!$B:$BC,37,FALSE),0)</f>
        <v>20906</v>
      </c>
      <c r="D110">
        <f>IFERROR(VLOOKUP(B110,工资明细202401_Sheet1!$B:$BC,38,FALSE),0)</f>
        <v>0</v>
      </c>
      <c r="E110">
        <f>IFERROR(VLOOKUP(B110,工资明细202401_Sheet1!$B:$BC,39,FALSE),0)</f>
        <v>0</v>
      </c>
      <c r="F110">
        <f>IFERROR(VLOOKUP(B110,工资明细202401_Sheet1!$B:$BC,40,FALSE),0)</f>
        <v>0</v>
      </c>
      <c r="G110">
        <f>IFERROR(VLOOKUP(B110,工资明细202401_Sheet1!$B:$BC,41,FALSE),0)</f>
        <v>-195.51</v>
      </c>
      <c r="H110">
        <f>IFERROR(VLOOKUP(B110,工资明细202401_Sheet1!$B:$BC,42,FALSE),0)</f>
        <v>0</v>
      </c>
      <c r="I110">
        <f>IFERROR(VLOOKUP(B110,工资明细202401_Sheet1!$B:$BC,43,FALSE),0)</f>
        <v>-30</v>
      </c>
      <c r="J110">
        <f>IFERROR(VLOOKUP(B110,工资明细202401_Sheet1!$B:$BC,44,FALSE),0)</f>
        <v>-1000</v>
      </c>
      <c r="K110">
        <f>IFERROR(VLOOKUP(B110,工资明细202401_Sheet1!$B:$BC,45,FALSE),0)</f>
        <v>-1923.36</v>
      </c>
      <c r="L110">
        <f>IFERROR(VLOOKUP(B110,工资明细202401_Sheet1!$B:$BC,46,FALSE),0)</f>
        <v>-480.84</v>
      </c>
      <c r="M110">
        <f>IFERROR(VLOOKUP(B110,工资明细202401_Sheet1!$B:$BC,47,FALSE),0)</f>
        <v>-120.21</v>
      </c>
      <c r="N110">
        <f>IFERROR(VLOOKUP(B110,工资明细202401_Sheet1!$B:$BC,48,FALSE),0)</f>
        <v>-5</v>
      </c>
      <c r="O110">
        <f>IFERROR(VLOOKUP(B110,工资明细202401_Sheet1!$B:$BC,49,FALSE),0)</f>
        <v>-242.32</v>
      </c>
      <c r="P110">
        <f>IFERROR(VLOOKUP(B110,工资明细202401_Sheet1!$B:$BC,50,FALSE),0)</f>
        <v>0</v>
      </c>
      <c r="Q110">
        <f>IFERROR(VLOOKUP(B110,工资明细202401_Sheet1!$B:$BC,51,FALSE),0)</f>
        <v>-15.14</v>
      </c>
      <c r="R110">
        <f>IFERROR(VLOOKUP(B110,工资明细202401_Sheet1!$B:$BC,52,FALSE),0)</f>
        <v>0</v>
      </c>
      <c r="S110">
        <f>IFERROR(VLOOKUP(B110,工资明细202401_Sheet1!$B:$BC,53,FALSE),0)</f>
        <v>-2102</v>
      </c>
      <c r="T110">
        <f>IFERROR(VLOOKUP(B110,工资明细202401_Sheet1!$B:$BC,54,FALSE),0)</f>
        <v>14791.62</v>
      </c>
    </row>
    <row r="111" spans="1:20" x14ac:dyDescent="0.15">
      <c r="A111">
        <v>110</v>
      </c>
      <c r="B111" t="s">
        <v>129</v>
      </c>
      <c r="C111">
        <f>IFERROR(VLOOKUP(B111,工资明细202401_Sheet1!$B:$BC,37,FALSE),0)</f>
        <v>21642</v>
      </c>
      <c r="D111">
        <f>IFERROR(VLOOKUP(B111,工资明细202401_Sheet1!$B:$BC,38,FALSE),0)</f>
        <v>0</v>
      </c>
      <c r="E111">
        <f>IFERROR(VLOOKUP(B111,工资明细202401_Sheet1!$B:$BC,39,FALSE),0)</f>
        <v>0</v>
      </c>
      <c r="F111">
        <f>IFERROR(VLOOKUP(B111,工资明细202401_Sheet1!$B:$BC,40,FALSE),0)</f>
        <v>0</v>
      </c>
      <c r="G111">
        <f>IFERROR(VLOOKUP(B111,工资明细202401_Sheet1!$B:$BC,41,FALSE),0)</f>
        <v>-246.89</v>
      </c>
      <c r="H111">
        <f>IFERROR(VLOOKUP(B111,工资明细202401_Sheet1!$B:$BC,42,FALSE),0)</f>
        <v>0</v>
      </c>
      <c r="I111">
        <f>IFERROR(VLOOKUP(B111,工资明细202401_Sheet1!$B:$BC,43,FALSE),0)</f>
        <v>-30</v>
      </c>
      <c r="J111">
        <f>IFERROR(VLOOKUP(B111,工资明细202401_Sheet1!$B:$BC,44,FALSE),0)</f>
        <v>-1000</v>
      </c>
      <c r="K111">
        <f>IFERROR(VLOOKUP(B111,工资明细202401_Sheet1!$B:$BC,45,FALSE),0)</f>
        <v>-1923.36</v>
      </c>
      <c r="L111">
        <f>IFERROR(VLOOKUP(B111,工资明细202401_Sheet1!$B:$BC,46,FALSE),0)</f>
        <v>-480.84</v>
      </c>
      <c r="M111">
        <f>IFERROR(VLOOKUP(B111,工资明细202401_Sheet1!$B:$BC,47,FALSE),0)</f>
        <v>-120.21</v>
      </c>
      <c r="N111">
        <f>IFERROR(VLOOKUP(B111,工资明细202401_Sheet1!$B:$BC,48,FALSE),0)</f>
        <v>-5</v>
      </c>
      <c r="O111">
        <f>IFERROR(VLOOKUP(B111,工资明细202401_Sheet1!$B:$BC,49,FALSE),0)</f>
        <v>-117.68</v>
      </c>
      <c r="P111">
        <f>IFERROR(VLOOKUP(B111,工资明细202401_Sheet1!$B:$BC,50,FALSE),0)</f>
        <v>0</v>
      </c>
      <c r="Q111">
        <f>IFERROR(VLOOKUP(B111,工资明细202401_Sheet1!$B:$BC,51,FALSE),0)</f>
        <v>-7.35</v>
      </c>
      <c r="R111">
        <f>IFERROR(VLOOKUP(B111,工资明细202401_Sheet1!$B:$BC,52,FALSE),0)</f>
        <v>0</v>
      </c>
      <c r="S111">
        <f>IFERROR(VLOOKUP(B111,工资明细202401_Sheet1!$B:$BC,53,FALSE),0)</f>
        <v>-2258</v>
      </c>
      <c r="T111">
        <f>IFERROR(VLOOKUP(B111,工资明细202401_Sheet1!$B:$BC,54,FALSE),0)</f>
        <v>15452.67</v>
      </c>
    </row>
    <row r="112" spans="1:20" x14ac:dyDescent="0.15">
      <c r="A112">
        <v>111</v>
      </c>
      <c r="B112" t="s">
        <v>130</v>
      </c>
      <c r="C112">
        <f>IFERROR(VLOOKUP(B112,工资明细202401_Sheet1!$B:$BC,37,FALSE),0)</f>
        <v>20906</v>
      </c>
      <c r="D112">
        <f>IFERROR(VLOOKUP(B112,工资明细202401_Sheet1!$B:$BC,38,FALSE),0)</f>
        <v>0</v>
      </c>
      <c r="E112">
        <f>IFERROR(VLOOKUP(B112,工资明细202401_Sheet1!$B:$BC,39,FALSE),0)</f>
        <v>0</v>
      </c>
      <c r="F112">
        <f>IFERROR(VLOOKUP(B112,工资明细202401_Sheet1!$B:$BC,40,FALSE),0)</f>
        <v>0</v>
      </c>
      <c r="G112">
        <f>IFERROR(VLOOKUP(B112,工资明细202401_Sheet1!$B:$BC,41,FALSE),0)</f>
        <v>-199.8</v>
      </c>
      <c r="H112">
        <f>IFERROR(VLOOKUP(B112,工资明细202401_Sheet1!$B:$BC,42,FALSE),0)</f>
        <v>0</v>
      </c>
      <c r="I112">
        <f>IFERROR(VLOOKUP(B112,工资明细202401_Sheet1!$B:$BC,43,FALSE),0)</f>
        <v>-30</v>
      </c>
      <c r="J112">
        <f>IFERROR(VLOOKUP(B112,工资明细202401_Sheet1!$B:$BC,44,FALSE),0)</f>
        <v>-1000</v>
      </c>
      <c r="K112">
        <f>IFERROR(VLOOKUP(B112,工资明细202401_Sheet1!$B:$BC,45,FALSE),0)</f>
        <v>-1873.84</v>
      </c>
      <c r="L112">
        <f>IFERROR(VLOOKUP(B112,工资明细202401_Sheet1!$B:$BC,46,FALSE),0)</f>
        <v>-468.46</v>
      </c>
      <c r="M112">
        <f>IFERROR(VLOOKUP(B112,工资明细202401_Sheet1!$B:$BC,47,FALSE),0)</f>
        <v>-117.12</v>
      </c>
      <c r="N112">
        <f>IFERROR(VLOOKUP(B112,工资明细202401_Sheet1!$B:$BC,48,FALSE),0)</f>
        <v>-5</v>
      </c>
      <c r="O112">
        <f>IFERROR(VLOOKUP(B112,工资明细202401_Sheet1!$B:$BC,49,FALSE),0)</f>
        <v>-327.84</v>
      </c>
      <c r="P112">
        <f>IFERROR(VLOOKUP(B112,工资明细202401_Sheet1!$B:$BC,50,FALSE),0)</f>
        <v>0</v>
      </c>
      <c r="Q112">
        <f>IFERROR(VLOOKUP(B112,工资明细202401_Sheet1!$B:$BC,51,FALSE),0)</f>
        <v>-20.49</v>
      </c>
      <c r="R112">
        <f>IFERROR(VLOOKUP(B112,工资明细202401_Sheet1!$B:$BC,52,FALSE),0)</f>
        <v>0</v>
      </c>
      <c r="S112">
        <f>IFERROR(VLOOKUP(B112,工资明细202401_Sheet1!$B:$BC,53,FALSE),0)</f>
        <v>-1933</v>
      </c>
      <c r="T112">
        <f>IFERROR(VLOOKUP(B112,工资明细202401_Sheet1!$B:$BC,54,FALSE),0)</f>
        <v>14930.45</v>
      </c>
    </row>
    <row r="113" spans="1:20" x14ac:dyDescent="0.15">
      <c r="A113">
        <v>112</v>
      </c>
      <c r="B113" t="s">
        <v>131</v>
      </c>
      <c r="C113">
        <f>IFERROR(VLOOKUP(B113,工资明细202401_Sheet1!$B:$BC,37,FALSE),0)</f>
        <v>21706</v>
      </c>
      <c r="D113">
        <f>IFERROR(VLOOKUP(B113,工资明细202401_Sheet1!$B:$BC,38,FALSE),0)</f>
        <v>0</v>
      </c>
      <c r="E113">
        <f>IFERROR(VLOOKUP(B113,工资明细202401_Sheet1!$B:$BC,39,FALSE),0)</f>
        <v>0</v>
      </c>
      <c r="F113">
        <f>IFERROR(VLOOKUP(B113,工资明细202401_Sheet1!$B:$BC,40,FALSE),0)</f>
        <v>0</v>
      </c>
      <c r="G113">
        <f>IFERROR(VLOOKUP(B113,工资明细202401_Sheet1!$B:$BC,41,FALSE),0)</f>
        <v>-162.22999999999999</v>
      </c>
      <c r="H113">
        <f>IFERROR(VLOOKUP(B113,工资明细202401_Sheet1!$B:$BC,42,FALSE),0)</f>
        <v>0</v>
      </c>
      <c r="I113">
        <f>IFERROR(VLOOKUP(B113,工资明细202401_Sheet1!$B:$BC,43,FALSE),0)</f>
        <v>-30</v>
      </c>
      <c r="J113">
        <f>IFERROR(VLOOKUP(B113,工资明细202401_Sheet1!$B:$BC,44,FALSE),0)</f>
        <v>0</v>
      </c>
      <c r="K113">
        <f>IFERROR(VLOOKUP(B113,工资明细202401_Sheet1!$B:$BC,45,FALSE),0)</f>
        <v>-1897.28</v>
      </c>
      <c r="L113">
        <f>IFERROR(VLOOKUP(B113,工资明细202401_Sheet1!$B:$BC,46,FALSE),0)</f>
        <v>-474.32</v>
      </c>
      <c r="M113">
        <f>IFERROR(VLOOKUP(B113,工资明细202401_Sheet1!$B:$BC,47,FALSE),0)</f>
        <v>-118.58</v>
      </c>
      <c r="N113">
        <f>IFERROR(VLOOKUP(B113,工资明细202401_Sheet1!$B:$BC,48,FALSE),0)</f>
        <v>-5</v>
      </c>
      <c r="O113">
        <f>IFERROR(VLOOKUP(B113,工资明细202401_Sheet1!$B:$BC,49,FALSE),0)</f>
        <v>-369.84</v>
      </c>
      <c r="P113">
        <f>IFERROR(VLOOKUP(B113,工资明细202401_Sheet1!$B:$BC,50,FALSE),0)</f>
        <v>0</v>
      </c>
      <c r="Q113">
        <f>IFERROR(VLOOKUP(B113,工资明细202401_Sheet1!$B:$BC,51,FALSE),0)</f>
        <v>-23.11</v>
      </c>
      <c r="R113">
        <f>IFERROR(VLOOKUP(B113,工资明细202401_Sheet1!$B:$BC,52,FALSE),0)</f>
        <v>0</v>
      </c>
      <c r="S113">
        <f>IFERROR(VLOOKUP(B113,工资明细202401_Sheet1!$B:$BC,53,FALSE),0)</f>
        <v>-1910</v>
      </c>
      <c r="T113">
        <f>IFERROR(VLOOKUP(B113,工资明细202401_Sheet1!$B:$BC,54,FALSE),0)</f>
        <v>16715.64</v>
      </c>
    </row>
    <row r="114" spans="1:20" x14ac:dyDescent="0.15">
      <c r="A114">
        <v>113</v>
      </c>
      <c r="B114" t="s">
        <v>132</v>
      </c>
      <c r="C114">
        <f>IFERROR(VLOOKUP(B114,工资明细202401_Sheet1!$B:$BC,37,FALSE),0)</f>
        <v>20170</v>
      </c>
      <c r="D114">
        <f>IFERROR(VLOOKUP(B114,工资明细202401_Sheet1!$B:$BC,38,FALSE),0)</f>
        <v>0</v>
      </c>
      <c r="E114">
        <f>IFERROR(VLOOKUP(B114,工资明细202401_Sheet1!$B:$BC,39,FALSE),0)</f>
        <v>0</v>
      </c>
      <c r="F114">
        <f>IFERROR(VLOOKUP(B114,工资明细202401_Sheet1!$B:$BC,40,FALSE),0)</f>
        <v>0</v>
      </c>
      <c r="G114">
        <f>IFERROR(VLOOKUP(B114,工资明细202401_Sheet1!$B:$BC,41,FALSE),0)</f>
        <v>-235.6</v>
      </c>
      <c r="H114">
        <f>IFERROR(VLOOKUP(B114,工资明细202401_Sheet1!$B:$BC,42,FALSE),0)</f>
        <v>0</v>
      </c>
      <c r="I114">
        <f>IFERROR(VLOOKUP(B114,工资明细202401_Sheet1!$B:$BC,43,FALSE),0)</f>
        <v>-30</v>
      </c>
      <c r="J114">
        <f>IFERROR(VLOOKUP(B114,工资明细202401_Sheet1!$B:$BC,44,FALSE),0)</f>
        <v>-1000</v>
      </c>
      <c r="K114">
        <f>IFERROR(VLOOKUP(B114,工资明细202401_Sheet1!$B:$BC,45,FALSE),0)</f>
        <v>-1865.52</v>
      </c>
      <c r="L114">
        <f>IFERROR(VLOOKUP(B114,工资明细202401_Sheet1!$B:$BC,46,FALSE),0)</f>
        <v>-466.38</v>
      </c>
      <c r="M114">
        <f>IFERROR(VLOOKUP(B114,工资明细202401_Sheet1!$B:$BC,47,FALSE),0)</f>
        <v>-116.6</v>
      </c>
      <c r="N114">
        <f>IFERROR(VLOOKUP(B114,工资明细202401_Sheet1!$B:$BC,48,FALSE),0)</f>
        <v>-5</v>
      </c>
      <c r="O114">
        <f>IFERROR(VLOOKUP(B114,工资明细202401_Sheet1!$B:$BC,49,FALSE),0)</f>
        <v>-370.96</v>
      </c>
      <c r="P114">
        <f>IFERROR(VLOOKUP(B114,工资明细202401_Sheet1!$B:$BC,50,FALSE),0)</f>
        <v>0</v>
      </c>
      <c r="Q114">
        <f>IFERROR(VLOOKUP(B114,工资明细202401_Sheet1!$B:$BC,51,FALSE),0)</f>
        <v>-23.19</v>
      </c>
      <c r="R114">
        <f>IFERROR(VLOOKUP(B114,工资明细202401_Sheet1!$B:$BC,52,FALSE),0)</f>
        <v>0</v>
      </c>
      <c r="S114">
        <f>IFERROR(VLOOKUP(B114,工资明细202401_Sheet1!$B:$BC,53,FALSE),0)</f>
        <v>-1869</v>
      </c>
      <c r="T114">
        <f>IFERROR(VLOOKUP(B114,工资明细202401_Sheet1!$B:$BC,54,FALSE),0)</f>
        <v>14187.75</v>
      </c>
    </row>
    <row r="115" spans="1:20" x14ac:dyDescent="0.15">
      <c r="A115">
        <v>114</v>
      </c>
      <c r="B115" t="s">
        <v>133</v>
      </c>
      <c r="C115">
        <f>IFERROR(VLOOKUP(B115,工资明细202401_Sheet1!$B:$BC,37,FALSE),0)</f>
        <v>21206</v>
      </c>
      <c r="D115">
        <f>IFERROR(VLOOKUP(B115,工资明细202401_Sheet1!$B:$BC,38,FALSE),0)</f>
        <v>0</v>
      </c>
      <c r="E115">
        <f>IFERROR(VLOOKUP(B115,工资明细202401_Sheet1!$B:$BC,39,FALSE),0)</f>
        <v>0</v>
      </c>
      <c r="F115">
        <f>IFERROR(VLOOKUP(B115,工资明细202401_Sheet1!$B:$BC,40,FALSE),0)</f>
        <v>0</v>
      </c>
      <c r="G115">
        <f>IFERROR(VLOOKUP(B115,工资明细202401_Sheet1!$B:$BC,41,FALSE),0)</f>
        <v>-316.61</v>
      </c>
      <c r="H115">
        <f>IFERROR(VLOOKUP(B115,工资明细202401_Sheet1!$B:$BC,42,FALSE),0)</f>
        <v>0</v>
      </c>
      <c r="I115">
        <f>IFERROR(VLOOKUP(B115,工资明细202401_Sheet1!$B:$BC,43,FALSE),0)</f>
        <v>-30</v>
      </c>
      <c r="J115">
        <f>IFERROR(VLOOKUP(B115,工资明细202401_Sheet1!$B:$BC,44,FALSE),0)</f>
        <v>0</v>
      </c>
      <c r="K115">
        <f>IFERROR(VLOOKUP(B115,工资明细202401_Sheet1!$B:$BC,45,FALSE),0)</f>
        <v>-1841.6</v>
      </c>
      <c r="L115">
        <f>IFERROR(VLOOKUP(B115,工资明细202401_Sheet1!$B:$BC,46,FALSE),0)</f>
        <v>-460.4</v>
      </c>
      <c r="M115">
        <f>IFERROR(VLOOKUP(B115,工资明细202401_Sheet1!$B:$BC,47,FALSE),0)</f>
        <v>-115.1</v>
      </c>
      <c r="N115">
        <f>IFERROR(VLOOKUP(B115,工资明细202401_Sheet1!$B:$BC,48,FALSE),0)</f>
        <v>-5</v>
      </c>
      <c r="O115">
        <f>IFERROR(VLOOKUP(B115,工资明细202401_Sheet1!$B:$BC,49,FALSE),0)</f>
        <v>-385.04</v>
      </c>
      <c r="P115">
        <f>IFERROR(VLOOKUP(B115,工资明细202401_Sheet1!$B:$BC,50,FALSE),0)</f>
        <v>0</v>
      </c>
      <c r="Q115">
        <f>IFERROR(VLOOKUP(B115,工资明细202401_Sheet1!$B:$BC,51,FALSE),0)</f>
        <v>-24.06</v>
      </c>
      <c r="R115">
        <f>IFERROR(VLOOKUP(B115,工资明细202401_Sheet1!$B:$BC,52,FALSE),0)</f>
        <v>0</v>
      </c>
      <c r="S115">
        <f>IFERROR(VLOOKUP(B115,工资明细202401_Sheet1!$B:$BC,53,FALSE),0)</f>
        <v>-1821</v>
      </c>
      <c r="T115">
        <f>IFERROR(VLOOKUP(B115,工资明细202401_Sheet1!$B:$BC,54,FALSE),0)</f>
        <v>16207.19</v>
      </c>
    </row>
    <row r="116" spans="1:20" x14ac:dyDescent="0.15">
      <c r="A116">
        <v>115</v>
      </c>
      <c r="B116" t="s">
        <v>134</v>
      </c>
      <c r="C116">
        <f>IFERROR(VLOOKUP(B116,工资明细202401_Sheet1!$B:$BC,37,FALSE),0)</f>
        <v>21535.24</v>
      </c>
      <c r="D116">
        <f>IFERROR(VLOOKUP(B116,工资明细202401_Sheet1!$B:$BC,38,FALSE),0)</f>
        <v>0</v>
      </c>
      <c r="E116">
        <f>IFERROR(VLOOKUP(B116,工资明细202401_Sheet1!$B:$BC,39,FALSE),0)</f>
        <v>0</v>
      </c>
      <c r="F116">
        <f>IFERROR(VLOOKUP(B116,工资明细202401_Sheet1!$B:$BC,40,FALSE),0)</f>
        <v>0</v>
      </c>
      <c r="G116">
        <f>IFERROR(VLOOKUP(B116,工资明细202401_Sheet1!$B:$BC,41,FALSE),0)</f>
        <v>-282.66000000000003</v>
      </c>
      <c r="H116">
        <f>IFERROR(VLOOKUP(B116,工资明细202401_Sheet1!$B:$BC,42,FALSE),0)</f>
        <v>0</v>
      </c>
      <c r="I116">
        <f>IFERROR(VLOOKUP(B116,工资明细202401_Sheet1!$B:$BC,43,FALSE),0)</f>
        <v>-30</v>
      </c>
      <c r="J116">
        <f>IFERROR(VLOOKUP(B116,工资明细202401_Sheet1!$B:$BC,44,FALSE),0)</f>
        <v>0</v>
      </c>
      <c r="K116">
        <f>IFERROR(VLOOKUP(B116,工资明细202401_Sheet1!$B:$BC,45,FALSE),0)</f>
        <v>-1821.04</v>
      </c>
      <c r="L116">
        <f>IFERROR(VLOOKUP(B116,工资明细202401_Sheet1!$B:$BC,46,FALSE),0)</f>
        <v>-455.26</v>
      </c>
      <c r="M116">
        <f>IFERROR(VLOOKUP(B116,工资明细202401_Sheet1!$B:$BC,47,FALSE),0)</f>
        <v>-113.82</v>
      </c>
      <c r="N116">
        <f>IFERROR(VLOOKUP(B116,工资明细202401_Sheet1!$B:$BC,48,FALSE),0)</f>
        <v>-5</v>
      </c>
      <c r="O116">
        <f>IFERROR(VLOOKUP(B116,工资明细202401_Sheet1!$B:$BC,49,FALSE),0)</f>
        <v>-313.44</v>
      </c>
      <c r="P116">
        <f>IFERROR(VLOOKUP(B116,工资明细202401_Sheet1!$B:$BC,50,FALSE),0)</f>
        <v>0</v>
      </c>
      <c r="Q116">
        <f>IFERROR(VLOOKUP(B116,工资明细202401_Sheet1!$B:$BC,51,FALSE),0)</f>
        <v>-19.59</v>
      </c>
      <c r="R116">
        <f>IFERROR(VLOOKUP(B116,工资明细202401_Sheet1!$B:$BC,52,FALSE),0)</f>
        <v>0</v>
      </c>
      <c r="S116">
        <f>IFERROR(VLOOKUP(B116,工资明细202401_Sheet1!$B:$BC,53,FALSE),0)</f>
        <v>-1885</v>
      </c>
      <c r="T116">
        <f>IFERROR(VLOOKUP(B116,工资明细202401_Sheet1!$B:$BC,54,FALSE),0)</f>
        <v>16609.43</v>
      </c>
    </row>
    <row r="117" spans="1:20" x14ac:dyDescent="0.15">
      <c r="A117">
        <v>116</v>
      </c>
      <c r="B117" t="s">
        <v>135</v>
      </c>
      <c r="C117">
        <f>IFERROR(VLOOKUP(B117,工资明细202401_Sheet1!$B:$BC,37,FALSE),0)</f>
        <v>21042</v>
      </c>
      <c r="D117">
        <f>IFERROR(VLOOKUP(B117,工资明细202401_Sheet1!$B:$BC,38,FALSE),0)</f>
        <v>0</v>
      </c>
      <c r="E117">
        <f>IFERROR(VLOOKUP(B117,工资明细202401_Sheet1!$B:$BC,39,FALSE),0)</f>
        <v>0</v>
      </c>
      <c r="F117">
        <f>IFERROR(VLOOKUP(B117,工资明细202401_Sheet1!$B:$BC,40,FALSE),0)</f>
        <v>0</v>
      </c>
      <c r="G117">
        <f>IFERROR(VLOOKUP(B117,工资明细202401_Sheet1!$B:$BC,41,FALSE),0)</f>
        <v>-199.92</v>
      </c>
      <c r="H117">
        <f>IFERROR(VLOOKUP(B117,工资明细202401_Sheet1!$B:$BC,42,FALSE),0)</f>
        <v>0</v>
      </c>
      <c r="I117">
        <f>IFERROR(VLOOKUP(B117,工资明细202401_Sheet1!$B:$BC,43,FALSE),0)</f>
        <v>-30</v>
      </c>
      <c r="J117">
        <f>IFERROR(VLOOKUP(B117,工资明细202401_Sheet1!$B:$BC,44,FALSE),0)</f>
        <v>-1000</v>
      </c>
      <c r="K117">
        <f>IFERROR(VLOOKUP(B117,工资明细202401_Sheet1!$B:$BC,45,FALSE),0)</f>
        <v>-1923.36</v>
      </c>
      <c r="L117">
        <f>IFERROR(VLOOKUP(B117,工资明细202401_Sheet1!$B:$BC,46,FALSE),0)</f>
        <v>-480.84</v>
      </c>
      <c r="M117">
        <f>IFERROR(VLOOKUP(B117,工资明细202401_Sheet1!$B:$BC,47,FALSE),0)</f>
        <v>-120.21</v>
      </c>
      <c r="N117">
        <f>IFERROR(VLOOKUP(B117,工资明细202401_Sheet1!$B:$BC,48,FALSE),0)</f>
        <v>-5</v>
      </c>
      <c r="O117">
        <f>IFERROR(VLOOKUP(B117,工资明细202401_Sheet1!$B:$BC,49,FALSE),0)</f>
        <v>-300.72000000000003</v>
      </c>
      <c r="P117">
        <f>IFERROR(VLOOKUP(B117,工资明细202401_Sheet1!$B:$BC,50,FALSE),0)</f>
        <v>0</v>
      </c>
      <c r="Q117">
        <f>IFERROR(VLOOKUP(B117,工资明细202401_Sheet1!$B:$BC,51,FALSE),0)</f>
        <v>-18.79</v>
      </c>
      <c r="R117">
        <f>IFERROR(VLOOKUP(B117,工资明细202401_Sheet1!$B:$BC,52,FALSE),0)</f>
        <v>0</v>
      </c>
      <c r="S117">
        <f>IFERROR(VLOOKUP(B117,工资明细202401_Sheet1!$B:$BC,53,FALSE),0)</f>
        <v>-2029</v>
      </c>
      <c r="T117">
        <f>IFERROR(VLOOKUP(B117,工资明细202401_Sheet1!$B:$BC,54,FALSE),0)</f>
        <v>14934.16</v>
      </c>
    </row>
    <row r="118" spans="1:20" x14ac:dyDescent="0.15">
      <c r="A118">
        <v>117</v>
      </c>
      <c r="B118" t="s">
        <v>136</v>
      </c>
      <c r="C118">
        <f>IFERROR(VLOOKUP(B118,工资明细202401_Sheet1!$B:$BC,37,FALSE),0)</f>
        <v>18442</v>
      </c>
      <c r="D118">
        <f>IFERROR(VLOOKUP(B118,工资明细202401_Sheet1!$B:$BC,38,FALSE),0)</f>
        <v>0</v>
      </c>
      <c r="E118">
        <f>IFERROR(VLOOKUP(B118,工资明细202401_Sheet1!$B:$BC,39,FALSE),0)</f>
        <v>0</v>
      </c>
      <c r="F118">
        <f>IFERROR(VLOOKUP(B118,工资明细202401_Sheet1!$B:$BC,40,FALSE),0)</f>
        <v>0</v>
      </c>
      <c r="G118">
        <f>IFERROR(VLOOKUP(B118,工资明细202401_Sheet1!$B:$BC,41,FALSE),0)</f>
        <v>-228.98</v>
      </c>
      <c r="H118">
        <f>IFERROR(VLOOKUP(B118,工资明细202401_Sheet1!$B:$BC,42,FALSE),0)</f>
        <v>0</v>
      </c>
      <c r="I118">
        <f>IFERROR(VLOOKUP(B118,工资明细202401_Sheet1!$B:$BC,43,FALSE),0)</f>
        <v>-30</v>
      </c>
      <c r="J118">
        <f>IFERROR(VLOOKUP(B118,工资明细202401_Sheet1!$B:$BC,44,FALSE),0)</f>
        <v>0</v>
      </c>
      <c r="K118">
        <f>IFERROR(VLOOKUP(B118,工资明细202401_Sheet1!$B:$BC,45,FALSE),0)</f>
        <v>-1701.28</v>
      </c>
      <c r="L118">
        <f>IFERROR(VLOOKUP(B118,工资明细202401_Sheet1!$B:$BC,46,FALSE),0)</f>
        <v>-425.32</v>
      </c>
      <c r="M118">
        <f>IFERROR(VLOOKUP(B118,工资明细202401_Sheet1!$B:$BC,47,FALSE),0)</f>
        <v>-106.33</v>
      </c>
      <c r="N118">
        <f>IFERROR(VLOOKUP(B118,工资明细202401_Sheet1!$B:$BC,48,FALSE),0)</f>
        <v>-5</v>
      </c>
      <c r="O118">
        <f>IFERROR(VLOOKUP(B118,工资明细202401_Sheet1!$B:$BC,49,FALSE),0)</f>
        <v>-298.56</v>
      </c>
      <c r="P118">
        <f>IFERROR(VLOOKUP(B118,工资明细202401_Sheet1!$B:$BC,50,FALSE),0)</f>
        <v>0</v>
      </c>
      <c r="Q118">
        <f>IFERROR(VLOOKUP(B118,工资明细202401_Sheet1!$B:$BC,51,FALSE),0)</f>
        <v>-18.66</v>
      </c>
      <c r="R118">
        <f>IFERROR(VLOOKUP(B118,工资明细202401_Sheet1!$B:$BC,52,FALSE),0)</f>
        <v>0</v>
      </c>
      <c r="S118">
        <f>IFERROR(VLOOKUP(B118,工资明细202401_Sheet1!$B:$BC,53,FALSE),0)</f>
        <v>-1754</v>
      </c>
      <c r="T118">
        <f>IFERROR(VLOOKUP(B118,工资明细202401_Sheet1!$B:$BC,54,FALSE),0)</f>
        <v>13873.87</v>
      </c>
    </row>
    <row r="119" spans="1:20" x14ac:dyDescent="0.15">
      <c r="A119">
        <v>118</v>
      </c>
      <c r="B119" t="s">
        <v>137</v>
      </c>
      <c r="C119">
        <f>IFERROR(VLOOKUP(B119,工资明细202401_Sheet1!$B:$BC,37,FALSE),0)</f>
        <v>19806</v>
      </c>
      <c r="D119">
        <f>IFERROR(VLOOKUP(B119,工资明细202401_Sheet1!$B:$BC,38,FALSE),0)</f>
        <v>0</v>
      </c>
      <c r="E119">
        <f>IFERROR(VLOOKUP(B119,工资明细202401_Sheet1!$B:$BC,39,FALSE),0)</f>
        <v>0</v>
      </c>
      <c r="F119">
        <f>IFERROR(VLOOKUP(B119,工资明细202401_Sheet1!$B:$BC,40,FALSE),0)</f>
        <v>0</v>
      </c>
      <c r="G119">
        <f>IFERROR(VLOOKUP(B119,工资明细202401_Sheet1!$B:$BC,41,FALSE),0)</f>
        <v>-268.39999999999998</v>
      </c>
      <c r="H119">
        <f>IFERROR(VLOOKUP(B119,工资明细202401_Sheet1!$B:$BC,42,FALSE),0)</f>
        <v>0</v>
      </c>
      <c r="I119">
        <f>IFERROR(VLOOKUP(B119,工资明细202401_Sheet1!$B:$BC,43,FALSE),0)</f>
        <v>-30</v>
      </c>
      <c r="J119">
        <f>IFERROR(VLOOKUP(B119,工资明细202401_Sheet1!$B:$BC,44,FALSE),0)</f>
        <v>-1000</v>
      </c>
      <c r="K119">
        <f>IFERROR(VLOOKUP(B119,工资明细202401_Sheet1!$B:$BC,45,FALSE),0)</f>
        <v>-1728</v>
      </c>
      <c r="L119">
        <f>IFERROR(VLOOKUP(B119,工资明细202401_Sheet1!$B:$BC,46,FALSE),0)</f>
        <v>-432</v>
      </c>
      <c r="M119">
        <f>IFERROR(VLOOKUP(B119,工资明细202401_Sheet1!$B:$BC,47,FALSE),0)</f>
        <v>-108</v>
      </c>
      <c r="N119">
        <f>IFERROR(VLOOKUP(B119,工资明细202401_Sheet1!$B:$BC,48,FALSE),0)</f>
        <v>-5</v>
      </c>
      <c r="O119">
        <f>IFERROR(VLOOKUP(B119,工资明细202401_Sheet1!$B:$BC,49,FALSE),0)</f>
        <v>-395.68</v>
      </c>
      <c r="P119">
        <f>IFERROR(VLOOKUP(B119,工资明细202401_Sheet1!$B:$BC,50,FALSE),0)</f>
        <v>0</v>
      </c>
      <c r="Q119">
        <f>IFERROR(VLOOKUP(B119,工资明细202401_Sheet1!$B:$BC,51,FALSE),0)</f>
        <v>-24.73</v>
      </c>
      <c r="R119">
        <f>IFERROR(VLOOKUP(B119,工资明细202401_Sheet1!$B:$BC,52,FALSE),0)</f>
        <v>0</v>
      </c>
      <c r="S119">
        <f>IFERROR(VLOOKUP(B119,工资明细202401_Sheet1!$B:$BC,53,FALSE),0)</f>
        <v>-1666</v>
      </c>
      <c r="T119">
        <f>IFERROR(VLOOKUP(B119,工资明细202401_Sheet1!$B:$BC,54,FALSE),0)</f>
        <v>14148.19</v>
      </c>
    </row>
    <row r="120" spans="1:20" x14ac:dyDescent="0.15">
      <c r="A120">
        <v>119</v>
      </c>
      <c r="B120" t="s">
        <v>138</v>
      </c>
      <c r="C120">
        <f>IFERROR(VLOOKUP(B120,工资明细202401_Sheet1!$B:$BC,37,FALSE),0)</f>
        <v>28410</v>
      </c>
      <c r="D120">
        <f>IFERROR(VLOOKUP(B120,工资明细202401_Sheet1!$B:$BC,38,FALSE),0)</f>
        <v>0</v>
      </c>
      <c r="E120">
        <f>IFERROR(VLOOKUP(B120,工资明细202401_Sheet1!$B:$BC,39,FALSE),0)</f>
        <v>0</v>
      </c>
      <c r="F120">
        <f>IFERROR(VLOOKUP(B120,工资明细202401_Sheet1!$B:$BC,40,FALSE),0)</f>
        <v>0</v>
      </c>
      <c r="G120">
        <f>IFERROR(VLOOKUP(B120,工资明细202401_Sheet1!$B:$BC,41,FALSE),0)</f>
        <v>-415.94</v>
      </c>
      <c r="H120">
        <f>IFERROR(VLOOKUP(B120,工资明细202401_Sheet1!$B:$BC,42,FALSE),0)</f>
        <v>0</v>
      </c>
      <c r="I120">
        <f>IFERROR(VLOOKUP(B120,工资明细202401_Sheet1!$B:$BC,43,FALSE),0)</f>
        <v>-30</v>
      </c>
      <c r="J120">
        <f>IFERROR(VLOOKUP(B120,工资明细202401_Sheet1!$B:$BC,44,FALSE),0)</f>
        <v>0</v>
      </c>
      <c r="K120">
        <f>IFERROR(VLOOKUP(B120,工资明细202401_Sheet1!$B:$BC,45,FALSE),0)</f>
        <v>-1923.36</v>
      </c>
      <c r="L120">
        <f>IFERROR(VLOOKUP(B120,工资明细202401_Sheet1!$B:$BC,46,FALSE),0)</f>
        <v>-480.84</v>
      </c>
      <c r="M120">
        <f>IFERROR(VLOOKUP(B120,工资明细202401_Sheet1!$B:$BC,47,FALSE),0)</f>
        <v>-120.21</v>
      </c>
      <c r="N120">
        <f>IFERROR(VLOOKUP(B120,工资明细202401_Sheet1!$B:$BC,48,FALSE),0)</f>
        <v>-5</v>
      </c>
      <c r="O120">
        <f>IFERROR(VLOOKUP(B120,工资明细202401_Sheet1!$B:$BC,49,FALSE),0)</f>
        <v>0</v>
      </c>
      <c r="P120">
        <f>IFERROR(VLOOKUP(B120,工资明细202401_Sheet1!$B:$BC,50,FALSE),0)</f>
        <v>0</v>
      </c>
      <c r="Q120">
        <f>IFERROR(VLOOKUP(B120,工资明细202401_Sheet1!$B:$BC,51,FALSE),0)</f>
        <v>0</v>
      </c>
      <c r="R120">
        <f>IFERROR(VLOOKUP(B120,工资明细202401_Sheet1!$B:$BC,52,FALSE),0)</f>
        <v>0</v>
      </c>
      <c r="S120">
        <f>IFERROR(VLOOKUP(B120,工资明细202401_Sheet1!$B:$BC,53,FALSE),0)</f>
        <v>-2516</v>
      </c>
      <c r="T120">
        <f>IFERROR(VLOOKUP(B120,工资明细202401_Sheet1!$B:$BC,54,FALSE),0)</f>
        <v>22918.65</v>
      </c>
    </row>
    <row r="121" spans="1:20" x14ac:dyDescent="0.15">
      <c r="A121">
        <v>120</v>
      </c>
      <c r="B121" t="s">
        <v>139</v>
      </c>
      <c r="C121">
        <f>IFERROR(VLOOKUP(B121,工资明细202401_Sheet1!$B:$BC,37,FALSE),0)</f>
        <v>27736.52</v>
      </c>
      <c r="D121">
        <f>IFERROR(VLOOKUP(B121,工资明细202401_Sheet1!$B:$BC,38,FALSE),0)</f>
        <v>0</v>
      </c>
      <c r="E121">
        <f>IFERROR(VLOOKUP(B121,工资明细202401_Sheet1!$B:$BC,39,FALSE),0)</f>
        <v>0</v>
      </c>
      <c r="F121">
        <f>IFERROR(VLOOKUP(B121,工资明细202401_Sheet1!$B:$BC,40,FALSE),0)</f>
        <v>0</v>
      </c>
      <c r="G121">
        <f>IFERROR(VLOOKUP(B121,工资明细202401_Sheet1!$B:$BC,41,FALSE),0)</f>
        <v>-383.82</v>
      </c>
      <c r="H121">
        <f>IFERROR(VLOOKUP(B121,工资明细202401_Sheet1!$B:$BC,42,FALSE),0)</f>
        <v>0</v>
      </c>
      <c r="I121">
        <f>IFERROR(VLOOKUP(B121,工资明细202401_Sheet1!$B:$BC,43,FALSE),0)</f>
        <v>-30</v>
      </c>
      <c r="J121">
        <f>IFERROR(VLOOKUP(B121,工资明细202401_Sheet1!$B:$BC,44,FALSE),0)</f>
        <v>-1000</v>
      </c>
      <c r="K121">
        <f>IFERROR(VLOOKUP(B121,工资明细202401_Sheet1!$B:$BC,45,FALSE),0)</f>
        <v>-1923.36</v>
      </c>
      <c r="L121">
        <f>IFERROR(VLOOKUP(B121,工资明细202401_Sheet1!$B:$BC,46,FALSE),0)</f>
        <v>-480.84</v>
      </c>
      <c r="M121">
        <f>IFERROR(VLOOKUP(B121,工资明细202401_Sheet1!$B:$BC,47,FALSE),0)</f>
        <v>-120.21</v>
      </c>
      <c r="N121">
        <f>IFERROR(VLOOKUP(B121,工资明细202401_Sheet1!$B:$BC,48,FALSE),0)</f>
        <v>-5</v>
      </c>
      <c r="O121">
        <f>IFERROR(VLOOKUP(B121,工资明细202401_Sheet1!$B:$BC,49,FALSE),0)</f>
        <v>0</v>
      </c>
      <c r="P121">
        <f>IFERROR(VLOOKUP(B121,工资明细202401_Sheet1!$B:$BC,50,FALSE),0)</f>
        <v>0</v>
      </c>
      <c r="Q121">
        <f>IFERROR(VLOOKUP(B121,工资明细202401_Sheet1!$B:$BC,51,FALSE),0)</f>
        <v>0</v>
      </c>
      <c r="R121">
        <f>IFERROR(VLOOKUP(B121,工资明细202401_Sheet1!$B:$BC,52,FALSE),0)</f>
        <v>0</v>
      </c>
      <c r="S121">
        <f>IFERROR(VLOOKUP(B121,工资明细202401_Sheet1!$B:$BC,53,FALSE),0)</f>
        <v>-2413</v>
      </c>
      <c r="T121">
        <f>IFERROR(VLOOKUP(B121,工资明细202401_Sheet1!$B:$BC,54,FALSE),0)</f>
        <v>21380.29</v>
      </c>
    </row>
    <row r="122" spans="1:20" x14ac:dyDescent="0.15">
      <c r="A122">
        <v>121</v>
      </c>
      <c r="B122" t="s">
        <v>140</v>
      </c>
      <c r="C122">
        <f>IFERROR(VLOOKUP(B122,工资明细202401_Sheet1!$B:$BC,37,FALSE),0)</f>
        <v>27570</v>
      </c>
      <c r="D122">
        <f>IFERROR(VLOOKUP(B122,工资明细202401_Sheet1!$B:$BC,38,FALSE),0)</f>
        <v>0</v>
      </c>
      <c r="E122">
        <f>IFERROR(VLOOKUP(B122,工资明细202401_Sheet1!$B:$BC,39,FALSE),0)</f>
        <v>0</v>
      </c>
      <c r="F122">
        <f>IFERROR(VLOOKUP(B122,工资明细202401_Sheet1!$B:$BC,40,FALSE),0)</f>
        <v>0</v>
      </c>
      <c r="G122">
        <f>IFERROR(VLOOKUP(B122,工资明细202401_Sheet1!$B:$BC,41,FALSE),0)</f>
        <v>-419.21</v>
      </c>
      <c r="H122">
        <f>IFERROR(VLOOKUP(B122,工资明细202401_Sheet1!$B:$BC,42,FALSE),0)</f>
        <v>0</v>
      </c>
      <c r="I122">
        <f>IFERROR(VLOOKUP(B122,工资明细202401_Sheet1!$B:$BC,43,FALSE),0)</f>
        <v>-30</v>
      </c>
      <c r="J122">
        <f>IFERROR(VLOOKUP(B122,工资明细202401_Sheet1!$B:$BC,44,FALSE),0)</f>
        <v>-1000</v>
      </c>
      <c r="K122">
        <f>IFERROR(VLOOKUP(B122,工资明细202401_Sheet1!$B:$BC,45,FALSE),0)</f>
        <v>-1923.36</v>
      </c>
      <c r="L122">
        <f>IFERROR(VLOOKUP(B122,工资明细202401_Sheet1!$B:$BC,46,FALSE),0)</f>
        <v>-480.84</v>
      </c>
      <c r="M122">
        <f>IFERROR(VLOOKUP(B122,工资明细202401_Sheet1!$B:$BC,47,FALSE),0)</f>
        <v>-120.21</v>
      </c>
      <c r="N122">
        <f>IFERROR(VLOOKUP(B122,工资明细202401_Sheet1!$B:$BC,48,FALSE),0)</f>
        <v>-5</v>
      </c>
      <c r="O122">
        <f>IFERROR(VLOOKUP(B122,工资明细202401_Sheet1!$B:$BC,49,FALSE),0)</f>
        <v>0</v>
      </c>
      <c r="P122">
        <f>IFERROR(VLOOKUP(B122,工资明细202401_Sheet1!$B:$BC,50,FALSE),0)</f>
        <v>0</v>
      </c>
      <c r="Q122">
        <f>IFERROR(VLOOKUP(B122,工资明细202401_Sheet1!$B:$BC,51,FALSE),0)</f>
        <v>0</v>
      </c>
      <c r="R122">
        <f>IFERROR(VLOOKUP(B122,工资明细202401_Sheet1!$B:$BC,52,FALSE),0)</f>
        <v>0</v>
      </c>
      <c r="S122">
        <f>IFERROR(VLOOKUP(B122,工资明细202401_Sheet1!$B:$BC,53,FALSE),0)</f>
        <v>-2567</v>
      </c>
      <c r="T122">
        <f>IFERROR(VLOOKUP(B122,工资明细202401_Sheet1!$B:$BC,54,FALSE),0)</f>
        <v>21024.38</v>
      </c>
    </row>
    <row r="123" spans="1:20" x14ac:dyDescent="0.15">
      <c r="A123">
        <v>122</v>
      </c>
      <c r="B123" t="s">
        <v>141</v>
      </c>
      <c r="C123">
        <f>IFERROR(VLOOKUP(B123,工资明细202401_Sheet1!$B:$BC,37,FALSE),0)</f>
        <v>31658</v>
      </c>
      <c r="D123">
        <f>IFERROR(VLOOKUP(B123,工资明细202401_Sheet1!$B:$BC,38,FALSE),0)</f>
        <v>0</v>
      </c>
      <c r="E123">
        <f>IFERROR(VLOOKUP(B123,工资明细202401_Sheet1!$B:$BC,39,FALSE),0)</f>
        <v>0</v>
      </c>
      <c r="F123">
        <f>IFERROR(VLOOKUP(B123,工资明细202401_Sheet1!$B:$BC,40,FALSE),0)</f>
        <v>0</v>
      </c>
      <c r="G123">
        <f>IFERROR(VLOOKUP(B123,工资明细202401_Sheet1!$B:$BC,41,FALSE),0)</f>
        <v>-920.03</v>
      </c>
      <c r="H123">
        <f>IFERROR(VLOOKUP(B123,工资明细202401_Sheet1!$B:$BC,42,FALSE),0)</f>
        <v>0</v>
      </c>
      <c r="I123">
        <f>IFERROR(VLOOKUP(B123,工资明细202401_Sheet1!$B:$BC,43,FALSE),0)</f>
        <v>-30</v>
      </c>
      <c r="J123">
        <f>IFERROR(VLOOKUP(B123,工资明细202401_Sheet1!$B:$BC,44,FALSE),0)</f>
        <v>0</v>
      </c>
      <c r="K123">
        <f>IFERROR(VLOOKUP(B123,工资明细202401_Sheet1!$B:$BC,45,FALSE),0)</f>
        <v>-1923.36</v>
      </c>
      <c r="L123">
        <f>IFERROR(VLOOKUP(B123,工资明细202401_Sheet1!$B:$BC,46,FALSE),0)</f>
        <v>-480.84</v>
      </c>
      <c r="M123">
        <f>IFERROR(VLOOKUP(B123,工资明细202401_Sheet1!$B:$BC,47,FALSE),0)</f>
        <v>-120.21</v>
      </c>
      <c r="N123">
        <f>IFERROR(VLOOKUP(B123,工资明细202401_Sheet1!$B:$BC,48,FALSE),0)</f>
        <v>-5</v>
      </c>
      <c r="O123">
        <f>IFERROR(VLOOKUP(B123,工资明细202401_Sheet1!$B:$BC,49,FALSE),0)</f>
        <v>0</v>
      </c>
      <c r="P123">
        <f>IFERROR(VLOOKUP(B123,工资明细202401_Sheet1!$B:$BC,50,FALSE),0)</f>
        <v>0</v>
      </c>
      <c r="Q123">
        <f>IFERROR(VLOOKUP(B123,工资明细202401_Sheet1!$B:$BC,51,FALSE),0)</f>
        <v>0</v>
      </c>
      <c r="R123">
        <f>IFERROR(VLOOKUP(B123,工资明细202401_Sheet1!$B:$BC,52,FALSE),0)</f>
        <v>0</v>
      </c>
      <c r="S123">
        <f>IFERROR(VLOOKUP(B123,工资明细202401_Sheet1!$B:$BC,53,FALSE),0)</f>
        <v>-3231</v>
      </c>
      <c r="T123">
        <f>IFERROR(VLOOKUP(B123,工资明细202401_Sheet1!$B:$BC,54,FALSE),0)</f>
        <v>24947.56</v>
      </c>
    </row>
    <row r="124" spans="1:20" x14ac:dyDescent="0.15">
      <c r="A124">
        <v>123</v>
      </c>
      <c r="B124" t="s">
        <v>142</v>
      </c>
      <c r="C124">
        <f>IFERROR(VLOOKUP(B124,工资明细202401_Sheet1!$B:$BC,37,FALSE),0)</f>
        <v>39962</v>
      </c>
      <c r="D124">
        <f>IFERROR(VLOOKUP(B124,工资明细202401_Sheet1!$B:$BC,38,FALSE),0)</f>
        <v>0</v>
      </c>
      <c r="E124">
        <f>IFERROR(VLOOKUP(B124,工资明细202401_Sheet1!$B:$BC,39,FALSE),0)</f>
        <v>0</v>
      </c>
      <c r="F124">
        <f>IFERROR(VLOOKUP(B124,工资明细202401_Sheet1!$B:$BC,40,FALSE),0)</f>
        <v>0</v>
      </c>
      <c r="G124">
        <f>IFERROR(VLOOKUP(B124,工资明细202401_Sheet1!$B:$BC,41,FALSE),0)</f>
        <v>-1505.7</v>
      </c>
      <c r="H124">
        <f>IFERROR(VLOOKUP(B124,工资明细202401_Sheet1!$B:$BC,42,FALSE),0)</f>
        <v>0</v>
      </c>
      <c r="I124">
        <f>IFERROR(VLOOKUP(B124,工资明细202401_Sheet1!$B:$BC,43,FALSE),0)</f>
        <v>-30</v>
      </c>
      <c r="J124">
        <f>IFERROR(VLOOKUP(B124,工资明细202401_Sheet1!$B:$BC,44,FALSE),0)</f>
        <v>0</v>
      </c>
      <c r="K124">
        <f>IFERROR(VLOOKUP(B124,工资明细202401_Sheet1!$B:$BC,45,FALSE),0)</f>
        <v>-1923.36</v>
      </c>
      <c r="L124">
        <f>IFERROR(VLOOKUP(B124,工资明细202401_Sheet1!$B:$BC,46,FALSE),0)</f>
        <v>-480.84</v>
      </c>
      <c r="M124">
        <f>IFERROR(VLOOKUP(B124,工资明细202401_Sheet1!$B:$BC,47,FALSE),0)</f>
        <v>-120.21</v>
      </c>
      <c r="N124">
        <f>IFERROR(VLOOKUP(B124,工资明细202401_Sheet1!$B:$BC,48,FALSE),0)</f>
        <v>-5</v>
      </c>
      <c r="O124">
        <f>IFERROR(VLOOKUP(B124,工资明细202401_Sheet1!$B:$BC,49,FALSE),0)</f>
        <v>0</v>
      </c>
      <c r="P124">
        <f>IFERROR(VLOOKUP(B124,工资明细202401_Sheet1!$B:$BC,50,FALSE),0)</f>
        <v>0</v>
      </c>
      <c r="Q124">
        <f>IFERROR(VLOOKUP(B124,工资明细202401_Sheet1!$B:$BC,51,FALSE),0)</f>
        <v>0</v>
      </c>
      <c r="R124">
        <f>IFERROR(VLOOKUP(B124,工资明细202401_Sheet1!$B:$BC,52,FALSE),0)</f>
        <v>0</v>
      </c>
      <c r="S124">
        <f>IFERROR(VLOOKUP(B124,工资明细202401_Sheet1!$B:$BC,53,FALSE),0)</f>
        <v>-3300</v>
      </c>
      <c r="T124">
        <f>IFERROR(VLOOKUP(B124,工资明细202401_Sheet1!$B:$BC,54,FALSE),0)</f>
        <v>32596.89</v>
      </c>
    </row>
    <row r="125" spans="1:20" x14ac:dyDescent="0.15">
      <c r="A125">
        <v>124</v>
      </c>
      <c r="B125" t="s">
        <v>143</v>
      </c>
      <c r="C125">
        <f>IFERROR(VLOOKUP(B125,工资明细202401_Sheet1!$B:$BC,37,FALSE),0)</f>
        <v>56136.36</v>
      </c>
      <c r="D125">
        <f>IFERROR(VLOOKUP(B125,工资明细202401_Sheet1!$B:$BC,38,FALSE),0)</f>
        <v>0</v>
      </c>
      <c r="E125">
        <f>IFERROR(VLOOKUP(B125,工资明细202401_Sheet1!$B:$BC,39,FALSE),0)</f>
        <v>0</v>
      </c>
      <c r="F125">
        <f>IFERROR(VLOOKUP(B125,工资明细202401_Sheet1!$B:$BC,40,FALSE),0)</f>
        <v>0</v>
      </c>
      <c r="G125">
        <f>IFERROR(VLOOKUP(B125,工资明细202401_Sheet1!$B:$BC,41,FALSE),0)</f>
        <v>-5113.6400000000003</v>
      </c>
      <c r="H125">
        <f>IFERROR(VLOOKUP(B125,工资明细202401_Sheet1!$B:$BC,42,FALSE),0)</f>
        <v>0</v>
      </c>
      <c r="I125">
        <f>IFERROR(VLOOKUP(B125,工资明细202401_Sheet1!$B:$BC,43,FALSE),0)</f>
        <v>-30</v>
      </c>
      <c r="J125">
        <f>IFERROR(VLOOKUP(B125,工资明细202401_Sheet1!$B:$BC,44,FALSE),0)</f>
        <v>0</v>
      </c>
      <c r="K125">
        <f>IFERROR(VLOOKUP(B125,工资明细202401_Sheet1!$B:$BC,45,FALSE),0)</f>
        <v>0</v>
      </c>
      <c r="L125">
        <f>IFERROR(VLOOKUP(B125,工资明细202401_Sheet1!$B:$BC,46,FALSE),0)</f>
        <v>0</v>
      </c>
      <c r="M125">
        <f>IFERROR(VLOOKUP(B125,工资明细202401_Sheet1!$B:$BC,47,FALSE),0)</f>
        <v>0</v>
      </c>
      <c r="N125">
        <f>IFERROR(VLOOKUP(B125,工资明细202401_Sheet1!$B:$BC,48,FALSE),0)</f>
        <v>0</v>
      </c>
      <c r="O125">
        <f>IFERROR(VLOOKUP(B125,工资明细202401_Sheet1!$B:$BC,49,FALSE),0)</f>
        <v>0</v>
      </c>
      <c r="P125">
        <f>IFERROR(VLOOKUP(B125,工资明细202401_Sheet1!$B:$BC,50,FALSE),0)</f>
        <v>0</v>
      </c>
      <c r="Q125">
        <f>IFERROR(VLOOKUP(B125,工资明细202401_Sheet1!$B:$BC,51,FALSE),0)</f>
        <v>0</v>
      </c>
      <c r="R125">
        <f>IFERROR(VLOOKUP(B125,工资明细202401_Sheet1!$B:$BC,52,FALSE),0)</f>
        <v>0</v>
      </c>
      <c r="S125">
        <f>IFERROR(VLOOKUP(B125,工资明细202401_Sheet1!$B:$BC,53,FALSE),0)</f>
        <v>0</v>
      </c>
      <c r="T125">
        <f>IFERROR(VLOOKUP(B125,工资明细202401_Sheet1!$B:$BC,54,FALSE),0)</f>
        <v>50992.72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8"/>
  <sheetViews>
    <sheetView workbookViewId="0"/>
  </sheetViews>
  <sheetFormatPr defaultRowHeight="13.5" x14ac:dyDescent="0.15"/>
  <sheetData>
    <row r="1" spans="1:9" x14ac:dyDescent="0.15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 x14ac:dyDescent="0.15">
      <c r="D2" t="s">
        <v>153</v>
      </c>
      <c r="E2" t="s">
        <v>154</v>
      </c>
      <c r="F2" t="s">
        <v>155</v>
      </c>
      <c r="G2" t="s">
        <v>156</v>
      </c>
      <c r="H2" t="s">
        <v>157</v>
      </c>
    </row>
    <row r="3" spans="1:9" x14ac:dyDescent="0.15">
      <c r="A3" t="s">
        <v>20</v>
      </c>
      <c r="B3" t="s">
        <v>158</v>
      </c>
      <c r="C3" t="s">
        <v>159</v>
      </c>
      <c r="D3" t="s">
        <v>160</v>
      </c>
      <c r="E3" t="s">
        <v>159</v>
      </c>
      <c r="F3" t="s">
        <v>161</v>
      </c>
      <c r="G3" t="s">
        <v>162</v>
      </c>
      <c r="H3" t="s">
        <v>162</v>
      </c>
      <c r="I3" t="s">
        <v>163</v>
      </c>
    </row>
    <row r="4" spans="1:9" x14ac:dyDescent="0.15">
      <c r="A4" t="s">
        <v>139</v>
      </c>
      <c r="B4" t="s">
        <v>158</v>
      </c>
      <c r="C4" t="s">
        <v>159</v>
      </c>
      <c r="D4" t="s">
        <v>160</v>
      </c>
      <c r="E4" t="s">
        <v>159</v>
      </c>
      <c r="F4" t="s">
        <v>161</v>
      </c>
      <c r="G4" t="s">
        <v>162</v>
      </c>
      <c r="H4" t="s">
        <v>162</v>
      </c>
      <c r="I4" t="s">
        <v>163</v>
      </c>
    </row>
    <row r="5" spans="1:9" x14ac:dyDescent="0.15">
      <c r="A5" t="s">
        <v>122</v>
      </c>
      <c r="B5" t="s">
        <v>158</v>
      </c>
      <c r="C5" t="s">
        <v>159</v>
      </c>
      <c r="D5" t="s">
        <v>160</v>
      </c>
      <c r="E5" t="s">
        <v>159</v>
      </c>
      <c r="F5" t="s">
        <v>161</v>
      </c>
      <c r="G5" t="s">
        <v>162</v>
      </c>
      <c r="H5" t="s">
        <v>162</v>
      </c>
      <c r="I5" t="s">
        <v>163</v>
      </c>
    </row>
    <row r="6" spans="1:9" x14ac:dyDescent="0.15">
      <c r="A6" t="s">
        <v>116</v>
      </c>
      <c r="B6" t="s">
        <v>158</v>
      </c>
      <c r="C6" t="s">
        <v>159</v>
      </c>
      <c r="D6" t="s">
        <v>160</v>
      </c>
      <c r="E6" t="s">
        <v>159</v>
      </c>
      <c r="F6" t="s">
        <v>161</v>
      </c>
      <c r="G6" t="s">
        <v>162</v>
      </c>
      <c r="H6" t="s">
        <v>162</v>
      </c>
      <c r="I6" t="s">
        <v>163</v>
      </c>
    </row>
    <row r="7" spans="1:9" x14ac:dyDescent="0.15">
      <c r="A7" t="s">
        <v>132</v>
      </c>
      <c r="B7" t="s">
        <v>158</v>
      </c>
      <c r="C7" t="s">
        <v>159</v>
      </c>
      <c r="D7" t="s">
        <v>160</v>
      </c>
      <c r="E7" t="s">
        <v>159</v>
      </c>
      <c r="F7" t="s">
        <v>161</v>
      </c>
      <c r="G7" t="s">
        <v>162</v>
      </c>
      <c r="H7" t="s">
        <v>162</v>
      </c>
      <c r="I7" t="s">
        <v>163</v>
      </c>
    </row>
    <row r="8" spans="1:9" x14ac:dyDescent="0.15">
      <c r="A8" t="s">
        <v>135</v>
      </c>
      <c r="B8" t="s">
        <v>158</v>
      </c>
      <c r="C8" t="s">
        <v>159</v>
      </c>
      <c r="D8" t="s">
        <v>160</v>
      </c>
      <c r="E8" t="s">
        <v>159</v>
      </c>
      <c r="F8" t="s">
        <v>161</v>
      </c>
      <c r="G8" t="s">
        <v>162</v>
      </c>
      <c r="H8" t="s">
        <v>162</v>
      </c>
      <c r="I8" t="s">
        <v>163</v>
      </c>
    </row>
    <row r="9" spans="1:9" x14ac:dyDescent="0.15">
      <c r="A9" t="s">
        <v>127</v>
      </c>
      <c r="B9" t="s">
        <v>158</v>
      </c>
      <c r="C9" t="s">
        <v>159</v>
      </c>
      <c r="D9" t="s">
        <v>160</v>
      </c>
      <c r="E9" t="s">
        <v>159</v>
      </c>
      <c r="F9" t="s">
        <v>161</v>
      </c>
      <c r="G9" t="s">
        <v>162</v>
      </c>
      <c r="H9" t="s">
        <v>162</v>
      </c>
      <c r="I9" t="s">
        <v>163</v>
      </c>
    </row>
    <row r="10" spans="1:9" x14ac:dyDescent="0.15">
      <c r="A10" t="s">
        <v>21</v>
      </c>
      <c r="B10" t="s">
        <v>158</v>
      </c>
      <c r="C10" t="s">
        <v>159</v>
      </c>
      <c r="D10" t="s">
        <v>160</v>
      </c>
      <c r="E10" t="s">
        <v>159</v>
      </c>
      <c r="F10" t="s">
        <v>161</v>
      </c>
      <c r="G10" t="s">
        <v>162</v>
      </c>
      <c r="H10" t="s">
        <v>162</v>
      </c>
      <c r="I10" t="s">
        <v>163</v>
      </c>
    </row>
    <row r="11" spans="1:9" x14ac:dyDescent="0.15">
      <c r="A11" t="s">
        <v>133</v>
      </c>
      <c r="B11" t="s">
        <v>158</v>
      </c>
      <c r="C11" t="s">
        <v>159</v>
      </c>
      <c r="D11" t="s">
        <v>160</v>
      </c>
      <c r="E11" t="s">
        <v>159</v>
      </c>
      <c r="F11" t="s">
        <v>161</v>
      </c>
      <c r="G11" t="s">
        <v>162</v>
      </c>
      <c r="H11" t="s">
        <v>162</v>
      </c>
      <c r="I11" t="s">
        <v>163</v>
      </c>
    </row>
    <row r="12" spans="1:9" x14ac:dyDescent="0.15">
      <c r="A12" t="s">
        <v>121</v>
      </c>
      <c r="B12" t="s">
        <v>158</v>
      </c>
      <c r="C12" t="s">
        <v>159</v>
      </c>
      <c r="D12" t="s">
        <v>160</v>
      </c>
      <c r="E12" t="s">
        <v>159</v>
      </c>
      <c r="F12" t="s">
        <v>161</v>
      </c>
      <c r="G12" t="s">
        <v>162</v>
      </c>
      <c r="H12" t="s">
        <v>162</v>
      </c>
      <c r="I12" t="s">
        <v>163</v>
      </c>
    </row>
    <row r="13" spans="1:9" x14ac:dyDescent="0.15">
      <c r="A13" t="s">
        <v>131</v>
      </c>
      <c r="B13" t="s">
        <v>158</v>
      </c>
      <c r="C13" t="s">
        <v>159</v>
      </c>
      <c r="D13" t="s">
        <v>160</v>
      </c>
      <c r="E13" t="s">
        <v>159</v>
      </c>
      <c r="F13" t="s">
        <v>161</v>
      </c>
      <c r="G13" t="s">
        <v>162</v>
      </c>
      <c r="H13" t="s">
        <v>162</v>
      </c>
      <c r="I13" t="s">
        <v>163</v>
      </c>
    </row>
    <row r="14" spans="1:9" x14ac:dyDescent="0.15">
      <c r="A14" t="s">
        <v>138</v>
      </c>
      <c r="B14" t="s">
        <v>158</v>
      </c>
      <c r="C14" t="s">
        <v>159</v>
      </c>
      <c r="D14" t="s">
        <v>160</v>
      </c>
      <c r="E14" t="s">
        <v>159</v>
      </c>
      <c r="F14" t="s">
        <v>161</v>
      </c>
      <c r="G14" t="s">
        <v>162</v>
      </c>
      <c r="H14" t="s">
        <v>162</v>
      </c>
      <c r="I14" t="s">
        <v>163</v>
      </c>
    </row>
    <row r="15" spans="1:9" x14ac:dyDescent="0.15">
      <c r="A15" t="s">
        <v>119</v>
      </c>
      <c r="B15" t="s">
        <v>158</v>
      </c>
      <c r="C15" t="s">
        <v>159</v>
      </c>
      <c r="D15" t="s">
        <v>160</v>
      </c>
      <c r="E15" t="s">
        <v>159</v>
      </c>
      <c r="F15" t="s">
        <v>161</v>
      </c>
      <c r="G15" t="s">
        <v>162</v>
      </c>
      <c r="H15" t="s">
        <v>162</v>
      </c>
      <c r="I15" t="s">
        <v>163</v>
      </c>
    </row>
    <row r="16" spans="1:9" x14ac:dyDescent="0.15">
      <c r="A16" t="s">
        <v>125</v>
      </c>
      <c r="B16" t="s">
        <v>158</v>
      </c>
      <c r="C16" t="s">
        <v>159</v>
      </c>
      <c r="D16" t="s">
        <v>160</v>
      </c>
      <c r="E16" t="s">
        <v>159</v>
      </c>
      <c r="F16" t="s">
        <v>161</v>
      </c>
      <c r="G16" t="s">
        <v>162</v>
      </c>
      <c r="H16" t="s">
        <v>162</v>
      </c>
      <c r="I16" t="s">
        <v>163</v>
      </c>
    </row>
    <row r="17" spans="1:9" x14ac:dyDescent="0.15">
      <c r="A17" t="s">
        <v>114</v>
      </c>
      <c r="B17" t="s">
        <v>158</v>
      </c>
      <c r="C17" t="s">
        <v>159</v>
      </c>
      <c r="D17" t="s">
        <v>160</v>
      </c>
      <c r="E17" t="s">
        <v>159</v>
      </c>
      <c r="F17" t="s">
        <v>161</v>
      </c>
      <c r="G17" t="s">
        <v>162</v>
      </c>
      <c r="H17" t="s">
        <v>162</v>
      </c>
      <c r="I17" t="s">
        <v>163</v>
      </c>
    </row>
    <row r="18" spans="1:9" x14ac:dyDescent="0.15">
      <c r="A18" t="s">
        <v>136</v>
      </c>
      <c r="B18" t="s">
        <v>158</v>
      </c>
      <c r="C18" t="s">
        <v>164</v>
      </c>
      <c r="D18" t="s">
        <v>165</v>
      </c>
      <c r="E18" t="s">
        <v>164</v>
      </c>
      <c r="F18" t="s">
        <v>166</v>
      </c>
      <c r="G18" t="s">
        <v>162</v>
      </c>
      <c r="H18" t="s">
        <v>162</v>
      </c>
      <c r="I18" t="s">
        <v>163</v>
      </c>
    </row>
    <row r="19" spans="1:9" x14ac:dyDescent="0.15">
      <c r="A19" t="s">
        <v>22</v>
      </c>
      <c r="B19" t="s">
        <v>158</v>
      </c>
      <c r="C19" t="s">
        <v>167</v>
      </c>
      <c r="D19" t="s">
        <v>168</v>
      </c>
      <c r="E19" t="s">
        <v>167</v>
      </c>
      <c r="F19" t="s">
        <v>169</v>
      </c>
      <c r="G19" t="s">
        <v>162</v>
      </c>
      <c r="H19" t="s">
        <v>162</v>
      </c>
      <c r="I19" t="s">
        <v>163</v>
      </c>
    </row>
    <row r="20" spans="1:9" x14ac:dyDescent="0.15">
      <c r="A20" t="s">
        <v>23</v>
      </c>
      <c r="B20" t="s">
        <v>158</v>
      </c>
      <c r="C20" t="s">
        <v>170</v>
      </c>
      <c r="D20" t="s">
        <v>160</v>
      </c>
      <c r="E20" t="s">
        <v>170</v>
      </c>
      <c r="F20" t="s">
        <v>171</v>
      </c>
      <c r="G20" t="s">
        <v>162</v>
      </c>
      <c r="H20" t="s">
        <v>162</v>
      </c>
      <c r="I20" t="s">
        <v>163</v>
      </c>
    </row>
    <row r="21" spans="1:9" x14ac:dyDescent="0.15">
      <c r="A21" t="s">
        <v>117</v>
      </c>
      <c r="B21" t="s">
        <v>158</v>
      </c>
      <c r="C21" t="s">
        <v>170</v>
      </c>
      <c r="D21" t="s">
        <v>160</v>
      </c>
      <c r="E21" t="s">
        <v>170</v>
      </c>
      <c r="F21" t="s">
        <v>171</v>
      </c>
      <c r="G21" t="s">
        <v>162</v>
      </c>
      <c r="H21" t="s">
        <v>162</v>
      </c>
      <c r="I21" t="s">
        <v>163</v>
      </c>
    </row>
    <row r="22" spans="1:9" x14ac:dyDescent="0.15">
      <c r="A22" t="s">
        <v>24</v>
      </c>
      <c r="B22" t="s">
        <v>158</v>
      </c>
      <c r="C22" t="s">
        <v>170</v>
      </c>
      <c r="D22" t="s">
        <v>160</v>
      </c>
      <c r="E22" t="s">
        <v>170</v>
      </c>
      <c r="F22" t="s">
        <v>171</v>
      </c>
      <c r="G22" t="s">
        <v>162</v>
      </c>
      <c r="H22" t="s">
        <v>162</v>
      </c>
      <c r="I22" t="s">
        <v>163</v>
      </c>
    </row>
    <row r="23" spans="1:9" x14ac:dyDescent="0.15">
      <c r="A23" t="s">
        <v>128</v>
      </c>
      <c r="B23" t="s">
        <v>158</v>
      </c>
      <c r="C23" t="s">
        <v>172</v>
      </c>
      <c r="D23" t="s">
        <v>173</v>
      </c>
      <c r="E23" t="s">
        <v>172</v>
      </c>
      <c r="F23" t="s">
        <v>174</v>
      </c>
      <c r="G23" t="s">
        <v>162</v>
      </c>
      <c r="H23" t="s">
        <v>162</v>
      </c>
      <c r="I23" t="s">
        <v>163</v>
      </c>
    </row>
    <row r="24" spans="1:9" x14ac:dyDescent="0.15">
      <c r="A24" t="s">
        <v>126</v>
      </c>
      <c r="B24" t="s">
        <v>158</v>
      </c>
      <c r="C24" t="s">
        <v>175</v>
      </c>
      <c r="D24" t="s">
        <v>176</v>
      </c>
      <c r="E24" t="s">
        <v>175</v>
      </c>
      <c r="F24" t="s">
        <v>177</v>
      </c>
      <c r="G24" t="s">
        <v>162</v>
      </c>
      <c r="H24" t="s">
        <v>162</v>
      </c>
      <c r="I24" t="s">
        <v>163</v>
      </c>
    </row>
    <row r="25" spans="1:9" x14ac:dyDescent="0.15">
      <c r="A25" t="s">
        <v>25</v>
      </c>
      <c r="B25" t="s">
        <v>158</v>
      </c>
      <c r="C25" t="s">
        <v>178</v>
      </c>
      <c r="D25" t="s">
        <v>179</v>
      </c>
      <c r="E25" t="s">
        <v>178</v>
      </c>
      <c r="F25" t="s">
        <v>180</v>
      </c>
      <c r="G25" t="s">
        <v>162</v>
      </c>
      <c r="H25" t="s">
        <v>162</v>
      </c>
      <c r="I25" t="s">
        <v>163</v>
      </c>
    </row>
    <row r="26" spans="1:9" x14ac:dyDescent="0.15">
      <c r="A26" t="s">
        <v>123</v>
      </c>
      <c r="B26" t="s">
        <v>158</v>
      </c>
      <c r="C26" t="s">
        <v>178</v>
      </c>
      <c r="D26" t="s">
        <v>179</v>
      </c>
      <c r="E26" t="s">
        <v>178</v>
      </c>
      <c r="F26" t="s">
        <v>180</v>
      </c>
      <c r="G26" t="s">
        <v>162</v>
      </c>
      <c r="H26" t="s">
        <v>162</v>
      </c>
      <c r="I26" t="s">
        <v>163</v>
      </c>
    </row>
    <row r="27" spans="1:9" x14ac:dyDescent="0.15">
      <c r="A27" t="s">
        <v>137</v>
      </c>
      <c r="B27" t="s">
        <v>158</v>
      </c>
      <c r="C27" t="s">
        <v>181</v>
      </c>
      <c r="D27" t="s">
        <v>182</v>
      </c>
      <c r="E27" t="s">
        <v>181</v>
      </c>
      <c r="F27" t="s">
        <v>183</v>
      </c>
      <c r="G27" t="s">
        <v>162</v>
      </c>
      <c r="H27" t="s">
        <v>162</v>
      </c>
      <c r="I27" t="s">
        <v>163</v>
      </c>
    </row>
    <row r="28" spans="1:9" x14ac:dyDescent="0.15">
      <c r="A28" t="s">
        <v>124</v>
      </c>
      <c r="B28" t="s">
        <v>158</v>
      </c>
      <c r="C28" t="s">
        <v>184</v>
      </c>
      <c r="D28" t="s">
        <v>185</v>
      </c>
      <c r="E28" t="s">
        <v>184</v>
      </c>
      <c r="F28" t="s">
        <v>183</v>
      </c>
      <c r="G28" t="s">
        <v>162</v>
      </c>
      <c r="H28" t="s">
        <v>162</v>
      </c>
      <c r="I28" t="s">
        <v>163</v>
      </c>
    </row>
    <row r="29" spans="1:9" x14ac:dyDescent="0.15">
      <c r="A29" t="s">
        <v>134</v>
      </c>
      <c r="B29" t="s">
        <v>158</v>
      </c>
      <c r="C29" t="s">
        <v>186</v>
      </c>
      <c r="D29" t="s">
        <v>187</v>
      </c>
      <c r="E29" t="s">
        <v>186</v>
      </c>
      <c r="F29" t="s">
        <v>188</v>
      </c>
      <c r="G29" t="s">
        <v>162</v>
      </c>
      <c r="H29" t="s">
        <v>162</v>
      </c>
      <c r="I29" t="s">
        <v>163</v>
      </c>
    </row>
    <row r="30" spans="1:9" x14ac:dyDescent="0.15">
      <c r="A30" t="s">
        <v>140</v>
      </c>
      <c r="B30" t="s">
        <v>158</v>
      </c>
      <c r="C30" t="s">
        <v>189</v>
      </c>
      <c r="D30" t="s">
        <v>190</v>
      </c>
      <c r="E30" t="s">
        <v>189</v>
      </c>
      <c r="F30" t="s">
        <v>188</v>
      </c>
      <c r="G30" t="s">
        <v>162</v>
      </c>
      <c r="H30" t="s">
        <v>162</v>
      </c>
      <c r="I30" t="s">
        <v>163</v>
      </c>
    </row>
    <row r="31" spans="1:9" x14ac:dyDescent="0.15">
      <c r="A31" t="s">
        <v>130</v>
      </c>
      <c r="B31" t="s">
        <v>158</v>
      </c>
      <c r="C31" t="s">
        <v>191</v>
      </c>
      <c r="D31" t="s">
        <v>192</v>
      </c>
      <c r="E31" t="s">
        <v>191</v>
      </c>
      <c r="F31" t="s">
        <v>188</v>
      </c>
      <c r="G31" t="s">
        <v>162</v>
      </c>
      <c r="H31" t="s">
        <v>162</v>
      </c>
      <c r="I31" t="s">
        <v>163</v>
      </c>
    </row>
    <row r="32" spans="1:9" x14ac:dyDescent="0.15">
      <c r="A32" t="s">
        <v>26</v>
      </c>
      <c r="B32" t="s">
        <v>158</v>
      </c>
      <c r="C32" t="s">
        <v>191</v>
      </c>
      <c r="D32" t="s">
        <v>192</v>
      </c>
      <c r="E32" t="s">
        <v>191</v>
      </c>
      <c r="F32" t="s">
        <v>188</v>
      </c>
      <c r="G32" t="s">
        <v>162</v>
      </c>
      <c r="H32" t="s">
        <v>162</v>
      </c>
      <c r="I32" t="s">
        <v>163</v>
      </c>
    </row>
    <row r="33" spans="1:9" x14ac:dyDescent="0.15">
      <c r="A33" t="s">
        <v>142</v>
      </c>
      <c r="B33" t="s">
        <v>158</v>
      </c>
      <c r="C33" t="s">
        <v>193</v>
      </c>
      <c r="D33" t="s">
        <v>194</v>
      </c>
      <c r="E33" t="s">
        <v>193</v>
      </c>
      <c r="F33" t="s">
        <v>195</v>
      </c>
      <c r="G33" t="s">
        <v>162</v>
      </c>
      <c r="H33" t="s">
        <v>162</v>
      </c>
      <c r="I33" t="s">
        <v>163</v>
      </c>
    </row>
    <row r="34" spans="1:9" x14ac:dyDescent="0.15">
      <c r="A34" t="s">
        <v>115</v>
      </c>
      <c r="B34" t="s">
        <v>158</v>
      </c>
      <c r="C34" t="s">
        <v>196</v>
      </c>
      <c r="D34" t="s">
        <v>197</v>
      </c>
      <c r="E34" t="s">
        <v>196</v>
      </c>
      <c r="F34" t="s">
        <v>198</v>
      </c>
      <c r="G34" t="s">
        <v>162</v>
      </c>
      <c r="H34" t="s">
        <v>162</v>
      </c>
      <c r="I34" t="s">
        <v>163</v>
      </c>
    </row>
    <row r="35" spans="1:9" x14ac:dyDescent="0.15">
      <c r="A35" t="s">
        <v>27</v>
      </c>
      <c r="B35" t="s">
        <v>158</v>
      </c>
      <c r="C35" t="s">
        <v>196</v>
      </c>
      <c r="D35" t="s">
        <v>197</v>
      </c>
      <c r="E35" t="s">
        <v>196</v>
      </c>
      <c r="F35" t="s">
        <v>198</v>
      </c>
      <c r="G35" t="s">
        <v>162</v>
      </c>
      <c r="H35" t="s">
        <v>162</v>
      </c>
      <c r="I35" t="s">
        <v>163</v>
      </c>
    </row>
    <row r="36" spans="1:9" x14ac:dyDescent="0.15">
      <c r="A36" t="s">
        <v>28</v>
      </c>
      <c r="B36" t="s">
        <v>158</v>
      </c>
      <c r="C36" t="s">
        <v>199</v>
      </c>
      <c r="D36" t="s">
        <v>200</v>
      </c>
      <c r="E36" t="s">
        <v>199</v>
      </c>
      <c r="F36" t="s">
        <v>201</v>
      </c>
      <c r="G36" t="s">
        <v>162</v>
      </c>
      <c r="H36" t="s">
        <v>162</v>
      </c>
      <c r="I36" t="s">
        <v>163</v>
      </c>
    </row>
    <row r="37" spans="1:9" x14ac:dyDescent="0.15">
      <c r="A37" t="s">
        <v>29</v>
      </c>
      <c r="B37" t="s">
        <v>158</v>
      </c>
      <c r="C37" t="s">
        <v>199</v>
      </c>
      <c r="D37" t="s">
        <v>200</v>
      </c>
      <c r="E37" t="s">
        <v>199</v>
      </c>
      <c r="F37" t="s">
        <v>201</v>
      </c>
      <c r="G37" t="s">
        <v>162</v>
      </c>
      <c r="H37" t="s">
        <v>162</v>
      </c>
      <c r="I37" t="s">
        <v>163</v>
      </c>
    </row>
    <row r="38" spans="1:9" x14ac:dyDescent="0.15">
      <c r="A38" t="s">
        <v>30</v>
      </c>
      <c r="B38" t="s">
        <v>158</v>
      </c>
      <c r="C38" t="s">
        <v>202</v>
      </c>
      <c r="D38" t="s">
        <v>203</v>
      </c>
      <c r="E38" t="s">
        <v>202</v>
      </c>
      <c r="F38" t="s">
        <v>204</v>
      </c>
      <c r="G38" t="s">
        <v>162</v>
      </c>
      <c r="H38" t="s">
        <v>162</v>
      </c>
      <c r="I38" t="s">
        <v>163</v>
      </c>
    </row>
    <row r="39" spans="1:9" x14ac:dyDescent="0.15">
      <c r="A39" t="s">
        <v>31</v>
      </c>
      <c r="B39" t="s">
        <v>158</v>
      </c>
      <c r="C39" t="s">
        <v>202</v>
      </c>
      <c r="D39" t="s">
        <v>203</v>
      </c>
      <c r="E39" t="s">
        <v>202</v>
      </c>
      <c r="F39" t="s">
        <v>204</v>
      </c>
      <c r="G39" t="s">
        <v>162</v>
      </c>
      <c r="H39" t="s">
        <v>162</v>
      </c>
      <c r="I39" t="s">
        <v>163</v>
      </c>
    </row>
    <row r="40" spans="1:9" x14ac:dyDescent="0.15">
      <c r="A40" t="s">
        <v>32</v>
      </c>
      <c r="B40" t="s">
        <v>158</v>
      </c>
      <c r="C40" t="s">
        <v>205</v>
      </c>
      <c r="D40" t="s">
        <v>206</v>
      </c>
      <c r="E40" t="s">
        <v>205</v>
      </c>
      <c r="F40" t="s">
        <v>207</v>
      </c>
      <c r="G40" t="s">
        <v>162</v>
      </c>
      <c r="H40" t="s">
        <v>162</v>
      </c>
      <c r="I40" t="s">
        <v>163</v>
      </c>
    </row>
    <row r="41" spans="1:9" x14ac:dyDescent="0.15">
      <c r="A41" t="s">
        <v>33</v>
      </c>
      <c r="B41" t="s">
        <v>158</v>
      </c>
      <c r="C41" t="s">
        <v>208</v>
      </c>
      <c r="D41" t="s">
        <v>209</v>
      </c>
      <c r="E41" t="s">
        <v>208</v>
      </c>
      <c r="F41" t="s">
        <v>210</v>
      </c>
      <c r="G41" t="s">
        <v>162</v>
      </c>
      <c r="H41" t="s">
        <v>162</v>
      </c>
      <c r="I41" t="s">
        <v>163</v>
      </c>
    </row>
    <row r="42" spans="1:9" x14ac:dyDescent="0.15">
      <c r="A42" t="s">
        <v>34</v>
      </c>
      <c r="B42" t="s">
        <v>158</v>
      </c>
      <c r="C42" t="s">
        <v>208</v>
      </c>
      <c r="D42" t="s">
        <v>209</v>
      </c>
      <c r="E42" t="s">
        <v>208</v>
      </c>
      <c r="F42" t="s">
        <v>210</v>
      </c>
      <c r="G42" t="s">
        <v>162</v>
      </c>
      <c r="H42" t="s">
        <v>162</v>
      </c>
      <c r="I42" t="s">
        <v>163</v>
      </c>
    </row>
    <row r="43" spans="1:9" x14ac:dyDescent="0.15">
      <c r="A43" t="s">
        <v>141</v>
      </c>
      <c r="B43" t="s">
        <v>158</v>
      </c>
      <c r="C43" t="s">
        <v>211</v>
      </c>
      <c r="D43" t="s">
        <v>212</v>
      </c>
      <c r="E43" t="s">
        <v>211</v>
      </c>
      <c r="F43" t="s">
        <v>213</v>
      </c>
      <c r="G43" t="s">
        <v>162</v>
      </c>
      <c r="H43" t="s">
        <v>162</v>
      </c>
      <c r="I43" t="s">
        <v>163</v>
      </c>
    </row>
    <row r="44" spans="1:9" x14ac:dyDescent="0.15">
      <c r="A44" t="s">
        <v>35</v>
      </c>
      <c r="B44" t="s">
        <v>158</v>
      </c>
      <c r="C44" t="s">
        <v>214</v>
      </c>
      <c r="D44" t="s">
        <v>215</v>
      </c>
      <c r="E44" t="s">
        <v>214</v>
      </c>
      <c r="F44" t="s">
        <v>216</v>
      </c>
      <c r="G44" t="s">
        <v>162</v>
      </c>
      <c r="H44" t="s">
        <v>162</v>
      </c>
      <c r="I44" t="s">
        <v>163</v>
      </c>
    </row>
    <row r="45" spans="1:9" x14ac:dyDescent="0.15">
      <c r="A45" t="s">
        <v>36</v>
      </c>
      <c r="B45" t="s">
        <v>158</v>
      </c>
      <c r="C45" t="s">
        <v>214</v>
      </c>
      <c r="D45" t="s">
        <v>217</v>
      </c>
      <c r="E45" t="s">
        <v>214</v>
      </c>
      <c r="F45" t="s">
        <v>216</v>
      </c>
      <c r="G45" t="s">
        <v>162</v>
      </c>
      <c r="H45" t="s">
        <v>162</v>
      </c>
      <c r="I45" t="s">
        <v>163</v>
      </c>
    </row>
    <row r="46" spans="1:9" x14ac:dyDescent="0.15">
      <c r="A46" t="s">
        <v>37</v>
      </c>
      <c r="B46" t="s">
        <v>158</v>
      </c>
      <c r="C46" t="s">
        <v>218</v>
      </c>
      <c r="D46" t="s">
        <v>219</v>
      </c>
      <c r="E46" t="s">
        <v>218</v>
      </c>
      <c r="F46" t="s">
        <v>220</v>
      </c>
      <c r="G46" t="s">
        <v>162</v>
      </c>
      <c r="H46" t="s">
        <v>162</v>
      </c>
      <c r="I46" t="s">
        <v>163</v>
      </c>
    </row>
    <row r="47" spans="1:9" x14ac:dyDescent="0.15">
      <c r="A47" t="s">
        <v>38</v>
      </c>
      <c r="B47" t="s">
        <v>158</v>
      </c>
      <c r="C47" t="s">
        <v>221</v>
      </c>
      <c r="D47" t="s">
        <v>222</v>
      </c>
      <c r="E47" t="s">
        <v>221</v>
      </c>
      <c r="F47" t="s">
        <v>223</v>
      </c>
      <c r="G47" t="s">
        <v>162</v>
      </c>
      <c r="H47" t="s">
        <v>162</v>
      </c>
      <c r="I47" t="s">
        <v>163</v>
      </c>
    </row>
    <row r="48" spans="1:9" x14ac:dyDescent="0.15">
      <c r="A48" t="s">
        <v>39</v>
      </c>
      <c r="B48" t="s">
        <v>158</v>
      </c>
      <c r="C48" t="s">
        <v>224</v>
      </c>
      <c r="D48" t="s">
        <v>225</v>
      </c>
      <c r="E48" t="s">
        <v>224</v>
      </c>
      <c r="F48" t="s">
        <v>226</v>
      </c>
      <c r="G48" t="s">
        <v>162</v>
      </c>
      <c r="H48" t="s">
        <v>162</v>
      </c>
      <c r="I48" t="s">
        <v>163</v>
      </c>
    </row>
    <row r="49" spans="1:9" x14ac:dyDescent="0.15">
      <c r="A49" t="s">
        <v>40</v>
      </c>
      <c r="B49" t="s">
        <v>158</v>
      </c>
      <c r="C49" t="s">
        <v>224</v>
      </c>
      <c r="D49" t="s">
        <v>225</v>
      </c>
      <c r="E49" t="s">
        <v>224</v>
      </c>
      <c r="F49" t="s">
        <v>226</v>
      </c>
      <c r="G49" t="s">
        <v>162</v>
      </c>
      <c r="H49" t="s">
        <v>162</v>
      </c>
      <c r="I49" t="s">
        <v>163</v>
      </c>
    </row>
    <row r="50" spans="1:9" x14ac:dyDescent="0.15">
      <c r="A50" t="s">
        <v>41</v>
      </c>
      <c r="B50" t="s">
        <v>158</v>
      </c>
      <c r="C50" t="s">
        <v>227</v>
      </c>
      <c r="D50" t="s">
        <v>228</v>
      </c>
      <c r="E50" t="s">
        <v>227</v>
      </c>
      <c r="F50" t="s">
        <v>226</v>
      </c>
      <c r="G50" t="s">
        <v>162</v>
      </c>
      <c r="H50" t="s">
        <v>162</v>
      </c>
      <c r="I50" t="s">
        <v>163</v>
      </c>
    </row>
    <row r="51" spans="1:9" x14ac:dyDescent="0.15">
      <c r="A51" t="s">
        <v>42</v>
      </c>
      <c r="B51" t="s">
        <v>158</v>
      </c>
      <c r="C51" t="s">
        <v>229</v>
      </c>
      <c r="D51" t="s">
        <v>230</v>
      </c>
      <c r="E51" t="s">
        <v>229</v>
      </c>
      <c r="F51" t="s">
        <v>231</v>
      </c>
      <c r="G51" t="s">
        <v>162</v>
      </c>
      <c r="H51" t="s">
        <v>162</v>
      </c>
      <c r="I51" t="s">
        <v>163</v>
      </c>
    </row>
    <row r="52" spans="1:9" x14ac:dyDescent="0.15">
      <c r="A52" t="s">
        <v>43</v>
      </c>
      <c r="B52" t="s">
        <v>158</v>
      </c>
      <c r="C52" t="s">
        <v>232</v>
      </c>
      <c r="D52" t="s">
        <v>233</v>
      </c>
      <c r="E52" t="s">
        <v>232</v>
      </c>
      <c r="F52" t="s">
        <v>234</v>
      </c>
      <c r="G52" t="s">
        <v>162</v>
      </c>
      <c r="H52" t="s">
        <v>162</v>
      </c>
      <c r="I52" t="s">
        <v>163</v>
      </c>
    </row>
    <row r="53" spans="1:9" x14ac:dyDescent="0.15">
      <c r="A53" t="s">
        <v>44</v>
      </c>
      <c r="B53" t="s">
        <v>158</v>
      </c>
      <c r="C53" t="s">
        <v>235</v>
      </c>
      <c r="D53" t="s">
        <v>236</v>
      </c>
      <c r="E53" t="s">
        <v>235</v>
      </c>
      <c r="F53" t="s">
        <v>237</v>
      </c>
      <c r="G53" t="s">
        <v>162</v>
      </c>
      <c r="H53" t="s">
        <v>162</v>
      </c>
      <c r="I53" t="s">
        <v>163</v>
      </c>
    </row>
    <row r="54" spans="1:9" x14ac:dyDescent="0.15">
      <c r="A54" t="s">
        <v>45</v>
      </c>
      <c r="B54" t="s">
        <v>158</v>
      </c>
      <c r="C54" t="s">
        <v>238</v>
      </c>
      <c r="D54" t="s">
        <v>239</v>
      </c>
      <c r="E54" t="s">
        <v>238</v>
      </c>
      <c r="F54" t="s">
        <v>240</v>
      </c>
      <c r="G54" t="s">
        <v>162</v>
      </c>
      <c r="H54" t="s">
        <v>162</v>
      </c>
      <c r="I54" t="s">
        <v>163</v>
      </c>
    </row>
    <row r="55" spans="1:9" x14ac:dyDescent="0.15">
      <c r="A55" t="s">
        <v>46</v>
      </c>
      <c r="B55" t="s">
        <v>158</v>
      </c>
      <c r="C55" t="s">
        <v>241</v>
      </c>
      <c r="D55" t="s">
        <v>242</v>
      </c>
      <c r="E55" t="s">
        <v>241</v>
      </c>
      <c r="F55" t="s">
        <v>240</v>
      </c>
      <c r="G55" t="s">
        <v>162</v>
      </c>
      <c r="H55" t="s">
        <v>162</v>
      </c>
      <c r="I55" t="s">
        <v>163</v>
      </c>
    </row>
    <row r="56" spans="1:9" x14ac:dyDescent="0.15">
      <c r="A56" t="s">
        <v>129</v>
      </c>
      <c r="B56" t="s">
        <v>158</v>
      </c>
      <c r="C56" t="s">
        <v>243</v>
      </c>
      <c r="D56" t="s">
        <v>244</v>
      </c>
      <c r="E56" t="s">
        <v>243</v>
      </c>
      <c r="F56" t="s">
        <v>245</v>
      </c>
      <c r="G56" t="s">
        <v>162</v>
      </c>
      <c r="H56" t="s">
        <v>162</v>
      </c>
      <c r="I56" t="s">
        <v>163</v>
      </c>
    </row>
    <row r="57" spans="1:9" x14ac:dyDescent="0.15">
      <c r="A57" t="s">
        <v>47</v>
      </c>
      <c r="B57" t="s">
        <v>158</v>
      </c>
      <c r="C57" t="s">
        <v>243</v>
      </c>
      <c r="D57" t="s">
        <v>244</v>
      </c>
      <c r="E57" t="s">
        <v>243</v>
      </c>
      <c r="F57" t="s">
        <v>245</v>
      </c>
      <c r="G57" t="s">
        <v>162</v>
      </c>
      <c r="H57" t="s">
        <v>162</v>
      </c>
      <c r="I57" t="s">
        <v>163</v>
      </c>
    </row>
    <row r="58" spans="1:9" x14ac:dyDescent="0.15">
      <c r="A58" t="s">
        <v>48</v>
      </c>
      <c r="B58" t="s">
        <v>158</v>
      </c>
      <c r="C58" t="s">
        <v>246</v>
      </c>
      <c r="D58" t="s">
        <v>247</v>
      </c>
      <c r="E58" t="s">
        <v>246</v>
      </c>
      <c r="F58" t="s">
        <v>248</v>
      </c>
      <c r="G58" t="s">
        <v>162</v>
      </c>
      <c r="H58" t="s">
        <v>162</v>
      </c>
      <c r="I58" t="s">
        <v>163</v>
      </c>
    </row>
    <row r="59" spans="1:9" x14ac:dyDescent="0.15">
      <c r="A59" t="s">
        <v>49</v>
      </c>
      <c r="B59" t="s">
        <v>158</v>
      </c>
      <c r="C59" t="s">
        <v>249</v>
      </c>
      <c r="D59" t="s">
        <v>250</v>
      </c>
      <c r="E59" t="s">
        <v>249</v>
      </c>
      <c r="F59" t="s">
        <v>251</v>
      </c>
      <c r="G59" t="s">
        <v>162</v>
      </c>
      <c r="H59" t="s">
        <v>162</v>
      </c>
      <c r="I59" t="s">
        <v>163</v>
      </c>
    </row>
    <row r="60" spans="1:9" x14ac:dyDescent="0.15">
      <c r="A60" t="s">
        <v>50</v>
      </c>
      <c r="B60" t="s">
        <v>158</v>
      </c>
      <c r="C60" t="s">
        <v>252</v>
      </c>
      <c r="D60" t="s">
        <v>253</v>
      </c>
      <c r="E60" t="s">
        <v>252</v>
      </c>
      <c r="F60" t="s">
        <v>254</v>
      </c>
      <c r="G60" t="s">
        <v>162</v>
      </c>
      <c r="H60" t="s">
        <v>162</v>
      </c>
      <c r="I60" t="s">
        <v>163</v>
      </c>
    </row>
    <row r="61" spans="1:9" x14ac:dyDescent="0.15">
      <c r="A61" t="s">
        <v>51</v>
      </c>
      <c r="B61" t="s">
        <v>158</v>
      </c>
      <c r="C61" t="s">
        <v>255</v>
      </c>
      <c r="D61" t="s">
        <v>256</v>
      </c>
      <c r="E61" t="s">
        <v>255</v>
      </c>
      <c r="F61" t="s">
        <v>254</v>
      </c>
      <c r="G61" t="s">
        <v>162</v>
      </c>
      <c r="H61" t="s">
        <v>162</v>
      </c>
      <c r="I61" t="s">
        <v>163</v>
      </c>
    </row>
    <row r="62" spans="1:9" x14ac:dyDescent="0.15">
      <c r="A62" t="s">
        <v>52</v>
      </c>
      <c r="B62" t="s">
        <v>158</v>
      </c>
      <c r="C62" t="s">
        <v>257</v>
      </c>
      <c r="D62" t="s">
        <v>258</v>
      </c>
      <c r="E62" t="s">
        <v>257</v>
      </c>
      <c r="F62" t="s">
        <v>259</v>
      </c>
      <c r="G62" t="s">
        <v>162</v>
      </c>
      <c r="H62" t="s">
        <v>162</v>
      </c>
      <c r="I62" t="s">
        <v>163</v>
      </c>
    </row>
    <row r="63" spans="1:9" x14ac:dyDescent="0.15">
      <c r="A63" t="s">
        <v>53</v>
      </c>
      <c r="B63" t="s">
        <v>158</v>
      </c>
      <c r="C63" t="s">
        <v>260</v>
      </c>
      <c r="D63" t="s">
        <v>261</v>
      </c>
      <c r="E63" t="s">
        <v>260</v>
      </c>
      <c r="F63" t="s">
        <v>262</v>
      </c>
      <c r="G63" t="s">
        <v>162</v>
      </c>
      <c r="H63" t="s">
        <v>162</v>
      </c>
      <c r="I63" t="s">
        <v>163</v>
      </c>
    </row>
    <row r="64" spans="1:9" x14ac:dyDescent="0.15">
      <c r="A64" t="s">
        <v>54</v>
      </c>
      <c r="B64" t="s">
        <v>158</v>
      </c>
      <c r="C64" t="s">
        <v>263</v>
      </c>
      <c r="D64" t="s">
        <v>264</v>
      </c>
      <c r="E64" t="s">
        <v>263</v>
      </c>
      <c r="F64" t="s">
        <v>262</v>
      </c>
      <c r="G64" t="s">
        <v>162</v>
      </c>
      <c r="H64" t="s">
        <v>162</v>
      </c>
      <c r="I64" t="s">
        <v>163</v>
      </c>
    </row>
    <row r="65" spans="1:9" x14ac:dyDescent="0.15">
      <c r="A65" t="s">
        <v>55</v>
      </c>
      <c r="B65" t="s">
        <v>158</v>
      </c>
      <c r="C65" t="s">
        <v>265</v>
      </c>
      <c r="D65" t="s">
        <v>225</v>
      </c>
      <c r="E65" t="s">
        <v>265</v>
      </c>
      <c r="F65" t="s">
        <v>266</v>
      </c>
      <c r="G65" t="s">
        <v>162</v>
      </c>
      <c r="H65" t="s">
        <v>162</v>
      </c>
      <c r="I65" t="s">
        <v>163</v>
      </c>
    </row>
    <row r="66" spans="1:9" x14ac:dyDescent="0.15">
      <c r="A66" t="s">
        <v>56</v>
      </c>
      <c r="B66" t="s">
        <v>158</v>
      </c>
      <c r="C66" t="s">
        <v>265</v>
      </c>
      <c r="D66" t="s">
        <v>225</v>
      </c>
      <c r="E66" t="s">
        <v>265</v>
      </c>
      <c r="F66" t="s">
        <v>266</v>
      </c>
      <c r="G66" t="s">
        <v>162</v>
      </c>
      <c r="H66" t="s">
        <v>162</v>
      </c>
      <c r="I66" t="s">
        <v>163</v>
      </c>
    </row>
    <row r="67" spans="1:9" x14ac:dyDescent="0.15">
      <c r="A67" t="s">
        <v>57</v>
      </c>
      <c r="B67" t="s">
        <v>158</v>
      </c>
      <c r="C67" t="s">
        <v>265</v>
      </c>
      <c r="D67" t="s">
        <v>225</v>
      </c>
      <c r="E67" t="s">
        <v>265</v>
      </c>
      <c r="F67" t="s">
        <v>266</v>
      </c>
      <c r="G67" t="s">
        <v>162</v>
      </c>
      <c r="H67" t="s">
        <v>162</v>
      </c>
      <c r="I67" t="s">
        <v>163</v>
      </c>
    </row>
    <row r="68" spans="1:9" x14ac:dyDescent="0.15">
      <c r="A68" t="s">
        <v>58</v>
      </c>
      <c r="B68" t="s">
        <v>158</v>
      </c>
      <c r="C68" t="s">
        <v>267</v>
      </c>
      <c r="D68" t="s">
        <v>268</v>
      </c>
      <c r="E68" t="s">
        <v>267</v>
      </c>
      <c r="F68" t="s">
        <v>266</v>
      </c>
      <c r="G68" t="s">
        <v>162</v>
      </c>
      <c r="H68" t="s">
        <v>162</v>
      </c>
      <c r="I68" t="s">
        <v>163</v>
      </c>
    </row>
    <row r="69" spans="1:9" x14ac:dyDescent="0.15">
      <c r="A69" t="s">
        <v>59</v>
      </c>
      <c r="B69" t="s">
        <v>158</v>
      </c>
      <c r="C69" t="s">
        <v>269</v>
      </c>
      <c r="D69" t="s">
        <v>270</v>
      </c>
      <c r="E69" t="s">
        <v>269</v>
      </c>
      <c r="F69" t="s">
        <v>271</v>
      </c>
      <c r="G69" t="s">
        <v>162</v>
      </c>
      <c r="H69" t="s">
        <v>162</v>
      </c>
      <c r="I69" t="s">
        <v>163</v>
      </c>
    </row>
    <row r="70" spans="1:9" x14ac:dyDescent="0.15">
      <c r="A70" t="s">
        <v>60</v>
      </c>
      <c r="B70" t="s">
        <v>158</v>
      </c>
      <c r="C70" t="s">
        <v>272</v>
      </c>
      <c r="D70" t="s">
        <v>273</v>
      </c>
      <c r="E70" t="s">
        <v>272</v>
      </c>
      <c r="F70" t="s">
        <v>274</v>
      </c>
      <c r="G70" t="s">
        <v>162</v>
      </c>
      <c r="H70" t="s">
        <v>162</v>
      </c>
      <c r="I70" t="s">
        <v>163</v>
      </c>
    </row>
    <row r="71" spans="1:9" x14ac:dyDescent="0.15">
      <c r="A71" t="s">
        <v>61</v>
      </c>
      <c r="B71" t="s">
        <v>158</v>
      </c>
      <c r="C71" t="s">
        <v>275</v>
      </c>
      <c r="D71" t="s">
        <v>276</v>
      </c>
      <c r="E71" t="s">
        <v>275</v>
      </c>
      <c r="F71" t="s">
        <v>277</v>
      </c>
      <c r="G71" t="s">
        <v>162</v>
      </c>
      <c r="H71" t="s">
        <v>162</v>
      </c>
      <c r="I71" t="s">
        <v>163</v>
      </c>
    </row>
    <row r="72" spans="1:9" x14ac:dyDescent="0.15">
      <c r="A72" t="s">
        <v>62</v>
      </c>
      <c r="B72" t="s">
        <v>158</v>
      </c>
      <c r="C72" t="s">
        <v>278</v>
      </c>
      <c r="D72" t="s">
        <v>279</v>
      </c>
      <c r="E72" t="s">
        <v>278</v>
      </c>
      <c r="F72" t="s">
        <v>280</v>
      </c>
      <c r="G72" t="s">
        <v>162</v>
      </c>
      <c r="H72" t="s">
        <v>162</v>
      </c>
      <c r="I72" t="s">
        <v>163</v>
      </c>
    </row>
    <row r="73" spans="1:9" x14ac:dyDescent="0.15">
      <c r="A73" t="s">
        <v>63</v>
      </c>
      <c r="B73" t="s">
        <v>158</v>
      </c>
      <c r="C73" t="s">
        <v>281</v>
      </c>
      <c r="D73" t="s">
        <v>282</v>
      </c>
      <c r="E73" t="s">
        <v>281</v>
      </c>
      <c r="F73" t="s">
        <v>283</v>
      </c>
      <c r="G73" t="s">
        <v>162</v>
      </c>
      <c r="H73" t="s">
        <v>162</v>
      </c>
      <c r="I73" t="s">
        <v>163</v>
      </c>
    </row>
    <row r="74" spans="1:9" x14ac:dyDescent="0.15">
      <c r="A74" t="s">
        <v>64</v>
      </c>
      <c r="B74" t="s">
        <v>158</v>
      </c>
      <c r="C74" t="s">
        <v>284</v>
      </c>
      <c r="D74" t="s">
        <v>285</v>
      </c>
      <c r="E74" t="s">
        <v>284</v>
      </c>
      <c r="F74" t="s">
        <v>286</v>
      </c>
      <c r="G74" t="s">
        <v>162</v>
      </c>
      <c r="H74" t="s">
        <v>162</v>
      </c>
      <c r="I74" t="s">
        <v>163</v>
      </c>
    </row>
    <row r="75" spans="1:9" x14ac:dyDescent="0.15">
      <c r="A75" t="s">
        <v>65</v>
      </c>
      <c r="B75" t="s">
        <v>158</v>
      </c>
      <c r="C75" t="s">
        <v>287</v>
      </c>
      <c r="D75" t="s">
        <v>244</v>
      </c>
      <c r="E75" t="s">
        <v>287</v>
      </c>
      <c r="F75" t="s">
        <v>286</v>
      </c>
      <c r="G75" t="s">
        <v>162</v>
      </c>
      <c r="H75" t="s">
        <v>162</v>
      </c>
      <c r="I75" t="s">
        <v>163</v>
      </c>
    </row>
    <row r="76" spans="1:9" x14ac:dyDescent="0.15">
      <c r="A76" t="s">
        <v>66</v>
      </c>
      <c r="B76" t="s">
        <v>158</v>
      </c>
      <c r="C76" t="s">
        <v>288</v>
      </c>
      <c r="D76" t="s">
        <v>289</v>
      </c>
      <c r="E76" t="s">
        <v>288</v>
      </c>
      <c r="F76" t="s">
        <v>290</v>
      </c>
      <c r="G76" t="s">
        <v>162</v>
      </c>
      <c r="H76" t="s">
        <v>162</v>
      </c>
      <c r="I76" t="s">
        <v>163</v>
      </c>
    </row>
    <row r="77" spans="1:9" x14ac:dyDescent="0.15">
      <c r="A77" t="s">
        <v>67</v>
      </c>
      <c r="B77" t="s">
        <v>158</v>
      </c>
      <c r="C77" t="s">
        <v>291</v>
      </c>
      <c r="D77" t="s">
        <v>292</v>
      </c>
      <c r="E77" t="s">
        <v>291</v>
      </c>
      <c r="F77" t="s">
        <v>293</v>
      </c>
      <c r="G77" t="s">
        <v>162</v>
      </c>
      <c r="H77" t="s">
        <v>162</v>
      </c>
      <c r="I77" t="s">
        <v>163</v>
      </c>
    </row>
    <row r="78" spans="1:9" x14ac:dyDescent="0.15">
      <c r="A78" t="s">
        <v>68</v>
      </c>
      <c r="B78" t="s">
        <v>158</v>
      </c>
      <c r="C78" t="s">
        <v>294</v>
      </c>
      <c r="D78" t="s">
        <v>295</v>
      </c>
      <c r="E78" t="s">
        <v>294</v>
      </c>
      <c r="F78" t="s">
        <v>293</v>
      </c>
      <c r="G78" t="s">
        <v>162</v>
      </c>
      <c r="H78" t="s">
        <v>162</v>
      </c>
      <c r="I78" t="s">
        <v>163</v>
      </c>
    </row>
    <row r="79" spans="1:9" x14ac:dyDescent="0.15">
      <c r="A79" t="s">
        <v>69</v>
      </c>
      <c r="B79" t="s">
        <v>158</v>
      </c>
      <c r="C79" t="s">
        <v>296</v>
      </c>
      <c r="D79" t="s">
        <v>297</v>
      </c>
      <c r="E79" t="s">
        <v>296</v>
      </c>
      <c r="F79" t="s">
        <v>293</v>
      </c>
      <c r="G79" t="s">
        <v>162</v>
      </c>
      <c r="H79" t="s">
        <v>162</v>
      </c>
      <c r="I79" t="s">
        <v>163</v>
      </c>
    </row>
    <row r="80" spans="1:9" x14ac:dyDescent="0.15">
      <c r="A80" t="s">
        <v>70</v>
      </c>
      <c r="B80" t="s">
        <v>158</v>
      </c>
      <c r="C80" t="s">
        <v>296</v>
      </c>
      <c r="D80" t="s">
        <v>297</v>
      </c>
      <c r="E80" t="s">
        <v>296</v>
      </c>
      <c r="F80" t="s">
        <v>293</v>
      </c>
      <c r="G80" t="s">
        <v>162</v>
      </c>
      <c r="H80" t="s">
        <v>162</v>
      </c>
      <c r="I80" t="s">
        <v>163</v>
      </c>
    </row>
    <row r="81" spans="1:9" x14ac:dyDescent="0.15">
      <c r="A81" t="s">
        <v>71</v>
      </c>
      <c r="B81" t="s">
        <v>158</v>
      </c>
      <c r="C81" t="s">
        <v>298</v>
      </c>
      <c r="D81" t="s">
        <v>299</v>
      </c>
      <c r="E81" t="s">
        <v>298</v>
      </c>
      <c r="F81" t="s">
        <v>300</v>
      </c>
      <c r="G81" t="s">
        <v>162</v>
      </c>
      <c r="H81" t="s">
        <v>162</v>
      </c>
      <c r="I81" t="s">
        <v>163</v>
      </c>
    </row>
    <row r="82" spans="1:9" x14ac:dyDescent="0.15">
      <c r="A82" t="s">
        <v>72</v>
      </c>
      <c r="B82" t="s">
        <v>158</v>
      </c>
      <c r="C82" t="s">
        <v>301</v>
      </c>
      <c r="D82" t="s">
        <v>302</v>
      </c>
      <c r="E82" t="s">
        <v>301</v>
      </c>
      <c r="F82" t="s">
        <v>303</v>
      </c>
      <c r="G82" t="s">
        <v>162</v>
      </c>
      <c r="H82" t="s">
        <v>162</v>
      </c>
      <c r="I82" t="s">
        <v>163</v>
      </c>
    </row>
    <row r="83" spans="1:9" x14ac:dyDescent="0.15">
      <c r="A83" t="s">
        <v>73</v>
      </c>
      <c r="B83" t="s">
        <v>158</v>
      </c>
      <c r="C83" t="s">
        <v>304</v>
      </c>
      <c r="D83" t="s">
        <v>305</v>
      </c>
      <c r="E83" t="s">
        <v>304</v>
      </c>
      <c r="F83" t="s">
        <v>306</v>
      </c>
      <c r="G83" t="s">
        <v>162</v>
      </c>
      <c r="H83" t="s">
        <v>162</v>
      </c>
      <c r="I83" t="s">
        <v>163</v>
      </c>
    </row>
    <row r="84" spans="1:9" x14ac:dyDescent="0.15">
      <c r="A84" t="s">
        <v>74</v>
      </c>
      <c r="B84" t="s">
        <v>158</v>
      </c>
      <c r="C84" t="s">
        <v>268</v>
      </c>
      <c r="D84" t="s">
        <v>307</v>
      </c>
      <c r="E84" t="s">
        <v>268</v>
      </c>
      <c r="F84" t="s">
        <v>308</v>
      </c>
      <c r="G84" t="s">
        <v>162</v>
      </c>
      <c r="H84" t="s">
        <v>162</v>
      </c>
      <c r="I84" t="s">
        <v>163</v>
      </c>
    </row>
    <row r="85" spans="1:9" x14ac:dyDescent="0.15">
      <c r="A85" t="s">
        <v>75</v>
      </c>
      <c r="B85" t="s">
        <v>158</v>
      </c>
      <c r="C85" t="s">
        <v>268</v>
      </c>
      <c r="D85" t="s">
        <v>307</v>
      </c>
      <c r="E85" t="s">
        <v>268</v>
      </c>
      <c r="F85" t="s">
        <v>308</v>
      </c>
      <c r="G85" t="s">
        <v>162</v>
      </c>
      <c r="H85" t="s">
        <v>162</v>
      </c>
      <c r="I85" t="s">
        <v>163</v>
      </c>
    </row>
    <row r="86" spans="1:9" x14ac:dyDescent="0.15">
      <c r="A86" t="s">
        <v>120</v>
      </c>
      <c r="B86" t="s">
        <v>158</v>
      </c>
      <c r="C86" t="s">
        <v>309</v>
      </c>
      <c r="D86" t="s">
        <v>310</v>
      </c>
      <c r="E86" t="s">
        <v>309</v>
      </c>
      <c r="F86" t="s">
        <v>308</v>
      </c>
      <c r="G86" t="s">
        <v>162</v>
      </c>
      <c r="H86" t="s">
        <v>162</v>
      </c>
      <c r="I86" t="s">
        <v>163</v>
      </c>
    </row>
    <row r="87" spans="1:9" x14ac:dyDescent="0.15">
      <c r="A87" t="s">
        <v>76</v>
      </c>
      <c r="B87" t="s">
        <v>158</v>
      </c>
      <c r="C87" t="s">
        <v>311</v>
      </c>
      <c r="D87" t="s">
        <v>312</v>
      </c>
      <c r="E87" t="s">
        <v>311</v>
      </c>
      <c r="F87" t="s">
        <v>308</v>
      </c>
      <c r="G87" t="s">
        <v>162</v>
      </c>
      <c r="H87" t="s">
        <v>162</v>
      </c>
      <c r="I87" t="s">
        <v>163</v>
      </c>
    </row>
    <row r="88" spans="1:9" x14ac:dyDescent="0.15">
      <c r="A88" t="s">
        <v>77</v>
      </c>
      <c r="B88" t="s">
        <v>158</v>
      </c>
      <c r="C88" t="s">
        <v>311</v>
      </c>
      <c r="D88" t="s">
        <v>312</v>
      </c>
      <c r="E88" t="s">
        <v>311</v>
      </c>
      <c r="F88" t="s">
        <v>308</v>
      </c>
      <c r="G88" t="s">
        <v>162</v>
      </c>
      <c r="H88" t="s">
        <v>162</v>
      </c>
      <c r="I88" t="s">
        <v>163</v>
      </c>
    </row>
    <row r="89" spans="1:9" x14ac:dyDescent="0.15">
      <c r="A89" t="s">
        <v>78</v>
      </c>
      <c r="B89" t="s">
        <v>158</v>
      </c>
      <c r="C89" t="s">
        <v>311</v>
      </c>
      <c r="D89" t="s">
        <v>312</v>
      </c>
      <c r="E89" t="s">
        <v>311</v>
      </c>
      <c r="F89" t="s">
        <v>308</v>
      </c>
      <c r="G89" t="s">
        <v>162</v>
      </c>
      <c r="H89" t="s">
        <v>162</v>
      </c>
      <c r="I89" t="s">
        <v>163</v>
      </c>
    </row>
    <row r="90" spans="1:9" x14ac:dyDescent="0.15">
      <c r="A90" t="s">
        <v>79</v>
      </c>
      <c r="B90" t="s">
        <v>158</v>
      </c>
      <c r="C90" t="s">
        <v>313</v>
      </c>
      <c r="D90" t="s">
        <v>314</v>
      </c>
      <c r="E90" t="s">
        <v>313</v>
      </c>
      <c r="F90" t="s">
        <v>308</v>
      </c>
      <c r="G90" t="s">
        <v>162</v>
      </c>
      <c r="H90" t="s">
        <v>162</v>
      </c>
      <c r="I90" t="s">
        <v>163</v>
      </c>
    </row>
    <row r="91" spans="1:9" x14ac:dyDescent="0.15">
      <c r="A91" t="s">
        <v>80</v>
      </c>
      <c r="B91" t="s">
        <v>158</v>
      </c>
      <c r="C91" t="s">
        <v>230</v>
      </c>
      <c r="D91" t="s">
        <v>315</v>
      </c>
      <c r="E91" t="s">
        <v>230</v>
      </c>
      <c r="F91" t="s">
        <v>316</v>
      </c>
      <c r="G91" t="s">
        <v>162</v>
      </c>
      <c r="H91" t="s">
        <v>162</v>
      </c>
      <c r="I91" t="s">
        <v>163</v>
      </c>
    </row>
    <row r="92" spans="1:9" x14ac:dyDescent="0.15">
      <c r="A92" t="s">
        <v>317</v>
      </c>
      <c r="B92" t="s">
        <v>158</v>
      </c>
      <c r="C92" t="s">
        <v>318</v>
      </c>
      <c r="D92" t="s">
        <v>318</v>
      </c>
      <c r="E92" t="s">
        <v>318</v>
      </c>
      <c r="F92" t="s">
        <v>319</v>
      </c>
      <c r="G92" t="s">
        <v>162</v>
      </c>
      <c r="H92" t="s">
        <v>162</v>
      </c>
      <c r="I92" t="s">
        <v>163</v>
      </c>
    </row>
    <row r="93" spans="1:9" x14ac:dyDescent="0.15">
      <c r="A93" t="s">
        <v>81</v>
      </c>
      <c r="B93" t="s">
        <v>158</v>
      </c>
      <c r="C93" t="s">
        <v>320</v>
      </c>
      <c r="D93" t="s">
        <v>321</v>
      </c>
      <c r="E93" t="s">
        <v>320</v>
      </c>
      <c r="F93" t="s">
        <v>316</v>
      </c>
      <c r="G93" t="s">
        <v>162</v>
      </c>
      <c r="H93" t="s">
        <v>162</v>
      </c>
      <c r="I93" t="s">
        <v>163</v>
      </c>
    </row>
    <row r="94" spans="1:9" x14ac:dyDescent="0.15">
      <c r="A94" t="s">
        <v>82</v>
      </c>
      <c r="B94" t="s">
        <v>158</v>
      </c>
      <c r="C94" t="s">
        <v>322</v>
      </c>
      <c r="D94" t="s">
        <v>323</v>
      </c>
      <c r="E94" t="s">
        <v>322</v>
      </c>
      <c r="F94" t="s">
        <v>316</v>
      </c>
      <c r="G94" t="s">
        <v>162</v>
      </c>
      <c r="H94" t="s">
        <v>162</v>
      </c>
      <c r="I94" t="s">
        <v>163</v>
      </c>
    </row>
    <row r="95" spans="1:9" x14ac:dyDescent="0.15">
      <c r="A95" t="s">
        <v>83</v>
      </c>
      <c r="B95" t="s">
        <v>158</v>
      </c>
      <c r="C95" t="s">
        <v>324</v>
      </c>
      <c r="D95" t="s">
        <v>325</v>
      </c>
      <c r="E95" t="s">
        <v>324</v>
      </c>
      <c r="F95" t="s">
        <v>319</v>
      </c>
      <c r="G95" t="s">
        <v>162</v>
      </c>
      <c r="H95" t="s">
        <v>162</v>
      </c>
      <c r="I95" t="s">
        <v>163</v>
      </c>
    </row>
    <row r="96" spans="1:9" x14ac:dyDescent="0.15">
      <c r="A96" t="s">
        <v>84</v>
      </c>
      <c r="B96" t="s">
        <v>158</v>
      </c>
      <c r="C96" t="s">
        <v>326</v>
      </c>
      <c r="D96" t="s">
        <v>327</v>
      </c>
      <c r="E96" t="s">
        <v>326</v>
      </c>
      <c r="F96" t="s">
        <v>328</v>
      </c>
      <c r="G96" t="s">
        <v>162</v>
      </c>
      <c r="H96" t="s">
        <v>162</v>
      </c>
      <c r="I96" t="s">
        <v>163</v>
      </c>
    </row>
    <row r="97" spans="1:9" x14ac:dyDescent="0.15">
      <c r="A97" t="s">
        <v>85</v>
      </c>
      <c r="B97" t="s">
        <v>158</v>
      </c>
      <c r="C97" t="s">
        <v>326</v>
      </c>
      <c r="D97" t="s">
        <v>327</v>
      </c>
      <c r="E97" t="s">
        <v>326</v>
      </c>
      <c r="F97" t="s">
        <v>328</v>
      </c>
      <c r="G97" t="s">
        <v>162</v>
      </c>
      <c r="H97" t="s">
        <v>162</v>
      </c>
      <c r="I97" t="s">
        <v>163</v>
      </c>
    </row>
    <row r="98" spans="1:9" x14ac:dyDescent="0.15">
      <c r="A98" t="s">
        <v>86</v>
      </c>
      <c r="B98" t="s">
        <v>158</v>
      </c>
      <c r="C98" t="s">
        <v>329</v>
      </c>
      <c r="D98" t="s">
        <v>330</v>
      </c>
      <c r="E98" t="s">
        <v>329</v>
      </c>
      <c r="F98" t="s">
        <v>328</v>
      </c>
      <c r="G98" t="s">
        <v>162</v>
      </c>
      <c r="H98" t="s">
        <v>162</v>
      </c>
      <c r="I98" t="s">
        <v>163</v>
      </c>
    </row>
    <row r="99" spans="1:9" x14ac:dyDescent="0.15">
      <c r="A99" t="s">
        <v>87</v>
      </c>
      <c r="B99" t="s">
        <v>158</v>
      </c>
      <c r="C99" t="s">
        <v>200</v>
      </c>
      <c r="D99" t="s">
        <v>331</v>
      </c>
      <c r="E99" t="s">
        <v>200</v>
      </c>
      <c r="F99" t="s">
        <v>332</v>
      </c>
      <c r="G99" t="s">
        <v>162</v>
      </c>
      <c r="H99" t="s">
        <v>162</v>
      </c>
      <c r="I99" t="s">
        <v>163</v>
      </c>
    </row>
    <row r="100" spans="1:9" x14ac:dyDescent="0.15">
      <c r="A100" t="s">
        <v>88</v>
      </c>
      <c r="B100" t="s">
        <v>158</v>
      </c>
      <c r="C100" t="s">
        <v>200</v>
      </c>
      <c r="D100" t="s">
        <v>331</v>
      </c>
      <c r="E100" t="s">
        <v>200</v>
      </c>
      <c r="F100" t="s">
        <v>332</v>
      </c>
      <c r="G100" t="s">
        <v>162</v>
      </c>
      <c r="H100" t="s">
        <v>162</v>
      </c>
      <c r="I100" t="s">
        <v>163</v>
      </c>
    </row>
    <row r="101" spans="1:9" x14ac:dyDescent="0.15">
      <c r="A101" t="s">
        <v>89</v>
      </c>
      <c r="B101" t="s">
        <v>158</v>
      </c>
      <c r="C101" t="s">
        <v>333</v>
      </c>
      <c r="D101" t="s">
        <v>334</v>
      </c>
      <c r="E101" t="s">
        <v>333</v>
      </c>
      <c r="F101" t="s">
        <v>332</v>
      </c>
      <c r="G101" t="s">
        <v>162</v>
      </c>
      <c r="H101" t="s">
        <v>162</v>
      </c>
      <c r="I101" t="s">
        <v>163</v>
      </c>
    </row>
    <row r="102" spans="1:9" x14ac:dyDescent="0.15">
      <c r="A102" t="s">
        <v>90</v>
      </c>
      <c r="B102" t="s">
        <v>158</v>
      </c>
      <c r="C102" t="s">
        <v>335</v>
      </c>
      <c r="D102" t="s">
        <v>336</v>
      </c>
      <c r="E102" t="s">
        <v>335</v>
      </c>
      <c r="F102" t="s">
        <v>337</v>
      </c>
      <c r="G102" t="s">
        <v>162</v>
      </c>
      <c r="H102" t="s">
        <v>162</v>
      </c>
      <c r="I102" t="s">
        <v>163</v>
      </c>
    </row>
    <row r="103" spans="1:9" x14ac:dyDescent="0.15">
      <c r="A103" t="s">
        <v>91</v>
      </c>
      <c r="B103" t="s">
        <v>158</v>
      </c>
      <c r="C103" t="s">
        <v>338</v>
      </c>
      <c r="D103" t="s">
        <v>339</v>
      </c>
      <c r="E103" t="s">
        <v>338</v>
      </c>
      <c r="F103" t="s">
        <v>340</v>
      </c>
      <c r="G103" t="s">
        <v>162</v>
      </c>
      <c r="H103" t="s">
        <v>162</v>
      </c>
      <c r="I103" t="s">
        <v>163</v>
      </c>
    </row>
    <row r="104" spans="1:9" x14ac:dyDescent="0.15">
      <c r="A104" t="s">
        <v>92</v>
      </c>
      <c r="B104" t="s">
        <v>158</v>
      </c>
      <c r="C104" t="s">
        <v>341</v>
      </c>
      <c r="D104" t="s">
        <v>342</v>
      </c>
      <c r="E104" t="s">
        <v>341</v>
      </c>
      <c r="F104" t="s">
        <v>340</v>
      </c>
      <c r="G104" t="s">
        <v>162</v>
      </c>
      <c r="H104" t="s">
        <v>162</v>
      </c>
      <c r="I104" t="s">
        <v>163</v>
      </c>
    </row>
    <row r="105" spans="1:9" x14ac:dyDescent="0.15">
      <c r="A105" t="s">
        <v>118</v>
      </c>
      <c r="B105" t="s">
        <v>158</v>
      </c>
      <c r="C105" t="s">
        <v>343</v>
      </c>
      <c r="D105" t="s">
        <v>344</v>
      </c>
      <c r="E105" t="s">
        <v>343</v>
      </c>
      <c r="F105" t="s">
        <v>345</v>
      </c>
      <c r="G105" t="s">
        <v>162</v>
      </c>
      <c r="H105" t="s">
        <v>162</v>
      </c>
      <c r="I105" t="s">
        <v>163</v>
      </c>
    </row>
    <row r="106" spans="1:9" x14ac:dyDescent="0.15">
      <c r="A106" t="s">
        <v>93</v>
      </c>
      <c r="B106" t="s">
        <v>158</v>
      </c>
      <c r="C106" t="s">
        <v>346</v>
      </c>
      <c r="D106" t="s">
        <v>347</v>
      </c>
      <c r="E106" t="s">
        <v>346</v>
      </c>
      <c r="F106" t="s">
        <v>348</v>
      </c>
      <c r="G106" t="s">
        <v>162</v>
      </c>
      <c r="H106" t="s">
        <v>162</v>
      </c>
      <c r="I106" t="s">
        <v>163</v>
      </c>
    </row>
    <row r="107" spans="1:9" x14ac:dyDescent="0.15">
      <c r="A107" t="s">
        <v>94</v>
      </c>
      <c r="B107" t="s">
        <v>158</v>
      </c>
      <c r="C107" t="s">
        <v>349</v>
      </c>
      <c r="D107" t="s">
        <v>349</v>
      </c>
      <c r="E107" t="s">
        <v>349</v>
      </c>
      <c r="F107" t="s">
        <v>350</v>
      </c>
      <c r="G107" t="s">
        <v>162</v>
      </c>
      <c r="H107" t="s">
        <v>162</v>
      </c>
      <c r="I107" t="s">
        <v>163</v>
      </c>
    </row>
    <row r="108" spans="1:9" x14ac:dyDescent="0.15">
      <c r="A108" t="s">
        <v>351</v>
      </c>
      <c r="B108" t="s">
        <v>158</v>
      </c>
      <c r="C108" t="s">
        <v>352</v>
      </c>
      <c r="D108" t="s">
        <v>352</v>
      </c>
      <c r="E108" t="s">
        <v>352</v>
      </c>
      <c r="F108" t="s">
        <v>353</v>
      </c>
      <c r="G108" t="s">
        <v>162</v>
      </c>
      <c r="H108" t="s">
        <v>162</v>
      </c>
      <c r="I108" t="s">
        <v>163</v>
      </c>
    </row>
    <row r="109" spans="1:9" x14ac:dyDescent="0.15">
      <c r="A109" t="s">
        <v>95</v>
      </c>
      <c r="B109" t="s">
        <v>158</v>
      </c>
      <c r="C109" t="s">
        <v>354</v>
      </c>
      <c r="D109" t="s">
        <v>354</v>
      </c>
      <c r="E109" t="s">
        <v>354</v>
      </c>
      <c r="F109" t="s">
        <v>353</v>
      </c>
      <c r="G109" t="s">
        <v>162</v>
      </c>
      <c r="H109" t="s">
        <v>162</v>
      </c>
      <c r="I109" t="s">
        <v>163</v>
      </c>
    </row>
    <row r="110" spans="1:9" x14ac:dyDescent="0.15">
      <c r="A110" t="s">
        <v>96</v>
      </c>
      <c r="B110" t="s">
        <v>158</v>
      </c>
      <c r="C110" t="s">
        <v>355</v>
      </c>
      <c r="D110" t="s">
        <v>355</v>
      </c>
      <c r="E110" t="s">
        <v>355</v>
      </c>
      <c r="F110" t="s">
        <v>356</v>
      </c>
      <c r="G110" t="s">
        <v>162</v>
      </c>
      <c r="H110" t="s">
        <v>162</v>
      </c>
      <c r="I110" t="s">
        <v>163</v>
      </c>
    </row>
    <row r="111" spans="1:9" x14ac:dyDescent="0.15">
      <c r="A111" t="s">
        <v>97</v>
      </c>
      <c r="B111" t="s">
        <v>158</v>
      </c>
      <c r="C111" t="s">
        <v>357</v>
      </c>
      <c r="D111" t="s">
        <v>357</v>
      </c>
      <c r="E111" t="s">
        <v>357</v>
      </c>
      <c r="F111" t="s">
        <v>358</v>
      </c>
      <c r="G111" t="s">
        <v>162</v>
      </c>
      <c r="H111" t="s">
        <v>162</v>
      </c>
      <c r="I111" t="s">
        <v>163</v>
      </c>
    </row>
    <row r="112" spans="1:9" x14ac:dyDescent="0.15">
      <c r="A112" t="s">
        <v>98</v>
      </c>
      <c r="B112" t="s">
        <v>158</v>
      </c>
      <c r="C112" t="s">
        <v>357</v>
      </c>
      <c r="D112" t="s">
        <v>357</v>
      </c>
      <c r="E112" t="s">
        <v>357</v>
      </c>
      <c r="F112" t="s">
        <v>358</v>
      </c>
      <c r="G112" t="s">
        <v>162</v>
      </c>
      <c r="H112" t="s">
        <v>162</v>
      </c>
      <c r="I112" t="s">
        <v>163</v>
      </c>
    </row>
    <row r="113" spans="1:9" x14ac:dyDescent="0.15">
      <c r="A113" t="s">
        <v>99</v>
      </c>
      <c r="B113" t="s">
        <v>158</v>
      </c>
      <c r="C113" t="s">
        <v>359</v>
      </c>
      <c r="D113" t="s">
        <v>359</v>
      </c>
      <c r="E113" t="s">
        <v>359</v>
      </c>
      <c r="F113" t="s">
        <v>360</v>
      </c>
      <c r="G113" t="s">
        <v>162</v>
      </c>
      <c r="H113" t="s">
        <v>162</v>
      </c>
      <c r="I113" t="s">
        <v>163</v>
      </c>
    </row>
    <row r="114" spans="1:9" x14ac:dyDescent="0.15">
      <c r="A114" t="s">
        <v>361</v>
      </c>
      <c r="B114" t="s">
        <v>158</v>
      </c>
      <c r="C114" t="s">
        <v>359</v>
      </c>
      <c r="D114" t="s">
        <v>359</v>
      </c>
      <c r="E114" t="s">
        <v>359</v>
      </c>
      <c r="F114" t="s">
        <v>360</v>
      </c>
      <c r="G114" t="s">
        <v>162</v>
      </c>
      <c r="H114" t="s">
        <v>162</v>
      </c>
      <c r="I114" t="s">
        <v>163</v>
      </c>
    </row>
    <row r="115" spans="1:9" x14ac:dyDescent="0.15">
      <c r="A115" t="s">
        <v>362</v>
      </c>
      <c r="B115" t="s">
        <v>158</v>
      </c>
      <c r="C115" t="s">
        <v>363</v>
      </c>
      <c r="D115" t="s">
        <v>363</v>
      </c>
      <c r="E115" t="s">
        <v>363</v>
      </c>
      <c r="F115" t="s">
        <v>360</v>
      </c>
      <c r="G115" t="s">
        <v>162</v>
      </c>
      <c r="H115" t="s">
        <v>162</v>
      </c>
      <c r="I115" t="s">
        <v>163</v>
      </c>
    </row>
    <row r="116" spans="1:9" x14ac:dyDescent="0.15">
      <c r="A116" t="s">
        <v>364</v>
      </c>
      <c r="B116" t="s">
        <v>158</v>
      </c>
      <c r="C116" t="s">
        <v>363</v>
      </c>
      <c r="D116" t="s">
        <v>363</v>
      </c>
      <c r="E116" t="s">
        <v>363</v>
      </c>
      <c r="F116" t="s">
        <v>360</v>
      </c>
      <c r="G116" t="s">
        <v>162</v>
      </c>
      <c r="H116" t="s">
        <v>162</v>
      </c>
      <c r="I116" t="s">
        <v>163</v>
      </c>
    </row>
    <row r="117" spans="1:9" x14ac:dyDescent="0.15">
      <c r="A117" t="s">
        <v>365</v>
      </c>
      <c r="B117" t="s">
        <v>158</v>
      </c>
      <c r="C117" t="s">
        <v>363</v>
      </c>
      <c r="D117" t="s">
        <v>363</v>
      </c>
      <c r="E117" t="s">
        <v>363</v>
      </c>
      <c r="F117" t="s">
        <v>360</v>
      </c>
      <c r="G117" t="s">
        <v>162</v>
      </c>
      <c r="H117" t="s">
        <v>162</v>
      </c>
      <c r="I117" t="s">
        <v>163</v>
      </c>
    </row>
    <row r="118" spans="1:9" x14ac:dyDescent="0.15">
      <c r="A118" t="s">
        <v>366</v>
      </c>
      <c r="B118" t="s">
        <v>158</v>
      </c>
      <c r="C118" t="s">
        <v>367</v>
      </c>
      <c r="D118" t="s">
        <v>367</v>
      </c>
      <c r="E118" t="s">
        <v>367</v>
      </c>
      <c r="F118" t="s">
        <v>368</v>
      </c>
      <c r="G118" t="s">
        <v>162</v>
      </c>
      <c r="H118" t="s">
        <v>162</v>
      </c>
      <c r="I118" t="s">
        <v>163</v>
      </c>
    </row>
    <row r="119" spans="1:9" x14ac:dyDescent="0.15">
      <c r="A119" t="s">
        <v>369</v>
      </c>
      <c r="B119" t="s">
        <v>158</v>
      </c>
      <c r="C119" t="s">
        <v>327</v>
      </c>
      <c r="D119" t="s">
        <v>327</v>
      </c>
      <c r="E119" t="s">
        <v>327</v>
      </c>
      <c r="F119" t="s">
        <v>370</v>
      </c>
      <c r="G119" t="s">
        <v>162</v>
      </c>
      <c r="H119" t="s">
        <v>162</v>
      </c>
      <c r="I119" t="s">
        <v>163</v>
      </c>
    </row>
    <row r="120" spans="1:9" x14ac:dyDescent="0.15">
      <c r="A120" t="s">
        <v>371</v>
      </c>
      <c r="B120" t="s">
        <v>158</v>
      </c>
      <c r="C120" t="s">
        <v>327</v>
      </c>
      <c r="D120" t="s">
        <v>327</v>
      </c>
      <c r="E120" t="s">
        <v>327</v>
      </c>
      <c r="F120" t="s">
        <v>370</v>
      </c>
      <c r="G120" t="s">
        <v>162</v>
      </c>
      <c r="H120" t="s">
        <v>162</v>
      </c>
      <c r="I120" t="s">
        <v>163</v>
      </c>
    </row>
    <row r="121" spans="1:9" x14ac:dyDescent="0.15">
      <c r="A121" t="s">
        <v>372</v>
      </c>
      <c r="B121" t="s">
        <v>158</v>
      </c>
      <c r="C121" t="s">
        <v>373</v>
      </c>
      <c r="D121" t="s">
        <v>373</v>
      </c>
      <c r="E121" t="s">
        <v>373</v>
      </c>
      <c r="F121" t="s">
        <v>370</v>
      </c>
      <c r="G121" t="s">
        <v>162</v>
      </c>
      <c r="H121" t="s">
        <v>162</v>
      </c>
      <c r="I121" t="s">
        <v>163</v>
      </c>
    </row>
    <row r="122" spans="1:9" x14ac:dyDescent="0.15">
      <c r="A122" t="s">
        <v>374</v>
      </c>
      <c r="B122" t="s">
        <v>158</v>
      </c>
      <c r="C122" t="s">
        <v>375</v>
      </c>
      <c r="D122" t="s">
        <v>375</v>
      </c>
      <c r="E122" t="s">
        <v>375</v>
      </c>
      <c r="F122" t="s">
        <v>370</v>
      </c>
      <c r="G122" t="s">
        <v>162</v>
      </c>
      <c r="H122" t="s">
        <v>162</v>
      </c>
      <c r="I122" t="s">
        <v>163</v>
      </c>
    </row>
    <row r="123" spans="1:9" x14ac:dyDescent="0.15">
      <c r="A123" t="s">
        <v>376</v>
      </c>
      <c r="B123" t="s">
        <v>158</v>
      </c>
      <c r="C123" t="s">
        <v>375</v>
      </c>
      <c r="D123" t="s">
        <v>375</v>
      </c>
      <c r="E123" t="s">
        <v>375</v>
      </c>
      <c r="F123" t="s">
        <v>370</v>
      </c>
      <c r="G123" t="s">
        <v>162</v>
      </c>
      <c r="H123" t="s">
        <v>162</v>
      </c>
      <c r="I123" t="s">
        <v>163</v>
      </c>
    </row>
    <row r="124" spans="1:9" x14ac:dyDescent="0.15">
      <c r="A124" t="s">
        <v>377</v>
      </c>
      <c r="B124" t="s">
        <v>158</v>
      </c>
      <c r="C124" t="s">
        <v>378</v>
      </c>
      <c r="D124" t="s">
        <v>378</v>
      </c>
      <c r="E124" t="s">
        <v>378</v>
      </c>
      <c r="F124" t="s">
        <v>370</v>
      </c>
      <c r="G124" t="s">
        <v>162</v>
      </c>
      <c r="H124" t="s">
        <v>162</v>
      </c>
      <c r="I124" t="s">
        <v>163</v>
      </c>
    </row>
    <row r="125" spans="1:9" x14ac:dyDescent="0.15">
      <c r="A125" t="s">
        <v>379</v>
      </c>
      <c r="B125" t="s">
        <v>158</v>
      </c>
      <c r="C125" t="s">
        <v>380</v>
      </c>
      <c r="D125" t="s">
        <v>380</v>
      </c>
      <c r="E125" t="s">
        <v>380</v>
      </c>
      <c r="F125" t="s">
        <v>381</v>
      </c>
      <c r="G125" t="s">
        <v>162</v>
      </c>
      <c r="H125" t="s">
        <v>162</v>
      </c>
      <c r="I125" t="s">
        <v>163</v>
      </c>
    </row>
    <row r="126" spans="1:9" x14ac:dyDescent="0.15">
      <c r="A126" t="s">
        <v>382</v>
      </c>
      <c r="B126" t="s">
        <v>158</v>
      </c>
      <c r="C126" t="s">
        <v>383</v>
      </c>
      <c r="D126" t="s">
        <v>383</v>
      </c>
      <c r="E126" t="s">
        <v>383</v>
      </c>
      <c r="F126" t="s">
        <v>381</v>
      </c>
      <c r="G126" t="s">
        <v>162</v>
      </c>
      <c r="H126" t="s">
        <v>162</v>
      </c>
      <c r="I126" t="s">
        <v>163</v>
      </c>
    </row>
    <row r="127" spans="1:9" x14ac:dyDescent="0.15">
      <c r="A127" t="s">
        <v>384</v>
      </c>
      <c r="B127" t="s">
        <v>158</v>
      </c>
      <c r="C127" t="s">
        <v>385</v>
      </c>
      <c r="D127" t="s">
        <v>385</v>
      </c>
      <c r="E127" t="s">
        <v>385</v>
      </c>
      <c r="F127" t="s">
        <v>386</v>
      </c>
      <c r="G127" t="s">
        <v>162</v>
      </c>
      <c r="H127" t="s">
        <v>162</v>
      </c>
      <c r="I127" t="s">
        <v>163</v>
      </c>
    </row>
    <row r="128" spans="1:9" x14ac:dyDescent="0.15">
      <c r="A128" t="s">
        <v>143</v>
      </c>
      <c r="B128" t="s">
        <v>158</v>
      </c>
      <c r="C128" t="s">
        <v>159</v>
      </c>
      <c r="D128" t="s">
        <v>387</v>
      </c>
      <c r="E128" t="s">
        <v>159</v>
      </c>
      <c r="F128" t="s">
        <v>161</v>
      </c>
      <c r="G128" t="s">
        <v>388</v>
      </c>
      <c r="H128" t="s">
        <v>389</v>
      </c>
      <c r="I128" t="s">
        <v>390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25"/>
  <sheetViews>
    <sheetView workbookViewId="0"/>
  </sheetViews>
  <sheetFormatPr defaultRowHeight="13.5" x14ac:dyDescent="0.15"/>
  <sheetData>
    <row r="1" spans="1:55" x14ac:dyDescent="0.15">
      <c r="A1" s="1" t="s">
        <v>0</v>
      </c>
      <c r="B1" s="1" t="s">
        <v>1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  <c r="Z1" s="1" t="s">
        <v>414</v>
      </c>
      <c r="AA1" s="1" t="s">
        <v>415</v>
      </c>
      <c r="AB1" s="1" t="s">
        <v>416</v>
      </c>
      <c r="AC1" s="1" t="s">
        <v>417</v>
      </c>
      <c r="AD1" s="1" t="s">
        <v>418</v>
      </c>
      <c r="AE1" s="1" t="s">
        <v>419</v>
      </c>
      <c r="AF1" s="1" t="s">
        <v>420</v>
      </c>
      <c r="AG1" s="1" t="s">
        <v>421</v>
      </c>
      <c r="AH1" s="1" t="s">
        <v>422</v>
      </c>
      <c r="AI1" s="1" t="s">
        <v>423</v>
      </c>
      <c r="AJ1" s="1" t="s">
        <v>424</v>
      </c>
      <c r="AK1" s="1" t="s">
        <v>425</v>
      </c>
      <c r="AL1" s="1" t="s">
        <v>2</v>
      </c>
      <c r="AM1" s="1" t="s">
        <v>3</v>
      </c>
      <c r="AN1" s="1" t="s">
        <v>426</v>
      </c>
      <c r="AO1" s="1" t="s">
        <v>5</v>
      </c>
      <c r="AP1" s="1" t="s">
        <v>6</v>
      </c>
      <c r="AQ1" s="1" t="s">
        <v>7</v>
      </c>
      <c r="AR1" s="1" t="s">
        <v>8</v>
      </c>
      <c r="AS1" s="1" t="s">
        <v>9</v>
      </c>
      <c r="AT1" s="1" t="s">
        <v>10</v>
      </c>
      <c r="AU1" s="1" t="s">
        <v>11</v>
      </c>
      <c r="AV1" s="1" t="s">
        <v>12</v>
      </c>
      <c r="AW1" s="1" t="s">
        <v>13</v>
      </c>
      <c r="AX1" s="1" t="s">
        <v>14</v>
      </c>
      <c r="AY1" s="1" t="s">
        <v>15</v>
      </c>
      <c r="AZ1" s="1" t="s">
        <v>16</v>
      </c>
      <c r="BA1" s="1" t="s">
        <v>17</v>
      </c>
      <c r="BB1" s="1" t="s">
        <v>18</v>
      </c>
      <c r="BC1" s="1" t="s">
        <v>19</v>
      </c>
    </row>
    <row r="2" spans="1:55" x14ac:dyDescent="0.15">
      <c r="A2">
        <v>1</v>
      </c>
      <c r="B2" t="s">
        <v>20</v>
      </c>
      <c r="C2" t="s">
        <v>159</v>
      </c>
      <c r="D2">
        <v>165</v>
      </c>
      <c r="E2">
        <v>-4.2</v>
      </c>
      <c r="H2">
        <v>7</v>
      </c>
      <c r="I2">
        <v>6</v>
      </c>
      <c r="J2">
        <v>7</v>
      </c>
      <c r="K2">
        <v>36</v>
      </c>
      <c r="L2">
        <v>6.5</v>
      </c>
      <c r="M2">
        <v>7.5</v>
      </c>
      <c r="N2">
        <v>45.13</v>
      </c>
      <c r="O2">
        <v>7852</v>
      </c>
      <c r="R2">
        <v>1000</v>
      </c>
      <c r="U2">
        <v>150</v>
      </c>
      <c r="V2">
        <v>350</v>
      </c>
      <c r="W2">
        <v>250</v>
      </c>
      <c r="Y2">
        <v>0</v>
      </c>
      <c r="Z2">
        <v>488</v>
      </c>
      <c r="AB2">
        <v>530</v>
      </c>
      <c r="AC2">
        <v>1427.49</v>
      </c>
      <c r="AD2">
        <v>4039.14</v>
      </c>
      <c r="AE2">
        <v>300</v>
      </c>
      <c r="AF2">
        <v>0</v>
      </c>
      <c r="AG2">
        <v>-189.55</v>
      </c>
      <c r="AJ2">
        <v>200</v>
      </c>
      <c r="AL2">
        <v>16397.080000000002</v>
      </c>
      <c r="AP2">
        <v>-174.11</v>
      </c>
      <c r="AQ2">
        <v>0</v>
      </c>
      <c r="AR2">
        <v>-30</v>
      </c>
      <c r="AT2">
        <v>-1211.92</v>
      </c>
      <c r="AU2">
        <v>-302.98</v>
      </c>
      <c r="AV2">
        <v>-75.75</v>
      </c>
      <c r="AW2">
        <v>-5</v>
      </c>
      <c r="AX2">
        <v>-94.8</v>
      </c>
      <c r="AZ2">
        <v>-5.93</v>
      </c>
      <c r="BB2">
        <v>-1397</v>
      </c>
      <c r="BC2">
        <v>13099.59</v>
      </c>
    </row>
    <row r="3" spans="1:55" x14ac:dyDescent="0.15">
      <c r="A3">
        <v>2</v>
      </c>
      <c r="B3" t="s">
        <v>21</v>
      </c>
      <c r="C3" t="s">
        <v>159</v>
      </c>
      <c r="D3">
        <v>180</v>
      </c>
      <c r="E3">
        <v>-3.6</v>
      </c>
      <c r="H3">
        <v>7.5</v>
      </c>
      <c r="I3">
        <v>8.5</v>
      </c>
      <c r="J3">
        <v>8</v>
      </c>
      <c r="K3">
        <v>44.5</v>
      </c>
      <c r="L3">
        <v>4</v>
      </c>
      <c r="M3">
        <v>0</v>
      </c>
      <c r="N3">
        <v>37.450000000000003</v>
      </c>
      <c r="O3">
        <v>6517</v>
      </c>
      <c r="R3">
        <v>1000</v>
      </c>
      <c r="U3">
        <v>150</v>
      </c>
      <c r="V3">
        <v>350</v>
      </c>
      <c r="W3">
        <v>250</v>
      </c>
      <c r="Y3">
        <v>0</v>
      </c>
      <c r="Z3">
        <v>560</v>
      </c>
      <c r="AB3">
        <v>650</v>
      </c>
      <c r="AC3">
        <v>1184.79</v>
      </c>
      <c r="AD3">
        <v>2799.39</v>
      </c>
      <c r="AE3">
        <v>300</v>
      </c>
      <c r="AF3">
        <v>30</v>
      </c>
      <c r="AG3">
        <v>-134.82</v>
      </c>
      <c r="AJ3">
        <v>200</v>
      </c>
      <c r="AL3">
        <v>13856.36</v>
      </c>
      <c r="AP3">
        <v>-81.209999999999994</v>
      </c>
      <c r="AQ3">
        <v>0</v>
      </c>
      <c r="AR3">
        <v>-30</v>
      </c>
      <c r="AT3">
        <v>-1248.72</v>
      </c>
      <c r="AU3">
        <v>-312.18</v>
      </c>
      <c r="AV3">
        <v>-78.05</v>
      </c>
      <c r="AW3">
        <v>-5</v>
      </c>
      <c r="AX3">
        <v>-299.68</v>
      </c>
      <c r="AZ3">
        <v>-18.73</v>
      </c>
      <c r="BB3">
        <v>-1187</v>
      </c>
      <c r="BC3">
        <v>10595.79</v>
      </c>
    </row>
    <row r="4" spans="1:55" x14ac:dyDescent="0.15">
      <c r="A4">
        <v>3</v>
      </c>
      <c r="B4" t="s">
        <v>22</v>
      </c>
      <c r="C4" t="s">
        <v>167</v>
      </c>
      <c r="D4">
        <v>176</v>
      </c>
      <c r="H4">
        <v>0</v>
      </c>
      <c r="I4">
        <v>0</v>
      </c>
      <c r="J4">
        <v>0</v>
      </c>
      <c r="K4">
        <v>0</v>
      </c>
      <c r="L4">
        <v>8.5</v>
      </c>
      <c r="M4">
        <v>0</v>
      </c>
      <c r="N4">
        <v>48.99</v>
      </c>
      <c r="O4">
        <v>8525</v>
      </c>
      <c r="U4">
        <v>150</v>
      </c>
      <c r="V4">
        <v>350</v>
      </c>
      <c r="W4">
        <v>250</v>
      </c>
      <c r="Y4">
        <v>0</v>
      </c>
      <c r="AB4">
        <v>0</v>
      </c>
      <c r="AD4">
        <v>832.83</v>
      </c>
      <c r="AF4">
        <v>0</v>
      </c>
      <c r="AG4">
        <v>0</v>
      </c>
      <c r="AJ4">
        <v>200</v>
      </c>
      <c r="AL4">
        <v>10307.83</v>
      </c>
      <c r="AP4">
        <v>-9.91</v>
      </c>
      <c r="AQ4">
        <v>0</v>
      </c>
      <c r="AR4">
        <v>-30</v>
      </c>
      <c r="AT4">
        <v>-971.92</v>
      </c>
      <c r="AU4">
        <v>-242.98</v>
      </c>
      <c r="AV4">
        <v>-60.75</v>
      </c>
      <c r="AW4">
        <v>-5</v>
      </c>
      <c r="AX4">
        <v>-99.84</v>
      </c>
      <c r="AZ4">
        <v>-6.24</v>
      </c>
      <c r="BB4">
        <v>-1091</v>
      </c>
      <c r="BC4">
        <v>7790.19</v>
      </c>
    </row>
    <row r="5" spans="1:55" x14ac:dyDescent="0.15">
      <c r="A5">
        <v>4</v>
      </c>
      <c r="B5" t="s">
        <v>23</v>
      </c>
      <c r="C5" t="s">
        <v>170</v>
      </c>
      <c r="D5">
        <v>165</v>
      </c>
      <c r="E5">
        <v>-4.2</v>
      </c>
      <c r="H5">
        <v>8</v>
      </c>
      <c r="I5">
        <v>7</v>
      </c>
      <c r="J5">
        <v>6</v>
      </c>
      <c r="K5">
        <v>44.5</v>
      </c>
      <c r="L5">
        <v>4.5</v>
      </c>
      <c r="M5">
        <v>7.5</v>
      </c>
      <c r="N5">
        <v>37.44</v>
      </c>
      <c r="O5">
        <v>6514</v>
      </c>
      <c r="U5">
        <v>150</v>
      </c>
      <c r="V5">
        <v>350</v>
      </c>
      <c r="W5">
        <v>250</v>
      </c>
      <c r="Y5">
        <v>0</v>
      </c>
      <c r="Z5">
        <v>760</v>
      </c>
      <c r="AB5">
        <v>530</v>
      </c>
      <c r="AC5">
        <v>1184.25</v>
      </c>
      <c r="AD5">
        <v>3678.48</v>
      </c>
      <c r="AF5">
        <v>60</v>
      </c>
      <c r="AG5">
        <v>-157.25</v>
      </c>
      <c r="AJ5">
        <v>200</v>
      </c>
      <c r="AL5">
        <v>13519.48</v>
      </c>
      <c r="AP5">
        <v>-169.88</v>
      </c>
      <c r="AQ5">
        <v>0</v>
      </c>
      <c r="AR5">
        <v>-30</v>
      </c>
      <c r="AT5">
        <v>-1119.3599999999999</v>
      </c>
      <c r="AU5">
        <v>-279.83999999999997</v>
      </c>
      <c r="AV5">
        <v>-69.959999999999994</v>
      </c>
      <c r="AW5">
        <v>-5</v>
      </c>
      <c r="AX5">
        <v>-93.6</v>
      </c>
      <c r="AZ5">
        <v>-5.85</v>
      </c>
      <c r="BB5">
        <v>-1283</v>
      </c>
      <c r="BC5">
        <v>10462.99</v>
      </c>
    </row>
    <row r="6" spans="1:55" x14ac:dyDescent="0.15">
      <c r="A6">
        <v>5</v>
      </c>
      <c r="B6" t="s">
        <v>24</v>
      </c>
      <c r="C6" t="s">
        <v>170</v>
      </c>
      <c r="D6">
        <v>165</v>
      </c>
      <c r="E6">
        <v>-4.2</v>
      </c>
      <c r="H6">
        <v>10</v>
      </c>
      <c r="I6">
        <v>8</v>
      </c>
      <c r="J6">
        <v>7.5</v>
      </c>
      <c r="K6">
        <v>45.5</v>
      </c>
      <c r="L6">
        <v>14</v>
      </c>
      <c r="M6">
        <v>7.5</v>
      </c>
      <c r="N6">
        <v>45.9</v>
      </c>
      <c r="O6">
        <v>7987</v>
      </c>
      <c r="R6">
        <v>1500</v>
      </c>
      <c r="U6">
        <v>150</v>
      </c>
      <c r="V6">
        <v>350</v>
      </c>
      <c r="W6">
        <v>250</v>
      </c>
      <c r="Y6">
        <v>0</v>
      </c>
      <c r="Z6">
        <v>610</v>
      </c>
      <c r="AB6">
        <v>640</v>
      </c>
      <c r="AC6">
        <v>1452.04</v>
      </c>
      <c r="AD6">
        <v>5450.63</v>
      </c>
      <c r="AF6">
        <v>60</v>
      </c>
      <c r="AG6">
        <v>-192.78</v>
      </c>
      <c r="AJ6">
        <v>200</v>
      </c>
      <c r="AL6">
        <v>18456.89</v>
      </c>
      <c r="AP6">
        <v>-216.88</v>
      </c>
      <c r="AQ6">
        <v>0</v>
      </c>
      <c r="AR6">
        <v>-30</v>
      </c>
      <c r="AS6">
        <v>-1000</v>
      </c>
      <c r="AT6">
        <v>-1461.68</v>
      </c>
      <c r="AU6">
        <v>-365.42</v>
      </c>
      <c r="AV6">
        <v>-91.36</v>
      </c>
      <c r="AW6">
        <v>-5</v>
      </c>
      <c r="AX6">
        <v>-127.2</v>
      </c>
      <c r="AZ6">
        <v>-7.95</v>
      </c>
      <c r="BB6">
        <v>-1669</v>
      </c>
      <c r="BC6">
        <v>13482.4</v>
      </c>
    </row>
    <row r="7" spans="1:55" x14ac:dyDescent="0.15">
      <c r="A7">
        <v>6</v>
      </c>
      <c r="B7" t="s">
        <v>25</v>
      </c>
      <c r="C7" t="s">
        <v>178</v>
      </c>
      <c r="D7">
        <v>180</v>
      </c>
      <c r="E7">
        <v>-3.6</v>
      </c>
      <c r="H7">
        <v>8</v>
      </c>
      <c r="I7">
        <v>8</v>
      </c>
      <c r="J7">
        <v>7</v>
      </c>
      <c r="K7">
        <v>39.5</v>
      </c>
      <c r="L7">
        <v>9.5</v>
      </c>
      <c r="M7">
        <v>0</v>
      </c>
      <c r="N7">
        <v>44.21</v>
      </c>
      <c r="O7">
        <v>7692</v>
      </c>
      <c r="R7">
        <v>1500</v>
      </c>
      <c r="U7">
        <v>150</v>
      </c>
      <c r="V7">
        <v>350</v>
      </c>
      <c r="W7">
        <v>250</v>
      </c>
      <c r="Y7">
        <v>0</v>
      </c>
      <c r="Z7">
        <v>610</v>
      </c>
      <c r="AB7">
        <v>600</v>
      </c>
      <c r="AC7">
        <v>1398.41</v>
      </c>
      <c r="AD7">
        <v>3459.43</v>
      </c>
      <c r="AE7">
        <v>200</v>
      </c>
      <c r="AF7">
        <v>0</v>
      </c>
      <c r="AG7">
        <v>-159.16</v>
      </c>
      <c r="AJ7">
        <v>200</v>
      </c>
      <c r="AL7">
        <v>16250.68</v>
      </c>
      <c r="AP7">
        <v>-87.9</v>
      </c>
      <c r="AQ7">
        <v>0</v>
      </c>
      <c r="AR7">
        <v>-30</v>
      </c>
      <c r="AT7">
        <v>-1505.52</v>
      </c>
      <c r="AU7">
        <v>-376.38</v>
      </c>
      <c r="AV7">
        <v>-94.1</v>
      </c>
      <c r="AW7">
        <v>-5</v>
      </c>
      <c r="AX7">
        <v>-229.12</v>
      </c>
      <c r="AZ7">
        <v>-14.32</v>
      </c>
      <c r="BB7">
        <v>-1596</v>
      </c>
      <c r="BC7">
        <v>12312.34</v>
      </c>
    </row>
    <row r="8" spans="1:55" x14ac:dyDescent="0.15">
      <c r="A8">
        <v>7</v>
      </c>
      <c r="B8" t="s">
        <v>26</v>
      </c>
      <c r="C8" t="s">
        <v>191</v>
      </c>
      <c r="D8">
        <v>180</v>
      </c>
      <c r="E8">
        <v>-3.6</v>
      </c>
      <c r="H8">
        <v>8</v>
      </c>
      <c r="I8">
        <v>8</v>
      </c>
      <c r="J8">
        <v>8.5</v>
      </c>
      <c r="K8">
        <v>42.5</v>
      </c>
      <c r="L8">
        <v>8</v>
      </c>
      <c r="M8">
        <v>0</v>
      </c>
      <c r="N8">
        <v>37.44</v>
      </c>
      <c r="O8">
        <v>6514</v>
      </c>
      <c r="U8">
        <v>150</v>
      </c>
      <c r="V8">
        <v>350</v>
      </c>
      <c r="W8">
        <v>250</v>
      </c>
      <c r="Y8">
        <v>0</v>
      </c>
      <c r="Z8">
        <v>870</v>
      </c>
      <c r="AB8">
        <v>660</v>
      </c>
      <c r="AC8">
        <v>1184.25</v>
      </c>
      <c r="AD8">
        <v>2985.84</v>
      </c>
      <c r="AF8">
        <v>80</v>
      </c>
      <c r="AG8">
        <v>-134.78</v>
      </c>
      <c r="AJ8">
        <v>200</v>
      </c>
      <c r="AL8">
        <v>13109.31</v>
      </c>
      <c r="AP8">
        <v>-81.819999999999993</v>
      </c>
      <c r="AQ8">
        <v>0</v>
      </c>
      <c r="AR8">
        <v>-30</v>
      </c>
      <c r="AS8">
        <v>-1000</v>
      </c>
      <c r="AT8">
        <v>-1172.56</v>
      </c>
      <c r="AU8">
        <v>-293.14</v>
      </c>
      <c r="AV8">
        <v>-73.290000000000006</v>
      </c>
      <c r="AW8">
        <v>-5</v>
      </c>
      <c r="AX8">
        <v>-151.36000000000001</v>
      </c>
      <c r="AZ8">
        <v>-9.4600000000000009</v>
      </c>
      <c r="BB8">
        <v>-1277</v>
      </c>
      <c r="BC8">
        <v>9015.68</v>
      </c>
    </row>
    <row r="9" spans="1:55" x14ac:dyDescent="0.15">
      <c r="A9">
        <v>8</v>
      </c>
      <c r="B9" t="s">
        <v>27</v>
      </c>
      <c r="C9" t="s">
        <v>196</v>
      </c>
      <c r="D9">
        <v>172.5</v>
      </c>
      <c r="E9">
        <v>-1.7</v>
      </c>
      <c r="H9">
        <v>6.5</v>
      </c>
      <c r="I9">
        <v>8</v>
      </c>
      <c r="J9">
        <v>7</v>
      </c>
      <c r="K9">
        <v>39.5</v>
      </c>
      <c r="L9">
        <v>5.5</v>
      </c>
      <c r="M9">
        <v>0</v>
      </c>
      <c r="N9">
        <v>44.18</v>
      </c>
      <c r="O9">
        <v>7687</v>
      </c>
      <c r="R9">
        <v>1000</v>
      </c>
      <c r="U9">
        <v>150</v>
      </c>
      <c r="V9">
        <v>350</v>
      </c>
      <c r="W9">
        <v>250</v>
      </c>
      <c r="Y9">
        <v>0</v>
      </c>
      <c r="Z9">
        <v>950</v>
      </c>
      <c r="AB9">
        <v>585</v>
      </c>
      <c r="AC9">
        <v>1397.5</v>
      </c>
      <c r="AD9">
        <v>3103.65</v>
      </c>
      <c r="AF9">
        <v>0</v>
      </c>
      <c r="AG9">
        <v>-75.11</v>
      </c>
      <c r="AJ9">
        <v>200</v>
      </c>
      <c r="AL9">
        <v>15598.04</v>
      </c>
      <c r="AP9">
        <v>-58.44</v>
      </c>
      <c r="AQ9">
        <v>0</v>
      </c>
      <c r="AR9">
        <v>-30</v>
      </c>
      <c r="AT9">
        <v>-1439.04</v>
      </c>
      <c r="AU9">
        <v>-359.76</v>
      </c>
      <c r="AV9">
        <v>-89.94</v>
      </c>
      <c r="AW9">
        <v>-5</v>
      </c>
      <c r="AX9">
        <v>-228</v>
      </c>
      <c r="AZ9">
        <v>-14.25</v>
      </c>
      <c r="BB9">
        <v>-1514</v>
      </c>
      <c r="BC9">
        <v>11859.61</v>
      </c>
    </row>
    <row r="10" spans="1:55" x14ac:dyDescent="0.15">
      <c r="A10">
        <v>9</v>
      </c>
      <c r="B10" t="s">
        <v>28</v>
      </c>
      <c r="C10" t="s">
        <v>199</v>
      </c>
      <c r="D10">
        <v>165</v>
      </c>
      <c r="E10">
        <v>-4.2</v>
      </c>
      <c r="H10">
        <v>5.5</v>
      </c>
      <c r="I10">
        <v>8.5</v>
      </c>
      <c r="J10">
        <v>9.5</v>
      </c>
      <c r="K10">
        <v>44</v>
      </c>
      <c r="L10">
        <v>3</v>
      </c>
      <c r="M10">
        <v>11</v>
      </c>
      <c r="N10">
        <v>38.630000000000003</v>
      </c>
      <c r="O10">
        <v>6722</v>
      </c>
      <c r="R10">
        <v>1000</v>
      </c>
      <c r="U10">
        <v>150</v>
      </c>
      <c r="V10">
        <v>350</v>
      </c>
      <c r="W10">
        <v>250</v>
      </c>
      <c r="Y10">
        <v>0</v>
      </c>
      <c r="Z10">
        <v>560</v>
      </c>
      <c r="AB10">
        <v>690</v>
      </c>
      <c r="AC10">
        <v>1222.06</v>
      </c>
      <c r="AD10">
        <v>4056.15</v>
      </c>
      <c r="AF10">
        <v>60</v>
      </c>
      <c r="AG10">
        <v>-162.25</v>
      </c>
      <c r="AJ10">
        <v>200</v>
      </c>
      <c r="AL10">
        <v>15097.96</v>
      </c>
      <c r="AP10">
        <v>-181</v>
      </c>
      <c r="AQ10">
        <v>0</v>
      </c>
      <c r="AR10">
        <v>-30</v>
      </c>
      <c r="AT10">
        <v>-1208.24</v>
      </c>
      <c r="AU10">
        <v>-302.06</v>
      </c>
      <c r="AV10">
        <v>-75.52</v>
      </c>
      <c r="AW10">
        <v>-5</v>
      </c>
      <c r="AX10">
        <v>-198.24</v>
      </c>
      <c r="AZ10">
        <v>-12.39</v>
      </c>
      <c r="BB10">
        <v>-1263</v>
      </c>
      <c r="BC10">
        <v>11822.51</v>
      </c>
    </row>
    <row r="11" spans="1:55" x14ac:dyDescent="0.15">
      <c r="A11">
        <v>10</v>
      </c>
      <c r="B11" t="s">
        <v>29</v>
      </c>
      <c r="C11" t="s">
        <v>199</v>
      </c>
      <c r="D11">
        <v>176</v>
      </c>
      <c r="H11">
        <v>0</v>
      </c>
      <c r="I11">
        <v>0</v>
      </c>
      <c r="J11">
        <v>0</v>
      </c>
      <c r="K11">
        <v>10.5</v>
      </c>
      <c r="L11">
        <v>34</v>
      </c>
      <c r="M11">
        <v>0</v>
      </c>
      <c r="N11">
        <v>39.130000000000003</v>
      </c>
      <c r="O11">
        <v>6809</v>
      </c>
      <c r="R11">
        <v>1000</v>
      </c>
      <c r="U11">
        <v>150</v>
      </c>
      <c r="V11">
        <v>350</v>
      </c>
      <c r="W11">
        <v>250</v>
      </c>
      <c r="Y11">
        <v>0</v>
      </c>
      <c r="Z11">
        <v>600</v>
      </c>
      <c r="AB11">
        <v>0</v>
      </c>
      <c r="AD11">
        <v>3277.14</v>
      </c>
      <c r="AF11">
        <v>0</v>
      </c>
      <c r="AG11">
        <v>0</v>
      </c>
      <c r="AJ11">
        <v>200</v>
      </c>
      <c r="AL11">
        <v>12636.14</v>
      </c>
      <c r="AP11">
        <v>-144.25</v>
      </c>
      <c r="AQ11">
        <v>0</v>
      </c>
      <c r="AR11">
        <v>-30</v>
      </c>
      <c r="AT11">
        <v>-1123.68</v>
      </c>
      <c r="AU11">
        <v>-280.92</v>
      </c>
      <c r="AV11">
        <v>-70.23</v>
      </c>
      <c r="AW11">
        <v>-5</v>
      </c>
      <c r="AX11">
        <v>-303.2</v>
      </c>
      <c r="AZ11">
        <v>-18.95</v>
      </c>
      <c r="BB11">
        <v>-1026</v>
      </c>
      <c r="BC11">
        <v>9633.91</v>
      </c>
    </row>
    <row r="12" spans="1:55" x14ac:dyDescent="0.15">
      <c r="A12">
        <v>11</v>
      </c>
      <c r="B12" t="s">
        <v>30</v>
      </c>
      <c r="C12" t="s">
        <v>202</v>
      </c>
      <c r="D12">
        <v>172.5</v>
      </c>
      <c r="E12">
        <v>-1.7</v>
      </c>
      <c r="H12">
        <v>8</v>
      </c>
      <c r="I12">
        <v>8</v>
      </c>
      <c r="J12">
        <v>7</v>
      </c>
      <c r="K12">
        <v>39</v>
      </c>
      <c r="L12">
        <v>16.5</v>
      </c>
      <c r="M12">
        <v>0</v>
      </c>
      <c r="N12">
        <v>43.37</v>
      </c>
      <c r="O12">
        <v>7547</v>
      </c>
      <c r="R12">
        <v>1000</v>
      </c>
      <c r="U12">
        <v>150</v>
      </c>
      <c r="V12">
        <v>350</v>
      </c>
      <c r="W12">
        <v>250</v>
      </c>
      <c r="Y12">
        <v>0</v>
      </c>
      <c r="Z12">
        <v>845</v>
      </c>
      <c r="AB12">
        <v>600</v>
      </c>
      <c r="AC12">
        <v>1372.04</v>
      </c>
      <c r="AD12">
        <v>3968.36</v>
      </c>
      <c r="AF12">
        <v>30</v>
      </c>
      <c r="AG12">
        <v>-73.73</v>
      </c>
      <c r="AJ12">
        <v>200</v>
      </c>
      <c r="AL12">
        <v>16238.67</v>
      </c>
      <c r="AP12">
        <v>-22.98</v>
      </c>
      <c r="AQ12">
        <v>0</v>
      </c>
      <c r="AR12">
        <v>-30</v>
      </c>
      <c r="AT12">
        <v>-1535.2</v>
      </c>
      <c r="AU12">
        <v>-383.8</v>
      </c>
      <c r="AV12">
        <v>-95.95</v>
      </c>
      <c r="AW12">
        <v>-5</v>
      </c>
      <c r="AX12">
        <v>-356.56</v>
      </c>
      <c r="AZ12">
        <v>-22.28</v>
      </c>
      <c r="BB12">
        <v>-1474</v>
      </c>
      <c r="BC12">
        <v>12312.9</v>
      </c>
    </row>
    <row r="13" spans="1:55" x14ac:dyDescent="0.15">
      <c r="A13">
        <v>12</v>
      </c>
      <c r="B13" t="s">
        <v>31</v>
      </c>
      <c r="C13" t="s">
        <v>202</v>
      </c>
      <c r="D13">
        <v>165</v>
      </c>
      <c r="E13">
        <v>-4.2</v>
      </c>
      <c r="H13">
        <v>8</v>
      </c>
      <c r="I13">
        <v>6.5</v>
      </c>
      <c r="J13">
        <v>8</v>
      </c>
      <c r="K13">
        <v>31</v>
      </c>
      <c r="L13">
        <v>14</v>
      </c>
      <c r="M13">
        <v>7.5</v>
      </c>
      <c r="N13">
        <v>43.29</v>
      </c>
      <c r="O13">
        <v>7532</v>
      </c>
      <c r="R13">
        <v>1000</v>
      </c>
      <c r="U13">
        <v>150</v>
      </c>
      <c r="V13">
        <v>350</v>
      </c>
      <c r="W13">
        <v>250</v>
      </c>
      <c r="Y13">
        <v>0</v>
      </c>
      <c r="Z13">
        <v>795</v>
      </c>
      <c r="AB13">
        <v>595</v>
      </c>
      <c r="AC13">
        <v>1369.32</v>
      </c>
      <c r="AD13">
        <v>4199.13</v>
      </c>
      <c r="AF13">
        <v>30</v>
      </c>
      <c r="AG13">
        <v>-181.82</v>
      </c>
      <c r="AJ13">
        <v>200</v>
      </c>
      <c r="AL13">
        <v>16288.63</v>
      </c>
      <c r="AP13">
        <v>-197.2</v>
      </c>
      <c r="AQ13">
        <v>0</v>
      </c>
      <c r="AR13">
        <v>-30</v>
      </c>
      <c r="AS13">
        <v>-1000</v>
      </c>
      <c r="AT13">
        <v>-1469.52</v>
      </c>
      <c r="AU13">
        <v>-367.38</v>
      </c>
      <c r="AV13">
        <v>-91.85</v>
      </c>
      <c r="AW13">
        <v>-5</v>
      </c>
      <c r="AX13">
        <v>-300.56</v>
      </c>
      <c r="AZ13">
        <v>-18.79</v>
      </c>
      <c r="BB13">
        <v>-1462</v>
      </c>
      <c r="BC13">
        <v>11346.33</v>
      </c>
    </row>
    <row r="14" spans="1:55" x14ac:dyDescent="0.15">
      <c r="A14">
        <v>13</v>
      </c>
      <c r="B14" t="s">
        <v>32</v>
      </c>
      <c r="C14" t="s">
        <v>205</v>
      </c>
      <c r="D14">
        <v>165</v>
      </c>
      <c r="E14">
        <v>-4.2</v>
      </c>
      <c r="H14">
        <v>6.5</v>
      </c>
      <c r="I14">
        <v>8</v>
      </c>
      <c r="J14">
        <v>7.5</v>
      </c>
      <c r="K14">
        <v>35</v>
      </c>
      <c r="L14">
        <v>7</v>
      </c>
      <c r="M14">
        <v>11</v>
      </c>
      <c r="N14">
        <v>38.79</v>
      </c>
      <c r="O14">
        <v>6750</v>
      </c>
      <c r="U14">
        <v>150</v>
      </c>
      <c r="V14">
        <v>350</v>
      </c>
      <c r="W14">
        <v>250</v>
      </c>
      <c r="Y14">
        <v>0</v>
      </c>
      <c r="Z14">
        <v>860</v>
      </c>
      <c r="AB14">
        <v>605</v>
      </c>
      <c r="AC14">
        <v>1227.1500000000001</v>
      </c>
      <c r="AD14">
        <v>3859.61</v>
      </c>
      <c r="AF14">
        <v>0</v>
      </c>
      <c r="AG14">
        <v>-162.91999999999999</v>
      </c>
      <c r="AJ14">
        <v>200</v>
      </c>
      <c r="AL14">
        <v>14088.84</v>
      </c>
      <c r="AP14">
        <v>-4.9000000000000004</v>
      </c>
      <c r="AQ14">
        <v>0</v>
      </c>
      <c r="AR14">
        <v>-30</v>
      </c>
      <c r="AT14">
        <v>-1236.48</v>
      </c>
      <c r="AU14">
        <v>-309.12</v>
      </c>
      <c r="AV14">
        <v>-77.28</v>
      </c>
      <c r="AW14">
        <v>-5</v>
      </c>
      <c r="AX14">
        <v>-157.52000000000001</v>
      </c>
      <c r="AZ14">
        <v>-9.84</v>
      </c>
      <c r="BB14">
        <v>-1349</v>
      </c>
      <c r="BC14">
        <v>10909.7</v>
      </c>
    </row>
    <row r="15" spans="1:55" x14ac:dyDescent="0.15">
      <c r="A15">
        <v>14</v>
      </c>
      <c r="B15" t="s">
        <v>33</v>
      </c>
      <c r="C15" t="s">
        <v>208</v>
      </c>
      <c r="D15">
        <v>176</v>
      </c>
      <c r="H15">
        <v>0</v>
      </c>
      <c r="I15">
        <v>0</v>
      </c>
      <c r="J15">
        <v>0</v>
      </c>
      <c r="K15">
        <v>1</v>
      </c>
      <c r="L15">
        <v>8</v>
      </c>
      <c r="M15">
        <v>8</v>
      </c>
      <c r="N15">
        <v>41.36</v>
      </c>
      <c r="O15">
        <v>7196</v>
      </c>
      <c r="U15">
        <v>150</v>
      </c>
      <c r="V15">
        <v>350</v>
      </c>
      <c r="W15">
        <v>250</v>
      </c>
      <c r="Y15">
        <v>0</v>
      </c>
      <c r="AB15">
        <v>0</v>
      </c>
      <c r="AD15">
        <v>1716.44</v>
      </c>
      <c r="AF15">
        <v>0</v>
      </c>
      <c r="AG15">
        <v>0</v>
      </c>
      <c r="AJ15">
        <v>200</v>
      </c>
      <c r="AL15">
        <v>9862.44</v>
      </c>
      <c r="AP15">
        <v>0</v>
      </c>
      <c r="AQ15">
        <v>0</v>
      </c>
      <c r="AR15">
        <v>-30</v>
      </c>
      <c r="AT15">
        <v>-865.28</v>
      </c>
      <c r="AU15">
        <v>-216.32</v>
      </c>
      <c r="AV15">
        <v>-54.08</v>
      </c>
      <c r="AW15">
        <v>-5</v>
      </c>
      <c r="AX15">
        <v>-154.80000000000001</v>
      </c>
      <c r="AZ15">
        <v>-9.67</v>
      </c>
      <c r="BB15">
        <v>-889</v>
      </c>
      <c r="BC15">
        <v>7638.29</v>
      </c>
    </row>
    <row r="16" spans="1:55" x14ac:dyDescent="0.15">
      <c r="A16">
        <v>15</v>
      </c>
      <c r="B16" t="s">
        <v>34</v>
      </c>
      <c r="C16" t="s">
        <v>208</v>
      </c>
      <c r="D16">
        <v>180</v>
      </c>
      <c r="E16">
        <v>-3.6</v>
      </c>
      <c r="H16">
        <v>9</v>
      </c>
      <c r="I16">
        <v>6.5</v>
      </c>
      <c r="J16">
        <v>7.5</v>
      </c>
      <c r="K16">
        <v>43</v>
      </c>
      <c r="L16">
        <v>8</v>
      </c>
      <c r="M16">
        <v>0</v>
      </c>
      <c r="N16">
        <v>43.75</v>
      </c>
      <c r="O16">
        <v>7612</v>
      </c>
      <c r="R16">
        <v>1000</v>
      </c>
      <c r="U16">
        <v>150</v>
      </c>
      <c r="V16">
        <v>350</v>
      </c>
      <c r="W16">
        <v>250</v>
      </c>
      <c r="Y16">
        <v>0</v>
      </c>
      <c r="Z16">
        <v>720</v>
      </c>
      <c r="AB16">
        <v>585</v>
      </c>
      <c r="AC16">
        <v>1383.86</v>
      </c>
      <c r="AD16">
        <v>3521.88</v>
      </c>
      <c r="AF16">
        <v>0</v>
      </c>
      <c r="AG16">
        <v>-157.5</v>
      </c>
      <c r="AJ16">
        <v>200</v>
      </c>
      <c r="AL16">
        <v>15615.24</v>
      </c>
      <c r="AP16">
        <v>-40.46</v>
      </c>
      <c r="AQ16">
        <v>0</v>
      </c>
      <c r="AR16">
        <v>-30</v>
      </c>
      <c r="AS16">
        <v>-1000</v>
      </c>
      <c r="AT16">
        <v>-1375.36</v>
      </c>
      <c r="AU16">
        <v>-343.84</v>
      </c>
      <c r="AV16">
        <v>-85.96</v>
      </c>
      <c r="AW16">
        <v>-5</v>
      </c>
      <c r="AX16">
        <v>-173.84</v>
      </c>
      <c r="AZ16">
        <v>-10.86</v>
      </c>
      <c r="BB16">
        <v>-1502</v>
      </c>
      <c r="BC16">
        <v>11047.92</v>
      </c>
    </row>
    <row r="17" spans="1:55" x14ac:dyDescent="0.15">
      <c r="A17">
        <v>16</v>
      </c>
      <c r="B17" t="s">
        <v>35</v>
      </c>
      <c r="C17" t="s">
        <v>214</v>
      </c>
      <c r="D17">
        <v>176</v>
      </c>
      <c r="H17">
        <v>0</v>
      </c>
      <c r="I17">
        <v>0</v>
      </c>
      <c r="J17">
        <v>0</v>
      </c>
      <c r="K17">
        <v>10.5</v>
      </c>
      <c r="L17">
        <v>32</v>
      </c>
      <c r="M17">
        <v>9</v>
      </c>
      <c r="N17">
        <v>38.92</v>
      </c>
      <c r="O17">
        <v>6772</v>
      </c>
      <c r="U17">
        <v>150</v>
      </c>
      <c r="V17">
        <v>350</v>
      </c>
      <c r="W17">
        <v>250</v>
      </c>
      <c r="Y17">
        <v>0</v>
      </c>
      <c r="Z17">
        <v>800</v>
      </c>
      <c r="AB17">
        <v>0</v>
      </c>
      <c r="AD17">
        <v>4154.71</v>
      </c>
      <c r="AF17">
        <v>30</v>
      </c>
      <c r="AG17">
        <v>0</v>
      </c>
      <c r="AJ17">
        <v>200</v>
      </c>
      <c r="AL17">
        <v>12706.71</v>
      </c>
      <c r="AP17">
        <v>-27.13</v>
      </c>
      <c r="AQ17">
        <v>0</v>
      </c>
      <c r="AR17">
        <v>-30</v>
      </c>
      <c r="AT17">
        <v>-997.04</v>
      </c>
      <c r="AU17">
        <v>-249.26</v>
      </c>
      <c r="AV17">
        <v>-62.32</v>
      </c>
      <c r="AW17">
        <v>-5</v>
      </c>
      <c r="AX17">
        <v>-82.72</v>
      </c>
      <c r="AZ17">
        <v>-5.17</v>
      </c>
      <c r="BB17">
        <v>-1143</v>
      </c>
      <c r="BC17">
        <v>10105.07</v>
      </c>
    </row>
    <row r="18" spans="1:55" x14ac:dyDescent="0.15">
      <c r="A18">
        <v>17</v>
      </c>
      <c r="B18" t="s">
        <v>36</v>
      </c>
      <c r="C18" t="s">
        <v>214</v>
      </c>
      <c r="D18">
        <v>172.5</v>
      </c>
      <c r="E18">
        <v>-1.7</v>
      </c>
      <c r="H18">
        <v>8.5</v>
      </c>
      <c r="I18">
        <v>7.5</v>
      </c>
      <c r="J18">
        <v>6.5</v>
      </c>
      <c r="K18">
        <v>40</v>
      </c>
      <c r="L18">
        <v>4</v>
      </c>
      <c r="M18">
        <v>0</v>
      </c>
      <c r="N18">
        <v>31</v>
      </c>
      <c r="O18">
        <v>5394</v>
      </c>
      <c r="U18">
        <v>150</v>
      </c>
      <c r="V18">
        <v>350</v>
      </c>
      <c r="W18">
        <v>250</v>
      </c>
      <c r="Y18">
        <v>0</v>
      </c>
      <c r="Z18">
        <v>1400</v>
      </c>
      <c r="AB18">
        <v>570</v>
      </c>
      <c r="AC18">
        <v>980.63</v>
      </c>
      <c r="AD18">
        <v>2108</v>
      </c>
      <c r="AF18">
        <v>0</v>
      </c>
      <c r="AG18">
        <v>-52.7</v>
      </c>
      <c r="AJ18">
        <v>200</v>
      </c>
      <c r="AL18">
        <v>11349.93</v>
      </c>
      <c r="AP18">
        <v>-113.83</v>
      </c>
      <c r="AQ18">
        <v>0</v>
      </c>
      <c r="AR18">
        <v>-30</v>
      </c>
      <c r="AT18">
        <v>-1001.92</v>
      </c>
      <c r="AU18">
        <v>-250.48</v>
      </c>
      <c r="AV18">
        <v>-62.62</v>
      </c>
      <c r="AW18">
        <v>-5</v>
      </c>
      <c r="AX18">
        <v>-95.36</v>
      </c>
      <c r="AZ18">
        <v>-5.96</v>
      </c>
      <c r="BB18">
        <v>-1134</v>
      </c>
      <c r="BC18">
        <v>8650.76</v>
      </c>
    </row>
    <row r="19" spans="1:55" x14ac:dyDescent="0.15">
      <c r="A19">
        <v>18</v>
      </c>
      <c r="B19" t="s">
        <v>37</v>
      </c>
      <c r="C19" t="s">
        <v>218</v>
      </c>
      <c r="D19">
        <v>176</v>
      </c>
      <c r="H19">
        <v>0</v>
      </c>
      <c r="I19">
        <v>0</v>
      </c>
      <c r="J19">
        <v>0</v>
      </c>
      <c r="K19">
        <v>7</v>
      </c>
      <c r="L19">
        <v>4</v>
      </c>
      <c r="M19">
        <v>0</v>
      </c>
      <c r="N19">
        <v>32.770000000000003</v>
      </c>
      <c r="O19">
        <v>5702</v>
      </c>
      <c r="U19">
        <v>150</v>
      </c>
      <c r="V19">
        <v>350</v>
      </c>
      <c r="W19">
        <v>250</v>
      </c>
      <c r="Y19">
        <v>0</v>
      </c>
      <c r="AB19">
        <v>0</v>
      </c>
      <c r="AD19">
        <v>606.25</v>
      </c>
      <c r="AF19">
        <v>0</v>
      </c>
      <c r="AG19">
        <v>0</v>
      </c>
      <c r="AJ19">
        <v>200</v>
      </c>
      <c r="AL19">
        <v>7258.25</v>
      </c>
      <c r="AP19">
        <v>-8.39</v>
      </c>
      <c r="AQ19">
        <v>0</v>
      </c>
      <c r="AR19">
        <v>-30</v>
      </c>
      <c r="AT19">
        <v>-630.08000000000004</v>
      </c>
      <c r="AU19">
        <v>-157.52000000000001</v>
      </c>
      <c r="AV19">
        <v>-39.380000000000003</v>
      </c>
      <c r="AW19">
        <v>-5</v>
      </c>
      <c r="AX19">
        <v>-64.08</v>
      </c>
      <c r="AZ19">
        <v>-4</v>
      </c>
      <c r="BB19">
        <v>-708</v>
      </c>
      <c r="BC19">
        <v>5611.8</v>
      </c>
    </row>
    <row r="20" spans="1:55" x14ac:dyDescent="0.15">
      <c r="A20">
        <v>19</v>
      </c>
      <c r="B20" t="s">
        <v>38</v>
      </c>
      <c r="C20" t="s">
        <v>221</v>
      </c>
      <c r="D20">
        <v>176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25.66</v>
      </c>
      <c r="O20">
        <v>4464</v>
      </c>
      <c r="U20">
        <v>150</v>
      </c>
      <c r="V20">
        <v>350</v>
      </c>
      <c r="W20">
        <v>250</v>
      </c>
      <c r="Y20">
        <v>0</v>
      </c>
      <c r="AB20">
        <v>0</v>
      </c>
      <c r="AD20">
        <v>0</v>
      </c>
      <c r="AF20">
        <v>0</v>
      </c>
      <c r="AG20">
        <v>0</v>
      </c>
      <c r="AJ20">
        <v>200</v>
      </c>
      <c r="AL20">
        <v>5414</v>
      </c>
      <c r="AP20">
        <v>0</v>
      </c>
      <c r="AQ20">
        <v>0</v>
      </c>
      <c r="AR20">
        <v>-30</v>
      </c>
      <c r="AS20">
        <v>-1000</v>
      </c>
      <c r="AT20">
        <v>-492.72</v>
      </c>
      <c r="AU20">
        <v>-123.18</v>
      </c>
      <c r="AV20">
        <v>-30.8</v>
      </c>
      <c r="AW20">
        <v>-5</v>
      </c>
      <c r="AX20">
        <v>-49.84</v>
      </c>
      <c r="AZ20">
        <v>-3.12</v>
      </c>
      <c r="BB20">
        <v>-554</v>
      </c>
      <c r="BC20">
        <v>3125.34</v>
      </c>
    </row>
    <row r="21" spans="1:55" x14ac:dyDescent="0.15">
      <c r="A21">
        <v>20</v>
      </c>
      <c r="B21" t="s">
        <v>39</v>
      </c>
      <c r="C21" t="s">
        <v>224</v>
      </c>
      <c r="D21">
        <v>172.5</v>
      </c>
      <c r="E21">
        <v>-1.7</v>
      </c>
      <c r="H21">
        <v>8.5</v>
      </c>
      <c r="I21">
        <v>8</v>
      </c>
      <c r="J21">
        <v>7</v>
      </c>
      <c r="K21">
        <v>31.5</v>
      </c>
      <c r="L21">
        <v>14.5</v>
      </c>
      <c r="M21">
        <v>0</v>
      </c>
      <c r="N21">
        <v>28.7</v>
      </c>
      <c r="O21">
        <v>4994</v>
      </c>
      <c r="U21">
        <v>150</v>
      </c>
      <c r="V21">
        <v>350</v>
      </c>
      <c r="W21">
        <v>250</v>
      </c>
      <c r="Y21">
        <v>0</v>
      </c>
      <c r="Z21">
        <v>770</v>
      </c>
      <c r="AB21">
        <v>605</v>
      </c>
      <c r="AC21">
        <v>907.91</v>
      </c>
      <c r="AD21">
        <v>2188.38</v>
      </c>
      <c r="AF21">
        <v>0</v>
      </c>
      <c r="AG21">
        <v>-48.79</v>
      </c>
      <c r="AJ21">
        <v>200</v>
      </c>
      <c r="AL21">
        <v>10366.5</v>
      </c>
      <c r="AP21">
        <v>0</v>
      </c>
      <c r="AQ21">
        <v>0</v>
      </c>
      <c r="AR21">
        <v>-30</v>
      </c>
      <c r="AS21">
        <v>-1000</v>
      </c>
      <c r="AT21">
        <v>-967.6</v>
      </c>
      <c r="AU21">
        <v>-241.9</v>
      </c>
      <c r="AV21">
        <v>-60.48</v>
      </c>
      <c r="AW21">
        <v>-5</v>
      </c>
      <c r="AX21">
        <v>-172.4</v>
      </c>
      <c r="AZ21">
        <v>-10.78</v>
      </c>
      <c r="BB21">
        <v>-994</v>
      </c>
      <c r="BC21">
        <v>6884.34</v>
      </c>
    </row>
    <row r="22" spans="1:55" x14ac:dyDescent="0.15">
      <c r="A22">
        <v>21</v>
      </c>
      <c r="B22" t="s">
        <v>40</v>
      </c>
      <c r="C22" t="s">
        <v>224</v>
      </c>
      <c r="D22">
        <v>172.5</v>
      </c>
      <c r="E22">
        <v>-1.7</v>
      </c>
      <c r="H22">
        <v>8.5</v>
      </c>
      <c r="I22">
        <v>8</v>
      </c>
      <c r="J22">
        <v>7</v>
      </c>
      <c r="K22">
        <v>37.5</v>
      </c>
      <c r="L22">
        <v>5.5</v>
      </c>
      <c r="M22">
        <v>0</v>
      </c>
      <c r="N22">
        <v>29.03</v>
      </c>
      <c r="O22">
        <v>5052</v>
      </c>
      <c r="U22">
        <v>150</v>
      </c>
      <c r="V22">
        <v>350</v>
      </c>
      <c r="W22">
        <v>250</v>
      </c>
      <c r="Y22">
        <v>0</v>
      </c>
      <c r="Z22">
        <v>1250</v>
      </c>
      <c r="AB22">
        <v>605</v>
      </c>
      <c r="AC22">
        <v>918.45</v>
      </c>
      <c r="AD22">
        <v>1952.27</v>
      </c>
      <c r="AF22">
        <v>60</v>
      </c>
      <c r="AG22">
        <v>-49.35</v>
      </c>
      <c r="AJ22">
        <v>200</v>
      </c>
      <c r="AL22">
        <v>10738.37</v>
      </c>
      <c r="AP22">
        <v>-10.98</v>
      </c>
      <c r="AQ22">
        <v>0</v>
      </c>
      <c r="AR22">
        <v>-30</v>
      </c>
      <c r="AT22">
        <v>-932.88</v>
      </c>
      <c r="AU22">
        <v>-233.22</v>
      </c>
      <c r="AV22">
        <v>-58.31</v>
      </c>
      <c r="AW22">
        <v>-5</v>
      </c>
      <c r="AX22">
        <v>-128.72</v>
      </c>
      <c r="AZ22">
        <v>-8.0500000000000007</v>
      </c>
      <c r="BB22">
        <v>-1006</v>
      </c>
      <c r="BC22">
        <v>8325.2099999999991</v>
      </c>
    </row>
    <row r="23" spans="1:55" x14ac:dyDescent="0.15">
      <c r="A23">
        <v>22</v>
      </c>
      <c r="B23" t="s">
        <v>41</v>
      </c>
      <c r="C23" t="s">
        <v>227</v>
      </c>
      <c r="D23">
        <v>165</v>
      </c>
      <c r="E23">
        <v>-4.2</v>
      </c>
      <c r="H23">
        <v>6.5</v>
      </c>
      <c r="I23">
        <v>8</v>
      </c>
      <c r="J23">
        <v>8.5</v>
      </c>
      <c r="K23">
        <v>37</v>
      </c>
      <c r="L23">
        <v>4</v>
      </c>
      <c r="M23">
        <v>11</v>
      </c>
      <c r="N23">
        <v>27.45</v>
      </c>
      <c r="O23">
        <v>4776</v>
      </c>
      <c r="U23">
        <v>150</v>
      </c>
      <c r="V23">
        <v>350</v>
      </c>
      <c r="W23">
        <v>250</v>
      </c>
      <c r="Y23">
        <v>0</v>
      </c>
      <c r="Z23">
        <v>1010</v>
      </c>
      <c r="AB23">
        <v>645</v>
      </c>
      <c r="AC23">
        <v>868.28</v>
      </c>
      <c r="AD23">
        <v>2648.93</v>
      </c>
      <c r="AF23">
        <v>0</v>
      </c>
      <c r="AG23">
        <v>-115.29</v>
      </c>
      <c r="AJ23">
        <v>200</v>
      </c>
      <c r="AL23">
        <v>10782.92</v>
      </c>
      <c r="AP23">
        <v>-75.180000000000007</v>
      </c>
      <c r="AQ23">
        <v>0</v>
      </c>
      <c r="AR23">
        <v>-30</v>
      </c>
      <c r="AT23">
        <v>-852</v>
      </c>
      <c r="AU23">
        <v>-213</v>
      </c>
      <c r="AV23">
        <v>-53.25</v>
      </c>
      <c r="AW23">
        <v>-5</v>
      </c>
      <c r="AX23">
        <v>-60.08</v>
      </c>
      <c r="AZ23">
        <v>-3.75</v>
      </c>
      <c r="BB23">
        <v>-990</v>
      </c>
      <c r="BC23">
        <v>8500.66</v>
      </c>
    </row>
    <row r="24" spans="1:55" x14ac:dyDescent="0.15">
      <c r="A24">
        <v>23</v>
      </c>
      <c r="B24" t="s">
        <v>42</v>
      </c>
      <c r="C24" t="s">
        <v>229</v>
      </c>
      <c r="D24">
        <v>176</v>
      </c>
      <c r="H24">
        <v>0</v>
      </c>
      <c r="I24">
        <v>0</v>
      </c>
      <c r="J24">
        <v>0</v>
      </c>
      <c r="K24">
        <v>3</v>
      </c>
      <c r="L24">
        <v>24</v>
      </c>
      <c r="M24">
        <v>0</v>
      </c>
      <c r="N24">
        <v>35.630000000000003</v>
      </c>
      <c r="O24">
        <v>6200</v>
      </c>
      <c r="U24">
        <v>150</v>
      </c>
      <c r="V24">
        <v>350</v>
      </c>
      <c r="W24">
        <v>250</v>
      </c>
      <c r="Y24">
        <v>0</v>
      </c>
      <c r="Z24">
        <v>300</v>
      </c>
      <c r="AB24">
        <v>0</v>
      </c>
      <c r="AD24">
        <v>1870.58</v>
      </c>
      <c r="AF24">
        <v>0</v>
      </c>
      <c r="AG24">
        <v>0</v>
      </c>
      <c r="AJ24">
        <v>200</v>
      </c>
      <c r="AL24">
        <v>9320.58</v>
      </c>
      <c r="AP24">
        <v>0</v>
      </c>
      <c r="AQ24">
        <v>0</v>
      </c>
      <c r="AR24">
        <v>-30</v>
      </c>
      <c r="AT24">
        <v>-679.68</v>
      </c>
      <c r="AU24">
        <v>-169.92</v>
      </c>
      <c r="AV24">
        <v>-42.48</v>
      </c>
      <c r="AW24">
        <v>-5</v>
      </c>
      <c r="AX24">
        <v>-25.12</v>
      </c>
      <c r="AZ24">
        <v>-1.57</v>
      </c>
      <c r="BB24">
        <v>-819</v>
      </c>
      <c r="BC24">
        <v>7547.81</v>
      </c>
    </row>
    <row r="25" spans="1:55" x14ac:dyDescent="0.15">
      <c r="A25">
        <v>24</v>
      </c>
      <c r="B25" t="s">
        <v>43</v>
      </c>
      <c r="C25" t="s">
        <v>232</v>
      </c>
      <c r="D25">
        <v>176</v>
      </c>
      <c r="H25">
        <v>0</v>
      </c>
      <c r="I25">
        <v>0</v>
      </c>
      <c r="J25">
        <v>0</v>
      </c>
      <c r="K25">
        <v>8</v>
      </c>
      <c r="L25">
        <v>13</v>
      </c>
      <c r="M25">
        <v>8</v>
      </c>
      <c r="N25">
        <v>32.200000000000003</v>
      </c>
      <c r="O25">
        <v>5602</v>
      </c>
      <c r="U25">
        <v>150</v>
      </c>
      <c r="V25">
        <v>350</v>
      </c>
      <c r="W25">
        <v>250</v>
      </c>
      <c r="Y25">
        <v>0</v>
      </c>
      <c r="AB25">
        <v>0</v>
      </c>
      <c r="AD25">
        <v>1996.4</v>
      </c>
      <c r="AF25">
        <v>0</v>
      </c>
      <c r="AG25">
        <v>0</v>
      </c>
      <c r="AJ25">
        <v>200</v>
      </c>
      <c r="AL25">
        <v>8548.4</v>
      </c>
      <c r="AP25">
        <v>-54.34</v>
      </c>
      <c r="AQ25">
        <v>0</v>
      </c>
      <c r="AR25">
        <v>-30</v>
      </c>
      <c r="AS25">
        <v>-1000</v>
      </c>
      <c r="AT25">
        <v>-682.4</v>
      </c>
      <c r="AU25">
        <v>-170.6</v>
      </c>
      <c r="AV25">
        <v>-42.65</v>
      </c>
      <c r="AW25">
        <v>-5</v>
      </c>
      <c r="AX25">
        <v>-92.56</v>
      </c>
      <c r="AZ25">
        <v>-5.78</v>
      </c>
      <c r="BB25">
        <v>-738</v>
      </c>
      <c r="BC25">
        <v>5727.07</v>
      </c>
    </row>
    <row r="26" spans="1:55" x14ac:dyDescent="0.15">
      <c r="A26">
        <v>25</v>
      </c>
      <c r="B26" t="s">
        <v>44</v>
      </c>
      <c r="C26" t="s">
        <v>235</v>
      </c>
      <c r="D26">
        <v>176</v>
      </c>
      <c r="H26">
        <v>0</v>
      </c>
      <c r="I26">
        <v>0</v>
      </c>
      <c r="J26">
        <v>0</v>
      </c>
      <c r="K26">
        <v>8.5</v>
      </c>
      <c r="L26">
        <v>35.5</v>
      </c>
      <c r="M26">
        <v>8.5</v>
      </c>
      <c r="N26">
        <v>35.630000000000003</v>
      </c>
      <c r="O26">
        <v>6200</v>
      </c>
      <c r="U26">
        <v>150</v>
      </c>
      <c r="V26">
        <v>350</v>
      </c>
      <c r="W26">
        <v>250</v>
      </c>
      <c r="Y26">
        <v>0</v>
      </c>
      <c r="Z26">
        <v>805</v>
      </c>
      <c r="AB26">
        <v>0</v>
      </c>
      <c r="AD26">
        <v>3892.58</v>
      </c>
      <c r="AF26">
        <v>0</v>
      </c>
      <c r="AG26">
        <v>0</v>
      </c>
      <c r="AJ26">
        <v>200</v>
      </c>
      <c r="AL26">
        <v>11847.58</v>
      </c>
      <c r="AP26">
        <v>0</v>
      </c>
      <c r="AQ26">
        <v>0</v>
      </c>
      <c r="AR26">
        <v>-30</v>
      </c>
      <c r="AT26">
        <v>-734.4</v>
      </c>
      <c r="AU26">
        <v>-183.6</v>
      </c>
      <c r="AV26">
        <v>-45.9</v>
      </c>
      <c r="AW26">
        <v>-5</v>
      </c>
      <c r="AX26">
        <v>-32.479999999999997</v>
      </c>
      <c r="AZ26">
        <v>-2.0299999999999998</v>
      </c>
      <c r="BB26">
        <v>-878</v>
      </c>
      <c r="BC26">
        <v>9936.17</v>
      </c>
    </row>
    <row r="27" spans="1:55" x14ac:dyDescent="0.15">
      <c r="A27">
        <v>26</v>
      </c>
      <c r="B27" t="s">
        <v>45</v>
      </c>
      <c r="C27" t="s">
        <v>238</v>
      </c>
      <c r="D27">
        <v>176</v>
      </c>
      <c r="H27">
        <v>0</v>
      </c>
      <c r="I27">
        <v>0</v>
      </c>
      <c r="J27">
        <v>0</v>
      </c>
      <c r="K27">
        <v>12.5</v>
      </c>
      <c r="L27">
        <v>0</v>
      </c>
      <c r="M27">
        <v>8</v>
      </c>
      <c r="N27">
        <v>42.73</v>
      </c>
      <c r="O27">
        <v>7435</v>
      </c>
      <c r="U27">
        <v>150</v>
      </c>
      <c r="V27">
        <v>350</v>
      </c>
      <c r="W27">
        <v>250</v>
      </c>
      <c r="Y27">
        <v>0</v>
      </c>
      <c r="AB27">
        <v>0</v>
      </c>
      <c r="AD27">
        <v>1826.71</v>
      </c>
      <c r="AF27">
        <v>0</v>
      </c>
      <c r="AG27">
        <v>0</v>
      </c>
      <c r="AJ27">
        <v>200</v>
      </c>
      <c r="AL27">
        <v>10211.709999999999</v>
      </c>
      <c r="AP27">
        <v>0</v>
      </c>
      <c r="AQ27">
        <v>0</v>
      </c>
      <c r="AR27">
        <v>-30</v>
      </c>
      <c r="AT27">
        <v>-913.44</v>
      </c>
      <c r="AU27">
        <v>-228.36</v>
      </c>
      <c r="AV27">
        <v>-57.09</v>
      </c>
      <c r="AW27">
        <v>-5</v>
      </c>
      <c r="AX27">
        <v>-44.48</v>
      </c>
      <c r="AZ27">
        <v>-2.78</v>
      </c>
      <c r="BB27">
        <v>-1087</v>
      </c>
      <c r="BC27">
        <v>7843.56</v>
      </c>
    </row>
    <row r="28" spans="1:55" x14ac:dyDescent="0.15">
      <c r="A28">
        <v>27</v>
      </c>
      <c r="B28" t="s">
        <v>46</v>
      </c>
      <c r="C28" t="s">
        <v>241</v>
      </c>
      <c r="D28">
        <v>176</v>
      </c>
      <c r="H28">
        <v>0</v>
      </c>
      <c r="I28">
        <v>0</v>
      </c>
      <c r="J28">
        <v>0</v>
      </c>
      <c r="K28">
        <v>8</v>
      </c>
      <c r="L28">
        <v>8</v>
      </c>
      <c r="M28">
        <v>8.5</v>
      </c>
      <c r="N28">
        <v>32.97</v>
      </c>
      <c r="O28">
        <v>5737</v>
      </c>
      <c r="U28">
        <v>150</v>
      </c>
      <c r="V28">
        <v>350</v>
      </c>
      <c r="W28">
        <v>250</v>
      </c>
      <c r="Y28">
        <v>0</v>
      </c>
      <c r="AB28">
        <v>0</v>
      </c>
      <c r="AD28">
        <v>1763.9</v>
      </c>
      <c r="AF28">
        <v>0</v>
      </c>
      <c r="AG28">
        <v>0</v>
      </c>
      <c r="AJ28">
        <v>200</v>
      </c>
      <c r="AL28">
        <v>8450.9</v>
      </c>
      <c r="AP28">
        <v>-50.85</v>
      </c>
      <c r="AQ28">
        <v>0</v>
      </c>
      <c r="AR28">
        <v>-30</v>
      </c>
      <c r="AS28">
        <v>-1000</v>
      </c>
      <c r="AT28">
        <v>-687.84</v>
      </c>
      <c r="AU28">
        <v>-171.96</v>
      </c>
      <c r="AV28">
        <v>-42.99</v>
      </c>
      <c r="AW28">
        <v>-5</v>
      </c>
      <c r="AX28">
        <v>-64.959999999999994</v>
      </c>
      <c r="AZ28">
        <v>-4.0599999999999996</v>
      </c>
      <c r="BB28">
        <v>-779</v>
      </c>
      <c r="BC28">
        <v>5614.24</v>
      </c>
    </row>
    <row r="29" spans="1:55" x14ac:dyDescent="0.15">
      <c r="A29">
        <v>28</v>
      </c>
      <c r="B29" t="s">
        <v>47</v>
      </c>
      <c r="C29" t="s">
        <v>243</v>
      </c>
      <c r="D29">
        <v>176</v>
      </c>
      <c r="H29">
        <v>0</v>
      </c>
      <c r="I29">
        <v>0</v>
      </c>
      <c r="J29">
        <v>0</v>
      </c>
      <c r="K29">
        <v>10</v>
      </c>
      <c r="L29">
        <v>0</v>
      </c>
      <c r="M29">
        <v>8</v>
      </c>
      <c r="N29">
        <v>40.11</v>
      </c>
      <c r="O29">
        <v>6980</v>
      </c>
      <c r="U29">
        <v>150</v>
      </c>
      <c r="V29">
        <v>350</v>
      </c>
      <c r="W29">
        <v>250</v>
      </c>
      <c r="Y29">
        <v>0</v>
      </c>
      <c r="AB29">
        <v>0</v>
      </c>
      <c r="AD29">
        <v>1564.29</v>
      </c>
      <c r="AF29">
        <v>0</v>
      </c>
      <c r="AG29">
        <v>0</v>
      </c>
      <c r="AJ29">
        <v>200</v>
      </c>
      <c r="AL29">
        <v>9494.2900000000009</v>
      </c>
      <c r="AP29">
        <v>0</v>
      </c>
      <c r="AQ29">
        <v>0</v>
      </c>
      <c r="AR29">
        <v>-30</v>
      </c>
      <c r="AT29">
        <v>-768</v>
      </c>
      <c r="AU29">
        <v>-192</v>
      </c>
      <c r="AV29">
        <v>-48</v>
      </c>
      <c r="AW29">
        <v>-5</v>
      </c>
      <c r="AX29">
        <v>-38.799999999999997</v>
      </c>
      <c r="AZ29">
        <v>-2.42</v>
      </c>
      <c r="BB29">
        <v>-912</v>
      </c>
      <c r="BC29">
        <v>7498.07</v>
      </c>
    </row>
    <row r="30" spans="1:55" x14ac:dyDescent="0.15">
      <c r="A30">
        <v>29</v>
      </c>
      <c r="B30" t="s">
        <v>48</v>
      </c>
      <c r="C30" t="s">
        <v>246</v>
      </c>
      <c r="D30">
        <v>176</v>
      </c>
      <c r="H30">
        <v>0</v>
      </c>
      <c r="I30">
        <v>0</v>
      </c>
      <c r="J30">
        <v>0</v>
      </c>
      <c r="K30">
        <v>13</v>
      </c>
      <c r="L30">
        <v>16.5</v>
      </c>
      <c r="M30">
        <v>0</v>
      </c>
      <c r="N30">
        <v>32.200000000000003</v>
      </c>
      <c r="O30">
        <v>5602</v>
      </c>
      <c r="U30">
        <v>150</v>
      </c>
      <c r="V30">
        <v>350</v>
      </c>
      <c r="W30">
        <v>250</v>
      </c>
      <c r="Y30">
        <v>0</v>
      </c>
      <c r="AB30">
        <v>0</v>
      </c>
      <c r="AD30">
        <v>1690.5</v>
      </c>
      <c r="AE30">
        <v>200</v>
      </c>
      <c r="AF30">
        <v>0</v>
      </c>
      <c r="AG30">
        <v>0</v>
      </c>
      <c r="AJ30">
        <v>200</v>
      </c>
      <c r="AL30">
        <v>8442.5</v>
      </c>
      <c r="AP30">
        <v>-2.48</v>
      </c>
      <c r="AQ30">
        <v>0</v>
      </c>
      <c r="AR30">
        <v>-30</v>
      </c>
      <c r="AT30">
        <v>-736</v>
      </c>
      <c r="AU30">
        <v>-184</v>
      </c>
      <c r="AV30">
        <v>-46</v>
      </c>
      <c r="AW30">
        <v>-5</v>
      </c>
      <c r="AX30">
        <v>-26.24</v>
      </c>
      <c r="AZ30">
        <v>-1.64</v>
      </c>
      <c r="BB30">
        <v>-888</v>
      </c>
      <c r="BC30">
        <v>6523.14</v>
      </c>
    </row>
    <row r="31" spans="1:55" x14ac:dyDescent="0.15">
      <c r="A31">
        <v>30</v>
      </c>
      <c r="B31" t="s">
        <v>49</v>
      </c>
      <c r="C31" t="s">
        <v>249</v>
      </c>
      <c r="D31">
        <v>172.5</v>
      </c>
      <c r="E31">
        <v>-1.7</v>
      </c>
      <c r="H31">
        <v>8</v>
      </c>
      <c r="I31">
        <v>8</v>
      </c>
      <c r="J31">
        <v>7.5</v>
      </c>
      <c r="K31">
        <v>35</v>
      </c>
      <c r="L31">
        <v>4</v>
      </c>
      <c r="M31">
        <v>0</v>
      </c>
      <c r="N31">
        <v>26.91</v>
      </c>
      <c r="O31">
        <v>4683</v>
      </c>
      <c r="U31">
        <v>150</v>
      </c>
      <c r="V31">
        <v>350</v>
      </c>
      <c r="W31">
        <v>250</v>
      </c>
      <c r="Y31">
        <v>0</v>
      </c>
      <c r="Z31">
        <v>1045</v>
      </c>
      <c r="AB31">
        <v>620</v>
      </c>
      <c r="AC31">
        <v>851.37</v>
      </c>
      <c r="AD31">
        <v>1628.06</v>
      </c>
      <c r="AF31">
        <v>0</v>
      </c>
      <c r="AG31">
        <v>-45.75</v>
      </c>
      <c r="AJ31">
        <v>200</v>
      </c>
      <c r="AL31">
        <v>9731.68</v>
      </c>
      <c r="AP31">
        <v>-76.959999999999994</v>
      </c>
      <c r="AQ31">
        <v>0</v>
      </c>
      <c r="AR31">
        <v>-30</v>
      </c>
      <c r="AS31">
        <v>-1000</v>
      </c>
      <c r="AT31">
        <v>-850.88</v>
      </c>
      <c r="AU31">
        <v>-212.72</v>
      </c>
      <c r="AV31">
        <v>-53.18</v>
      </c>
      <c r="AW31">
        <v>-5</v>
      </c>
      <c r="AX31">
        <v>-106</v>
      </c>
      <c r="AZ31">
        <v>-6.62</v>
      </c>
      <c r="BB31">
        <v>-932</v>
      </c>
      <c r="BC31">
        <v>6458.32</v>
      </c>
    </row>
    <row r="32" spans="1:55" x14ac:dyDescent="0.15">
      <c r="A32">
        <v>31</v>
      </c>
      <c r="B32" t="s">
        <v>50</v>
      </c>
      <c r="C32" t="s">
        <v>252</v>
      </c>
      <c r="D32">
        <v>172.5</v>
      </c>
      <c r="E32">
        <v>-1.7</v>
      </c>
      <c r="H32">
        <v>8</v>
      </c>
      <c r="I32">
        <v>9</v>
      </c>
      <c r="J32">
        <v>7</v>
      </c>
      <c r="K32">
        <v>37</v>
      </c>
      <c r="L32">
        <v>4</v>
      </c>
      <c r="M32">
        <v>4</v>
      </c>
      <c r="N32">
        <v>27.48</v>
      </c>
      <c r="O32">
        <v>4782</v>
      </c>
      <c r="U32">
        <v>150</v>
      </c>
      <c r="V32">
        <v>350</v>
      </c>
      <c r="W32">
        <v>250</v>
      </c>
      <c r="Y32">
        <v>0</v>
      </c>
      <c r="Z32">
        <v>1400</v>
      </c>
      <c r="AB32">
        <v>630</v>
      </c>
      <c r="AC32">
        <v>869.37</v>
      </c>
      <c r="AD32">
        <v>2074.7399999999998</v>
      </c>
      <c r="AF32">
        <v>60</v>
      </c>
      <c r="AG32">
        <v>-46.72</v>
      </c>
      <c r="AJ32">
        <v>200</v>
      </c>
      <c r="AL32">
        <v>10719.39</v>
      </c>
      <c r="AP32">
        <v>0</v>
      </c>
      <c r="AQ32">
        <v>0</v>
      </c>
      <c r="AR32">
        <v>-30</v>
      </c>
      <c r="AT32">
        <v>-883.44</v>
      </c>
      <c r="AU32">
        <v>-220.86</v>
      </c>
      <c r="AV32">
        <v>-55.22</v>
      </c>
      <c r="AW32">
        <v>-5</v>
      </c>
      <c r="AX32">
        <v>-78.64</v>
      </c>
      <c r="AZ32">
        <v>-4.92</v>
      </c>
      <c r="BB32">
        <v>-1006</v>
      </c>
      <c r="BC32">
        <v>8435.31</v>
      </c>
    </row>
    <row r="33" spans="1:55" x14ac:dyDescent="0.15">
      <c r="A33">
        <v>32</v>
      </c>
      <c r="B33" t="s">
        <v>51</v>
      </c>
      <c r="C33" t="s">
        <v>255</v>
      </c>
      <c r="D33">
        <v>172.5</v>
      </c>
      <c r="E33">
        <v>-1.7</v>
      </c>
      <c r="H33">
        <v>8.5</v>
      </c>
      <c r="I33">
        <v>7</v>
      </c>
      <c r="J33">
        <v>7</v>
      </c>
      <c r="K33">
        <v>33.5</v>
      </c>
      <c r="L33">
        <v>14</v>
      </c>
      <c r="M33">
        <v>0</v>
      </c>
      <c r="N33">
        <v>27.41</v>
      </c>
      <c r="O33">
        <v>4770</v>
      </c>
      <c r="U33">
        <v>150</v>
      </c>
      <c r="V33">
        <v>350</v>
      </c>
      <c r="W33">
        <v>250</v>
      </c>
      <c r="Y33">
        <v>0</v>
      </c>
      <c r="Z33">
        <v>1145</v>
      </c>
      <c r="AB33">
        <v>575</v>
      </c>
      <c r="AC33">
        <v>867.19</v>
      </c>
      <c r="AD33">
        <v>2144.83</v>
      </c>
      <c r="AF33">
        <v>30</v>
      </c>
      <c r="AG33">
        <v>-46.6</v>
      </c>
      <c r="AJ33">
        <v>200</v>
      </c>
      <c r="AL33">
        <v>10435.42</v>
      </c>
      <c r="AP33">
        <v>-95.05</v>
      </c>
      <c r="AQ33">
        <v>0</v>
      </c>
      <c r="AR33">
        <v>-30</v>
      </c>
      <c r="AT33">
        <v>-894.32</v>
      </c>
      <c r="AU33">
        <v>-223.58</v>
      </c>
      <c r="AV33">
        <v>-55.9</v>
      </c>
      <c r="AW33">
        <v>-5</v>
      </c>
      <c r="AX33">
        <v>-158.32</v>
      </c>
      <c r="AZ33">
        <v>-9.9</v>
      </c>
      <c r="BB33">
        <v>-920</v>
      </c>
      <c r="BC33">
        <v>8043.35</v>
      </c>
    </row>
    <row r="34" spans="1:55" x14ac:dyDescent="0.15">
      <c r="A34">
        <v>33</v>
      </c>
      <c r="B34" t="s">
        <v>52</v>
      </c>
      <c r="C34" t="s">
        <v>257</v>
      </c>
      <c r="D34">
        <v>180</v>
      </c>
      <c r="E34">
        <v>-3.6</v>
      </c>
      <c r="H34">
        <v>7</v>
      </c>
      <c r="I34">
        <v>8</v>
      </c>
      <c r="J34">
        <v>8</v>
      </c>
      <c r="K34">
        <v>42.5</v>
      </c>
      <c r="L34">
        <v>3.5</v>
      </c>
      <c r="M34">
        <v>0</v>
      </c>
      <c r="N34">
        <v>26.23</v>
      </c>
      <c r="O34">
        <v>4564</v>
      </c>
      <c r="U34">
        <v>150</v>
      </c>
      <c r="V34">
        <v>350</v>
      </c>
      <c r="W34">
        <v>250</v>
      </c>
      <c r="Y34">
        <v>0</v>
      </c>
      <c r="Z34">
        <v>885</v>
      </c>
      <c r="AB34">
        <v>630</v>
      </c>
      <c r="AC34">
        <v>829.74</v>
      </c>
      <c r="AD34">
        <v>1855.77</v>
      </c>
      <c r="AF34">
        <v>0</v>
      </c>
      <c r="AG34">
        <v>-94.43</v>
      </c>
      <c r="AJ34">
        <v>200</v>
      </c>
      <c r="AL34">
        <v>9620.08</v>
      </c>
      <c r="AP34">
        <v>-27.93</v>
      </c>
      <c r="AQ34">
        <v>0</v>
      </c>
      <c r="AR34">
        <v>-30</v>
      </c>
      <c r="AT34">
        <v>-870.08</v>
      </c>
      <c r="AU34">
        <v>-217.52</v>
      </c>
      <c r="AV34">
        <v>-54.38</v>
      </c>
      <c r="AW34">
        <v>-5</v>
      </c>
      <c r="AX34">
        <v>-243.76</v>
      </c>
      <c r="AZ34">
        <v>-15.23</v>
      </c>
      <c r="BB34">
        <v>-783</v>
      </c>
      <c r="BC34">
        <v>7373.18</v>
      </c>
    </row>
    <row r="35" spans="1:55" x14ac:dyDescent="0.15">
      <c r="A35">
        <v>34</v>
      </c>
      <c r="B35" t="s">
        <v>53</v>
      </c>
      <c r="C35" t="s">
        <v>260</v>
      </c>
      <c r="D35">
        <v>176</v>
      </c>
      <c r="H35">
        <v>0</v>
      </c>
      <c r="I35">
        <v>0</v>
      </c>
      <c r="J35">
        <v>0</v>
      </c>
      <c r="K35">
        <v>0</v>
      </c>
      <c r="L35">
        <v>8.5</v>
      </c>
      <c r="M35">
        <v>0</v>
      </c>
      <c r="N35">
        <v>43.94</v>
      </c>
      <c r="O35">
        <v>7646</v>
      </c>
      <c r="U35">
        <v>150</v>
      </c>
      <c r="V35">
        <v>350</v>
      </c>
      <c r="W35">
        <v>250</v>
      </c>
      <c r="Y35">
        <v>0</v>
      </c>
      <c r="AB35">
        <v>0</v>
      </c>
      <c r="AD35">
        <v>746.98</v>
      </c>
      <c r="AF35">
        <v>0</v>
      </c>
      <c r="AG35">
        <v>0</v>
      </c>
      <c r="AJ35">
        <v>200</v>
      </c>
      <c r="AL35">
        <v>9342.98</v>
      </c>
      <c r="AP35">
        <v>0</v>
      </c>
      <c r="AQ35">
        <v>0</v>
      </c>
      <c r="AR35">
        <v>-30</v>
      </c>
      <c r="AT35">
        <v>-818.16</v>
      </c>
      <c r="AU35">
        <v>-204.54</v>
      </c>
      <c r="AV35">
        <v>-51.14</v>
      </c>
      <c r="AW35">
        <v>-5</v>
      </c>
      <c r="AX35">
        <v>-102.56</v>
      </c>
      <c r="AZ35">
        <v>-6.41</v>
      </c>
      <c r="BB35">
        <v>-895</v>
      </c>
      <c r="BC35">
        <v>7230.17</v>
      </c>
    </row>
    <row r="36" spans="1:55" x14ac:dyDescent="0.15">
      <c r="A36">
        <v>35</v>
      </c>
      <c r="B36" t="s">
        <v>54</v>
      </c>
      <c r="C36" t="s">
        <v>263</v>
      </c>
      <c r="D36">
        <v>165</v>
      </c>
      <c r="E36">
        <v>-4.2</v>
      </c>
      <c r="H36">
        <v>7</v>
      </c>
      <c r="I36">
        <v>8</v>
      </c>
      <c r="J36">
        <v>8</v>
      </c>
      <c r="K36">
        <v>41.5</v>
      </c>
      <c r="L36">
        <v>5.5</v>
      </c>
      <c r="M36">
        <v>11</v>
      </c>
      <c r="N36">
        <v>35.630000000000003</v>
      </c>
      <c r="O36">
        <v>6200</v>
      </c>
      <c r="R36">
        <v>1000</v>
      </c>
      <c r="U36">
        <v>150</v>
      </c>
      <c r="V36">
        <v>350</v>
      </c>
      <c r="W36">
        <v>250</v>
      </c>
      <c r="Y36">
        <v>0</v>
      </c>
      <c r="Z36">
        <v>665</v>
      </c>
      <c r="AB36">
        <v>630</v>
      </c>
      <c r="AC36">
        <v>1127.1600000000001</v>
      </c>
      <c r="AD36">
        <v>3785.69</v>
      </c>
      <c r="AF36">
        <v>0</v>
      </c>
      <c r="AG36">
        <v>-149.65</v>
      </c>
      <c r="AJ36">
        <v>200</v>
      </c>
      <c r="AL36">
        <v>14208.2</v>
      </c>
      <c r="AP36">
        <v>-206.06</v>
      </c>
      <c r="AQ36">
        <v>0</v>
      </c>
      <c r="AR36">
        <v>-30</v>
      </c>
      <c r="AS36">
        <v>-1000</v>
      </c>
      <c r="AT36">
        <v>-921.28</v>
      </c>
      <c r="AU36">
        <v>-230.32</v>
      </c>
      <c r="AV36">
        <v>-57.58</v>
      </c>
      <c r="AW36">
        <v>-5</v>
      </c>
      <c r="AX36">
        <v>-145.12</v>
      </c>
      <c r="AZ36">
        <v>-9.07</v>
      </c>
      <c r="BB36">
        <v>-971</v>
      </c>
      <c r="BC36">
        <v>10632.77</v>
      </c>
    </row>
    <row r="37" spans="1:55" x14ac:dyDescent="0.15">
      <c r="A37">
        <v>36</v>
      </c>
      <c r="B37" t="s">
        <v>55</v>
      </c>
      <c r="C37" t="s">
        <v>265</v>
      </c>
      <c r="D37">
        <v>165</v>
      </c>
      <c r="E37">
        <v>-4.2</v>
      </c>
      <c r="H37">
        <v>7.5</v>
      </c>
      <c r="I37">
        <v>7.5</v>
      </c>
      <c r="J37">
        <v>8</v>
      </c>
      <c r="K37">
        <v>42.5</v>
      </c>
      <c r="L37">
        <v>7</v>
      </c>
      <c r="M37">
        <v>11</v>
      </c>
      <c r="N37">
        <v>27.02</v>
      </c>
      <c r="O37">
        <v>4702</v>
      </c>
      <c r="U37">
        <v>150</v>
      </c>
      <c r="V37">
        <v>350</v>
      </c>
      <c r="W37">
        <v>250</v>
      </c>
      <c r="Y37">
        <v>0</v>
      </c>
      <c r="Z37">
        <v>940</v>
      </c>
      <c r="AB37">
        <v>620</v>
      </c>
      <c r="AC37">
        <v>854.82</v>
      </c>
      <c r="AD37">
        <v>2992.47</v>
      </c>
      <c r="AF37">
        <v>0</v>
      </c>
      <c r="AG37">
        <v>-113.48</v>
      </c>
      <c r="AJ37">
        <v>200</v>
      </c>
      <c r="AL37">
        <v>10945.81</v>
      </c>
      <c r="AP37">
        <v>-111.24</v>
      </c>
      <c r="AQ37">
        <v>0</v>
      </c>
      <c r="AR37">
        <v>-30</v>
      </c>
      <c r="AS37">
        <v>-1000</v>
      </c>
      <c r="AT37">
        <v>-881.84</v>
      </c>
      <c r="AU37">
        <v>-220.46</v>
      </c>
      <c r="AV37">
        <v>-55.12</v>
      </c>
      <c r="AW37">
        <v>-5</v>
      </c>
      <c r="AX37">
        <v>-143.6</v>
      </c>
      <c r="AZ37">
        <v>-8.98</v>
      </c>
      <c r="BB37">
        <v>-923</v>
      </c>
      <c r="BC37">
        <v>7566.57</v>
      </c>
    </row>
    <row r="38" spans="1:55" x14ac:dyDescent="0.15">
      <c r="A38">
        <v>37</v>
      </c>
      <c r="B38" t="s">
        <v>56</v>
      </c>
      <c r="C38" t="s">
        <v>265</v>
      </c>
      <c r="D38">
        <v>165</v>
      </c>
      <c r="E38">
        <v>-4.2</v>
      </c>
      <c r="G38">
        <v>2</v>
      </c>
      <c r="H38">
        <v>8</v>
      </c>
      <c r="I38">
        <v>7</v>
      </c>
      <c r="J38">
        <v>8.5</v>
      </c>
      <c r="K38">
        <v>34.5</v>
      </c>
      <c r="L38">
        <v>15</v>
      </c>
      <c r="M38">
        <v>7.5</v>
      </c>
      <c r="N38">
        <v>26.23</v>
      </c>
      <c r="O38">
        <v>4564</v>
      </c>
      <c r="U38">
        <v>150</v>
      </c>
      <c r="V38">
        <v>350</v>
      </c>
      <c r="W38">
        <v>250</v>
      </c>
      <c r="Y38">
        <v>-52.46</v>
      </c>
      <c r="Z38">
        <v>1045</v>
      </c>
      <c r="AB38">
        <v>630</v>
      </c>
      <c r="AC38">
        <v>819.68</v>
      </c>
      <c r="AD38">
        <v>2734.48</v>
      </c>
      <c r="AF38">
        <v>0</v>
      </c>
      <c r="AG38">
        <v>-110.17</v>
      </c>
      <c r="AJ38">
        <v>200</v>
      </c>
      <c r="AL38">
        <v>10580.53</v>
      </c>
      <c r="AP38">
        <v>-100.29</v>
      </c>
      <c r="AQ38">
        <v>0</v>
      </c>
      <c r="AR38">
        <v>-30</v>
      </c>
      <c r="AT38">
        <v>-889.76</v>
      </c>
      <c r="AU38">
        <v>-222.44</v>
      </c>
      <c r="AV38">
        <v>-55.61</v>
      </c>
      <c r="AW38">
        <v>-5</v>
      </c>
      <c r="AX38">
        <v>-255.76</v>
      </c>
      <c r="AZ38">
        <v>-15.98</v>
      </c>
      <c r="BB38">
        <v>-793</v>
      </c>
      <c r="BC38">
        <v>8212.69</v>
      </c>
    </row>
    <row r="39" spans="1:55" x14ac:dyDescent="0.15">
      <c r="A39">
        <v>38</v>
      </c>
      <c r="B39" t="s">
        <v>57</v>
      </c>
      <c r="C39" t="s">
        <v>265</v>
      </c>
      <c r="D39">
        <v>176</v>
      </c>
      <c r="H39">
        <v>0</v>
      </c>
      <c r="I39">
        <v>0</v>
      </c>
      <c r="J39">
        <v>0</v>
      </c>
      <c r="K39">
        <v>2</v>
      </c>
      <c r="L39">
        <v>6.5</v>
      </c>
      <c r="M39">
        <v>0</v>
      </c>
      <c r="N39">
        <v>31.51</v>
      </c>
      <c r="O39">
        <v>5482</v>
      </c>
      <c r="U39">
        <v>150</v>
      </c>
      <c r="V39">
        <v>350</v>
      </c>
      <c r="W39">
        <v>250</v>
      </c>
      <c r="Y39">
        <v>0</v>
      </c>
      <c r="Z39">
        <v>300</v>
      </c>
      <c r="AB39">
        <v>0</v>
      </c>
      <c r="AD39">
        <v>504.16</v>
      </c>
      <c r="AF39">
        <v>252.5</v>
      </c>
      <c r="AG39">
        <v>0</v>
      </c>
      <c r="AJ39">
        <v>200</v>
      </c>
      <c r="AL39">
        <v>7488.66</v>
      </c>
      <c r="AP39">
        <v>-19.18</v>
      </c>
      <c r="AQ39">
        <v>0</v>
      </c>
      <c r="AR39">
        <v>-30</v>
      </c>
      <c r="AT39">
        <v>-726</v>
      </c>
      <c r="AU39">
        <v>-181.5</v>
      </c>
      <c r="AV39">
        <v>-45.38</v>
      </c>
      <c r="AW39">
        <v>-5</v>
      </c>
      <c r="AX39">
        <v>-87.92</v>
      </c>
      <c r="AZ39">
        <v>-5.5</v>
      </c>
      <c r="BB39">
        <v>-798</v>
      </c>
      <c r="BC39">
        <v>5590.18</v>
      </c>
    </row>
    <row r="40" spans="1:55" x14ac:dyDescent="0.15">
      <c r="A40">
        <v>39</v>
      </c>
      <c r="B40" t="s">
        <v>58</v>
      </c>
      <c r="C40" t="s">
        <v>267</v>
      </c>
      <c r="D40">
        <v>176</v>
      </c>
      <c r="H40">
        <v>0</v>
      </c>
      <c r="I40">
        <v>0</v>
      </c>
      <c r="J40">
        <v>0</v>
      </c>
      <c r="K40">
        <v>11.5</v>
      </c>
      <c r="L40">
        <v>9</v>
      </c>
      <c r="M40">
        <v>0</v>
      </c>
      <c r="N40">
        <v>31.59</v>
      </c>
      <c r="O40">
        <v>5497</v>
      </c>
      <c r="U40">
        <v>150</v>
      </c>
      <c r="V40">
        <v>350</v>
      </c>
      <c r="W40">
        <v>250</v>
      </c>
      <c r="Y40">
        <v>0</v>
      </c>
      <c r="AB40">
        <v>0</v>
      </c>
      <c r="AD40">
        <v>1113.55</v>
      </c>
      <c r="AF40">
        <v>32.5</v>
      </c>
      <c r="AG40">
        <v>0</v>
      </c>
      <c r="AJ40">
        <v>200</v>
      </c>
      <c r="AL40">
        <v>7593.05</v>
      </c>
      <c r="AP40">
        <v>0</v>
      </c>
      <c r="AQ40">
        <v>0</v>
      </c>
      <c r="AR40">
        <v>-30</v>
      </c>
      <c r="AT40">
        <v>-690.96</v>
      </c>
      <c r="AU40">
        <v>-172.74</v>
      </c>
      <c r="AV40">
        <v>-43.19</v>
      </c>
      <c r="AW40">
        <v>-5</v>
      </c>
      <c r="AX40">
        <v>-94.88</v>
      </c>
      <c r="AZ40">
        <v>-5.93</v>
      </c>
      <c r="BB40">
        <v>-746</v>
      </c>
      <c r="BC40">
        <v>5804.35</v>
      </c>
    </row>
    <row r="41" spans="1:55" x14ac:dyDescent="0.15">
      <c r="A41">
        <v>40</v>
      </c>
      <c r="B41" t="s">
        <v>59</v>
      </c>
      <c r="C41" t="s">
        <v>269</v>
      </c>
      <c r="D41">
        <v>180</v>
      </c>
      <c r="E41">
        <v>-3.6</v>
      </c>
      <c r="H41">
        <v>8</v>
      </c>
      <c r="I41">
        <v>8</v>
      </c>
      <c r="J41">
        <v>8</v>
      </c>
      <c r="K41">
        <v>40</v>
      </c>
      <c r="L41">
        <v>3</v>
      </c>
      <c r="M41">
        <v>0</v>
      </c>
      <c r="N41">
        <v>24.71</v>
      </c>
      <c r="O41">
        <v>4300</v>
      </c>
      <c r="U41">
        <v>150</v>
      </c>
      <c r="V41">
        <v>350</v>
      </c>
      <c r="W41">
        <v>250</v>
      </c>
      <c r="Y41">
        <v>0</v>
      </c>
      <c r="Z41">
        <v>720</v>
      </c>
      <c r="AB41">
        <v>640</v>
      </c>
      <c r="AC41">
        <v>781.74</v>
      </c>
      <c r="AD41">
        <v>1630.86</v>
      </c>
      <c r="AF41">
        <v>0</v>
      </c>
      <c r="AG41">
        <v>-88.96</v>
      </c>
      <c r="AJ41">
        <v>200</v>
      </c>
      <c r="AL41">
        <v>8933.64</v>
      </c>
      <c r="AP41">
        <v>-63.57</v>
      </c>
      <c r="AQ41">
        <v>0</v>
      </c>
      <c r="AR41">
        <v>-30</v>
      </c>
      <c r="AT41">
        <v>-710.48</v>
      </c>
      <c r="AU41">
        <v>-177.62</v>
      </c>
      <c r="AV41">
        <v>-44.41</v>
      </c>
      <c r="AW41">
        <v>-5</v>
      </c>
      <c r="AX41">
        <v>-62.24</v>
      </c>
      <c r="AZ41">
        <v>-3.89</v>
      </c>
      <c r="BB41">
        <v>-811</v>
      </c>
      <c r="BC41">
        <v>7025.43</v>
      </c>
    </row>
    <row r="42" spans="1:55" x14ac:dyDescent="0.15">
      <c r="A42">
        <v>41</v>
      </c>
      <c r="B42" t="s">
        <v>60</v>
      </c>
      <c r="C42" t="s">
        <v>272</v>
      </c>
      <c r="D42">
        <v>180</v>
      </c>
      <c r="E42">
        <v>-3.6</v>
      </c>
      <c r="H42">
        <v>8</v>
      </c>
      <c r="I42">
        <v>8</v>
      </c>
      <c r="J42">
        <v>7.5</v>
      </c>
      <c r="K42">
        <v>42</v>
      </c>
      <c r="L42">
        <v>3</v>
      </c>
      <c r="M42">
        <v>0</v>
      </c>
      <c r="N42">
        <v>27.31</v>
      </c>
      <c r="O42">
        <v>4752</v>
      </c>
      <c r="U42">
        <v>150</v>
      </c>
      <c r="V42">
        <v>350</v>
      </c>
      <c r="W42">
        <v>250</v>
      </c>
      <c r="Y42">
        <v>0</v>
      </c>
      <c r="Z42">
        <v>426</v>
      </c>
      <c r="AB42">
        <v>620</v>
      </c>
      <c r="AC42">
        <v>863.91</v>
      </c>
      <c r="AD42">
        <v>1884.39</v>
      </c>
      <c r="AF42">
        <v>0</v>
      </c>
      <c r="AG42">
        <v>-98.32</v>
      </c>
      <c r="AJ42">
        <v>200</v>
      </c>
      <c r="AL42">
        <v>9397.98</v>
      </c>
      <c r="AP42">
        <v>0</v>
      </c>
      <c r="AQ42">
        <v>0</v>
      </c>
      <c r="AR42">
        <v>-30</v>
      </c>
      <c r="AT42">
        <v>-868.4</v>
      </c>
      <c r="AU42">
        <v>-217.1</v>
      </c>
      <c r="AV42">
        <v>-54.28</v>
      </c>
      <c r="AW42">
        <v>-5</v>
      </c>
      <c r="AX42">
        <v>-95.44</v>
      </c>
      <c r="AZ42">
        <v>-5.97</v>
      </c>
      <c r="BB42">
        <v>-967</v>
      </c>
      <c r="BC42">
        <v>7154.79</v>
      </c>
    </row>
    <row r="43" spans="1:55" x14ac:dyDescent="0.15">
      <c r="A43">
        <v>42</v>
      </c>
      <c r="B43" t="s">
        <v>61</v>
      </c>
      <c r="C43" t="s">
        <v>275</v>
      </c>
      <c r="D43">
        <v>165</v>
      </c>
      <c r="E43">
        <v>-4.2</v>
      </c>
      <c r="H43">
        <v>7</v>
      </c>
      <c r="I43">
        <v>8.5</v>
      </c>
      <c r="J43">
        <v>8.5</v>
      </c>
      <c r="K43">
        <v>36</v>
      </c>
      <c r="L43">
        <v>10</v>
      </c>
      <c r="M43">
        <v>12</v>
      </c>
      <c r="N43">
        <v>26.23</v>
      </c>
      <c r="O43">
        <v>4564</v>
      </c>
      <c r="U43">
        <v>150</v>
      </c>
      <c r="V43">
        <v>350</v>
      </c>
      <c r="W43">
        <v>250</v>
      </c>
      <c r="Y43">
        <v>0</v>
      </c>
      <c r="Z43">
        <v>640</v>
      </c>
      <c r="AB43">
        <v>665</v>
      </c>
      <c r="AC43">
        <v>829.74</v>
      </c>
      <c r="AD43">
        <v>2885.3</v>
      </c>
      <c r="AF43">
        <v>50</v>
      </c>
      <c r="AG43">
        <v>-110.17</v>
      </c>
      <c r="AJ43">
        <v>200</v>
      </c>
      <c r="AL43">
        <v>10473.870000000001</v>
      </c>
      <c r="AP43">
        <v>0</v>
      </c>
      <c r="AQ43">
        <v>0</v>
      </c>
      <c r="AR43">
        <v>-30</v>
      </c>
      <c r="AT43">
        <v>-891.52</v>
      </c>
      <c r="AU43">
        <v>-222.88</v>
      </c>
      <c r="AV43">
        <v>-55.72</v>
      </c>
      <c r="AW43">
        <v>-5</v>
      </c>
      <c r="AX43">
        <v>-286.88</v>
      </c>
      <c r="AZ43">
        <v>-17.93</v>
      </c>
      <c r="BB43">
        <v>-756</v>
      </c>
      <c r="BC43">
        <v>8207.94</v>
      </c>
    </row>
    <row r="44" spans="1:55" x14ac:dyDescent="0.15">
      <c r="A44">
        <v>43</v>
      </c>
      <c r="B44" t="s">
        <v>62</v>
      </c>
      <c r="C44" t="s">
        <v>278</v>
      </c>
      <c r="D44">
        <v>165</v>
      </c>
      <c r="E44">
        <v>-4.2</v>
      </c>
      <c r="H44">
        <v>7</v>
      </c>
      <c r="I44">
        <v>6</v>
      </c>
      <c r="J44">
        <v>7.5</v>
      </c>
      <c r="K44">
        <v>26.5</v>
      </c>
      <c r="L44">
        <v>12.5</v>
      </c>
      <c r="M44">
        <v>0</v>
      </c>
      <c r="N44">
        <v>26.23</v>
      </c>
      <c r="O44">
        <v>4564</v>
      </c>
      <c r="U44">
        <v>150</v>
      </c>
      <c r="V44">
        <v>350</v>
      </c>
      <c r="W44">
        <v>250</v>
      </c>
      <c r="Y44">
        <v>0</v>
      </c>
      <c r="Z44">
        <v>620</v>
      </c>
      <c r="AB44">
        <v>550</v>
      </c>
      <c r="AC44">
        <v>829.74</v>
      </c>
      <c r="AD44">
        <v>1698.39</v>
      </c>
      <c r="AF44">
        <v>0</v>
      </c>
      <c r="AG44">
        <v>-110.17</v>
      </c>
      <c r="AJ44">
        <v>200</v>
      </c>
      <c r="AL44">
        <v>9101.9599999999991</v>
      </c>
      <c r="AP44">
        <v>0</v>
      </c>
      <c r="AQ44">
        <v>0</v>
      </c>
      <c r="AR44">
        <v>-30</v>
      </c>
      <c r="AT44">
        <v>-866.08</v>
      </c>
      <c r="AU44">
        <v>-216.52</v>
      </c>
      <c r="AV44">
        <v>-54.13</v>
      </c>
      <c r="AW44">
        <v>-5</v>
      </c>
      <c r="AX44">
        <v>-248.96</v>
      </c>
      <c r="AZ44">
        <v>-15.56</v>
      </c>
      <c r="BB44">
        <v>-772</v>
      </c>
      <c r="BC44">
        <v>6893.71</v>
      </c>
    </row>
    <row r="45" spans="1:55" x14ac:dyDescent="0.15">
      <c r="A45">
        <v>44</v>
      </c>
      <c r="B45" t="s">
        <v>63</v>
      </c>
      <c r="C45" t="s">
        <v>281</v>
      </c>
      <c r="D45">
        <v>176</v>
      </c>
      <c r="H45">
        <v>0</v>
      </c>
      <c r="I45">
        <v>0</v>
      </c>
      <c r="J45">
        <v>0</v>
      </c>
      <c r="K45">
        <v>4.5</v>
      </c>
      <c r="L45">
        <v>8</v>
      </c>
      <c r="M45">
        <v>0</v>
      </c>
      <c r="N45">
        <v>28.35</v>
      </c>
      <c r="O45">
        <v>4933</v>
      </c>
      <c r="U45">
        <v>150</v>
      </c>
      <c r="V45">
        <v>350</v>
      </c>
      <c r="W45">
        <v>250</v>
      </c>
      <c r="Y45">
        <v>0</v>
      </c>
      <c r="Z45">
        <v>530</v>
      </c>
      <c r="AB45">
        <v>0</v>
      </c>
      <c r="AD45">
        <v>644.96</v>
      </c>
      <c r="AF45">
        <v>0</v>
      </c>
      <c r="AG45">
        <v>0</v>
      </c>
      <c r="AJ45">
        <v>200</v>
      </c>
      <c r="AL45">
        <v>7057.96</v>
      </c>
      <c r="AP45">
        <v>-11.03</v>
      </c>
      <c r="AQ45">
        <v>0</v>
      </c>
      <c r="AR45">
        <v>-30</v>
      </c>
      <c r="AS45">
        <v>-1000</v>
      </c>
      <c r="AT45">
        <v>-662.08</v>
      </c>
      <c r="AU45">
        <v>-165.52</v>
      </c>
      <c r="AV45">
        <v>-41.38</v>
      </c>
      <c r="AW45">
        <v>-5</v>
      </c>
      <c r="AX45">
        <v>-61.52</v>
      </c>
      <c r="AZ45">
        <v>-3.84</v>
      </c>
      <c r="BB45">
        <v>-751</v>
      </c>
      <c r="BC45">
        <v>4326.59</v>
      </c>
    </row>
    <row r="46" spans="1:55" x14ac:dyDescent="0.15">
      <c r="A46">
        <v>45</v>
      </c>
      <c r="B46" t="s">
        <v>64</v>
      </c>
      <c r="C46" t="s">
        <v>284</v>
      </c>
      <c r="D46">
        <v>165</v>
      </c>
      <c r="E46">
        <v>-4.2</v>
      </c>
      <c r="H46">
        <v>8</v>
      </c>
      <c r="I46">
        <v>7.5</v>
      </c>
      <c r="J46">
        <v>8</v>
      </c>
      <c r="K46">
        <v>40.5</v>
      </c>
      <c r="L46">
        <v>4.5</v>
      </c>
      <c r="M46">
        <v>4</v>
      </c>
      <c r="N46">
        <v>26.23</v>
      </c>
      <c r="O46">
        <v>4564</v>
      </c>
      <c r="U46">
        <v>150</v>
      </c>
      <c r="V46">
        <v>350</v>
      </c>
      <c r="W46">
        <v>250</v>
      </c>
      <c r="Y46">
        <v>0</v>
      </c>
      <c r="Z46">
        <v>760</v>
      </c>
      <c r="AB46">
        <v>625</v>
      </c>
      <c r="AC46">
        <v>829.74</v>
      </c>
      <c r="AD46">
        <v>2144.3000000000002</v>
      </c>
      <c r="AF46">
        <v>0</v>
      </c>
      <c r="AG46">
        <v>-110.17</v>
      </c>
      <c r="AJ46">
        <v>200</v>
      </c>
      <c r="AL46">
        <v>9762.8700000000008</v>
      </c>
      <c r="AP46">
        <v>-80.989999999999995</v>
      </c>
      <c r="AQ46">
        <v>0</v>
      </c>
      <c r="AR46">
        <v>-30</v>
      </c>
      <c r="AT46">
        <v>-817.84</v>
      </c>
      <c r="AU46">
        <v>-204.46</v>
      </c>
      <c r="AV46">
        <v>-51.12</v>
      </c>
      <c r="AW46">
        <v>-5</v>
      </c>
      <c r="AX46">
        <v>-203.84</v>
      </c>
      <c r="AZ46">
        <v>-12.74</v>
      </c>
      <c r="BB46">
        <v>-768</v>
      </c>
      <c r="BC46">
        <v>7588.88</v>
      </c>
    </row>
    <row r="47" spans="1:55" x14ac:dyDescent="0.15">
      <c r="A47">
        <v>46</v>
      </c>
      <c r="B47" t="s">
        <v>65</v>
      </c>
      <c r="C47" t="s">
        <v>287</v>
      </c>
      <c r="D47">
        <v>176</v>
      </c>
      <c r="H47">
        <v>0</v>
      </c>
      <c r="I47">
        <v>0</v>
      </c>
      <c r="J47">
        <v>0</v>
      </c>
      <c r="K47">
        <v>11.5</v>
      </c>
      <c r="L47">
        <v>33.5</v>
      </c>
      <c r="M47">
        <v>8.5</v>
      </c>
      <c r="N47">
        <v>32.67</v>
      </c>
      <c r="O47">
        <v>5684</v>
      </c>
      <c r="U47">
        <v>150</v>
      </c>
      <c r="V47">
        <v>350</v>
      </c>
      <c r="W47">
        <v>250</v>
      </c>
      <c r="Y47">
        <v>0</v>
      </c>
      <c r="AB47">
        <v>0</v>
      </c>
      <c r="AD47">
        <v>3585.53</v>
      </c>
      <c r="AF47">
        <v>0</v>
      </c>
      <c r="AG47">
        <v>0</v>
      </c>
      <c r="AJ47">
        <v>200</v>
      </c>
      <c r="AL47">
        <v>10219.530000000001</v>
      </c>
      <c r="AP47">
        <v>-93.01</v>
      </c>
      <c r="AQ47">
        <v>0</v>
      </c>
      <c r="AR47">
        <v>-30</v>
      </c>
      <c r="AT47">
        <v>-831.04</v>
      </c>
      <c r="AU47">
        <v>-207.76</v>
      </c>
      <c r="AV47">
        <v>-51.94</v>
      </c>
      <c r="AW47">
        <v>-5</v>
      </c>
      <c r="AX47">
        <v>-80.72</v>
      </c>
      <c r="AZ47">
        <v>-5.04</v>
      </c>
      <c r="BB47">
        <v>-938</v>
      </c>
      <c r="BC47">
        <v>7977.02</v>
      </c>
    </row>
    <row r="48" spans="1:55" x14ac:dyDescent="0.15">
      <c r="A48">
        <v>47</v>
      </c>
      <c r="B48" t="s">
        <v>66</v>
      </c>
      <c r="C48" t="s">
        <v>288</v>
      </c>
      <c r="D48">
        <v>176</v>
      </c>
      <c r="H48">
        <v>0</v>
      </c>
      <c r="I48">
        <v>0</v>
      </c>
      <c r="J48">
        <v>0</v>
      </c>
      <c r="K48">
        <v>6</v>
      </c>
      <c r="L48">
        <v>32</v>
      </c>
      <c r="M48">
        <v>8</v>
      </c>
      <c r="N48">
        <v>42.11</v>
      </c>
      <c r="O48">
        <v>7328</v>
      </c>
      <c r="U48">
        <v>150</v>
      </c>
      <c r="V48">
        <v>350</v>
      </c>
      <c r="W48">
        <v>250</v>
      </c>
      <c r="Y48">
        <v>0</v>
      </c>
      <c r="AB48">
        <v>0</v>
      </c>
      <c r="AD48">
        <v>4084.67</v>
      </c>
      <c r="AF48">
        <v>0</v>
      </c>
      <c r="AG48">
        <v>0</v>
      </c>
      <c r="AJ48">
        <v>200</v>
      </c>
      <c r="AL48">
        <v>12362.67</v>
      </c>
      <c r="AP48">
        <v>-142.05000000000001</v>
      </c>
      <c r="AQ48">
        <v>0</v>
      </c>
      <c r="AR48">
        <v>-30</v>
      </c>
      <c r="AT48">
        <v>-1031.28</v>
      </c>
      <c r="AU48">
        <v>-257.82</v>
      </c>
      <c r="AV48">
        <v>-64.459999999999994</v>
      </c>
      <c r="AW48">
        <v>-5</v>
      </c>
      <c r="AX48">
        <v>-108.32</v>
      </c>
      <c r="AZ48">
        <v>-6.77</v>
      </c>
      <c r="BB48">
        <v>-1154</v>
      </c>
      <c r="BC48">
        <v>9562.9699999999993</v>
      </c>
    </row>
    <row r="49" spans="1:55" x14ac:dyDescent="0.15">
      <c r="A49">
        <v>48</v>
      </c>
      <c r="B49" t="s">
        <v>67</v>
      </c>
      <c r="C49" t="s">
        <v>291</v>
      </c>
      <c r="D49">
        <v>180</v>
      </c>
      <c r="E49">
        <v>-3.6</v>
      </c>
      <c r="H49">
        <v>8</v>
      </c>
      <c r="I49">
        <v>4</v>
      </c>
      <c r="J49">
        <v>8</v>
      </c>
      <c r="K49">
        <v>36</v>
      </c>
      <c r="L49">
        <v>5</v>
      </c>
      <c r="M49">
        <v>0</v>
      </c>
      <c r="N49">
        <v>26.74</v>
      </c>
      <c r="O49">
        <v>4652</v>
      </c>
      <c r="U49">
        <v>150</v>
      </c>
      <c r="V49">
        <v>350</v>
      </c>
      <c r="W49">
        <v>250</v>
      </c>
      <c r="Y49">
        <v>0</v>
      </c>
      <c r="Z49">
        <v>1020</v>
      </c>
      <c r="AB49">
        <v>520</v>
      </c>
      <c r="AC49">
        <v>845.73</v>
      </c>
      <c r="AD49">
        <v>1711.36</v>
      </c>
      <c r="AF49">
        <v>0</v>
      </c>
      <c r="AG49">
        <v>-96.26</v>
      </c>
      <c r="AJ49">
        <v>200</v>
      </c>
      <c r="AL49">
        <v>9602.83</v>
      </c>
      <c r="AP49">
        <v>-74.59</v>
      </c>
      <c r="AQ49">
        <v>0</v>
      </c>
      <c r="AR49">
        <v>-30</v>
      </c>
      <c r="AS49">
        <v>-1000</v>
      </c>
      <c r="AT49">
        <v>-839.92</v>
      </c>
      <c r="AU49">
        <v>-209.98</v>
      </c>
      <c r="AV49">
        <v>-52.5</v>
      </c>
      <c r="AW49">
        <v>-5</v>
      </c>
      <c r="AX49">
        <v>-218.64</v>
      </c>
      <c r="AZ49">
        <v>-13.67</v>
      </c>
      <c r="BB49">
        <v>-777</v>
      </c>
      <c r="BC49">
        <v>6381.53</v>
      </c>
    </row>
    <row r="50" spans="1:55" x14ac:dyDescent="0.15">
      <c r="A50">
        <v>49</v>
      </c>
      <c r="B50" t="s">
        <v>68</v>
      </c>
      <c r="C50" t="s">
        <v>294</v>
      </c>
      <c r="D50">
        <v>176</v>
      </c>
      <c r="H50">
        <v>0</v>
      </c>
      <c r="I50">
        <v>0</v>
      </c>
      <c r="J50">
        <v>0</v>
      </c>
      <c r="K50">
        <v>0</v>
      </c>
      <c r="L50">
        <v>5</v>
      </c>
      <c r="M50">
        <v>0</v>
      </c>
      <c r="N50">
        <v>42.11</v>
      </c>
      <c r="O50">
        <v>7328</v>
      </c>
      <c r="U50">
        <v>150</v>
      </c>
      <c r="V50">
        <v>350</v>
      </c>
      <c r="W50">
        <v>250</v>
      </c>
      <c r="Y50">
        <v>0</v>
      </c>
      <c r="AB50">
        <v>0</v>
      </c>
      <c r="AD50">
        <v>421.1</v>
      </c>
      <c r="AF50">
        <v>0</v>
      </c>
      <c r="AG50">
        <v>0</v>
      </c>
      <c r="AJ50">
        <v>200</v>
      </c>
      <c r="AL50">
        <v>8699.1</v>
      </c>
      <c r="AP50">
        <v>-18.100000000000001</v>
      </c>
      <c r="AQ50">
        <v>0</v>
      </c>
      <c r="AR50">
        <v>-30</v>
      </c>
      <c r="AT50">
        <v>-823.84</v>
      </c>
      <c r="AU50">
        <v>-205.96</v>
      </c>
      <c r="AV50">
        <v>-51.49</v>
      </c>
      <c r="AW50">
        <v>-5</v>
      </c>
      <c r="AX50">
        <v>-109.76</v>
      </c>
      <c r="AZ50">
        <v>-6.86</v>
      </c>
      <c r="BB50">
        <v>-893</v>
      </c>
      <c r="BC50">
        <v>6555.09</v>
      </c>
    </row>
    <row r="51" spans="1:55" x14ac:dyDescent="0.15">
      <c r="A51">
        <v>50</v>
      </c>
      <c r="B51" t="s">
        <v>69</v>
      </c>
      <c r="C51" t="s">
        <v>296</v>
      </c>
      <c r="D51">
        <v>176</v>
      </c>
      <c r="H51">
        <v>0</v>
      </c>
      <c r="I51">
        <v>0</v>
      </c>
      <c r="J51">
        <v>0</v>
      </c>
      <c r="K51">
        <v>20.5</v>
      </c>
      <c r="L51">
        <v>25</v>
      </c>
      <c r="M51">
        <v>0</v>
      </c>
      <c r="N51">
        <v>51.6</v>
      </c>
      <c r="O51">
        <v>8978</v>
      </c>
      <c r="R51">
        <v>1000</v>
      </c>
      <c r="U51">
        <v>150</v>
      </c>
      <c r="V51">
        <v>350</v>
      </c>
      <c r="W51">
        <v>250</v>
      </c>
      <c r="Y51">
        <v>0</v>
      </c>
      <c r="Z51">
        <v>300</v>
      </c>
      <c r="AB51">
        <v>0</v>
      </c>
      <c r="AD51">
        <v>4166.7</v>
      </c>
      <c r="AF51">
        <v>90</v>
      </c>
      <c r="AG51">
        <v>0</v>
      </c>
      <c r="AJ51">
        <v>200</v>
      </c>
      <c r="AL51">
        <v>15484.7</v>
      </c>
      <c r="AP51">
        <v>-189.7</v>
      </c>
      <c r="AQ51">
        <v>0</v>
      </c>
      <c r="AR51">
        <v>-30</v>
      </c>
      <c r="AT51">
        <v>-1242.56</v>
      </c>
      <c r="AU51">
        <v>-310.64</v>
      </c>
      <c r="AV51">
        <v>-77.66</v>
      </c>
      <c r="AW51">
        <v>-5</v>
      </c>
      <c r="AX51">
        <v>-148.24</v>
      </c>
      <c r="AZ51">
        <v>-9.26</v>
      </c>
      <c r="BB51">
        <v>-1368</v>
      </c>
      <c r="BC51">
        <v>12103.64</v>
      </c>
    </row>
    <row r="52" spans="1:55" x14ac:dyDescent="0.15">
      <c r="A52">
        <v>51</v>
      </c>
      <c r="B52" t="s">
        <v>70</v>
      </c>
      <c r="C52" t="s">
        <v>296</v>
      </c>
      <c r="D52">
        <v>176</v>
      </c>
      <c r="H52">
        <v>0</v>
      </c>
      <c r="I52">
        <v>0</v>
      </c>
      <c r="J52">
        <v>0</v>
      </c>
      <c r="K52">
        <v>1.5</v>
      </c>
      <c r="L52">
        <v>24</v>
      </c>
      <c r="M52">
        <v>0</v>
      </c>
      <c r="N52">
        <v>49.98</v>
      </c>
      <c r="O52">
        <v>8696</v>
      </c>
      <c r="R52">
        <v>1000</v>
      </c>
      <c r="U52">
        <v>150</v>
      </c>
      <c r="V52">
        <v>350</v>
      </c>
      <c r="W52">
        <v>250</v>
      </c>
      <c r="Y52">
        <v>0</v>
      </c>
      <c r="Z52">
        <v>300</v>
      </c>
      <c r="AB52">
        <v>0</v>
      </c>
      <c r="AD52">
        <v>2511.5</v>
      </c>
      <c r="AF52">
        <v>0</v>
      </c>
      <c r="AG52">
        <v>0</v>
      </c>
      <c r="AJ52">
        <v>200</v>
      </c>
      <c r="AL52">
        <v>13457.5</v>
      </c>
      <c r="AP52">
        <v>-61.4</v>
      </c>
      <c r="AQ52">
        <v>0</v>
      </c>
      <c r="AR52">
        <v>-30</v>
      </c>
      <c r="AS52">
        <v>-1000</v>
      </c>
      <c r="AT52">
        <v>-1142.32</v>
      </c>
      <c r="AU52">
        <v>-285.58</v>
      </c>
      <c r="AV52">
        <v>-71.400000000000006</v>
      </c>
      <c r="AW52">
        <v>-5</v>
      </c>
      <c r="AX52">
        <v>-115.52</v>
      </c>
      <c r="AZ52">
        <v>-7.22</v>
      </c>
      <c r="BB52">
        <v>-1284</v>
      </c>
      <c r="BC52">
        <v>9455.06</v>
      </c>
    </row>
    <row r="53" spans="1:55" x14ac:dyDescent="0.15">
      <c r="A53">
        <v>52</v>
      </c>
      <c r="B53" t="s">
        <v>71</v>
      </c>
      <c r="C53" t="s">
        <v>298</v>
      </c>
      <c r="D53">
        <v>165</v>
      </c>
      <c r="E53">
        <v>-4.2</v>
      </c>
      <c r="H53">
        <v>7</v>
      </c>
      <c r="I53">
        <v>10</v>
      </c>
      <c r="J53">
        <v>8</v>
      </c>
      <c r="K53">
        <v>38</v>
      </c>
      <c r="L53">
        <v>4</v>
      </c>
      <c r="M53">
        <v>11</v>
      </c>
      <c r="N53">
        <v>26.74</v>
      </c>
      <c r="O53">
        <v>4652</v>
      </c>
      <c r="U53">
        <v>150</v>
      </c>
      <c r="V53">
        <v>350</v>
      </c>
      <c r="W53">
        <v>250</v>
      </c>
      <c r="Y53">
        <v>0</v>
      </c>
      <c r="Z53">
        <v>860</v>
      </c>
      <c r="AB53">
        <v>690</v>
      </c>
      <c r="AC53">
        <v>845.73</v>
      </c>
      <c r="AD53">
        <v>2620.52</v>
      </c>
      <c r="AF53">
        <v>90</v>
      </c>
      <c r="AG53">
        <v>-112.31</v>
      </c>
      <c r="AJ53">
        <v>200</v>
      </c>
      <c r="AL53">
        <v>10595.94</v>
      </c>
      <c r="AP53">
        <v>-102.52</v>
      </c>
      <c r="AQ53">
        <v>0</v>
      </c>
      <c r="AR53">
        <v>-30</v>
      </c>
      <c r="AT53">
        <v>-864.8</v>
      </c>
      <c r="AU53">
        <v>-216.2</v>
      </c>
      <c r="AV53">
        <v>-54.05</v>
      </c>
      <c r="AW53">
        <v>-5</v>
      </c>
      <c r="AX53">
        <v>-228.16</v>
      </c>
      <c r="AZ53">
        <v>-14.26</v>
      </c>
      <c r="BB53">
        <v>-796</v>
      </c>
      <c r="BC53">
        <v>8284.9500000000007</v>
      </c>
    </row>
    <row r="54" spans="1:55" x14ac:dyDescent="0.15">
      <c r="A54">
        <v>53</v>
      </c>
      <c r="B54" t="s">
        <v>72</v>
      </c>
      <c r="C54" t="s">
        <v>301</v>
      </c>
      <c r="D54">
        <v>165</v>
      </c>
      <c r="E54">
        <v>-4.2</v>
      </c>
      <c r="H54">
        <v>9.5</v>
      </c>
      <c r="I54">
        <v>7</v>
      </c>
      <c r="J54">
        <v>7.5</v>
      </c>
      <c r="K54">
        <v>28</v>
      </c>
      <c r="L54">
        <v>11</v>
      </c>
      <c r="M54">
        <v>7.5</v>
      </c>
      <c r="N54">
        <v>25.72</v>
      </c>
      <c r="O54">
        <v>4476</v>
      </c>
      <c r="U54">
        <v>150</v>
      </c>
      <c r="V54">
        <v>350</v>
      </c>
      <c r="W54">
        <v>250</v>
      </c>
      <c r="Y54">
        <v>0</v>
      </c>
      <c r="Z54">
        <v>488</v>
      </c>
      <c r="AB54">
        <v>605</v>
      </c>
      <c r="AC54">
        <v>813.74</v>
      </c>
      <c r="AD54">
        <v>2224.7800000000002</v>
      </c>
      <c r="AF54">
        <v>30</v>
      </c>
      <c r="AG54">
        <v>-108.02</v>
      </c>
      <c r="AJ54">
        <v>200</v>
      </c>
      <c r="AL54">
        <v>9479.5</v>
      </c>
      <c r="AP54">
        <v>-74.739999999999995</v>
      </c>
      <c r="AQ54">
        <v>0</v>
      </c>
      <c r="AR54">
        <v>-30</v>
      </c>
      <c r="AT54">
        <v>-785.28</v>
      </c>
      <c r="AU54">
        <v>-196.32</v>
      </c>
      <c r="AV54">
        <v>-49.08</v>
      </c>
      <c r="AW54">
        <v>-5</v>
      </c>
      <c r="AX54">
        <v>-156.88</v>
      </c>
      <c r="AZ54">
        <v>-9.8000000000000007</v>
      </c>
      <c r="BB54">
        <v>-786</v>
      </c>
      <c r="BC54">
        <v>7386.4</v>
      </c>
    </row>
    <row r="55" spans="1:55" x14ac:dyDescent="0.15">
      <c r="A55">
        <v>54</v>
      </c>
      <c r="B55" t="s">
        <v>73</v>
      </c>
      <c r="C55" t="s">
        <v>304</v>
      </c>
      <c r="D55">
        <v>176</v>
      </c>
      <c r="H55">
        <v>0</v>
      </c>
      <c r="I55">
        <v>0</v>
      </c>
      <c r="J55">
        <v>0</v>
      </c>
      <c r="K55">
        <v>7.5</v>
      </c>
      <c r="L55">
        <v>18</v>
      </c>
      <c r="M55">
        <v>8.5</v>
      </c>
      <c r="N55">
        <v>31.51</v>
      </c>
      <c r="O55">
        <v>5482</v>
      </c>
      <c r="U55">
        <v>150</v>
      </c>
      <c r="V55">
        <v>350</v>
      </c>
      <c r="W55">
        <v>250</v>
      </c>
      <c r="Y55">
        <v>0</v>
      </c>
      <c r="AB55">
        <v>0</v>
      </c>
      <c r="AD55">
        <v>2292.35</v>
      </c>
      <c r="AF55">
        <v>0</v>
      </c>
      <c r="AG55">
        <v>0</v>
      </c>
      <c r="AJ55">
        <v>200</v>
      </c>
      <c r="AL55">
        <v>8724.35</v>
      </c>
      <c r="AP55">
        <v>-1.18</v>
      </c>
      <c r="AQ55">
        <v>0</v>
      </c>
      <c r="AR55">
        <v>-30</v>
      </c>
      <c r="AS55">
        <v>-1000</v>
      </c>
      <c r="AT55">
        <v>-676.32</v>
      </c>
      <c r="AU55">
        <v>-169.08</v>
      </c>
      <c r="AV55">
        <v>-42.27</v>
      </c>
      <c r="AW55">
        <v>-5</v>
      </c>
      <c r="AX55">
        <v>-25.2</v>
      </c>
      <c r="AZ55">
        <v>-1.57</v>
      </c>
      <c r="BB55">
        <v>-814</v>
      </c>
      <c r="BC55">
        <v>5959.73</v>
      </c>
    </row>
    <row r="56" spans="1:55" x14ac:dyDescent="0.15">
      <c r="A56">
        <v>55</v>
      </c>
      <c r="B56" t="s">
        <v>74</v>
      </c>
      <c r="C56" t="s">
        <v>268</v>
      </c>
      <c r="D56">
        <v>176</v>
      </c>
      <c r="H56">
        <v>0</v>
      </c>
      <c r="I56">
        <v>0</v>
      </c>
      <c r="J56">
        <v>0</v>
      </c>
      <c r="K56">
        <v>0</v>
      </c>
      <c r="L56">
        <v>8</v>
      </c>
      <c r="M56">
        <v>0</v>
      </c>
      <c r="N56">
        <v>19.37</v>
      </c>
      <c r="O56">
        <v>3370</v>
      </c>
      <c r="U56">
        <v>150</v>
      </c>
      <c r="V56">
        <v>350</v>
      </c>
      <c r="W56">
        <v>250</v>
      </c>
      <c r="Y56">
        <v>0</v>
      </c>
      <c r="Z56">
        <v>530</v>
      </c>
      <c r="AB56">
        <v>0</v>
      </c>
      <c r="AD56">
        <v>309.92</v>
      </c>
      <c r="AF56">
        <v>0</v>
      </c>
      <c r="AG56">
        <v>0</v>
      </c>
      <c r="AJ56">
        <v>200</v>
      </c>
      <c r="AL56">
        <v>5159.92</v>
      </c>
      <c r="AP56">
        <v>0</v>
      </c>
      <c r="AQ56">
        <v>0</v>
      </c>
      <c r="AR56">
        <v>-30</v>
      </c>
      <c r="AT56">
        <v>-380</v>
      </c>
      <c r="AU56">
        <v>-95</v>
      </c>
      <c r="AV56">
        <v>-23.75</v>
      </c>
      <c r="AW56">
        <v>-5</v>
      </c>
      <c r="AX56">
        <v>0</v>
      </c>
      <c r="AZ56">
        <v>0</v>
      </c>
      <c r="BB56">
        <v>-755</v>
      </c>
      <c r="BC56">
        <v>3871.17</v>
      </c>
    </row>
    <row r="57" spans="1:55" x14ac:dyDescent="0.15">
      <c r="A57">
        <v>56</v>
      </c>
      <c r="B57" t="s">
        <v>75</v>
      </c>
      <c r="C57" t="s">
        <v>268</v>
      </c>
      <c r="D57">
        <v>165</v>
      </c>
      <c r="E57">
        <v>-4.2</v>
      </c>
      <c r="H57">
        <v>7.5</v>
      </c>
      <c r="I57">
        <v>8</v>
      </c>
      <c r="J57">
        <v>8.5</v>
      </c>
      <c r="K57">
        <v>31</v>
      </c>
      <c r="L57">
        <v>4</v>
      </c>
      <c r="M57">
        <v>11</v>
      </c>
      <c r="N57">
        <v>24.71</v>
      </c>
      <c r="O57">
        <v>4300</v>
      </c>
      <c r="U57">
        <v>150</v>
      </c>
      <c r="V57">
        <v>350</v>
      </c>
      <c r="W57">
        <v>250</v>
      </c>
      <c r="Y57">
        <v>0</v>
      </c>
      <c r="Z57">
        <v>560</v>
      </c>
      <c r="AB57">
        <v>655</v>
      </c>
      <c r="AC57">
        <v>781.74</v>
      </c>
      <c r="AD57">
        <v>2162.13</v>
      </c>
      <c r="AF57">
        <v>0</v>
      </c>
      <c r="AG57">
        <v>-103.78</v>
      </c>
      <c r="AJ57">
        <v>200</v>
      </c>
      <c r="AL57">
        <v>9305.09</v>
      </c>
      <c r="AP57">
        <v>-74.08</v>
      </c>
      <c r="AQ57">
        <v>0</v>
      </c>
      <c r="AR57">
        <v>-30</v>
      </c>
      <c r="AS57">
        <v>-1000</v>
      </c>
      <c r="AT57">
        <v>-720.96</v>
      </c>
      <c r="AU57">
        <v>-180.24</v>
      </c>
      <c r="AV57">
        <v>-45.06</v>
      </c>
      <c r="AW57">
        <v>-5</v>
      </c>
      <c r="AX57">
        <v>-91.92</v>
      </c>
      <c r="AZ57">
        <v>-5.74</v>
      </c>
      <c r="BB57">
        <v>-787</v>
      </c>
      <c r="BC57">
        <v>6365.09</v>
      </c>
    </row>
    <row r="58" spans="1:55" x14ac:dyDescent="0.15">
      <c r="A58">
        <v>57</v>
      </c>
      <c r="B58" t="s">
        <v>76</v>
      </c>
      <c r="C58" t="s">
        <v>311</v>
      </c>
      <c r="D58">
        <v>165</v>
      </c>
      <c r="E58">
        <v>-4.2</v>
      </c>
      <c r="H58">
        <v>6.5</v>
      </c>
      <c r="I58">
        <v>8</v>
      </c>
      <c r="J58">
        <v>8.5</v>
      </c>
      <c r="K58">
        <v>31.5</v>
      </c>
      <c r="L58">
        <v>4</v>
      </c>
      <c r="M58">
        <v>11</v>
      </c>
      <c r="N58">
        <v>24.71</v>
      </c>
      <c r="O58">
        <v>4300</v>
      </c>
      <c r="U58">
        <v>150</v>
      </c>
      <c r="V58">
        <v>350</v>
      </c>
      <c r="W58">
        <v>250</v>
      </c>
      <c r="Y58">
        <v>0</v>
      </c>
      <c r="Z58">
        <v>560</v>
      </c>
      <c r="AB58">
        <v>645</v>
      </c>
      <c r="AC58">
        <v>781.74</v>
      </c>
      <c r="AD58">
        <v>2180.66</v>
      </c>
      <c r="AF58">
        <v>0</v>
      </c>
      <c r="AG58">
        <v>-103.78</v>
      </c>
      <c r="AJ58">
        <v>200</v>
      </c>
      <c r="AL58">
        <v>9313.6200000000008</v>
      </c>
      <c r="AP58">
        <v>0</v>
      </c>
      <c r="AQ58">
        <v>0</v>
      </c>
      <c r="AR58">
        <v>-30</v>
      </c>
      <c r="AT58">
        <v>-672.32</v>
      </c>
      <c r="AU58">
        <v>-168.08</v>
      </c>
      <c r="AV58">
        <v>-42.02</v>
      </c>
      <c r="AW58">
        <v>-5</v>
      </c>
      <c r="AX58">
        <v>-79.84</v>
      </c>
      <c r="AZ58">
        <v>-4.99</v>
      </c>
      <c r="BB58">
        <v>-741</v>
      </c>
      <c r="BC58">
        <v>7570.37</v>
      </c>
    </row>
    <row r="59" spans="1:55" x14ac:dyDescent="0.15">
      <c r="A59">
        <v>58</v>
      </c>
      <c r="B59" t="s">
        <v>77</v>
      </c>
      <c r="C59" t="s">
        <v>311</v>
      </c>
      <c r="D59">
        <v>165</v>
      </c>
      <c r="E59">
        <v>-4.2</v>
      </c>
      <c r="H59">
        <v>7</v>
      </c>
      <c r="I59">
        <v>9</v>
      </c>
      <c r="J59">
        <v>8</v>
      </c>
      <c r="K59">
        <v>34</v>
      </c>
      <c r="L59">
        <v>4</v>
      </c>
      <c r="M59">
        <v>11</v>
      </c>
      <c r="N59">
        <v>24.71</v>
      </c>
      <c r="O59">
        <v>4300</v>
      </c>
      <c r="U59">
        <v>150</v>
      </c>
      <c r="V59">
        <v>350</v>
      </c>
      <c r="W59">
        <v>250</v>
      </c>
      <c r="Y59">
        <v>0</v>
      </c>
      <c r="Z59">
        <v>560</v>
      </c>
      <c r="AB59">
        <v>660</v>
      </c>
      <c r="AC59">
        <v>781.74</v>
      </c>
      <c r="AD59">
        <v>2273.3200000000002</v>
      </c>
      <c r="AF59">
        <v>0</v>
      </c>
      <c r="AG59">
        <v>-103.78</v>
      </c>
      <c r="AJ59">
        <v>200</v>
      </c>
      <c r="AL59">
        <v>9421.2800000000007</v>
      </c>
      <c r="AP59">
        <v>0</v>
      </c>
      <c r="AQ59">
        <v>0</v>
      </c>
      <c r="AR59">
        <v>-30</v>
      </c>
      <c r="AT59">
        <v>-678.8</v>
      </c>
      <c r="AU59">
        <v>-169.7</v>
      </c>
      <c r="AV59">
        <v>-42.43</v>
      </c>
      <c r="AW59">
        <v>-5</v>
      </c>
      <c r="AX59">
        <v>-72.48</v>
      </c>
      <c r="AZ59">
        <v>-4.53</v>
      </c>
      <c r="BB59">
        <v>-758</v>
      </c>
      <c r="BC59">
        <v>7660.34</v>
      </c>
    </row>
    <row r="60" spans="1:55" x14ac:dyDescent="0.15">
      <c r="A60">
        <v>59</v>
      </c>
      <c r="B60" t="s">
        <v>78</v>
      </c>
      <c r="C60" t="s">
        <v>311</v>
      </c>
      <c r="D60">
        <v>165</v>
      </c>
      <c r="E60">
        <v>-4.2</v>
      </c>
      <c r="H60">
        <v>8</v>
      </c>
      <c r="I60">
        <v>7.5</v>
      </c>
      <c r="J60">
        <v>8.5</v>
      </c>
      <c r="K60">
        <v>38.5</v>
      </c>
      <c r="L60">
        <v>6.5</v>
      </c>
      <c r="M60">
        <v>7.5</v>
      </c>
      <c r="N60">
        <v>29.75</v>
      </c>
      <c r="O60">
        <v>5176</v>
      </c>
      <c r="U60">
        <v>150</v>
      </c>
      <c r="V60">
        <v>350</v>
      </c>
      <c r="W60">
        <v>250</v>
      </c>
      <c r="Y60">
        <v>0</v>
      </c>
      <c r="Z60">
        <v>1120</v>
      </c>
      <c r="AB60">
        <v>645</v>
      </c>
      <c r="AC60">
        <v>941</v>
      </c>
      <c r="AD60">
        <v>2774.19</v>
      </c>
      <c r="AF60">
        <v>0</v>
      </c>
      <c r="AG60">
        <v>-124.95</v>
      </c>
      <c r="AJ60">
        <v>200</v>
      </c>
      <c r="AL60">
        <v>11481.24</v>
      </c>
      <c r="AP60">
        <v>0</v>
      </c>
      <c r="AQ60">
        <v>0</v>
      </c>
      <c r="AR60">
        <v>-30</v>
      </c>
      <c r="AT60">
        <v>-878.08</v>
      </c>
      <c r="AU60">
        <v>-219.52</v>
      </c>
      <c r="AV60">
        <v>-54.88</v>
      </c>
      <c r="AW60">
        <v>-5</v>
      </c>
      <c r="AX60">
        <v>-48.8</v>
      </c>
      <c r="AZ60">
        <v>-3.05</v>
      </c>
      <c r="BB60">
        <v>-1037</v>
      </c>
      <c r="BC60">
        <v>9204.91</v>
      </c>
    </row>
    <row r="61" spans="1:55" x14ac:dyDescent="0.15">
      <c r="A61">
        <v>60</v>
      </c>
      <c r="B61" t="s">
        <v>79</v>
      </c>
      <c r="C61" t="s">
        <v>313</v>
      </c>
      <c r="D61">
        <v>176</v>
      </c>
      <c r="H61">
        <v>0</v>
      </c>
      <c r="I61">
        <v>0</v>
      </c>
      <c r="J61">
        <v>0</v>
      </c>
      <c r="K61">
        <v>0</v>
      </c>
      <c r="L61">
        <v>0</v>
      </c>
      <c r="M61">
        <v>6</v>
      </c>
      <c r="N61">
        <v>31.51</v>
      </c>
      <c r="O61">
        <v>5482</v>
      </c>
      <c r="U61">
        <v>150</v>
      </c>
      <c r="V61">
        <v>350</v>
      </c>
      <c r="W61">
        <v>250</v>
      </c>
      <c r="Y61">
        <v>0</v>
      </c>
      <c r="AB61">
        <v>0</v>
      </c>
      <c r="AD61">
        <v>567.17999999999995</v>
      </c>
      <c r="AE61">
        <v>200</v>
      </c>
      <c r="AF61">
        <v>0</v>
      </c>
      <c r="AG61">
        <v>0</v>
      </c>
      <c r="AJ61">
        <v>200</v>
      </c>
      <c r="AL61">
        <v>7199.18</v>
      </c>
      <c r="AP61">
        <v>0</v>
      </c>
      <c r="AQ61">
        <v>0</v>
      </c>
      <c r="AR61">
        <v>-30</v>
      </c>
      <c r="AS61">
        <v>-1000</v>
      </c>
      <c r="AT61">
        <v>-636.08000000000004</v>
      </c>
      <c r="AU61">
        <v>-159.02000000000001</v>
      </c>
      <c r="AV61">
        <v>-39.76</v>
      </c>
      <c r="AW61">
        <v>-5</v>
      </c>
      <c r="AX61">
        <v>-52.48</v>
      </c>
      <c r="AZ61">
        <v>-3.28</v>
      </c>
      <c r="BB61">
        <v>-730</v>
      </c>
      <c r="BC61">
        <v>4543.5600000000004</v>
      </c>
    </row>
    <row r="62" spans="1:55" x14ac:dyDescent="0.15">
      <c r="A62">
        <v>61</v>
      </c>
      <c r="B62" t="s">
        <v>80</v>
      </c>
      <c r="C62" t="s">
        <v>230</v>
      </c>
      <c r="D62">
        <v>176</v>
      </c>
      <c r="H62">
        <v>0</v>
      </c>
      <c r="I62">
        <v>0</v>
      </c>
      <c r="J62">
        <v>0</v>
      </c>
      <c r="K62">
        <v>13</v>
      </c>
      <c r="L62">
        <v>10</v>
      </c>
      <c r="M62">
        <v>0</v>
      </c>
      <c r="N62">
        <v>40.47</v>
      </c>
      <c r="O62">
        <v>7042</v>
      </c>
      <c r="U62">
        <v>150</v>
      </c>
      <c r="V62">
        <v>350</v>
      </c>
      <c r="W62">
        <v>250</v>
      </c>
      <c r="Y62">
        <v>0</v>
      </c>
      <c r="Z62">
        <v>50</v>
      </c>
      <c r="AB62">
        <v>0</v>
      </c>
      <c r="AD62">
        <v>1598.57</v>
      </c>
      <c r="AF62">
        <v>85</v>
      </c>
      <c r="AG62">
        <v>0</v>
      </c>
      <c r="AJ62">
        <v>200</v>
      </c>
      <c r="AL62">
        <v>9725.57</v>
      </c>
      <c r="AP62">
        <v>-71.78</v>
      </c>
      <c r="AQ62">
        <v>0</v>
      </c>
      <c r="AR62">
        <v>-30</v>
      </c>
      <c r="AT62">
        <v>-919.04</v>
      </c>
      <c r="AU62">
        <v>-229.76</v>
      </c>
      <c r="AV62">
        <v>-57.44</v>
      </c>
      <c r="AW62">
        <v>-5</v>
      </c>
      <c r="AX62">
        <v>-146.63999999999999</v>
      </c>
      <c r="AZ62">
        <v>-9.16</v>
      </c>
      <c r="BB62">
        <v>-966</v>
      </c>
      <c r="BC62">
        <v>7290.75</v>
      </c>
    </row>
    <row r="63" spans="1:55" x14ac:dyDescent="0.15">
      <c r="A63">
        <v>62</v>
      </c>
      <c r="B63" t="s">
        <v>81</v>
      </c>
      <c r="C63" t="s">
        <v>320</v>
      </c>
      <c r="D63">
        <v>176</v>
      </c>
      <c r="H63">
        <v>0</v>
      </c>
      <c r="I63">
        <v>0</v>
      </c>
      <c r="J63">
        <v>0</v>
      </c>
      <c r="K63">
        <v>22</v>
      </c>
      <c r="L63">
        <v>8</v>
      </c>
      <c r="M63">
        <v>0</v>
      </c>
      <c r="N63">
        <v>29.97</v>
      </c>
      <c r="O63">
        <v>5214</v>
      </c>
      <c r="U63">
        <v>150</v>
      </c>
      <c r="V63">
        <v>350</v>
      </c>
      <c r="W63">
        <v>250</v>
      </c>
      <c r="Y63">
        <v>0</v>
      </c>
      <c r="Z63">
        <v>50</v>
      </c>
      <c r="AB63">
        <v>0</v>
      </c>
      <c r="AD63">
        <v>1468.53</v>
      </c>
      <c r="AF63">
        <v>0</v>
      </c>
      <c r="AG63">
        <v>0</v>
      </c>
      <c r="AJ63">
        <v>200</v>
      </c>
      <c r="AL63">
        <v>7682.53</v>
      </c>
      <c r="AP63">
        <v>-26.52</v>
      </c>
      <c r="AQ63">
        <v>0</v>
      </c>
      <c r="AR63">
        <v>-30</v>
      </c>
      <c r="AT63">
        <v>-701.92</v>
      </c>
      <c r="AU63">
        <v>-175.48</v>
      </c>
      <c r="AV63">
        <v>-43.87</v>
      </c>
      <c r="AW63">
        <v>-5</v>
      </c>
      <c r="AX63">
        <v>-32.24</v>
      </c>
      <c r="AZ63">
        <v>-2.0099999999999998</v>
      </c>
      <c r="BB63">
        <v>-838</v>
      </c>
      <c r="BC63">
        <v>5827.49</v>
      </c>
    </row>
    <row r="64" spans="1:55" x14ac:dyDescent="0.15">
      <c r="A64">
        <v>63</v>
      </c>
      <c r="B64" t="s">
        <v>82</v>
      </c>
      <c r="C64" t="s">
        <v>322</v>
      </c>
      <c r="D64">
        <v>176</v>
      </c>
      <c r="H64">
        <v>0</v>
      </c>
      <c r="I64">
        <v>0</v>
      </c>
      <c r="J64">
        <v>0</v>
      </c>
      <c r="K64">
        <v>4.5</v>
      </c>
      <c r="L64">
        <v>0</v>
      </c>
      <c r="M64">
        <v>0</v>
      </c>
      <c r="N64">
        <v>47.29</v>
      </c>
      <c r="O64">
        <v>8228</v>
      </c>
      <c r="U64">
        <v>150</v>
      </c>
      <c r="V64">
        <v>350</v>
      </c>
      <c r="W64">
        <v>250</v>
      </c>
      <c r="Y64">
        <v>0</v>
      </c>
      <c r="AB64">
        <v>0</v>
      </c>
      <c r="AD64">
        <v>319.20999999999998</v>
      </c>
      <c r="AE64">
        <v>300</v>
      </c>
      <c r="AF64">
        <v>0</v>
      </c>
      <c r="AG64">
        <v>0</v>
      </c>
      <c r="AJ64">
        <v>200</v>
      </c>
      <c r="AL64">
        <v>9797.2099999999991</v>
      </c>
      <c r="AP64">
        <v>0</v>
      </c>
      <c r="AQ64">
        <v>0</v>
      </c>
      <c r="AR64">
        <v>-30</v>
      </c>
      <c r="AS64">
        <v>-1000</v>
      </c>
      <c r="AT64">
        <v>-861.68</v>
      </c>
      <c r="AU64">
        <v>-215.42</v>
      </c>
      <c r="AV64">
        <v>-53.86</v>
      </c>
      <c r="AW64">
        <v>-5</v>
      </c>
      <c r="AX64">
        <v>-84.4</v>
      </c>
      <c r="AZ64">
        <v>-5.28</v>
      </c>
      <c r="BB64">
        <v>-972</v>
      </c>
      <c r="BC64">
        <v>6569.57</v>
      </c>
    </row>
    <row r="65" spans="1:55" x14ac:dyDescent="0.15">
      <c r="A65">
        <v>64</v>
      </c>
      <c r="B65" t="s">
        <v>83</v>
      </c>
      <c r="C65" t="s">
        <v>324</v>
      </c>
      <c r="D65">
        <v>180</v>
      </c>
      <c r="E65">
        <v>-3.6</v>
      </c>
      <c r="H65">
        <v>8.5</v>
      </c>
      <c r="I65">
        <v>7.5</v>
      </c>
      <c r="J65">
        <v>8</v>
      </c>
      <c r="K65">
        <v>36</v>
      </c>
      <c r="L65">
        <v>4.5</v>
      </c>
      <c r="M65">
        <v>0</v>
      </c>
      <c r="N65">
        <v>20.18</v>
      </c>
      <c r="O65">
        <v>3511</v>
      </c>
      <c r="U65">
        <v>150</v>
      </c>
      <c r="V65">
        <v>350</v>
      </c>
      <c r="W65">
        <v>250</v>
      </c>
      <c r="Y65">
        <v>0</v>
      </c>
      <c r="Z65">
        <v>720</v>
      </c>
      <c r="AB65">
        <v>630</v>
      </c>
      <c r="AC65">
        <v>638.29999999999995</v>
      </c>
      <c r="AD65">
        <v>1271.3399999999999</v>
      </c>
      <c r="AF65">
        <v>0</v>
      </c>
      <c r="AG65">
        <v>-72.650000000000006</v>
      </c>
      <c r="AJ65">
        <v>200</v>
      </c>
      <c r="AL65">
        <v>7647.99</v>
      </c>
      <c r="AP65">
        <v>-25.21</v>
      </c>
      <c r="AQ65">
        <v>0</v>
      </c>
      <c r="AR65">
        <v>-30</v>
      </c>
      <c r="AT65">
        <v>-658.96</v>
      </c>
      <c r="AU65">
        <v>-164.74</v>
      </c>
      <c r="AV65">
        <v>-41.19</v>
      </c>
      <c r="AW65">
        <v>-5</v>
      </c>
      <c r="AX65">
        <v>-80.72</v>
      </c>
      <c r="AZ65">
        <v>-5.05</v>
      </c>
      <c r="BB65">
        <v>-723</v>
      </c>
      <c r="BC65">
        <v>5914.12</v>
      </c>
    </row>
    <row r="66" spans="1:55" x14ac:dyDescent="0.15">
      <c r="A66">
        <v>65</v>
      </c>
      <c r="B66" t="s">
        <v>84</v>
      </c>
      <c r="C66" t="s">
        <v>326</v>
      </c>
      <c r="D66">
        <v>176</v>
      </c>
      <c r="H66">
        <v>0</v>
      </c>
      <c r="I66">
        <v>0</v>
      </c>
      <c r="J66">
        <v>0</v>
      </c>
      <c r="K66">
        <v>10</v>
      </c>
      <c r="L66">
        <v>0</v>
      </c>
      <c r="M66">
        <v>0</v>
      </c>
      <c r="N66">
        <v>27.01</v>
      </c>
      <c r="O66">
        <v>4700</v>
      </c>
      <c r="U66">
        <v>150</v>
      </c>
      <c r="V66">
        <v>350</v>
      </c>
      <c r="W66">
        <v>250</v>
      </c>
      <c r="Y66">
        <v>0</v>
      </c>
      <c r="Z66">
        <v>50</v>
      </c>
      <c r="AB66">
        <v>0</v>
      </c>
      <c r="AD66">
        <v>405.15</v>
      </c>
      <c r="AF66">
        <v>102.5</v>
      </c>
      <c r="AG66">
        <v>0</v>
      </c>
      <c r="AJ66">
        <v>200</v>
      </c>
      <c r="AL66">
        <v>6207.65</v>
      </c>
      <c r="AP66">
        <v>0</v>
      </c>
      <c r="AQ66">
        <v>0</v>
      </c>
      <c r="AR66">
        <v>-30</v>
      </c>
      <c r="AT66">
        <v>-505.76</v>
      </c>
      <c r="AU66">
        <v>-126.44</v>
      </c>
      <c r="AV66">
        <v>-31.61</v>
      </c>
      <c r="AW66">
        <v>-5</v>
      </c>
      <c r="AX66">
        <v>-56.32</v>
      </c>
      <c r="AZ66">
        <v>-3.52</v>
      </c>
      <c r="BB66">
        <v>-562</v>
      </c>
      <c r="BC66">
        <v>4887</v>
      </c>
    </row>
    <row r="67" spans="1:55" x14ac:dyDescent="0.15">
      <c r="A67">
        <v>66</v>
      </c>
      <c r="B67" t="s">
        <v>85</v>
      </c>
      <c r="C67" t="s">
        <v>326</v>
      </c>
      <c r="D67">
        <v>172.5</v>
      </c>
      <c r="E67">
        <v>-1.7</v>
      </c>
      <c r="H67">
        <v>6.5</v>
      </c>
      <c r="I67">
        <v>8</v>
      </c>
      <c r="J67">
        <v>7.5</v>
      </c>
      <c r="K67">
        <v>31</v>
      </c>
      <c r="L67">
        <v>8</v>
      </c>
      <c r="M67">
        <v>0</v>
      </c>
      <c r="N67">
        <v>24.71</v>
      </c>
      <c r="O67">
        <v>4300</v>
      </c>
      <c r="U67">
        <v>150</v>
      </c>
      <c r="V67">
        <v>350</v>
      </c>
      <c r="W67">
        <v>250</v>
      </c>
      <c r="Y67">
        <v>0</v>
      </c>
      <c r="Z67">
        <v>950</v>
      </c>
      <c r="AB67">
        <v>605</v>
      </c>
      <c r="AC67">
        <v>781.74</v>
      </c>
      <c r="AD67">
        <v>1544.38</v>
      </c>
      <c r="AF67">
        <v>50</v>
      </c>
      <c r="AG67">
        <v>-42.01</v>
      </c>
      <c r="AJ67">
        <v>200</v>
      </c>
      <c r="AL67">
        <v>9139.11</v>
      </c>
      <c r="AP67">
        <v>-70.38</v>
      </c>
      <c r="AQ67">
        <v>0</v>
      </c>
      <c r="AR67">
        <v>-30</v>
      </c>
      <c r="AT67">
        <v>-704</v>
      </c>
      <c r="AU67">
        <v>-176</v>
      </c>
      <c r="AV67">
        <v>-44</v>
      </c>
      <c r="AW67">
        <v>-5</v>
      </c>
      <c r="AX67">
        <v>-85.92</v>
      </c>
      <c r="AZ67">
        <v>-5.37</v>
      </c>
      <c r="BB67">
        <v>-773</v>
      </c>
      <c r="BC67">
        <v>7245.44</v>
      </c>
    </row>
    <row r="68" spans="1:55" x14ac:dyDescent="0.15">
      <c r="A68">
        <v>67</v>
      </c>
      <c r="B68" t="s">
        <v>86</v>
      </c>
      <c r="C68" t="s">
        <v>329</v>
      </c>
      <c r="D68">
        <v>176</v>
      </c>
      <c r="H68">
        <v>0</v>
      </c>
      <c r="I68">
        <v>0</v>
      </c>
      <c r="J68">
        <v>0</v>
      </c>
      <c r="K68">
        <v>14.5</v>
      </c>
      <c r="L68">
        <v>22</v>
      </c>
      <c r="M68">
        <v>0</v>
      </c>
      <c r="N68">
        <v>39.43</v>
      </c>
      <c r="O68">
        <v>6860</v>
      </c>
      <c r="U68">
        <v>150</v>
      </c>
      <c r="V68">
        <v>350</v>
      </c>
      <c r="W68">
        <v>250</v>
      </c>
      <c r="Y68">
        <v>0</v>
      </c>
      <c r="AB68">
        <v>0</v>
      </c>
      <c r="AD68">
        <v>2592.52</v>
      </c>
      <c r="AE68">
        <v>200</v>
      </c>
      <c r="AF68">
        <v>0</v>
      </c>
      <c r="AG68">
        <v>0</v>
      </c>
      <c r="AJ68">
        <v>200</v>
      </c>
      <c r="AL68">
        <v>10602.52</v>
      </c>
      <c r="AP68">
        <v>-101.05</v>
      </c>
      <c r="AQ68">
        <v>0</v>
      </c>
      <c r="AR68">
        <v>-30</v>
      </c>
      <c r="AT68">
        <v>-877.2</v>
      </c>
      <c r="AU68">
        <v>-219.3</v>
      </c>
      <c r="AV68">
        <v>-54.83</v>
      </c>
      <c r="AW68">
        <v>-5</v>
      </c>
      <c r="AX68">
        <v>-102.4</v>
      </c>
      <c r="AZ68">
        <v>-6.4</v>
      </c>
      <c r="BB68">
        <v>-969</v>
      </c>
      <c r="BC68">
        <v>8237.34</v>
      </c>
    </row>
    <row r="69" spans="1:55" x14ac:dyDescent="0.15">
      <c r="A69">
        <v>68</v>
      </c>
      <c r="B69" t="s">
        <v>87</v>
      </c>
      <c r="C69" t="s">
        <v>200</v>
      </c>
      <c r="D69">
        <v>176</v>
      </c>
      <c r="H69">
        <v>0</v>
      </c>
      <c r="I69">
        <v>0</v>
      </c>
      <c r="J69">
        <v>0</v>
      </c>
      <c r="K69">
        <v>5</v>
      </c>
      <c r="L69">
        <v>19</v>
      </c>
      <c r="M69">
        <v>0</v>
      </c>
      <c r="N69">
        <v>44.35</v>
      </c>
      <c r="O69">
        <v>7717</v>
      </c>
      <c r="U69">
        <v>150</v>
      </c>
      <c r="V69">
        <v>350</v>
      </c>
      <c r="W69">
        <v>250</v>
      </c>
      <c r="Y69">
        <v>0</v>
      </c>
      <c r="Z69">
        <v>50</v>
      </c>
      <c r="AB69">
        <v>0</v>
      </c>
      <c r="AD69">
        <v>2017.93</v>
      </c>
      <c r="AF69">
        <v>125</v>
      </c>
      <c r="AG69">
        <v>0</v>
      </c>
      <c r="AJ69">
        <v>200</v>
      </c>
      <c r="AL69">
        <v>10859.93</v>
      </c>
      <c r="AP69">
        <v>-11.51</v>
      </c>
      <c r="AQ69">
        <v>0</v>
      </c>
      <c r="AR69">
        <v>-30</v>
      </c>
      <c r="AT69">
        <v>-932.96</v>
      </c>
      <c r="AU69">
        <v>-233.24</v>
      </c>
      <c r="AV69">
        <v>-58.31</v>
      </c>
      <c r="AW69">
        <v>-5</v>
      </c>
      <c r="AX69">
        <v>-103.36</v>
      </c>
      <c r="AZ69">
        <v>-6.46</v>
      </c>
      <c r="BB69">
        <v>-1037</v>
      </c>
      <c r="BC69">
        <v>8442.09</v>
      </c>
    </row>
    <row r="70" spans="1:55" x14ac:dyDescent="0.15">
      <c r="A70">
        <v>69</v>
      </c>
      <c r="B70" t="s">
        <v>88</v>
      </c>
      <c r="C70" t="s">
        <v>200</v>
      </c>
      <c r="D70">
        <v>165</v>
      </c>
      <c r="E70">
        <v>-4.2</v>
      </c>
      <c r="H70">
        <v>8</v>
      </c>
      <c r="I70">
        <v>7</v>
      </c>
      <c r="J70">
        <v>8</v>
      </c>
      <c r="K70">
        <v>33.5</v>
      </c>
      <c r="L70">
        <v>5.5</v>
      </c>
      <c r="M70">
        <v>7.5</v>
      </c>
      <c r="N70">
        <v>21.1</v>
      </c>
      <c r="O70">
        <v>3671</v>
      </c>
      <c r="U70">
        <v>150</v>
      </c>
      <c r="V70">
        <v>350</v>
      </c>
      <c r="W70">
        <v>250</v>
      </c>
      <c r="Y70">
        <v>0</v>
      </c>
      <c r="Z70">
        <v>671</v>
      </c>
      <c r="AB70">
        <v>610</v>
      </c>
      <c r="AC70">
        <v>667.39</v>
      </c>
      <c r="AD70">
        <v>1767.13</v>
      </c>
      <c r="AF70">
        <v>30</v>
      </c>
      <c r="AG70">
        <v>-88.62</v>
      </c>
      <c r="AJ70">
        <v>200</v>
      </c>
      <c r="AL70">
        <v>8277.9</v>
      </c>
      <c r="AP70">
        <v>-46.48</v>
      </c>
      <c r="AQ70">
        <v>0</v>
      </c>
      <c r="AR70">
        <v>-30</v>
      </c>
      <c r="AT70">
        <v>-678.4</v>
      </c>
      <c r="AU70">
        <v>-169.6</v>
      </c>
      <c r="AV70">
        <v>-42.4</v>
      </c>
      <c r="AW70">
        <v>-5</v>
      </c>
      <c r="AX70">
        <v>-78.48</v>
      </c>
      <c r="AZ70">
        <v>-4.9000000000000004</v>
      </c>
      <c r="BB70">
        <v>-750</v>
      </c>
      <c r="BC70">
        <v>6472.64</v>
      </c>
    </row>
    <row r="71" spans="1:55" x14ac:dyDescent="0.15">
      <c r="A71">
        <v>70</v>
      </c>
      <c r="B71" t="s">
        <v>89</v>
      </c>
      <c r="C71" t="s">
        <v>333</v>
      </c>
      <c r="D71">
        <v>176</v>
      </c>
      <c r="H71">
        <v>0</v>
      </c>
      <c r="I71">
        <v>0</v>
      </c>
      <c r="J71">
        <v>0</v>
      </c>
      <c r="K71">
        <v>2.5</v>
      </c>
      <c r="L71">
        <v>20</v>
      </c>
      <c r="M71">
        <v>0</v>
      </c>
      <c r="N71">
        <v>27.01</v>
      </c>
      <c r="O71">
        <v>4700</v>
      </c>
      <c r="U71">
        <v>150</v>
      </c>
      <c r="V71">
        <v>350</v>
      </c>
      <c r="W71">
        <v>250</v>
      </c>
      <c r="Y71">
        <v>0</v>
      </c>
      <c r="AB71">
        <v>0</v>
      </c>
      <c r="AD71">
        <v>1181.69</v>
      </c>
      <c r="AF71">
        <v>0</v>
      </c>
      <c r="AG71">
        <v>0</v>
      </c>
      <c r="AJ71">
        <v>200</v>
      </c>
      <c r="AL71">
        <v>6831.69</v>
      </c>
      <c r="AP71">
        <v>-3.18</v>
      </c>
      <c r="AQ71">
        <v>0</v>
      </c>
      <c r="AR71">
        <v>-30</v>
      </c>
      <c r="AT71">
        <v>-512.16</v>
      </c>
      <c r="AU71">
        <v>-128.04</v>
      </c>
      <c r="AV71">
        <v>-32.01</v>
      </c>
      <c r="AW71">
        <v>-5</v>
      </c>
      <c r="AX71">
        <v>-87.92</v>
      </c>
      <c r="AZ71">
        <v>-5.49</v>
      </c>
      <c r="BB71">
        <v>-531</v>
      </c>
      <c r="BC71">
        <v>5496.89</v>
      </c>
    </row>
    <row r="72" spans="1:55" x14ac:dyDescent="0.15">
      <c r="A72">
        <v>71</v>
      </c>
      <c r="B72" t="s">
        <v>90</v>
      </c>
      <c r="C72" t="s">
        <v>335</v>
      </c>
      <c r="D72">
        <v>176</v>
      </c>
      <c r="H72">
        <v>0</v>
      </c>
      <c r="I72">
        <v>0</v>
      </c>
      <c r="J72">
        <v>0</v>
      </c>
      <c r="K72">
        <v>3.5</v>
      </c>
      <c r="L72">
        <v>24</v>
      </c>
      <c r="M72">
        <v>8</v>
      </c>
      <c r="N72">
        <v>26.23</v>
      </c>
      <c r="O72">
        <v>4564</v>
      </c>
      <c r="U72">
        <v>150</v>
      </c>
      <c r="V72">
        <v>350</v>
      </c>
      <c r="W72">
        <v>250</v>
      </c>
      <c r="Y72">
        <v>0</v>
      </c>
      <c r="Z72">
        <v>530</v>
      </c>
      <c r="AB72">
        <v>0</v>
      </c>
      <c r="AD72">
        <v>2026.27</v>
      </c>
      <c r="AF72">
        <v>0</v>
      </c>
      <c r="AG72">
        <v>0</v>
      </c>
      <c r="AJ72">
        <v>200</v>
      </c>
      <c r="AL72">
        <v>8070.27</v>
      </c>
      <c r="AP72">
        <v>-40.619999999999997</v>
      </c>
      <c r="AQ72">
        <v>0</v>
      </c>
      <c r="AR72">
        <v>-30</v>
      </c>
      <c r="AT72">
        <v>-681.2</v>
      </c>
      <c r="AU72">
        <v>-170.3</v>
      </c>
      <c r="AV72">
        <v>-42.58</v>
      </c>
      <c r="AW72">
        <v>-5</v>
      </c>
      <c r="AX72">
        <v>-184.48</v>
      </c>
      <c r="AZ72">
        <v>-11.53</v>
      </c>
      <c r="BB72">
        <v>-621</v>
      </c>
      <c r="BC72">
        <v>6283.56</v>
      </c>
    </row>
    <row r="73" spans="1:55" x14ac:dyDescent="0.15">
      <c r="A73">
        <v>72</v>
      </c>
      <c r="B73" t="s">
        <v>91</v>
      </c>
      <c r="C73" t="s">
        <v>338</v>
      </c>
      <c r="D73">
        <v>176</v>
      </c>
      <c r="H73">
        <v>0</v>
      </c>
      <c r="I73">
        <v>0</v>
      </c>
      <c r="J73">
        <v>0</v>
      </c>
      <c r="K73">
        <v>6</v>
      </c>
      <c r="L73">
        <v>22</v>
      </c>
      <c r="M73">
        <v>8</v>
      </c>
      <c r="N73">
        <v>26.74</v>
      </c>
      <c r="O73">
        <v>4652</v>
      </c>
      <c r="U73">
        <v>150</v>
      </c>
      <c r="V73">
        <v>350</v>
      </c>
      <c r="W73">
        <v>250</v>
      </c>
      <c r="Y73">
        <v>0</v>
      </c>
      <c r="Z73">
        <v>900</v>
      </c>
      <c r="AB73">
        <v>0</v>
      </c>
      <c r="AD73">
        <v>2058.98</v>
      </c>
      <c r="AF73">
        <v>0</v>
      </c>
      <c r="AG73">
        <v>0</v>
      </c>
      <c r="AJ73">
        <v>200</v>
      </c>
      <c r="AL73">
        <v>8560.98</v>
      </c>
      <c r="AP73">
        <v>-52.24</v>
      </c>
      <c r="AQ73">
        <v>0</v>
      </c>
      <c r="AR73">
        <v>-30</v>
      </c>
      <c r="AT73">
        <v>-713.76</v>
      </c>
      <c r="AU73">
        <v>-178.44</v>
      </c>
      <c r="AV73">
        <v>-44.61</v>
      </c>
      <c r="AW73">
        <v>-5</v>
      </c>
      <c r="AX73">
        <v>-79.680000000000007</v>
      </c>
      <c r="AZ73">
        <v>-4.9800000000000004</v>
      </c>
      <c r="BB73">
        <v>-793</v>
      </c>
      <c r="BC73">
        <v>6659.27</v>
      </c>
    </row>
    <row r="74" spans="1:55" x14ac:dyDescent="0.15">
      <c r="A74">
        <v>73</v>
      </c>
      <c r="B74" t="s">
        <v>92</v>
      </c>
      <c r="C74" t="s">
        <v>341</v>
      </c>
      <c r="D74">
        <v>165</v>
      </c>
      <c r="E74">
        <v>-4.2</v>
      </c>
      <c r="H74">
        <v>8</v>
      </c>
      <c r="I74">
        <v>7</v>
      </c>
      <c r="J74">
        <v>7</v>
      </c>
      <c r="K74">
        <v>32.5</v>
      </c>
      <c r="L74">
        <v>5</v>
      </c>
      <c r="M74">
        <v>7.5</v>
      </c>
      <c r="N74">
        <v>24.71</v>
      </c>
      <c r="O74">
        <v>4300</v>
      </c>
      <c r="U74">
        <v>150</v>
      </c>
      <c r="V74">
        <v>350</v>
      </c>
      <c r="W74">
        <v>250</v>
      </c>
      <c r="Y74">
        <v>0</v>
      </c>
      <c r="Z74">
        <v>610</v>
      </c>
      <c r="AB74">
        <v>570</v>
      </c>
      <c r="AC74">
        <v>781.74</v>
      </c>
      <c r="AD74">
        <v>2007.69</v>
      </c>
      <c r="AF74">
        <v>0</v>
      </c>
      <c r="AG74">
        <v>-103.78</v>
      </c>
      <c r="AJ74">
        <v>200</v>
      </c>
      <c r="AL74">
        <v>9115.65</v>
      </c>
      <c r="AP74">
        <v>-73.42</v>
      </c>
      <c r="AQ74">
        <v>0</v>
      </c>
      <c r="AR74">
        <v>-30</v>
      </c>
      <c r="AT74">
        <v>-653.04</v>
      </c>
      <c r="AU74">
        <v>-163.26</v>
      </c>
      <c r="AV74">
        <v>-40.82</v>
      </c>
      <c r="AW74">
        <v>-5</v>
      </c>
      <c r="AX74">
        <v>-58.4</v>
      </c>
      <c r="AZ74">
        <v>-3.65</v>
      </c>
      <c r="BB74">
        <v>-744</v>
      </c>
      <c r="BC74">
        <v>7344.06</v>
      </c>
    </row>
    <row r="75" spans="1:55" x14ac:dyDescent="0.15">
      <c r="A75">
        <v>74</v>
      </c>
      <c r="B75" t="s">
        <v>93</v>
      </c>
      <c r="C75" t="s">
        <v>346</v>
      </c>
      <c r="D75">
        <v>176</v>
      </c>
      <c r="H75">
        <v>0</v>
      </c>
      <c r="I75">
        <v>0</v>
      </c>
      <c r="J75">
        <v>0</v>
      </c>
      <c r="K75">
        <v>7</v>
      </c>
      <c r="L75">
        <v>26.5</v>
      </c>
      <c r="M75">
        <v>10</v>
      </c>
      <c r="N75">
        <v>20.239999999999998</v>
      </c>
      <c r="O75">
        <v>3522</v>
      </c>
      <c r="U75">
        <v>150</v>
      </c>
      <c r="V75">
        <v>350</v>
      </c>
      <c r="W75">
        <v>250</v>
      </c>
      <c r="Y75">
        <v>0</v>
      </c>
      <c r="Z75">
        <v>655</v>
      </c>
      <c r="AB75">
        <v>0</v>
      </c>
      <c r="AD75">
        <v>1892.44</v>
      </c>
      <c r="AF75">
        <v>0</v>
      </c>
      <c r="AG75">
        <v>0</v>
      </c>
      <c r="AJ75">
        <v>200</v>
      </c>
      <c r="AL75">
        <v>7019.44</v>
      </c>
      <c r="AP75">
        <v>-17.77</v>
      </c>
      <c r="AQ75">
        <v>0</v>
      </c>
      <c r="AR75">
        <v>-30</v>
      </c>
      <c r="AT75">
        <v>-561.20000000000005</v>
      </c>
      <c r="AU75">
        <v>-140.30000000000001</v>
      </c>
      <c r="AV75">
        <v>-35.08</v>
      </c>
      <c r="AW75">
        <v>-5</v>
      </c>
      <c r="AX75">
        <v>-89.04</v>
      </c>
      <c r="AZ75">
        <v>-5.57</v>
      </c>
      <c r="BB75">
        <v>-591</v>
      </c>
      <c r="BC75">
        <v>5544.48</v>
      </c>
    </row>
    <row r="76" spans="1:55" x14ac:dyDescent="0.15">
      <c r="A76">
        <v>75</v>
      </c>
      <c r="B76" t="s">
        <v>94</v>
      </c>
      <c r="C76" t="s">
        <v>349</v>
      </c>
      <c r="D76">
        <v>180</v>
      </c>
      <c r="E76">
        <v>-3.6</v>
      </c>
      <c r="H76">
        <v>9</v>
      </c>
      <c r="I76">
        <v>8</v>
      </c>
      <c r="J76">
        <v>7</v>
      </c>
      <c r="K76">
        <v>36.5</v>
      </c>
      <c r="L76">
        <v>4</v>
      </c>
      <c r="M76">
        <v>0</v>
      </c>
      <c r="N76">
        <v>19.829999999999998</v>
      </c>
      <c r="O76">
        <v>3451</v>
      </c>
      <c r="U76">
        <v>150</v>
      </c>
      <c r="V76">
        <v>350</v>
      </c>
      <c r="W76">
        <v>250</v>
      </c>
      <c r="Y76">
        <v>0</v>
      </c>
      <c r="Z76">
        <v>720</v>
      </c>
      <c r="AB76">
        <v>610</v>
      </c>
      <c r="AC76">
        <v>627.39</v>
      </c>
      <c r="AD76">
        <v>1244.33</v>
      </c>
      <c r="AF76">
        <v>0</v>
      </c>
      <c r="AG76">
        <v>-71.39</v>
      </c>
      <c r="AJ76">
        <v>200</v>
      </c>
      <c r="AL76">
        <v>7531.33</v>
      </c>
      <c r="AP76">
        <v>0</v>
      </c>
      <c r="AQ76">
        <v>0</v>
      </c>
      <c r="AR76">
        <v>-30</v>
      </c>
      <c r="AT76">
        <v>-657.6</v>
      </c>
      <c r="AU76">
        <v>-164.4</v>
      </c>
      <c r="AV76">
        <v>-41.1</v>
      </c>
      <c r="AW76">
        <v>-5</v>
      </c>
      <c r="AX76">
        <v>-113.6</v>
      </c>
      <c r="AZ76">
        <v>-7.1</v>
      </c>
      <c r="BB76">
        <v>-680</v>
      </c>
      <c r="BC76">
        <v>5832.53</v>
      </c>
    </row>
    <row r="77" spans="1:55" x14ac:dyDescent="0.15">
      <c r="A77">
        <v>76</v>
      </c>
      <c r="B77" t="s">
        <v>95</v>
      </c>
      <c r="C77" t="s">
        <v>354</v>
      </c>
      <c r="D77">
        <v>172.5</v>
      </c>
      <c r="E77">
        <v>-1.7</v>
      </c>
      <c r="H77">
        <v>3.5</v>
      </c>
      <c r="I77">
        <v>8</v>
      </c>
      <c r="J77">
        <v>7.5</v>
      </c>
      <c r="K77">
        <v>34.5</v>
      </c>
      <c r="L77">
        <v>4</v>
      </c>
      <c r="M77">
        <v>0</v>
      </c>
      <c r="N77">
        <v>19.829999999999998</v>
      </c>
      <c r="O77">
        <v>3451</v>
      </c>
      <c r="U77">
        <v>150</v>
      </c>
      <c r="V77">
        <v>350</v>
      </c>
      <c r="W77">
        <v>250</v>
      </c>
      <c r="Y77">
        <v>0</v>
      </c>
      <c r="Z77">
        <v>950</v>
      </c>
      <c r="AB77">
        <v>575</v>
      </c>
      <c r="AC77">
        <v>627.39</v>
      </c>
      <c r="AD77">
        <v>1184.8399999999999</v>
      </c>
      <c r="AF77">
        <v>50</v>
      </c>
      <c r="AG77">
        <v>-33.71</v>
      </c>
      <c r="AJ77">
        <v>200</v>
      </c>
      <c r="AL77">
        <v>7754.52</v>
      </c>
      <c r="AP77">
        <v>-32.39</v>
      </c>
      <c r="AQ77">
        <v>0</v>
      </c>
      <c r="AR77">
        <v>-30</v>
      </c>
      <c r="AT77">
        <v>-662.4</v>
      </c>
      <c r="AU77">
        <v>-165.6</v>
      </c>
      <c r="AV77">
        <v>-41.4</v>
      </c>
      <c r="AW77">
        <v>-5</v>
      </c>
      <c r="AX77">
        <v>-147.36000000000001</v>
      </c>
      <c r="AZ77">
        <v>-9.2100000000000009</v>
      </c>
      <c r="BB77">
        <v>-644</v>
      </c>
      <c r="BC77">
        <v>6017.16</v>
      </c>
    </row>
    <row r="78" spans="1:55" x14ac:dyDescent="0.15">
      <c r="A78">
        <v>77</v>
      </c>
      <c r="B78" t="s">
        <v>96</v>
      </c>
      <c r="C78" t="s">
        <v>355</v>
      </c>
      <c r="D78">
        <v>180</v>
      </c>
      <c r="E78">
        <v>-3.6</v>
      </c>
      <c r="H78">
        <v>8</v>
      </c>
      <c r="I78">
        <v>8</v>
      </c>
      <c r="J78">
        <v>8</v>
      </c>
      <c r="K78">
        <v>42</v>
      </c>
      <c r="L78">
        <v>4</v>
      </c>
      <c r="M78">
        <v>0</v>
      </c>
      <c r="N78">
        <v>19.78</v>
      </c>
      <c r="O78">
        <v>3442</v>
      </c>
      <c r="U78">
        <v>150</v>
      </c>
      <c r="V78">
        <v>350</v>
      </c>
      <c r="W78">
        <v>250</v>
      </c>
      <c r="Y78">
        <v>0</v>
      </c>
      <c r="Z78">
        <v>660</v>
      </c>
      <c r="AB78">
        <v>640</v>
      </c>
      <c r="AC78">
        <v>625.76</v>
      </c>
      <c r="AD78">
        <v>1404.38</v>
      </c>
      <c r="AF78">
        <v>0</v>
      </c>
      <c r="AG78">
        <v>-71.209999999999994</v>
      </c>
      <c r="AJ78">
        <v>200</v>
      </c>
      <c r="AL78">
        <v>7650.93</v>
      </c>
      <c r="AP78">
        <v>-29.33</v>
      </c>
      <c r="AQ78">
        <v>0</v>
      </c>
      <c r="AR78">
        <v>-30</v>
      </c>
      <c r="AT78">
        <v>-673.84</v>
      </c>
      <c r="AU78">
        <v>-168.46</v>
      </c>
      <c r="AV78">
        <v>-42.12</v>
      </c>
      <c r="AW78">
        <v>-5</v>
      </c>
      <c r="AX78">
        <v>-314.32</v>
      </c>
      <c r="AZ78">
        <v>-19.649999999999999</v>
      </c>
      <c r="BB78">
        <v>-450</v>
      </c>
      <c r="BC78">
        <v>5918.21</v>
      </c>
    </row>
    <row r="79" spans="1:55" x14ac:dyDescent="0.15">
      <c r="A79">
        <v>78</v>
      </c>
      <c r="B79" t="s">
        <v>97</v>
      </c>
      <c r="C79" t="s">
        <v>357</v>
      </c>
      <c r="D79">
        <v>176</v>
      </c>
      <c r="H79">
        <v>0</v>
      </c>
      <c r="I79">
        <v>0</v>
      </c>
      <c r="J79">
        <v>0</v>
      </c>
      <c r="K79">
        <v>7</v>
      </c>
      <c r="L79">
        <v>35</v>
      </c>
      <c r="M79">
        <v>0</v>
      </c>
      <c r="N79">
        <v>19.37</v>
      </c>
      <c r="O79">
        <v>3371</v>
      </c>
      <c r="U79">
        <v>150</v>
      </c>
      <c r="V79">
        <v>350</v>
      </c>
      <c r="W79">
        <v>250</v>
      </c>
      <c r="Y79">
        <v>0</v>
      </c>
      <c r="Z79">
        <v>520</v>
      </c>
      <c r="AB79">
        <v>0</v>
      </c>
      <c r="AD79">
        <v>1559.29</v>
      </c>
      <c r="AF79">
        <v>0</v>
      </c>
      <c r="AG79">
        <v>0</v>
      </c>
      <c r="AJ79">
        <v>200</v>
      </c>
      <c r="AL79">
        <v>6400.29</v>
      </c>
      <c r="AP79">
        <v>-3.51</v>
      </c>
      <c r="AQ79">
        <v>0</v>
      </c>
      <c r="AR79">
        <v>-30</v>
      </c>
      <c r="AT79">
        <v>-520.08000000000004</v>
      </c>
      <c r="AU79">
        <v>-130.02000000000001</v>
      </c>
      <c r="AV79">
        <v>-32.51</v>
      </c>
      <c r="AW79">
        <v>-5</v>
      </c>
      <c r="AX79">
        <v>-160.56</v>
      </c>
      <c r="AZ79">
        <v>-10.039999999999999</v>
      </c>
      <c r="BB79">
        <v>-425</v>
      </c>
      <c r="BC79">
        <v>5083.57</v>
      </c>
    </row>
    <row r="80" spans="1:55" x14ac:dyDescent="0.15">
      <c r="A80">
        <v>79</v>
      </c>
      <c r="B80" t="s">
        <v>98</v>
      </c>
      <c r="C80" t="s">
        <v>357</v>
      </c>
      <c r="D80">
        <v>165</v>
      </c>
      <c r="E80">
        <v>-4.2</v>
      </c>
      <c r="H80">
        <v>8</v>
      </c>
      <c r="I80">
        <v>8</v>
      </c>
      <c r="J80">
        <v>8</v>
      </c>
      <c r="K80">
        <v>32</v>
      </c>
      <c r="L80">
        <v>4</v>
      </c>
      <c r="M80">
        <v>11</v>
      </c>
      <c r="N80">
        <v>19.37</v>
      </c>
      <c r="O80">
        <v>3371</v>
      </c>
      <c r="U80">
        <v>150</v>
      </c>
      <c r="V80">
        <v>350</v>
      </c>
      <c r="W80">
        <v>250</v>
      </c>
      <c r="Y80">
        <v>0</v>
      </c>
      <c r="Z80">
        <v>560</v>
      </c>
      <c r="AB80">
        <v>640</v>
      </c>
      <c r="AC80">
        <v>612.85</v>
      </c>
      <c r="AD80">
        <v>1723.93</v>
      </c>
      <c r="AF80">
        <v>30</v>
      </c>
      <c r="AG80">
        <v>-81.349999999999994</v>
      </c>
      <c r="AJ80">
        <v>200</v>
      </c>
      <c r="AL80">
        <v>7806.43</v>
      </c>
      <c r="AP80">
        <v>-36.68</v>
      </c>
      <c r="AQ80">
        <v>0</v>
      </c>
      <c r="AR80">
        <v>-30</v>
      </c>
      <c r="AT80">
        <v>-646.55999999999995</v>
      </c>
      <c r="AU80">
        <v>-161.63999999999999</v>
      </c>
      <c r="AV80">
        <v>-40.409999999999997</v>
      </c>
      <c r="AW80">
        <v>-5</v>
      </c>
      <c r="AX80">
        <v>-287.04000000000002</v>
      </c>
      <c r="AZ80">
        <v>-17.940000000000001</v>
      </c>
      <c r="BB80">
        <v>-425</v>
      </c>
      <c r="BC80">
        <v>6156.16</v>
      </c>
    </row>
    <row r="81" spans="1:55" x14ac:dyDescent="0.15">
      <c r="A81">
        <v>80</v>
      </c>
      <c r="B81" t="s">
        <v>99</v>
      </c>
      <c r="C81" t="s">
        <v>359</v>
      </c>
      <c r="D81">
        <v>176</v>
      </c>
      <c r="H81">
        <v>0</v>
      </c>
      <c r="I81">
        <v>0</v>
      </c>
      <c r="J81">
        <v>0</v>
      </c>
      <c r="K81">
        <v>6</v>
      </c>
      <c r="L81">
        <v>31</v>
      </c>
      <c r="M81">
        <v>8</v>
      </c>
      <c r="N81">
        <v>18.45</v>
      </c>
      <c r="O81">
        <v>3211</v>
      </c>
      <c r="U81">
        <v>150</v>
      </c>
      <c r="V81">
        <v>350</v>
      </c>
      <c r="W81">
        <v>250</v>
      </c>
      <c r="Y81">
        <v>0</v>
      </c>
      <c r="Z81">
        <v>575</v>
      </c>
      <c r="AB81">
        <v>0</v>
      </c>
      <c r="AD81">
        <v>1752.75</v>
      </c>
      <c r="AF81">
        <v>0</v>
      </c>
      <c r="AG81">
        <v>0</v>
      </c>
      <c r="AJ81">
        <v>200</v>
      </c>
      <c r="AL81">
        <v>6488.75</v>
      </c>
      <c r="AP81">
        <v>-1.28</v>
      </c>
      <c r="AQ81">
        <v>0</v>
      </c>
      <c r="AR81">
        <v>-30</v>
      </c>
      <c r="AT81">
        <v>-480.24</v>
      </c>
      <c r="AU81">
        <v>-120.06</v>
      </c>
      <c r="AV81">
        <v>-30.02</v>
      </c>
      <c r="AW81">
        <v>-5</v>
      </c>
      <c r="AX81">
        <v>-120.72</v>
      </c>
      <c r="AZ81">
        <v>-7.55</v>
      </c>
      <c r="BB81">
        <v>-425</v>
      </c>
      <c r="BC81">
        <v>5268.88</v>
      </c>
    </row>
    <row r="82" spans="1:55" x14ac:dyDescent="0.15">
      <c r="A82">
        <v>81</v>
      </c>
      <c r="B82" t="s">
        <v>100</v>
      </c>
      <c r="C82" t="s">
        <v>359</v>
      </c>
      <c r="D82">
        <v>165</v>
      </c>
      <c r="E82">
        <v>-4.2</v>
      </c>
      <c r="H82">
        <v>8.5</v>
      </c>
      <c r="I82">
        <v>7</v>
      </c>
      <c r="J82">
        <v>8</v>
      </c>
      <c r="K82">
        <v>39</v>
      </c>
      <c r="L82">
        <v>7</v>
      </c>
      <c r="M82">
        <v>7.5</v>
      </c>
      <c r="N82">
        <v>18.86</v>
      </c>
      <c r="O82">
        <v>3282</v>
      </c>
      <c r="U82">
        <v>150</v>
      </c>
      <c r="V82">
        <v>350</v>
      </c>
      <c r="W82">
        <v>250</v>
      </c>
      <c r="Y82">
        <v>0</v>
      </c>
      <c r="Z82">
        <v>670</v>
      </c>
      <c r="AB82">
        <v>615</v>
      </c>
      <c r="AC82">
        <v>596.66999999999996</v>
      </c>
      <c r="AD82">
        <v>1791.7</v>
      </c>
      <c r="AF82">
        <v>0</v>
      </c>
      <c r="AG82">
        <v>-79.209999999999994</v>
      </c>
      <c r="AJ82">
        <v>200</v>
      </c>
      <c r="AL82">
        <v>7826.16</v>
      </c>
      <c r="AP82">
        <v>-41.12</v>
      </c>
      <c r="AQ82">
        <v>0</v>
      </c>
      <c r="AR82">
        <v>-30</v>
      </c>
      <c r="AT82">
        <v>-592.64</v>
      </c>
      <c r="AU82">
        <v>-148.16</v>
      </c>
      <c r="AV82">
        <v>-37.04</v>
      </c>
      <c r="AW82">
        <v>-5</v>
      </c>
      <c r="AX82">
        <v>-233.12</v>
      </c>
      <c r="AZ82">
        <v>-14.57</v>
      </c>
      <c r="BB82">
        <v>-425</v>
      </c>
      <c r="BC82">
        <v>6299.51</v>
      </c>
    </row>
    <row r="83" spans="1:55" x14ac:dyDescent="0.15">
      <c r="A83">
        <v>82</v>
      </c>
      <c r="B83" t="s">
        <v>101</v>
      </c>
      <c r="C83" t="s">
        <v>363</v>
      </c>
      <c r="D83">
        <v>176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30.21</v>
      </c>
      <c r="O83">
        <v>5257</v>
      </c>
      <c r="U83">
        <v>150</v>
      </c>
      <c r="V83">
        <v>350</v>
      </c>
      <c r="W83">
        <v>250</v>
      </c>
      <c r="Y83">
        <v>0</v>
      </c>
      <c r="AB83">
        <v>0</v>
      </c>
      <c r="AD83">
        <v>45.32</v>
      </c>
      <c r="AF83">
        <v>0</v>
      </c>
      <c r="AG83">
        <v>0</v>
      </c>
      <c r="AJ83">
        <v>200</v>
      </c>
      <c r="AL83">
        <v>6252.32</v>
      </c>
      <c r="AP83">
        <v>0</v>
      </c>
      <c r="AQ83">
        <v>0</v>
      </c>
      <c r="AR83">
        <v>-30</v>
      </c>
      <c r="AT83">
        <v>-536.16</v>
      </c>
      <c r="AU83">
        <v>-134.04</v>
      </c>
      <c r="AV83">
        <v>-33.51</v>
      </c>
      <c r="AW83">
        <v>-5</v>
      </c>
      <c r="AX83">
        <v>-120.48</v>
      </c>
      <c r="AZ83">
        <v>-7.53</v>
      </c>
      <c r="BB83">
        <v>-520</v>
      </c>
      <c r="BC83">
        <v>4865.6000000000004</v>
      </c>
    </row>
    <row r="84" spans="1:55" x14ac:dyDescent="0.15">
      <c r="A84">
        <v>83</v>
      </c>
      <c r="B84" t="s">
        <v>102</v>
      </c>
      <c r="C84" t="s">
        <v>363</v>
      </c>
      <c r="D84">
        <v>176</v>
      </c>
      <c r="H84">
        <v>0</v>
      </c>
      <c r="I84">
        <v>0</v>
      </c>
      <c r="J84">
        <v>0</v>
      </c>
      <c r="K84">
        <v>10.5</v>
      </c>
      <c r="L84">
        <v>8</v>
      </c>
      <c r="M84">
        <v>0</v>
      </c>
      <c r="N84">
        <v>23.36</v>
      </c>
      <c r="O84">
        <v>4064</v>
      </c>
      <c r="U84">
        <v>150</v>
      </c>
      <c r="V84">
        <v>350</v>
      </c>
      <c r="W84">
        <v>250</v>
      </c>
      <c r="Y84">
        <v>0</v>
      </c>
      <c r="AB84">
        <v>0</v>
      </c>
      <c r="AD84">
        <v>741.68</v>
      </c>
      <c r="AF84">
        <v>0</v>
      </c>
      <c r="AG84">
        <v>0</v>
      </c>
      <c r="AJ84">
        <v>200</v>
      </c>
      <c r="AL84">
        <v>5755.68</v>
      </c>
      <c r="AP84">
        <v>0</v>
      </c>
      <c r="AQ84">
        <v>0</v>
      </c>
      <c r="AR84">
        <v>-30</v>
      </c>
      <c r="AT84">
        <v>-438.96</v>
      </c>
      <c r="AU84">
        <v>-109.74</v>
      </c>
      <c r="AV84">
        <v>-27.44</v>
      </c>
      <c r="AW84">
        <v>-5</v>
      </c>
      <c r="AX84">
        <v>-79.44</v>
      </c>
      <c r="AZ84">
        <v>-4.97</v>
      </c>
      <c r="BB84">
        <v>-425</v>
      </c>
      <c r="BC84">
        <v>4635.13</v>
      </c>
    </row>
    <row r="85" spans="1:55" x14ac:dyDescent="0.15">
      <c r="A85">
        <v>84</v>
      </c>
      <c r="B85" t="s">
        <v>103</v>
      </c>
      <c r="C85" t="s">
        <v>363</v>
      </c>
      <c r="D85">
        <v>172.5</v>
      </c>
      <c r="E85">
        <v>-1.7</v>
      </c>
      <c r="H85">
        <v>8.5</v>
      </c>
      <c r="I85">
        <v>8.5</v>
      </c>
      <c r="J85">
        <v>7</v>
      </c>
      <c r="K85">
        <v>36.5</v>
      </c>
      <c r="L85">
        <v>2.5</v>
      </c>
      <c r="M85">
        <v>0</v>
      </c>
      <c r="N85">
        <v>18.45</v>
      </c>
      <c r="O85">
        <v>3211</v>
      </c>
      <c r="U85">
        <v>150</v>
      </c>
      <c r="V85">
        <v>350</v>
      </c>
      <c r="W85">
        <v>250</v>
      </c>
      <c r="Y85">
        <v>0</v>
      </c>
      <c r="Z85">
        <v>950</v>
      </c>
      <c r="AB85">
        <v>620</v>
      </c>
      <c r="AC85">
        <v>583.76</v>
      </c>
      <c r="AD85">
        <v>1102.3900000000001</v>
      </c>
      <c r="AF85">
        <v>30</v>
      </c>
      <c r="AG85">
        <v>-31.37</v>
      </c>
      <c r="AJ85">
        <v>200</v>
      </c>
      <c r="AL85">
        <v>7415.78</v>
      </c>
      <c r="AP85">
        <v>-28.93</v>
      </c>
      <c r="AQ85">
        <v>0</v>
      </c>
      <c r="AR85">
        <v>-30</v>
      </c>
      <c r="AT85">
        <v>-590.96</v>
      </c>
      <c r="AU85">
        <v>-147.74</v>
      </c>
      <c r="AV85">
        <v>-36.94</v>
      </c>
      <c r="AW85">
        <v>-5</v>
      </c>
      <c r="AX85">
        <v>-231.44</v>
      </c>
      <c r="AZ85">
        <v>-14.47</v>
      </c>
      <c r="BB85">
        <v>-425</v>
      </c>
      <c r="BC85">
        <v>5905.3</v>
      </c>
    </row>
    <row r="86" spans="1:55" x14ac:dyDescent="0.15">
      <c r="A86">
        <v>85</v>
      </c>
      <c r="B86" t="s">
        <v>104</v>
      </c>
      <c r="C86" t="s">
        <v>367</v>
      </c>
      <c r="D86">
        <v>180</v>
      </c>
      <c r="E86">
        <v>-3.6</v>
      </c>
      <c r="H86">
        <v>8</v>
      </c>
      <c r="I86">
        <v>6.5</v>
      </c>
      <c r="J86">
        <v>8</v>
      </c>
      <c r="K86">
        <v>35</v>
      </c>
      <c r="L86">
        <v>3</v>
      </c>
      <c r="M86">
        <v>0</v>
      </c>
      <c r="N86">
        <v>18.45</v>
      </c>
      <c r="O86">
        <v>3211</v>
      </c>
      <c r="U86">
        <v>150</v>
      </c>
      <c r="V86">
        <v>350</v>
      </c>
      <c r="W86">
        <v>250</v>
      </c>
      <c r="Y86">
        <v>0</v>
      </c>
      <c r="Z86">
        <v>720</v>
      </c>
      <c r="AB86">
        <v>595</v>
      </c>
      <c r="AC86">
        <v>583.76</v>
      </c>
      <c r="AD86">
        <v>1079.33</v>
      </c>
      <c r="AF86">
        <v>0</v>
      </c>
      <c r="AG86">
        <v>-66.42</v>
      </c>
      <c r="AJ86">
        <v>200</v>
      </c>
      <c r="AL86">
        <v>7072.67</v>
      </c>
      <c r="AP86">
        <v>-17.739999999999998</v>
      </c>
      <c r="AQ86">
        <v>0</v>
      </c>
      <c r="AR86">
        <v>-30</v>
      </c>
      <c r="AT86">
        <v>-603.52</v>
      </c>
      <c r="AU86">
        <v>-150.88</v>
      </c>
      <c r="AV86">
        <v>-37.72</v>
      </c>
      <c r="AW86">
        <v>-5</v>
      </c>
      <c r="AX86">
        <v>-244</v>
      </c>
      <c r="AZ86">
        <v>-15.25</v>
      </c>
      <c r="BB86">
        <v>-425</v>
      </c>
      <c r="BC86">
        <v>5543.56</v>
      </c>
    </row>
    <row r="87" spans="1:55" x14ac:dyDescent="0.15">
      <c r="A87">
        <v>86</v>
      </c>
      <c r="B87" t="s">
        <v>105</v>
      </c>
      <c r="C87" t="s">
        <v>327</v>
      </c>
      <c r="D87">
        <v>176</v>
      </c>
      <c r="H87">
        <v>0</v>
      </c>
      <c r="I87">
        <v>0</v>
      </c>
      <c r="J87">
        <v>0</v>
      </c>
      <c r="K87">
        <v>3.5</v>
      </c>
      <c r="L87">
        <v>2</v>
      </c>
      <c r="M87">
        <v>0</v>
      </c>
      <c r="N87">
        <v>31.59</v>
      </c>
      <c r="O87">
        <v>5497</v>
      </c>
      <c r="U87">
        <v>150</v>
      </c>
      <c r="V87">
        <v>350</v>
      </c>
      <c r="W87">
        <v>250</v>
      </c>
      <c r="Y87">
        <v>0</v>
      </c>
      <c r="AB87">
        <v>0</v>
      </c>
      <c r="AD87">
        <v>292.20999999999998</v>
      </c>
      <c r="AE87">
        <v>100</v>
      </c>
      <c r="AF87">
        <v>0</v>
      </c>
      <c r="AG87">
        <v>0</v>
      </c>
      <c r="AJ87">
        <v>200</v>
      </c>
      <c r="AL87">
        <v>6839.21</v>
      </c>
      <c r="AP87">
        <v>-9.2799999999999994</v>
      </c>
      <c r="AQ87">
        <v>0</v>
      </c>
      <c r="AR87">
        <v>-30</v>
      </c>
      <c r="AT87">
        <v>-606.88</v>
      </c>
      <c r="AU87">
        <v>-151.72</v>
      </c>
      <c r="AV87">
        <v>-37.93</v>
      </c>
      <c r="AW87">
        <v>-5</v>
      </c>
      <c r="AX87">
        <v>-165.92</v>
      </c>
      <c r="AZ87">
        <v>-10.37</v>
      </c>
      <c r="BB87">
        <v>-552</v>
      </c>
      <c r="BC87">
        <v>5270.11</v>
      </c>
    </row>
    <row r="88" spans="1:55" x14ac:dyDescent="0.15">
      <c r="A88">
        <v>87</v>
      </c>
      <c r="B88" t="s">
        <v>106</v>
      </c>
      <c r="C88" t="s">
        <v>327</v>
      </c>
      <c r="D88">
        <v>165</v>
      </c>
      <c r="E88">
        <v>-4.2</v>
      </c>
      <c r="H88">
        <v>5</v>
      </c>
      <c r="I88">
        <v>8</v>
      </c>
      <c r="J88">
        <v>8</v>
      </c>
      <c r="K88">
        <v>17.5</v>
      </c>
      <c r="L88">
        <v>5</v>
      </c>
      <c r="M88">
        <v>11</v>
      </c>
      <c r="N88">
        <v>18.86</v>
      </c>
      <c r="O88">
        <v>3282</v>
      </c>
      <c r="U88">
        <v>150</v>
      </c>
      <c r="V88">
        <v>350</v>
      </c>
      <c r="W88">
        <v>250</v>
      </c>
      <c r="Y88">
        <v>0</v>
      </c>
      <c r="Z88">
        <v>690</v>
      </c>
      <c r="AB88">
        <v>610</v>
      </c>
      <c r="AC88">
        <v>596.66999999999996</v>
      </c>
      <c r="AD88">
        <v>1306.06</v>
      </c>
      <c r="AE88">
        <v>300</v>
      </c>
      <c r="AF88">
        <v>0</v>
      </c>
      <c r="AG88">
        <v>-79.209999999999994</v>
      </c>
      <c r="AJ88">
        <v>200</v>
      </c>
      <c r="AL88">
        <v>7655.52</v>
      </c>
      <c r="AP88">
        <v>-35.35</v>
      </c>
      <c r="AQ88">
        <v>0</v>
      </c>
      <c r="AR88">
        <v>-30</v>
      </c>
      <c r="AT88">
        <v>-601.67999999999995</v>
      </c>
      <c r="AU88">
        <v>-150.41999999999999</v>
      </c>
      <c r="AV88">
        <v>-37.61</v>
      </c>
      <c r="AW88">
        <v>-5</v>
      </c>
      <c r="AX88">
        <v>-242.16</v>
      </c>
      <c r="AZ88">
        <v>-15.14</v>
      </c>
      <c r="BB88">
        <v>-425</v>
      </c>
      <c r="BC88">
        <v>6113.16</v>
      </c>
    </row>
    <row r="89" spans="1:55" x14ac:dyDescent="0.15">
      <c r="A89">
        <v>88</v>
      </c>
      <c r="B89" t="s">
        <v>107</v>
      </c>
      <c r="C89" t="s">
        <v>373</v>
      </c>
      <c r="D89">
        <v>172.5</v>
      </c>
      <c r="E89">
        <v>-1.7</v>
      </c>
      <c r="H89">
        <v>8</v>
      </c>
      <c r="I89">
        <v>8</v>
      </c>
      <c r="J89">
        <v>7</v>
      </c>
      <c r="K89">
        <v>42</v>
      </c>
      <c r="L89">
        <v>4</v>
      </c>
      <c r="M89">
        <v>0</v>
      </c>
      <c r="N89">
        <v>18.45</v>
      </c>
      <c r="O89">
        <v>3211</v>
      </c>
      <c r="U89">
        <v>150</v>
      </c>
      <c r="V89">
        <v>350</v>
      </c>
      <c r="W89">
        <v>250</v>
      </c>
      <c r="Y89">
        <v>0</v>
      </c>
      <c r="Z89">
        <v>920</v>
      </c>
      <c r="AB89">
        <v>600</v>
      </c>
      <c r="AC89">
        <v>583.76</v>
      </c>
      <c r="AD89">
        <v>1309.95</v>
      </c>
      <c r="AF89">
        <v>0</v>
      </c>
      <c r="AG89">
        <v>-31.37</v>
      </c>
      <c r="AJ89">
        <v>200</v>
      </c>
      <c r="AL89">
        <v>7543.34</v>
      </c>
      <c r="AP89">
        <v>-35.340000000000003</v>
      </c>
      <c r="AQ89">
        <v>0</v>
      </c>
      <c r="AR89">
        <v>-30</v>
      </c>
      <c r="AT89">
        <v>-554.55999999999995</v>
      </c>
      <c r="AU89">
        <v>-138.63999999999999</v>
      </c>
      <c r="AV89">
        <v>-34.659999999999997</v>
      </c>
      <c r="AW89">
        <v>-5</v>
      </c>
      <c r="AX89">
        <v>-195.04</v>
      </c>
      <c r="AZ89">
        <v>-12.19</v>
      </c>
      <c r="BB89">
        <v>-425</v>
      </c>
      <c r="BC89">
        <v>6112.91</v>
      </c>
    </row>
    <row r="90" spans="1:55" x14ac:dyDescent="0.15">
      <c r="A90">
        <v>89</v>
      </c>
      <c r="B90" t="s">
        <v>108</v>
      </c>
      <c r="C90" t="s">
        <v>375</v>
      </c>
      <c r="D90">
        <v>176</v>
      </c>
      <c r="H90">
        <v>0</v>
      </c>
      <c r="I90">
        <v>0</v>
      </c>
      <c r="J90">
        <v>0</v>
      </c>
      <c r="K90">
        <v>14.5</v>
      </c>
      <c r="L90">
        <v>10</v>
      </c>
      <c r="M90">
        <v>0</v>
      </c>
      <c r="N90">
        <v>44.8</v>
      </c>
      <c r="O90">
        <v>7796</v>
      </c>
      <c r="U90">
        <v>150</v>
      </c>
      <c r="V90">
        <v>350</v>
      </c>
      <c r="W90">
        <v>250</v>
      </c>
      <c r="Y90">
        <v>0</v>
      </c>
      <c r="AB90">
        <v>0</v>
      </c>
      <c r="AD90">
        <v>1870.4</v>
      </c>
      <c r="AE90">
        <v>300</v>
      </c>
      <c r="AF90">
        <v>0</v>
      </c>
      <c r="AG90">
        <v>0</v>
      </c>
      <c r="AJ90">
        <v>200</v>
      </c>
      <c r="AL90">
        <v>10916.4</v>
      </c>
      <c r="AP90">
        <v>-114.86</v>
      </c>
      <c r="AQ90">
        <v>0</v>
      </c>
      <c r="AR90">
        <v>-30</v>
      </c>
      <c r="AT90">
        <v>-828.32</v>
      </c>
      <c r="AU90">
        <v>-207.08</v>
      </c>
      <c r="AV90">
        <v>-51.77</v>
      </c>
      <c r="AW90">
        <v>-5</v>
      </c>
      <c r="AX90">
        <v>-211.52</v>
      </c>
      <c r="AZ90">
        <v>-13.22</v>
      </c>
      <c r="BB90">
        <v>-771</v>
      </c>
      <c r="BC90">
        <v>8683.6299999999992</v>
      </c>
    </row>
    <row r="91" spans="1:55" x14ac:dyDescent="0.15">
      <c r="A91">
        <v>90</v>
      </c>
      <c r="B91" t="s">
        <v>109</v>
      </c>
      <c r="C91" t="s">
        <v>375</v>
      </c>
      <c r="D91">
        <v>176</v>
      </c>
      <c r="H91">
        <v>0</v>
      </c>
      <c r="I91">
        <v>0</v>
      </c>
      <c r="J91">
        <v>0</v>
      </c>
      <c r="K91">
        <v>11</v>
      </c>
      <c r="L91">
        <v>30</v>
      </c>
      <c r="M91">
        <v>10</v>
      </c>
      <c r="N91">
        <v>18.45</v>
      </c>
      <c r="O91">
        <v>3211</v>
      </c>
      <c r="U91">
        <v>150</v>
      </c>
      <c r="V91">
        <v>350</v>
      </c>
      <c r="W91">
        <v>250</v>
      </c>
      <c r="Y91">
        <v>0</v>
      </c>
      <c r="Z91">
        <v>370</v>
      </c>
      <c r="AB91">
        <v>0</v>
      </c>
      <c r="AD91">
        <v>1964.93</v>
      </c>
      <c r="AF91">
        <v>0</v>
      </c>
      <c r="AG91">
        <v>0</v>
      </c>
      <c r="AJ91">
        <v>200</v>
      </c>
      <c r="AL91">
        <v>6495.93</v>
      </c>
      <c r="AP91">
        <v>0</v>
      </c>
      <c r="AQ91">
        <v>0</v>
      </c>
      <c r="AR91">
        <v>-30</v>
      </c>
      <c r="AT91">
        <v>-418.64</v>
      </c>
      <c r="AU91">
        <v>-104.66</v>
      </c>
      <c r="AV91">
        <v>-26.17</v>
      </c>
      <c r="AW91">
        <v>-5</v>
      </c>
      <c r="AX91">
        <v>-59.12</v>
      </c>
      <c r="AZ91">
        <v>-3.7</v>
      </c>
      <c r="BB91">
        <v>-425</v>
      </c>
      <c r="BC91">
        <v>5423.64</v>
      </c>
    </row>
    <row r="92" spans="1:55" x14ac:dyDescent="0.15">
      <c r="A92">
        <v>91</v>
      </c>
      <c r="B92" t="s">
        <v>110</v>
      </c>
      <c r="C92" t="s">
        <v>378</v>
      </c>
      <c r="D92">
        <v>165</v>
      </c>
      <c r="E92">
        <v>-4.2</v>
      </c>
      <c r="H92">
        <v>8</v>
      </c>
      <c r="I92">
        <v>8</v>
      </c>
      <c r="J92">
        <v>8</v>
      </c>
      <c r="K92">
        <v>33.5</v>
      </c>
      <c r="L92">
        <v>5.5</v>
      </c>
      <c r="M92">
        <v>7.5</v>
      </c>
      <c r="N92">
        <v>18.45</v>
      </c>
      <c r="O92">
        <v>3211</v>
      </c>
      <c r="U92">
        <v>150</v>
      </c>
      <c r="V92">
        <v>350</v>
      </c>
      <c r="W92">
        <v>250</v>
      </c>
      <c r="Y92">
        <v>0</v>
      </c>
      <c r="Z92">
        <v>610</v>
      </c>
      <c r="AB92">
        <v>640</v>
      </c>
      <c r="AC92">
        <v>583.76</v>
      </c>
      <c r="AD92">
        <v>1545.19</v>
      </c>
      <c r="AF92">
        <v>0</v>
      </c>
      <c r="AG92">
        <v>-77.489999999999995</v>
      </c>
      <c r="AJ92">
        <v>200</v>
      </c>
      <c r="AL92">
        <v>7462.46</v>
      </c>
      <c r="AP92">
        <v>-34.65</v>
      </c>
      <c r="AQ92">
        <v>0</v>
      </c>
      <c r="AR92">
        <v>-30</v>
      </c>
      <c r="AT92">
        <v>-530.24</v>
      </c>
      <c r="AU92">
        <v>-132.56</v>
      </c>
      <c r="AV92">
        <v>-33.14</v>
      </c>
      <c r="AW92">
        <v>-5</v>
      </c>
      <c r="AX92">
        <v>-170.72</v>
      </c>
      <c r="AZ92">
        <v>-10.67</v>
      </c>
      <c r="BB92">
        <v>-425</v>
      </c>
      <c r="BC92">
        <v>6090.48</v>
      </c>
    </row>
    <row r="93" spans="1:55" x14ac:dyDescent="0.15">
      <c r="A93">
        <v>92</v>
      </c>
      <c r="B93" t="s">
        <v>111</v>
      </c>
      <c r="C93" t="s">
        <v>380</v>
      </c>
      <c r="D93">
        <v>165</v>
      </c>
      <c r="E93">
        <v>-4.2</v>
      </c>
      <c r="H93">
        <v>7</v>
      </c>
      <c r="I93">
        <v>8</v>
      </c>
      <c r="J93">
        <v>8</v>
      </c>
      <c r="K93">
        <v>16.5</v>
      </c>
      <c r="L93">
        <v>5</v>
      </c>
      <c r="M93">
        <v>11</v>
      </c>
      <c r="N93">
        <v>18.45</v>
      </c>
      <c r="O93">
        <v>3211</v>
      </c>
      <c r="U93">
        <v>150</v>
      </c>
      <c r="V93">
        <v>350</v>
      </c>
      <c r="W93">
        <v>250</v>
      </c>
      <c r="Y93">
        <v>0</v>
      </c>
      <c r="Z93">
        <v>640</v>
      </c>
      <c r="AB93">
        <v>630</v>
      </c>
      <c r="AC93">
        <v>583.76</v>
      </c>
      <c r="AD93">
        <v>1249.99</v>
      </c>
      <c r="AF93">
        <v>0</v>
      </c>
      <c r="AG93">
        <v>-77.489999999999995</v>
      </c>
      <c r="AJ93">
        <v>200</v>
      </c>
      <c r="AL93">
        <v>7187.26</v>
      </c>
      <c r="AP93">
        <v>-24.53</v>
      </c>
      <c r="AQ93">
        <v>0</v>
      </c>
      <c r="AR93">
        <v>-30</v>
      </c>
      <c r="AT93">
        <v>-545.84</v>
      </c>
      <c r="AU93">
        <v>-136.46</v>
      </c>
      <c r="AV93">
        <v>-34.119999999999997</v>
      </c>
      <c r="AW93">
        <v>-5</v>
      </c>
      <c r="AX93">
        <v>-186.32</v>
      </c>
      <c r="AZ93">
        <v>-11.65</v>
      </c>
      <c r="BB93">
        <v>-450</v>
      </c>
      <c r="BC93">
        <v>5763.34</v>
      </c>
    </row>
    <row r="94" spans="1:55" x14ac:dyDescent="0.15">
      <c r="A94">
        <v>93</v>
      </c>
      <c r="B94" t="s">
        <v>112</v>
      </c>
      <c r="C94" t="s">
        <v>383</v>
      </c>
      <c r="D94">
        <v>176</v>
      </c>
      <c r="H94">
        <v>0</v>
      </c>
      <c r="I94">
        <v>0</v>
      </c>
      <c r="J94">
        <v>0</v>
      </c>
      <c r="K94">
        <v>9.5</v>
      </c>
      <c r="L94">
        <v>18.5</v>
      </c>
      <c r="M94">
        <v>8</v>
      </c>
      <c r="N94">
        <v>24.51</v>
      </c>
      <c r="O94">
        <v>4264</v>
      </c>
      <c r="U94">
        <v>150</v>
      </c>
      <c r="V94">
        <v>350</v>
      </c>
      <c r="W94">
        <v>250</v>
      </c>
      <c r="Y94">
        <v>0</v>
      </c>
      <c r="AB94">
        <v>0</v>
      </c>
      <c r="AD94">
        <v>1844.38</v>
      </c>
      <c r="AF94">
        <v>0</v>
      </c>
      <c r="AG94">
        <v>0</v>
      </c>
      <c r="AJ94">
        <v>200</v>
      </c>
      <c r="AL94">
        <v>7058.38</v>
      </c>
      <c r="AP94">
        <v>-3.2</v>
      </c>
      <c r="AQ94">
        <v>0</v>
      </c>
      <c r="AR94">
        <v>-30</v>
      </c>
      <c r="AT94">
        <v>-448</v>
      </c>
      <c r="AU94">
        <v>-112</v>
      </c>
      <c r="AV94">
        <v>-28</v>
      </c>
      <c r="AW94">
        <v>-5</v>
      </c>
      <c r="AX94">
        <v>-88.48</v>
      </c>
      <c r="AZ94">
        <v>-5.53</v>
      </c>
      <c r="BB94">
        <v>-450</v>
      </c>
      <c r="BC94">
        <v>5888.17</v>
      </c>
    </row>
    <row r="95" spans="1:55" x14ac:dyDescent="0.15">
      <c r="A95">
        <v>94</v>
      </c>
      <c r="B95" t="s">
        <v>113</v>
      </c>
      <c r="C95" t="s">
        <v>385</v>
      </c>
      <c r="D95">
        <v>165</v>
      </c>
      <c r="E95">
        <v>-4.2</v>
      </c>
      <c r="H95">
        <v>8</v>
      </c>
      <c r="I95">
        <v>7</v>
      </c>
      <c r="J95">
        <v>8</v>
      </c>
      <c r="K95">
        <v>31.5</v>
      </c>
      <c r="L95">
        <v>13.5</v>
      </c>
      <c r="M95">
        <v>7.5</v>
      </c>
      <c r="N95">
        <v>18.05</v>
      </c>
      <c r="O95">
        <v>3141</v>
      </c>
      <c r="U95">
        <v>150</v>
      </c>
      <c r="V95">
        <v>350</v>
      </c>
      <c r="W95">
        <v>250</v>
      </c>
      <c r="X95">
        <v>-57.09</v>
      </c>
      <c r="Y95">
        <v>0</v>
      </c>
      <c r="Z95">
        <v>745</v>
      </c>
      <c r="AB95">
        <v>610</v>
      </c>
      <c r="AC95">
        <v>571.03</v>
      </c>
      <c r="AD95">
        <v>1746.34</v>
      </c>
      <c r="AF95">
        <v>0</v>
      </c>
      <c r="AG95">
        <v>-75.81</v>
      </c>
      <c r="AJ95">
        <v>200</v>
      </c>
      <c r="AL95">
        <v>7630.47</v>
      </c>
      <c r="AQ95">
        <v>0</v>
      </c>
      <c r="AR95">
        <v>-30</v>
      </c>
      <c r="AT95">
        <v>-359.52</v>
      </c>
      <c r="AU95">
        <v>-89.88</v>
      </c>
      <c r="AV95">
        <v>-22.47</v>
      </c>
      <c r="AW95">
        <v>-5</v>
      </c>
      <c r="AX95">
        <v>0</v>
      </c>
      <c r="AZ95">
        <v>0</v>
      </c>
      <c r="BB95">
        <v>-450</v>
      </c>
      <c r="BC95">
        <v>6673.6</v>
      </c>
    </row>
    <row r="96" spans="1:55" x14ac:dyDescent="0.15">
      <c r="A96">
        <v>95</v>
      </c>
      <c r="B96" t="s">
        <v>114</v>
      </c>
      <c r="C96" t="s">
        <v>159</v>
      </c>
      <c r="D96">
        <v>176</v>
      </c>
      <c r="K96">
        <v>2.5</v>
      </c>
      <c r="M96">
        <v>0</v>
      </c>
      <c r="N96">
        <v>58.24</v>
      </c>
      <c r="O96">
        <v>10134</v>
      </c>
      <c r="R96">
        <v>0</v>
      </c>
      <c r="U96">
        <v>150</v>
      </c>
      <c r="V96">
        <v>350</v>
      </c>
      <c r="W96">
        <v>250</v>
      </c>
      <c r="Y96">
        <v>0</v>
      </c>
      <c r="Z96">
        <v>0</v>
      </c>
      <c r="AB96">
        <v>0</v>
      </c>
      <c r="AD96">
        <v>218.4</v>
      </c>
      <c r="AF96">
        <v>0</v>
      </c>
      <c r="AG96">
        <v>0</v>
      </c>
      <c r="AJ96">
        <v>200</v>
      </c>
      <c r="AL96">
        <v>11302.4</v>
      </c>
      <c r="AP96">
        <v>0</v>
      </c>
      <c r="AQ96">
        <v>0</v>
      </c>
      <c r="AR96">
        <v>-30</v>
      </c>
      <c r="AT96">
        <v>-1163.8399999999999</v>
      </c>
      <c r="AU96">
        <v>-290.95999999999998</v>
      </c>
      <c r="AV96">
        <v>-72.739999999999995</v>
      </c>
      <c r="AW96">
        <v>-5</v>
      </c>
      <c r="AX96">
        <v>0</v>
      </c>
      <c r="AZ96">
        <v>0</v>
      </c>
      <c r="BB96">
        <v>-1790</v>
      </c>
      <c r="BC96">
        <v>7949.86</v>
      </c>
    </row>
    <row r="97" spans="1:55" x14ac:dyDescent="0.15">
      <c r="A97">
        <v>96</v>
      </c>
      <c r="B97" t="s">
        <v>115</v>
      </c>
      <c r="C97" t="s">
        <v>196</v>
      </c>
      <c r="D97">
        <v>176</v>
      </c>
      <c r="K97">
        <v>20</v>
      </c>
      <c r="M97">
        <v>0</v>
      </c>
      <c r="N97">
        <v>57.33</v>
      </c>
      <c r="O97">
        <v>9975</v>
      </c>
      <c r="R97">
        <v>0</v>
      </c>
      <c r="U97">
        <v>150</v>
      </c>
      <c r="V97">
        <v>350</v>
      </c>
      <c r="W97">
        <v>250</v>
      </c>
      <c r="Y97">
        <v>0</v>
      </c>
      <c r="AB97">
        <v>0</v>
      </c>
      <c r="AD97">
        <v>1719.9</v>
      </c>
      <c r="AE97">
        <v>200</v>
      </c>
      <c r="AF97">
        <v>0</v>
      </c>
      <c r="AG97">
        <v>0</v>
      </c>
      <c r="AJ97">
        <v>200</v>
      </c>
      <c r="AL97">
        <v>12844.9</v>
      </c>
      <c r="AP97">
        <v>-113.19</v>
      </c>
      <c r="AQ97">
        <v>0</v>
      </c>
      <c r="AR97">
        <v>-30</v>
      </c>
      <c r="AT97">
        <v>-1214.32</v>
      </c>
      <c r="AU97">
        <v>-303.58</v>
      </c>
      <c r="AV97">
        <v>-75.900000000000006</v>
      </c>
      <c r="AW97">
        <v>-5</v>
      </c>
      <c r="AX97">
        <v>-244.64</v>
      </c>
      <c r="AZ97">
        <v>-15.29</v>
      </c>
      <c r="BB97">
        <v>-1213</v>
      </c>
      <c r="BC97">
        <v>9629.98</v>
      </c>
    </row>
    <row r="98" spans="1:55" x14ac:dyDescent="0.15">
      <c r="A98">
        <v>97</v>
      </c>
      <c r="B98" t="s">
        <v>116</v>
      </c>
      <c r="C98" t="s">
        <v>159</v>
      </c>
      <c r="D98">
        <v>176</v>
      </c>
      <c r="K98">
        <v>20</v>
      </c>
      <c r="M98">
        <v>0</v>
      </c>
      <c r="N98">
        <v>53.45</v>
      </c>
      <c r="O98">
        <v>9300</v>
      </c>
      <c r="R98">
        <v>1000</v>
      </c>
      <c r="U98">
        <v>150</v>
      </c>
      <c r="V98">
        <v>350</v>
      </c>
      <c r="W98">
        <v>250</v>
      </c>
      <c r="Y98">
        <v>0</v>
      </c>
      <c r="AB98">
        <v>0</v>
      </c>
      <c r="AD98">
        <v>1603.5</v>
      </c>
      <c r="AE98">
        <v>200</v>
      </c>
      <c r="AF98">
        <v>600</v>
      </c>
      <c r="AG98">
        <v>0</v>
      </c>
      <c r="AJ98">
        <v>200</v>
      </c>
      <c r="AL98">
        <v>13653.5</v>
      </c>
      <c r="AP98">
        <v>0</v>
      </c>
      <c r="AQ98">
        <v>0</v>
      </c>
      <c r="AR98">
        <v>-30</v>
      </c>
      <c r="AT98">
        <v>-1188.8</v>
      </c>
      <c r="AU98">
        <v>-297.2</v>
      </c>
      <c r="AV98">
        <v>-74.3</v>
      </c>
      <c r="AW98">
        <v>-5</v>
      </c>
      <c r="AX98">
        <v>-146.72</v>
      </c>
      <c r="AZ98">
        <v>-9.17</v>
      </c>
      <c r="BB98">
        <v>-1303</v>
      </c>
      <c r="BC98">
        <v>10599.31</v>
      </c>
    </row>
    <row r="99" spans="1:55" x14ac:dyDescent="0.15">
      <c r="A99">
        <v>98</v>
      </c>
      <c r="B99" t="s">
        <v>117</v>
      </c>
      <c r="C99" t="s">
        <v>170</v>
      </c>
      <c r="D99">
        <v>176</v>
      </c>
      <c r="K99">
        <v>19</v>
      </c>
      <c r="M99">
        <v>0</v>
      </c>
      <c r="N99">
        <v>53.45</v>
      </c>
      <c r="O99">
        <v>9300</v>
      </c>
      <c r="R99">
        <v>2000</v>
      </c>
      <c r="U99">
        <v>150</v>
      </c>
      <c r="V99">
        <v>350</v>
      </c>
      <c r="W99">
        <v>250</v>
      </c>
      <c r="Y99">
        <v>0</v>
      </c>
      <c r="AB99">
        <v>0</v>
      </c>
      <c r="AD99">
        <v>1523.33</v>
      </c>
      <c r="AF99">
        <v>430</v>
      </c>
      <c r="AG99">
        <v>0</v>
      </c>
      <c r="AJ99">
        <v>200</v>
      </c>
      <c r="AL99">
        <v>14203.33</v>
      </c>
      <c r="AO99">
        <v>0</v>
      </c>
      <c r="AP99">
        <v>0</v>
      </c>
      <c r="AQ99">
        <v>0</v>
      </c>
      <c r="AR99">
        <v>-30</v>
      </c>
      <c r="AS99">
        <v>-1000</v>
      </c>
      <c r="AT99">
        <v>-1402.4</v>
      </c>
      <c r="AU99">
        <v>-350.6</v>
      </c>
      <c r="AV99">
        <v>-87.65</v>
      </c>
      <c r="AW99">
        <v>-5</v>
      </c>
      <c r="AX99">
        <v>-132.88</v>
      </c>
      <c r="AZ99">
        <v>-8.3000000000000007</v>
      </c>
      <c r="BB99">
        <v>-1587</v>
      </c>
      <c r="BC99">
        <v>9599.5</v>
      </c>
    </row>
    <row r="100" spans="1:55" x14ac:dyDescent="0.15">
      <c r="A100">
        <v>99</v>
      </c>
      <c r="B100" t="s">
        <v>118</v>
      </c>
      <c r="C100" t="s">
        <v>343</v>
      </c>
      <c r="D100">
        <v>176</v>
      </c>
      <c r="K100">
        <v>5</v>
      </c>
      <c r="M100">
        <v>0</v>
      </c>
      <c r="N100">
        <v>54.6</v>
      </c>
      <c r="O100">
        <v>9500</v>
      </c>
      <c r="R100">
        <v>2000</v>
      </c>
      <c r="U100">
        <v>150</v>
      </c>
      <c r="V100">
        <v>350</v>
      </c>
      <c r="W100">
        <v>250</v>
      </c>
      <c r="Y100">
        <v>0</v>
      </c>
      <c r="AB100">
        <v>0</v>
      </c>
      <c r="AD100">
        <v>409.5</v>
      </c>
      <c r="AE100">
        <v>300</v>
      </c>
      <c r="AF100">
        <v>0</v>
      </c>
      <c r="AG100">
        <v>0</v>
      </c>
      <c r="AJ100">
        <v>200</v>
      </c>
      <c r="AL100">
        <v>13159.5</v>
      </c>
      <c r="AP100">
        <v>-56.42</v>
      </c>
      <c r="AQ100">
        <v>0</v>
      </c>
      <c r="AR100">
        <v>-30</v>
      </c>
      <c r="AS100">
        <v>-1000</v>
      </c>
      <c r="AT100">
        <v>-922.16</v>
      </c>
      <c r="AU100">
        <v>-230.54</v>
      </c>
      <c r="AV100">
        <v>-57.64</v>
      </c>
      <c r="AW100">
        <v>-5</v>
      </c>
      <c r="AX100">
        <v>-86.08</v>
      </c>
      <c r="AZ100">
        <v>-5.38</v>
      </c>
      <c r="BB100">
        <v>-1046</v>
      </c>
      <c r="BC100">
        <v>9720.2800000000007</v>
      </c>
    </row>
    <row r="101" spans="1:55" x14ac:dyDescent="0.15">
      <c r="A101">
        <v>100</v>
      </c>
      <c r="B101" t="s">
        <v>119</v>
      </c>
      <c r="C101" t="s">
        <v>159</v>
      </c>
      <c r="D101">
        <v>176</v>
      </c>
      <c r="K101">
        <v>20</v>
      </c>
      <c r="M101">
        <v>0</v>
      </c>
      <c r="N101">
        <v>62.38</v>
      </c>
      <c r="O101">
        <v>10854</v>
      </c>
      <c r="R101">
        <v>2000</v>
      </c>
      <c r="U101">
        <v>150</v>
      </c>
      <c r="V101">
        <v>350</v>
      </c>
      <c r="W101">
        <v>250</v>
      </c>
      <c r="Y101">
        <v>0</v>
      </c>
      <c r="AB101">
        <v>0</v>
      </c>
      <c r="AD101">
        <v>1871.4</v>
      </c>
      <c r="AF101">
        <v>0</v>
      </c>
      <c r="AG101">
        <v>0</v>
      </c>
      <c r="AJ101">
        <v>200</v>
      </c>
      <c r="AL101">
        <v>15675.4</v>
      </c>
      <c r="AP101">
        <v>-125.32</v>
      </c>
      <c r="AQ101">
        <v>0</v>
      </c>
      <c r="AR101">
        <v>-30</v>
      </c>
      <c r="AT101">
        <v>-1379.84</v>
      </c>
      <c r="AU101">
        <v>-344.96</v>
      </c>
      <c r="AV101">
        <v>-86.24</v>
      </c>
      <c r="AW101">
        <v>-5</v>
      </c>
      <c r="AX101">
        <v>-231.6</v>
      </c>
      <c r="AZ101">
        <v>-14.47</v>
      </c>
      <c r="BB101">
        <v>-1436</v>
      </c>
      <c r="BC101">
        <v>12021.97</v>
      </c>
    </row>
    <row r="102" spans="1:55" x14ac:dyDescent="0.15">
      <c r="A102">
        <v>101</v>
      </c>
      <c r="B102" t="s">
        <v>120</v>
      </c>
      <c r="C102" t="s">
        <v>309</v>
      </c>
      <c r="D102">
        <v>176</v>
      </c>
      <c r="K102">
        <v>3</v>
      </c>
      <c r="M102">
        <v>8</v>
      </c>
      <c r="N102">
        <v>64.569999999999993</v>
      </c>
      <c r="O102">
        <v>11235</v>
      </c>
      <c r="R102">
        <v>2000</v>
      </c>
      <c r="U102">
        <v>150</v>
      </c>
      <c r="V102">
        <v>350</v>
      </c>
      <c r="W102">
        <v>250</v>
      </c>
      <c r="Y102">
        <v>0</v>
      </c>
      <c r="AB102">
        <v>0</v>
      </c>
      <c r="AD102">
        <v>1840.25</v>
      </c>
      <c r="AE102">
        <v>300</v>
      </c>
      <c r="AF102">
        <v>0</v>
      </c>
      <c r="AG102">
        <v>0</v>
      </c>
      <c r="AJ102">
        <v>200</v>
      </c>
      <c r="AL102">
        <v>16325.25</v>
      </c>
      <c r="AP102">
        <v>-189.92</v>
      </c>
      <c r="AQ102">
        <v>0</v>
      </c>
      <c r="AR102">
        <v>-30</v>
      </c>
      <c r="AT102">
        <v>-1373.68</v>
      </c>
      <c r="AU102">
        <v>-343.42</v>
      </c>
      <c r="AV102">
        <v>-85.86</v>
      </c>
      <c r="AW102">
        <v>-5</v>
      </c>
      <c r="AX102">
        <v>-168</v>
      </c>
      <c r="AZ102">
        <v>-10.5</v>
      </c>
      <c r="BB102">
        <v>-1508</v>
      </c>
      <c r="BC102">
        <v>12610.87</v>
      </c>
    </row>
    <row r="103" spans="1:55" x14ac:dyDescent="0.15">
      <c r="A103">
        <v>102</v>
      </c>
      <c r="B103" t="s">
        <v>121</v>
      </c>
      <c r="C103" t="s">
        <v>159</v>
      </c>
      <c r="D103">
        <v>176</v>
      </c>
      <c r="K103">
        <v>13</v>
      </c>
      <c r="M103">
        <v>0</v>
      </c>
      <c r="N103">
        <v>61.47</v>
      </c>
      <c r="O103">
        <v>10695</v>
      </c>
      <c r="R103">
        <v>2000</v>
      </c>
      <c r="U103">
        <v>150</v>
      </c>
      <c r="V103">
        <v>350</v>
      </c>
      <c r="W103">
        <v>250</v>
      </c>
      <c r="Y103">
        <v>0</v>
      </c>
      <c r="AB103">
        <v>0</v>
      </c>
      <c r="AD103">
        <v>1198.67</v>
      </c>
      <c r="AF103">
        <v>940</v>
      </c>
      <c r="AG103">
        <v>0</v>
      </c>
      <c r="AJ103">
        <v>200</v>
      </c>
      <c r="AL103">
        <v>15783.67</v>
      </c>
      <c r="AP103">
        <v>-37.72</v>
      </c>
      <c r="AQ103">
        <v>0</v>
      </c>
      <c r="AR103">
        <v>-30</v>
      </c>
      <c r="AT103">
        <v>-1394.88</v>
      </c>
      <c r="AU103">
        <v>-348.72</v>
      </c>
      <c r="AV103">
        <v>-87.18</v>
      </c>
      <c r="AW103">
        <v>-5</v>
      </c>
      <c r="AX103">
        <v>-283.76</v>
      </c>
      <c r="AZ103">
        <v>-17.73</v>
      </c>
      <c r="BB103">
        <v>-1389</v>
      </c>
      <c r="BC103">
        <v>12189.68</v>
      </c>
    </row>
    <row r="104" spans="1:55" x14ac:dyDescent="0.15">
      <c r="A104">
        <v>103</v>
      </c>
      <c r="B104" t="s">
        <v>122</v>
      </c>
      <c r="C104" t="s">
        <v>159</v>
      </c>
      <c r="D104">
        <v>176</v>
      </c>
      <c r="K104">
        <v>18</v>
      </c>
      <c r="M104">
        <v>8</v>
      </c>
      <c r="N104">
        <v>56.48</v>
      </c>
      <c r="O104">
        <v>9828</v>
      </c>
      <c r="R104">
        <v>2000</v>
      </c>
      <c r="U104">
        <v>150</v>
      </c>
      <c r="V104">
        <v>350</v>
      </c>
      <c r="W104">
        <v>250</v>
      </c>
      <c r="Y104">
        <v>0</v>
      </c>
      <c r="AB104">
        <v>0</v>
      </c>
      <c r="AD104">
        <v>2880.48</v>
      </c>
      <c r="AF104">
        <v>895</v>
      </c>
      <c r="AG104">
        <v>0</v>
      </c>
      <c r="AJ104">
        <v>200</v>
      </c>
      <c r="AL104">
        <v>16553.48</v>
      </c>
      <c r="AP104">
        <v>-203.46</v>
      </c>
      <c r="AQ104">
        <v>0</v>
      </c>
      <c r="AR104">
        <v>-30</v>
      </c>
      <c r="AT104">
        <v>-1485.04</v>
      </c>
      <c r="AU104">
        <v>-371.26</v>
      </c>
      <c r="AV104">
        <v>-92.82</v>
      </c>
      <c r="AW104">
        <v>-5</v>
      </c>
      <c r="AX104">
        <v>-208.32</v>
      </c>
      <c r="AZ104">
        <v>-13.02</v>
      </c>
      <c r="BB104">
        <v>-1596</v>
      </c>
      <c r="BC104">
        <v>12548.56</v>
      </c>
    </row>
    <row r="105" spans="1:55" x14ac:dyDescent="0.15">
      <c r="A105">
        <v>104</v>
      </c>
      <c r="B105" t="s">
        <v>123</v>
      </c>
      <c r="C105" t="s">
        <v>178</v>
      </c>
      <c r="D105">
        <v>176</v>
      </c>
      <c r="K105">
        <v>20</v>
      </c>
      <c r="M105">
        <v>0</v>
      </c>
      <c r="N105">
        <v>56.48</v>
      </c>
      <c r="O105">
        <v>9828</v>
      </c>
      <c r="R105">
        <v>2000</v>
      </c>
      <c r="U105">
        <v>150</v>
      </c>
      <c r="V105">
        <v>350</v>
      </c>
      <c r="W105">
        <v>250</v>
      </c>
      <c r="Y105">
        <v>0</v>
      </c>
      <c r="AB105">
        <v>0</v>
      </c>
      <c r="AD105">
        <v>1694.4</v>
      </c>
      <c r="AF105">
        <v>0</v>
      </c>
      <c r="AG105">
        <v>0</v>
      </c>
      <c r="AJ105">
        <v>200</v>
      </c>
      <c r="AL105">
        <v>14472.4</v>
      </c>
      <c r="AP105">
        <v>-185.42</v>
      </c>
      <c r="AQ105">
        <v>0</v>
      </c>
      <c r="AR105">
        <v>-30</v>
      </c>
      <c r="AT105">
        <v>-1287.68</v>
      </c>
      <c r="AU105">
        <v>-321.92</v>
      </c>
      <c r="AV105">
        <v>-80.48</v>
      </c>
      <c r="AW105">
        <v>-5</v>
      </c>
      <c r="AX105">
        <v>-72.959999999999994</v>
      </c>
      <c r="AZ105">
        <v>-4.5599999999999996</v>
      </c>
      <c r="BB105">
        <v>-1519</v>
      </c>
      <c r="BC105">
        <v>10965.38</v>
      </c>
    </row>
    <row r="106" spans="1:55" x14ac:dyDescent="0.15">
      <c r="A106">
        <v>105</v>
      </c>
      <c r="B106" t="s">
        <v>124</v>
      </c>
      <c r="C106" t="s">
        <v>184</v>
      </c>
      <c r="D106">
        <v>176</v>
      </c>
      <c r="K106">
        <v>5</v>
      </c>
      <c r="M106">
        <v>9</v>
      </c>
      <c r="N106">
        <v>57.33</v>
      </c>
      <c r="O106">
        <v>9975</v>
      </c>
      <c r="R106">
        <v>2000</v>
      </c>
      <c r="U106">
        <v>150</v>
      </c>
      <c r="V106">
        <v>350</v>
      </c>
      <c r="W106">
        <v>250</v>
      </c>
      <c r="Y106">
        <v>0</v>
      </c>
      <c r="AB106">
        <v>0</v>
      </c>
      <c r="AD106">
        <v>1977.89</v>
      </c>
      <c r="AE106">
        <v>300</v>
      </c>
      <c r="AF106">
        <v>0</v>
      </c>
      <c r="AG106">
        <v>0</v>
      </c>
      <c r="AJ106">
        <v>200</v>
      </c>
      <c r="AL106">
        <v>15202.89</v>
      </c>
      <c r="AP106">
        <v>-77.180000000000007</v>
      </c>
      <c r="AQ106">
        <v>0</v>
      </c>
      <c r="AR106">
        <v>-30</v>
      </c>
      <c r="AT106">
        <v>-1240.56</v>
      </c>
      <c r="AU106">
        <v>-310.14</v>
      </c>
      <c r="AV106">
        <v>-77.540000000000006</v>
      </c>
      <c r="AW106">
        <v>-5</v>
      </c>
      <c r="AX106">
        <v>-291.68</v>
      </c>
      <c r="AZ106">
        <v>-18.23</v>
      </c>
      <c r="BB106">
        <v>-1187</v>
      </c>
      <c r="BC106">
        <v>11965.56</v>
      </c>
    </row>
    <row r="107" spans="1:55" x14ac:dyDescent="0.15">
      <c r="A107">
        <v>106</v>
      </c>
      <c r="B107" t="s">
        <v>125</v>
      </c>
      <c r="C107" t="s">
        <v>159</v>
      </c>
      <c r="D107">
        <v>176</v>
      </c>
      <c r="M107">
        <v>0</v>
      </c>
      <c r="N107">
        <v>74.709999999999994</v>
      </c>
      <c r="O107">
        <v>13000</v>
      </c>
      <c r="R107">
        <v>3000</v>
      </c>
      <c r="S107">
        <v>500</v>
      </c>
      <c r="T107">
        <v>1492</v>
      </c>
      <c r="U107">
        <v>150</v>
      </c>
      <c r="V107">
        <v>350</v>
      </c>
      <c r="W107">
        <v>250</v>
      </c>
      <c r="Y107">
        <v>0</v>
      </c>
      <c r="AB107">
        <v>0</v>
      </c>
      <c r="AD107">
        <v>0</v>
      </c>
      <c r="AF107">
        <v>800</v>
      </c>
      <c r="AG107">
        <v>0</v>
      </c>
      <c r="AJ107">
        <v>200</v>
      </c>
      <c r="AL107">
        <v>19742</v>
      </c>
      <c r="AP107">
        <v>-233.05</v>
      </c>
      <c r="AQ107">
        <v>0</v>
      </c>
      <c r="AR107">
        <v>-30</v>
      </c>
      <c r="AT107">
        <v>-1768.8</v>
      </c>
      <c r="AU107">
        <v>-442.2</v>
      </c>
      <c r="AV107">
        <v>-110.55</v>
      </c>
      <c r="AW107">
        <v>-5</v>
      </c>
      <c r="AX107">
        <v>-340.08</v>
      </c>
      <c r="AZ107">
        <v>-21.25</v>
      </c>
      <c r="BB107">
        <v>-1786</v>
      </c>
      <c r="BC107">
        <v>15005.07</v>
      </c>
    </row>
    <row r="108" spans="1:55" x14ac:dyDescent="0.15">
      <c r="A108">
        <v>107</v>
      </c>
      <c r="B108" t="s">
        <v>126</v>
      </c>
      <c r="C108" t="s">
        <v>175</v>
      </c>
      <c r="D108">
        <v>176</v>
      </c>
      <c r="M108">
        <v>7.5</v>
      </c>
      <c r="N108">
        <v>74.709999999999994</v>
      </c>
      <c r="O108">
        <v>13000</v>
      </c>
      <c r="Q108">
        <v>5256</v>
      </c>
      <c r="R108">
        <v>3000</v>
      </c>
      <c r="S108">
        <v>1000</v>
      </c>
      <c r="T108">
        <v>3600</v>
      </c>
      <c r="U108">
        <v>150</v>
      </c>
      <c r="V108">
        <v>350</v>
      </c>
      <c r="W108">
        <v>250</v>
      </c>
      <c r="Y108">
        <v>0</v>
      </c>
      <c r="AB108">
        <v>0</v>
      </c>
      <c r="AD108">
        <v>1680.98</v>
      </c>
      <c r="AE108">
        <v>300</v>
      </c>
      <c r="AF108">
        <v>0</v>
      </c>
      <c r="AG108">
        <v>0</v>
      </c>
      <c r="AJ108">
        <v>200</v>
      </c>
      <c r="AL108">
        <v>28786.98</v>
      </c>
      <c r="AP108">
        <v>-506.47</v>
      </c>
      <c r="AQ108">
        <v>0</v>
      </c>
      <c r="AR108">
        <v>-30</v>
      </c>
      <c r="AT108">
        <v>-1923.36</v>
      </c>
      <c r="AU108">
        <v>-480.84</v>
      </c>
      <c r="AV108">
        <v>-120.21</v>
      </c>
      <c r="AW108">
        <v>-5</v>
      </c>
      <c r="AX108">
        <v>0</v>
      </c>
      <c r="AZ108">
        <v>0</v>
      </c>
      <c r="BB108">
        <v>-2875</v>
      </c>
      <c r="BC108">
        <v>22846.1</v>
      </c>
    </row>
    <row r="109" spans="1:55" x14ac:dyDescent="0.15">
      <c r="A109">
        <v>108</v>
      </c>
      <c r="B109" t="s">
        <v>127</v>
      </c>
      <c r="C109" t="s">
        <v>159</v>
      </c>
      <c r="D109">
        <v>176</v>
      </c>
      <c r="M109">
        <v>0</v>
      </c>
      <c r="N109">
        <v>74.709999999999994</v>
      </c>
      <c r="O109">
        <v>13000</v>
      </c>
      <c r="Q109">
        <v>0</v>
      </c>
      <c r="R109">
        <v>4000</v>
      </c>
      <c r="S109">
        <v>1500</v>
      </c>
      <c r="T109">
        <v>4456</v>
      </c>
      <c r="U109">
        <v>150</v>
      </c>
      <c r="V109">
        <v>350</v>
      </c>
      <c r="W109">
        <v>250</v>
      </c>
      <c r="Y109">
        <v>0</v>
      </c>
      <c r="AB109">
        <v>0</v>
      </c>
      <c r="AD109">
        <v>0</v>
      </c>
      <c r="AE109">
        <v>300</v>
      </c>
      <c r="AF109">
        <v>0</v>
      </c>
      <c r="AG109">
        <v>0</v>
      </c>
      <c r="AJ109">
        <v>200</v>
      </c>
      <c r="AL109">
        <v>24206</v>
      </c>
      <c r="AP109">
        <v>-293.38</v>
      </c>
      <c r="AQ109">
        <v>0</v>
      </c>
      <c r="AR109">
        <v>-30</v>
      </c>
      <c r="AT109">
        <v>-1923.36</v>
      </c>
      <c r="AU109">
        <v>-480.84</v>
      </c>
      <c r="AV109">
        <v>-120.21</v>
      </c>
      <c r="AW109">
        <v>-5</v>
      </c>
      <c r="AX109">
        <v>-39.68</v>
      </c>
      <c r="AZ109">
        <v>-2.48</v>
      </c>
      <c r="BB109">
        <v>-2355</v>
      </c>
      <c r="BC109">
        <v>18956.05</v>
      </c>
    </row>
    <row r="110" spans="1:55" x14ac:dyDescent="0.15">
      <c r="A110">
        <v>109</v>
      </c>
      <c r="B110" t="s">
        <v>128</v>
      </c>
      <c r="C110" t="s">
        <v>172</v>
      </c>
      <c r="D110">
        <v>176</v>
      </c>
      <c r="M110">
        <v>0</v>
      </c>
      <c r="N110">
        <v>74.709999999999994</v>
      </c>
      <c r="O110">
        <v>13000</v>
      </c>
      <c r="Q110">
        <v>0</v>
      </c>
      <c r="R110">
        <v>3000</v>
      </c>
      <c r="S110">
        <v>500</v>
      </c>
      <c r="T110">
        <v>3156</v>
      </c>
      <c r="U110">
        <v>150</v>
      </c>
      <c r="V110">
        <v>350</v>
      </c>
      <c r="W110">
        <v>250</v>
      </c>
      <c r="Y110">
        <v>0</v>
      </c>
      <c r="AB110">
        <v>0</v>
      </c>
      <c r="AD110">
        <v>0</v>
      </c>
      <c r="AE110">
        <v>300</v>
      </c>
      <c r="AF110">
        <v>0</v>
      </c>
      <c r="AG110">
        <v>0</v>
      </c>
      <c r="AJ110">
        <v>200</v>
      </c>
      <c r="AL110">
        <v>20906</v>
      </c>
      <c r="AP110">
        <v>-195.51</v>
      </c>
      <c r="AQ110">
        <v>0</v>
      </c>
      <c r="AR110">
        <v>-30</v>
      </c>
      <c r="AS110">
        <v>-1000</v>
      </c>
      <c r="AT110">
        <v>-1923.36</v>
      </c>
      <c r="AU110">
        <v>-480.84</v>
      </c>
      <c r="AV110">
        <v>-120.21</v>
      </c>
      <c r="AW110">
        <v>-5</v>
      </c>
      <c r="AX110">
        <v>-242.32</v>
      </c>
      <c r="AZ110">
        <v>-15.14</v>
      </c>
      <c r="BB110">
        <v>-2102</v>
      </c>
      <c r="BC110">
        <v>14791.62</v>
      </c>
    </row>
    <row r="111" spans="1:55" x14ac:dyDescent="0.15">
      <c r="A111">
        <v>110</v>
      </c>
      <c r="B111" t="s">
        <v>129</v>
      </c>
      <c r="C111" t="s">
        <v>243</v>
      </c>
      <c r="D111">
        <v>176</v>
      </c>
      <c r="M111">
        <v>0</v>
      </c>
      <c r="N111">
        <v>74.709999999999994</v>
      </c>
      <c r="O111">
        <v>13000</v>
      </c>
      <c r="Q111">
        <v>592</v>
      </c>
      <c r="R111">
        <v>3000</v>
      </c>
      <c r="S111">
        <v>500</v>
      </c>
      <c r="T111">
        <v>3300</v>
      </c>
      <c r="U111">
        <v>150</v>
      </c>
      <c r="V111">
        <v>350</v>
      </c>
      <c r="W111">
        <v>250</v>
      </c>
      <c r="Y111">
        <v>0</v>
      </c>
      <c r="AB111">
        <v>0</v>
      </c>
      <c r="AD111">
        <v>0</v>
      </c>
      <c r="AE111">
        <v>300</v>
      </c>
      <c r="AF111">
        <v>0</v>
      </c>
      <c r="AG111">
        <v>0</v>
      </c>
      <c r="AJ111">
        <v>200</v>
      </c>
      <c r="AL111">
        <v>21642</v>
      </c>
      <c r="AP111">
        <v>-246.89</v>
      </c>
      <c r="AQ111">
        <v>0</v>
      </c>
      <c r="AR111">
        <v>-30</v>
      </c>
      <c r="AS111">
        <v>-1000</v>
      </c>
      <c r="AT111">
        <v>-1923.36</v>
      </c>
      <c r="AU111">
        <v>-480.84</v>
      </c>
      <c r="AV111">
        <v>-120.21</v>
      </c>
      <c r="AW111">
        <v>-5</v>
      </c>
      <c r="AX111">
        <v>-117.68</v>
      </c>
      <c r="AZ111">
        <v>-7.35</v>
      </c>
      <c r="BB111">
        <v>-2258</v>
      </c>
      <c r="BC111">
        <v>15452.67</v>
      </c>
    </row>
    <row r="112" spans="1:55" x14ac:dyDescent="0.15">
      <c r="A112">
        <v>111</v>
      </c>
      <c r="B112" t="s">
        <v>130</v>
      </c>
      <c r="C112" t="s">
        <v>191</v>
      </c>
      <c r="D112">
        <v>176</v>
      </c>
      <c r="M112">
        <v>0</v>
      </c>
      <c r="N112">
        <v>74.709999999999994</v>
      </c>
      <c r="O112">
        <v>13000</v>
      </c>
      <c r="Q112">
        <v>0</v>
      </c>
      <c r="R112">
        <v>4000</v>
      </c>
      <c r="S112">
        <v>500</v>
      </c>
      <c r="T112">
        <v>2256</v>
      </c>
      <c r="U112">
        <v>150</v>
      </c>
      <c r="V112">
        <v>350</v>
      </c>
      <c r="W112">
        <v>250</v>
      </c>
      <c r="Y112">
        <v>0</v>
      </c>
      <c r="AB112">
        <v>0</v>
      </c>
      <c r="AD112">
        <v>0</v>
      </c>
      <c r="AE112">
        <v>200</v>
      </c>
      <c r="AF112">
        <v>0</v>
      </c>
      <c r="AG112">
        <v>0</v>
      </c>
      <c r="AJ112">
        <v>200</v>
      </c>
      <c r="AL112">
        <v>20906</v>
      </c>
      <c r="AP112">
        <v>-199.8</v>
      </c>
      <c r="AQ112">
        <v>0</v>
      </c>
      <c r="AR112">
        <v>-30</v>
      </c>
      <c r="AS112">
        <v>-1000</v>
      </c>
      <c r="AT112">
        <v>-1873.84</v>
      </c>
      <c r="AU112">
        <v>-468.46</v>
      </c>
      <c r="AV112">
        <v>-117.12</v>
      </c>
      <c r="AW112">
        <v>-5</v>
      </c>
      <c r="AX112">
        <v>-327.84</v>
      </c>
      <c r="AZ112">
        <v>-20.49</v>
      </c>
      <c r="BB112">
        <v>-1933</v>
      </c>
      <c r="BC112">
        <v>14930.45</v>
      </c>
    </row>
    <row r="113" spans="1:55" x14ac:dyDescent="0.15">
      <c r="A113">
        <v>112</v>
      </c>
      <c r="B113" t="s">
        <v>131</v>
      </c>
      <c r="C113" t="s">
        <v>159</v>
      </c>
      <c r="D113">
        <v>176</v>
      </c>
      <c r="M113">
        <v>0</v>
      </c>
      <c r="N113">
        <v>74.709999999999994</v>
      </c>
      <c r="O113">
        <v>13000</v>
      </c>
      <c r="Q113">
        <v>0</v>
      </c>
      <c r="R113">
        <v>3000</v>
      </c>
      <c r="S113">
        <v>1000</v>
      </c>
      <c r="T113">
        <v>2256</v>
      </c>
      <c r="U113">
        <v>150</v>
      </c>
      <c r="V113">
        <v>350</v>
      </c>
      <c r="W113">
        <v>250</v>
      </c>
      <c r="Y113">
        <v>0</v>
      </c>
      <c r="AB113">
        <v>0</v>
      </c>
      <c r="AD113">
        <v>0</v>
      </c>
      <c r="AE113">
        <v>200</v>
      </c>
      <c r="AF113">
        <v>1300</v>
      </c>
      <c r="AG113">
        <v>0</v>
      </c>
      <c r="AJ113">
        <v>200</v>
      </c>
      <c r="AL113">
        <v>21706</v>
      </c>
      <c r="AP113">
        <v>-162.22999999999999</v>
      </c>
      <c r="AQ113">
        <v>0</v>
      </c>
      <c r="AR113">
        <v>-30</v>
      </c>
      <c r="AT113">
        <v>-1897.28</v>
      </c>
      <c r="AU113">
        <v>-474.32</v>
      </c>
      <c r="AV113">
        <v>-118.58</v>
      </c>
      <c r="AW113">
        <v>-5</v>
      </c>
      <c r="AX113">
        <v>-369.84</v>
      </c>
      <c r="AZ113">
        <v>-23.11</v>
      </c>
      <c r="BB113">
        <v>-1910</v>
      </c>
      <c r="BC113">
        <v>16715.64</v>
      </c>
    </row>
    <row r="114" spans="1:55" x14ac:dyDescent="0.15">
      <c r="A114">
        <v>113</v>
      </c>
      <c r="B114" t="s">
        <v>132</v>
      </c>
      <c r="C114" t="s">
        <v>159</v>
      </c>
      <c r="D114">
        <v>176</v>
      </c>
      <c r="N114">
        <v>74.709999999999994</v>
      </c>
      <c r="O114">
        <v>13000</v>
      </c>
      <c r="Q114">
        <v>0</v>
      </c>
      <c r="R114">
        <v>3000</v>
      </c>
      <c r="S114">
        <v>500</v>
      </c>
      <c r="T114">
        <v>2520</v>
      </c>
      <c r="U114">
        <v>150</v>
      </c>
      <c r="V114">
        <v>350</v>
      </c>
      <c r="W114">
        <v>250</v>
      </c>
      <c r="Y114">
        <v>0</v>
      </c>
      <c r="AB114">
        <v>0</v>
      </c>
      <c r="AD114">
        <v>0</v>
      </c>
      <c r="AE114">
        <v>200</v>
      </c>
      <c r="AG114">
        <v>0</v>
      </c>
      <c r="AJ114">
        <v>200</v>
      </c>
      <c r="AL114">
        <v>20170</v>
      </c>
      <c r="AP114">
        <v>-235.6</v>
      </c>
      <c r="AQ114">
        <v>0</v>
      </c>
      <c r="AR114">
        <v>-30</v>
      </c>
      <c r="AS114">
        <v>-1000</v>
      </c>
      <c r="AT114">
        <v>-1865.52</v>
      </c>
      <c r="AU114">
        <v>-466.38</v>
      </c>
      <c r="AV114">
        <v>-116.6</v>
      </c>
      <c r="AW114">
        <v>-5</v>
      </c>
      <c r="AX114">
        <v>-370.96</v>
      </c>
      <c r="AZ114">
        <v>-23.19</v>
      </c>
      <c r="BB114">
        <v>-1869</v>
      </c>
      <c r="BC114">
        <v>14187.75</v>
      </c>
    </row>
    <row r="115" spans="1:55" x14ac:dyDescent="0.15">
      <c r="A115">
        <v>114</v>
      </c>
      <c r="B115" t="s">
        <v>133</v>
      </c>
      <c r="C115" t="s">
        <v>159</v>
      </c>
      <c r="D115">
        <v>176</v>
      </c>
      <c r="N115">
        <v>74.709999999999994</v>
      </c>
      <c r="O115">
        <v>13000</v>
      </c>
      <c r="Q115">
        <v>0</v>
      </c>
      <c r="R115">
        <v>3000</v>
      </c>
      <c r="S115">
        <v>500</v>
      </c>
      <c r="T115">
        <v>2256</v>
      </c>
      <c r="U115">
        <v>150</v>
      </c>
      <c r="V115">
        <v>350</v>
      </c>
      <c r="W115">
        <v>250</v>
      </c>
      <c r="Y115">
        <v>0</v>
      </c>
      <c r="AB115">
        <v>0</v>
      </c>
      <c r="AD115">
        <v>0</v>
      </c>
      <c r="AE115">
        <v>200</v>
      </c>
      <c r="AF115">
        <v>1300</v>
      </c>
      <c r="AG115">
        <v>0</v>
      </c>
      <c r="AJ115">
        <v>200</v>
      </c>
      <c r="AL115">
        <v>21206</v>
      </c>
      <c r="AP115">
        <v>-316.61</v>
      </c>
      <c r="AQ115">
        <v>0</v>
      </c>
      <c r="AR115">
        <v>-30</v>
      </c>
      <c r="AT115">
        <v>-1841.6</v>
      </c>
      <c r="AU115">
        <v>-460.4</v>
      </c>
      <c r="AV115">
        <v>-115.1</v>
      </c>
      <c r="AW115">
        <v>-5</v>
      </c>
      <c r="AX115">
        <v>-385.04</v>
      </c>
      <c r="AZ115">
        <v>-24.06</v>
      </c>
      <c r="BB115">
        <v>-1821</v>
      </c>
      <c r="BC115">
        <v>16207.19</v>
      </c>
    </row>
    <row r="116" spans="1:55" x14ac:dyDescent="0.15">
      <c r="A116">
        <v>115</v>
      </c>
      <c r="B116" t="s">
        <v>134</v>
      </c>
      <c r="C116" t="s">
        <v>186</v>
      </c>
      <c r="D116">
        <v>176</v>
      </c>
      <c r="M116">
        <v>9.5</v>
      </c>
      <c r="N116">
        <v>74.709999999999994</v>
      </c>
      <c r="O116">
        <v>13000</v>
      </c>
      <c r="Q116">
        <v>0</v>
      </c>
      <c r="R116">
        <v>3000</v>
      </c>
      <c r="S116">
        <v>500</v>
      </c>
      <c r="T116">
        <v>1956</v>
      </c>
      <c r="U116">
        <v>150</v>
      </c>
      <c r="V116">
        <v>350</v>
      </c>
      <c r="W116">
        <v>250</v>
      </c>
      <c r="Y116">
        <v>0</v>
      </c>
      <c r="AB116">
        <v>0</v>
      </c>
      <c r="AD116">
        <v>2129.2399999999998</v>
      </c>
      <c r="AF116">
        <v>0</v>
      </c>
      <c r="AG116">
        <v>0</v>
      </c>
      <c r="AJ116">
        <v>200</v>
      </c>
      <c r="AL116">
        <v>21535.24</v>
      </c>
      <c r="AP116">
        <v>-282.66000000000003</v>
      </c>
      <c r="AQ116">
        <v>0</v>
      </c>
      <c r="AR116">
        <v>-30</v>
      </c>
      <c r="AT116">
        <v>-1821.04</v>
      </c>
      <c r="AU116">
        <v>-455.26</v>
      </c>
      <c r="AV116">
        <v>-113.82</v>
      </c>
      <c r="AW116">
        <v>-5</v>
      </c>
      <c r="AX116">
        <v>-313.44</v>
      </c>
      <c r="AZ116">
        <v>-19.59</v>
      </c>
      <c r="BB116">
        <v>-1885</v>
      </c>
      <c r="BC116">
        <v>16609.43</v>
      </c>
    </row>
    <row r="117" spans="1:55" x14ac:dyDescent="0.15">
      <c r="A117">
        <v>116</v>
      </c>
      <c r="B117" t="s">
        <v>135</v>
      </c>
      <c r="C117" t="s">
        <v>159</v>
      </c>
      <c r="D117">
        <v>176</v>
      </c>
      <c r="N117">
        <v>74.709999999999994</v>
      </c>
      <c r="O117">
        <v>13000</v>
      </c>
      <c r="Q117">
        <v>0</v>
      </c>
      <c r="R117">
        <v>3000</v>
      </c>
      <c r="S117">
        <v>1000</v>
      </c>
      <c r="T117">
        <v>1992</v>
      </c>
      <c r="U117">
        <v>150</v>
      </c>
      <c r="V117">
        <v>350</v>
      </c>
      <c r="W117">
        <v>250</v>
      </c>
      <c r="Y117">
        <v>0</v>
      </c>
      <c r="AB117">
        <v>0</v>
      </c>
      <c r="AD117">
        <v>0</v>
      </c>
      <c r="AE117">
        <v>300</v>
      </c>
      <c r="AF117">
        <v>800</v>
      </c>
      <c r="AG117">
        <v>0</v>
      </c>
      <c r="AJ117">
        <v>200</v>
      </c>
      <c r="AL117">
        <v>21042</v>
      </c>
      <c r="AP117">
        <v>-199.92</v>
      </c>
      <c r="AQ117">
        <v>0</v>
      </c>
      <c r="AR117">
        <v>-30</v>
      </c>
      <c r="AS117">
        <v>-1000</v>
      </c>
      <c r="AT117">
        <v>-1923.36</v>
      </c>
      <c r="AU117">
        <v>-480.84</v>
      </c>
      <c r="AV117">
        <v>-120.21</v>
      </c>
      <c r="AW117">
        <v>-5</v>
      </c>
      <c r="AX117">
        <v>-300.72000000000003</v>
      </c>
      <c r="AZ117">
        <v>-18.79</v>
      </c>
      <c r="BB117">
        <v>-2029</v>
      </c>
      <c r="BC117">
        <v>14934.16</v>
      </c>
    </row>
    <row r="118" spans="1:55" x14ac:dyDescent="0.15">
      <c r="A118">
        <v>117</v>
      </c>
      <c r="B118" t="s">
        <v>136</v>
      </c>
      <c r="C118" t="s">
        <v>164</v>
      </c>
      <c r="D118">
        <v>176</v>
      </c>
      <c r="N118">
        <v>74.709999999999994</v>
      </c>
      <c r="O118">
        <v>13000</v>
      </c>
      <c r="Q118">
        <v>0</v>
      </c>
      <c r="R118">
        <v>3000</v>
      </c>
      <c r="S118">
        <v>500</v>
      </c>
      <c r="T118">
        <v>792</v>
      </c>
      <c r="U118">
        <v>150</v>
      </c>
      <c r="V118">
        <v>350</v>
      </c>
      <c r="W118">
        <v>250</v>
      </c>
      <c r="Y118">
        <v>0</v>
      </c>
      <c r="AB118">
        <v>0</v>
      </c>
      <c r="AD118">
        <v>0</v>
      </c>
      <c r="AE118">
        <v>200</v>
      </c>
      <c r="AF118">
        <v>0</v>
      </c>
      <c r="AG118">
        <v>0</v>
      </c>
      <c r="AJ118">
        <v>200</v>
      </c>
      <c r="AL118">
        <v>18442</v>
      </c>
      <c r="AP118">
        <v>-228.98</v>
      </c>
      <c r="AQ118">
        <v>0</v>
      </c>
      <c r="AR118">
        <v>-30</v>
      </c>
      <c r="AT118">
        <v>-1701.28</v>
      </c>
      <c r="AU118">
        <v>-425.32</v>
      </c>
      <c r="AV118">
        <v>-106.33</v>
      </c>
      <c r="AW118">
        <v>-5</v>
      </c>
      <c r="AX118">
        <v>-298.56</v>
      </c>
      <c r="AZ118">
        <v>-18.66</v>
      </c>
      <c r="BB118">
        <v>-1754</v>
      </c>
      <c r="BC118">
        <v>13873.87</v>
      </c>
    </row>
    <row r="119" spans="1:55" x14ac:dyDescent="0.15">
      <c r="A119">
        <v>118</v>
      </c>
      <c r="B119" t="s">
        <v>137</v>
      </c>
      <c r="C119" t="s">
        <v>181</v>
      </c>
      <c r="D119">
        <v>176</v>
      </c>
      <c r="N119">
        <v>74.709999999999994</v>
      </c>
      <c r="O119">
        <v>13000</v>
      </c>
      <c r="Q119">
        <v>0</v>
      </c>
      <c r="R119">
        <v>3000</v>
      </c>
      <c r="S119">
        <v>500</v>
      </c>
      <c r="T119">
        <v>1056</v>
      </c>
      <c r="U119">
        <v>150</v>
      </c>
      <c r="V119">
        <v>350</v>
      </c>
      <c r="W119">
        <v>250</v>
      </c>
      <c r="Y119">
        <v>0</v>
      </c>
      <c r="AB119">
        <v>0</v>
      </c>
      <c r="AD119">
        <v>0</v>
      </c>
      <c r="AE119">
        <v>300</v>
      </c>
      <c r="AF119">
        <v>1000</v>
      </c>
      <c r="AG119">
        <v>0</v>
      </c>
      <c r="AJ119">
        <v>200</v>
      </c>
      <c r="AL119">
        <v>19806</v>
      </c>
      <c r="AP119">
        <v>-268.39999999999998</v>
      </c>
      <c r="AQ119">
        <v>0</v>
      </c>
      <c r="AR119">
        <v>-30</v>
      </c>
      <c r="AS119">
        <v>-1000</v>
      </c>
      <c r="AT119">
        <v>-1728</v>
      </c>
      <c r="AU119">
        <v>-432</v>
      </c>
      <c r="AV119">
        <v>-108</v>
      </c>
      <c r="AW119">
        <v>-5</v>
      </c>
      <c r="AX119">
        <v>-395.68</v>
      </c>
      <c r="AZ119">
        <v>-24.73</v>
      </c>
      <c r="BB119">
        <v>-1666</v>
      </c>
      <c r="BC119">
        <v>14148.19</v>
      </c>
    </row>
    <row r="120" spans="1:55" x14ac:dyDescent="0.15">
      <c r="A120">
        <v>119</v>
      </c>
      <c r="B120" t="s">
        <v>138</v>
      </c>
      <c r="C120" t="s">
        <v>159</v>
      </c>
      <c r="D120">
        <v>176</v>
      </c>
      <c r="N120">
        <v>74.709999999999994</v>
      </c>
      <c r="O120">
        <v>13000</v>
      </c>
      <c r="Q120">
        <v>460</v>
      </c>
      <c r="R120">
        <v>5000</v>
      </c>
      <c r="S120">
        <v>3000</v>
      </c>
      <c r="T120">
        <v>6000</v>
      </c>
      <c r="U120">
        <v>150</v>
      </c>
      <c r="V120">
        <v>350</v>
      </c>
      <c r="W120">
        <v>250</v>
      </c>
      <c r="Y120">
        <v>0</v>
      </c>
      <c r="AB120">
        <v>0</v>
      </c>
      <c r="AD120">
        <v>0</v>
      </c>
      <c r="AF120">
        <v>0</v>
      </c>
      <c r="AG120">
        <v>0</v>
      </c>
      <c r="AJ120">
        <v>200</v>
      </c>
      <c r="AL120">
        <v>28410</v>
      </c>
      <c r="AP120">
        <v>-415.94</v>
      </c>
      <c r="AQ120">
        <v>0</v>
      </c>
      <c r="AR120">
        <v>-30</v>
      </c>
      <c r="AT120">
        <v>-1923.36</v>
      </c>
      <c r="AU120">
        <v>-480.84</v>
      </c>
      <c r="AV120">
        <v>-120.21</v>
      </c>
      <c r="AW120">
        <v>-5</v>
      </c>
      <c r="AX120">
        <v>0</v>
      </c>
      <c r="AZ120">
        <v>0</v>
      </c>
      <c r="BB120">
        <v>-2516</v>
      </c>
      <c r="BC120">
        <v>22918.65</v>
      </c>
    </row>
    <row r="121" spans="1:55" x14ac:dyDescent="0.15">
      <c r="A121">
        <v>120</v>
      </c>
      <c r="B121" t="s">
        <v>139</v>
      </c>
      <c r="C121" t="s">
        <v>159</v>
      </c>
      <c r="D121">
        <v>176</v>
      </c>
      <c r="M121">
        <v>4</v>
      </c>
      <c r="N121">
        <v>74.709999999999994</v>
      </c>
      <c r="O121">
        <v>13000</v>
      </c>
      <c r="Q121">
        <v>0</v>
      </c>
      <c r="R121">
        <v>4000</v>
      </c>
      <c r="S121">
        <v>2500</v>
      </c>
      <c r="T121">
        <v>5560</v>
      </c>
      <c r="U121">
        <v>150</v>
      </c>
      <c r="V121">
        <v>350</v>
      </c>
      <c r="W121">
        <v>250</v>
      </c>
      <c r="Y121">
        <v>0</v>
      </c>
      <c r="AB121">
        <v>0</v>
      </c>
      <c r="AD121">
        <v>896.52</v>
      </c>
      <c r="AE121">
        <v>300</v>
      </c>
      <c r="AF121">
        <v>530</v>
      </c>
      <c r="AG121">
        <v>0</v>
      </c>
      <c r="AJ121">
        <v>200</v>
      </c>
      <c r="AL121">
        <v>27736.52</v>
      </c>
      <c r="AP121">
        <v>-383.82</v>
      </c>
      <c r="AQ121">
        <v>0</v>
      </c>
      <c r="AR121">
        <v>-30</v>
      </c>
      <c r="AS121">
        <v>-1000</v>
      </c>
      <c r="AT121">
        <v>-1923.36</v>
      </c>
      <c r="AU121">
        <v>-480.84</v>
      </c>
      <c r="AV121">
        <v>-120.21</v>
      </c>
      <c r="AW121">
        <v>-5</v>
      </c>
      <c r="AX121">
        <v>0</v>
      </c>
      <c r="AZ121">
        <v>0</v>
      </c>
      <c r="BB121">
        <v>-2413</v>
      </c>
      <c r="BC121">
        <v>21380.29</v>
      </c>
    </row>
    <row r="122" spans="1:55" x14ac:dyDescent="0.15">
      <c r="A122">
        <v>121</v>
      </c>
      <c r="B122" t="s">
        <v>140</v>
      </c>
      <c r="C122" t="s">
        <v>189</v>
      </c>
      <c r="D122">
        <v>176</v>
      </c>
      <c r="N122">
        <v>74.709999999999994</v>
      </c>
      <c r="O122">
        <v>13000</v>
      </c>
      <c r="Q122">
        <v>0</v>
      </c>
      <c r="R122">
        <v>5000</v>
      </c>
      <c r="S122">
        <v>2500</v>
      </c>
      <c r="T122">
        <v>5920</v>
      </c>
      <c r="U122">
        <v>150</v>
      </c>
      <c r="V122">
        <v>350</v>
      </c>
      <c r="W122">
        <v>250</v>
      </c>
      <c r="Y122">
        <v>0</v>
      </c>
      <c r="AB122">
        <v>0</v>
      </c>
      <c r="AD122">
        <v>0</v>
      </c>
      <c r="AE122">
        <v>200</v>
      </c>
      <c r="AF122">
        <v>0</v>
      </c>
      <c r="AG122">
        <v>0</v>
      </c>
      <c r="AJ122">
        <v>200</v>
      </c>
      <c r="AL122">
        <v>27570</v>
      </c>
      <c r="AP122">
        <v>-419.21</v>
      </c>
      <c r="AQ122">
        <v>0</v>
      </c>
      <c r="AR122">
        <v>-30</v>
      </c>
      <c r="AS122">
        <v>-1000</v>
      </c>
      <c r="AT122">
        <v>-1923.36</v>
      </c>
      <c r="AU122">
        <v>-480.84</v>
      </c>
      <c r="AV122">
        <v>-120.21</v>
      </c>
      <c r="AW122">
        <v>-5</v>
      </c>
      <c r="AX122">
        <v>0</v>
      </c>
      <c r="AZ122">
        <v>0</v>
      </c>
      <c r="BB122">
        <v>-2567</v>
      </c>
      <c r="BC122">
        <v>21024.38</v>
      </c>
    </row>
    <row r="123" spans="1:55" x14ac:dyDescent="0.15">
      <c r="A123">
        <v>122</v>
      </c>
      <c r="B123" t="s">
        <v>141</v>
      </c>
      <c r="C123" t="s">
        <v>211</v>
      </c>
      <c r="D123">
        <v>176</v>
      </c>
      <c r="M123">
        <v>0</v>
      </c>
      <c r="N123">
        <v>74.709999999999994</v>
      </c>
      <c r="O123">
        <v>13000</v>
      </c>
      <c r="Q123">
        <v>6608</v>
      </c>
      <c r="R123">
        <v>4000</v>
      </c>
      <c r="S123">
        <v>2000</v>
      </c>
      <c r="T123">
        <v>4800</v>
      </c>
      <c r="U123">
        <v>150</v>
      </c>
      <c r="V123">
        <v>350</v>
      </c>
      <c r="W123">
        <v>250</v>
      </c>
      <c r="Y123">
        <v>0</v>
      </c>
      <c r="AB123">
        <v>0</v>
      </c>
      <c r="AD123">
        <v>0</v>
      </c>
      <c r="AE123">
        <v>300</v>
      </c>
      <c r="AF123">
        <v>0</v>
      </c>
      <c r="AG123">
        <v>0</v>
      </c>
      <c r="AJ123">
        <v>200</v>
      </c>
      <c r="AL123">
        <v>31658</v>
      </c>
      <c r="AP123">
        <v>-920.03</v>
      </c>
      <c r="AQ123">
        <v>0</v>
      </c>
      <c r="AR123">
        <v>-30</v>
      </c>
      <c r="AT123">
        <v>-1923.36</v>
      </c>
      <c r="AU123">
        <v>-480.84</v>
      </c>
      <c r="AV123">
        <v>-120.21</v>
      </c>
      <c r="AW123">
        <v>-5</v>
      </c>
      <c r="AX123">
        <v>0</v>
      </c>
      <c r="AZ123">
        <v>0</v>
      </c>
      <c r="BB123">
        <v>-3231</v>
      </c>
      <c r="BC123">
        <v>24947.56</v>
      </c>
    </row>
    <row r="124" spans="1:55" x14ac:dyDescent="0.15">
      <c r="A124">
        <v>123</v>
      </c>
      <c r="B124" t="s">
        <v>142</v>
      </c>
      <c r="C124" t="s">
        <v>193</v>
      </c>
      <c r="D124">
        <v>176</v>
      </c>
      <c r="M124">
        <v>0</v>
      </c>
      <c r="N124">
        <v>103.45</v>
      </c>
      <c r="O124">
        <v>18000</v>
      </c>
      <c r="Q124">
        <v>4512</v>
      </c>
      <c r="R124">
        <v>5000</v>
      </c>
      <c r="S124">
        <v>4000</v>
      </c>
      <c r="T124">
        <v>7200</v>
      </c>
      <c r="U124">
        <v>150</v>
      </c>
      <c r="V124">
        <v>350</v>
      </c>
      <c r="W124">
        <v>250</v>
      </c>
      <c r="Y124">
        <v>0</v>
      </c>
      <c r="AB124">
        <v>0</v>
      </c>
      <c r="AD124">
        <v>0</v>
      </c>
      <c r="AE124">
        <v>300</v>
      </c>
      <c r="AF124">
        <v>0</v>
      </c>
      <c r="AG124">
        <v>0</v>
      </c>
      <c r="AJ124">
        <v>200</v>
      </c>
      <c r="AL124">
        <v>39962</v>
      </c>
      <c r="AP124">
        <v>-1505.7</v>
      </c>
      <c r="AQ124">
        <v>0</v>
      </c>
      <c r="AR124">
        <v>-30</v>
      </c>
      <c r="AT124">
        <v>-1923.36</v>
      </c>
      <c r="AU124">
        <v>-480.84</v>
      </c>
      <c r="AV124">
        <v>-120.21</v>
      </c>
      <c r="AW124">
        <v>-5</v>
      </c>
      <c r="AX124">
        <v>0</v>
      </c>
      <c r="AZ124">
        <v>0</v>
      </c>
      <c r="BB124">
        <v>-3300</v>
      </c>
      <c r="BC124">
        <v>32596.89</v>
      </c>
    </row>
    <row r="125" spans="1:55" x14ac:dyDescent="0.15">
      <c r="A125">
        <v>124</v>
      </c>
      <c r="B125" t="s">
        <v>143</v>
      </c>
      <c r="C125" t="s">
        <v>159</v>
      </c>
      <c r="D125">
        <v>176</v>
      </c>
      <c r="N125">
        <v>359.2</v>
      </c>
      <c r="O125">
        <v>62500</v>
      </c>
      <c r="U125">
        <v>0</v>
      </c>
      <c r="V125">
        <v>0</v>
      </c>
      <c r="W125">
        <v>0</v>
      </c>
      <c r="X125">
        <v>-11363.64</v>
      </c>
      <c r="AB125">
        <v>0</v>
      </c>
      <c r="AD125">
        <v>0</v>
      </c>
      <c r="AF125">
        <v>5000</v>
      </c>
      <c r="AL125">
        <v>56136.36</v>
      </c>
      <c r="AP125">
        <v>-5113.6400000000003</v>
      </c>
      <c r="AR125">
        <v>-30</v>
      </c>
      <c r="BC125">
        <v>50992.72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5"/>
  <sheetViews>
    <sheetView workbookViewId="0"/>
  </sheetViews>
  <sheetFormatPr defaultRowHeight="13.5" x14ac:dyDescent="0.15"/>
  <sheetData>
    <row r="1" spans="1:35" x14ac:dyDescent="0.15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440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  <c r="U1" s="1" t="s">
        <v>447</v>
      </c>
      <c r="V1" s="1" t="s">
        <v>448</v>
      </c>
      <c r="W1" s="1" t="s">
        <v>449</v>
      </c>
      <c r="X1" s="1" t="s">
        <v>450</v>
      </c>
      <c r="Y1" s="1" t="s">
        <v>451</v>
      </c>
      <c r="Z1" s="1" t="s">
        <v>452</v>
      </c>
      <c r="AA1" s="1" t="s">
        <v>453</v>
      </c>
      <c r="AB1" s="1" t="s">
        <v>454</v>
      </c>
      <c r="AC1" s="1" t="s">
        <v>455</v>
      </c>
      <c r="AD1" s="1" t="s">
        <v>456</v>
      </c>
      <c r="AE1" s="1" t="s">
        <v>457</v>
      </c>
      <c r="AF1" s="1" t="s">
        <v>458</v>
      </c>
      <c r="AG1" s="1" t="s">
        <v>459</v>
      </c>
      <c r="AH1" s="1" t="s">
        <v>460</v>
      </c>
      <c r="AI1" s="1" t="s">
        <v>461</v>
      </c>
    </row>
    <row r="2" spans="1:35" x14ac:dyDescent="0.15">
      <c r="D2" t="s">
        <v>462</v>
      </c>
      <c r="E2" t="s">
        <v>463</v>
      </c>
      <c r="F2" t="s">
        <v>464</v>
      </c>
      <c r="G2" t="s">
        <v>465</v>
      </c>
      <c r="W2" t="s">
        <v>466</v>
      </c>
      <c r="X2" t="s">
        <v>467</v>
      </c>
      <c r="AC2" t="s">
        <v>468</v>
      </c>
      <c r="AD2" t="s">
        <v>469</v>
      </c>
    </row>
    <row r="3" spans="1:35" x14ac:dyDescent="0.15">
      <c r="A3">
        <v>1</v>
      </c>
      <c r="B3" t="s">
        <v>20</v>
      </c>
      <c r="C3">
        <v>165</v>
      </c>
      <c r="H3">
        <v>36</v>
      </c>
      <c r="J3">
        <v>36</v>
      </c>
      <c r="K3">
        <v>6.5</v>
      </c>
      <c r="M3">
        <v>6.5</v>
      </c>
      <c r="N3">
        <v>-4.2</v>
      </c>
      <c r="P3">
        <v>6.5</v>
      </c>
      <c r="Q3">
        <v>7.5</v>
      </c>
      <c r="S3">
        <v>7.5</v>
      </c>
      <c r="T3">
        <v>7</v>
      </c>
      <c r="U3">
        <v>6</v>
      </c>
      <c r="V3">
        <v>7</v>
      </c>
    </row>
    <row r="4" spans="1:35" x14ac:dyDescent="0.15">
      <c r="A4">
        <v>2</v>
      </c>
      <c r="B4" t="s">
        <v>139</v>
      </c>
      <c r="C4">
        <v>176</v>
      </c>
      <c r="J4">
        <v>0</v>
      </c>
      <c r="M4">
        <v>0</v>
      </c>
      <c r="P4">
        <v>0</v>
      </c>
      <c r="Q4">
        <v>4</v>
      </c>
      <c r="S4">
        <v>4</v>
      </c>
      <c r="W4">
        <v>5</v>
      </c>
      <c r="X4">
        <v>500</v>
      </c>
      <c r="Y4">
        <v>30</v>
      </c>
      <c r="AC4">
        <v>7.5</v>
      </c>
    </row>
    <row r="5" spans="1:35" x14ac:dyDescent="0.15">
      <c r="A5">
        <v>3</v>
      </c>
      <c r="B5" t="s">
        <v>122</v>
      </c>
      <c r="C5">
        <v>176</v>
      </c>
      <c r="H5">
        <v>18</v>
      </c>
      <c r="J5">
        <v>18</v>
      </c>
      <c r="M5">
        <v>0</v>
      </c>
      <c r="P5">
        <v>0</v>
      </c>
      <c r="Q5">
        <v>8</v>
      </c>
      <c r="S5">
        <v>8</v>
      </c>
      <c r="W5">
        <v>7</v>
      </c>
      <c r="X5">
        <v>800</v>
      </c>
      <c r="Y5">
        <v>80</v>
      </c>
      <c r="Z5">
        <v>15</v>
      </c>
    </row>
    <row r="6" spans="1:35" x14ac:dyDescent="0.15">
      <c r="A6">
        <v>4</v>
      </c>
      <c r="B6" t="s">
        <v>116</v>
      </c>
      <c r="C6">
        <v>176</v>
      </c>
      <c r="H6">
        <v>20</v>
      </c>
      <c r="J6">
        <v>20</v>
      </c>
      <c r="M6">
        <v>0</v>
      </c>
      <c r="P6">
        <v>0</v>
      </c>
      <c r="S6">
        <v>0</v>
      </c>
      <c r="W6">
        <v>11.5</v>
      </c>
      <c r="X6">
        <v>600</v>
      </c>
    </row>
    <row r="7" spans="1:35" x14ac:dyDescent="0.15">
      <c r="A7">
        <v>5</v>
      </c>
      <c r="B7" t="s">
        <v>132</v>
      </c>
      <c r="C7">
        <v>176</v>
      </c>
      <c r="J7">
        <v>0</v>
      </c>
      <c r="M7">
        <v>0</v>
      </c>
      <c r="P7">
        <v>0</v>
      </c>
      <c r="S7">
        <v>0</v>
      </c>
      <c r="AC7">
        <v>4.5</v>
      </c>
    </row>
    <row r="8" spans="1:35" x14ac:dyDescent="0.15">
      <c r="A8">
        <v>6</v>
      </c>
      <c r="B8" t="s">
        <v>135</v>
      </c>
      <c r="C8">
        <v>176</v>
      </c>
      <c r="J8">
        <v>0</v>
      </c>
      <c r="M8">
        <v>0</v>
      </c>
      <c r="P8">
        <v>0</v>
      </c>
      <c r="S8">
        <v>0</v>
      </c>
      <c r="X8">
        <v>800</v>
      </c>
      <c r="AC8">
        <v>1</v>
      </c>
    </row>
    <row r="9" spans="1:35" x14ac:dyDescent="0.15">
      <c r="A9">
        <v>7</v>
      </c>
      <c r="B9" t="s">
        <v>127</v>
      </c>
      <c r="C9">
        <v>176</v>
      </c>
      <c r="J9">
        <v>0</v>
      </c>
      <c r="M9">
        <v>0</v>
      </c>
      <c r="P9">
        <v>0</v>
      </c>
      <c r="S9">
        <v>0</v>
      </c>
      <c r="AC9">
        <v>8</v>
      </c>
    </row>
    <row r="10" spans="1:35" x14ac:dyDescent="0.15">
      <c r="A10">
        <v>8</v>
      </c>
      <c r="B10" t="s">
        <v>21</v>
      </c>
      <c r="C10">
        <v>180</v>
      </c>
      <c r="H10">
        <v>36.5</v>
      </c>
      <c r="I10">
        <v>8</v>
      </c>
      <c r="J10">
        <v>44.5</v>
      </c>
      <c r="K10">
        <v>4</v>
      </c>
      <c r="M10">
        <v>4</v>
      </c>
      <c r="N10">
        <v>-3.6</v>
      </c>
      <c r="P10">
        <v>4</v>
      </c>
      <c r="S10">
        <v>0</v>
      </c>
      <c r="T10">
        <v>7.5</v>
      </c>
      <c r="U10">
        <v>8.5</v>
      </c>
      <c r="V10">
        <v>8</v>
      </c>
      <c r="Y10">
        <v>30</v>
      </c>
    </row>
    <row r="11" spans="1:35" x14ac:dyDescent="0.15">
      <c r="A11">
        <v>9</v>
      </c>
      <c r="B11" t="s">
        <v>133</v>
      </c>
      <c r="C11">
        <v>176</v>
      </c>
      <c r="J11">
        <v>0</v>
      </c>
      <c r="M11">
        <v>0</v>
      </c>
      <c r="P11">
        <v>0</v>
      </c>
      <c r="S11">
        <v>0</v>
      </c>
      <c r="W11">
        <v>9.5</v>
      </c>
      <c r="X11">
        <v>1300</v>
      </c>
      <c r="AC11">
        <v>20</v>
      </c>
    </row>
    <row r="12" spans="1:35" x14ac:dyDescent="0.15">
      <c r="A12">
        <v>10</v>
      </c>
      <c r="B12" t="s">
        <v>121</v>
      </c>
      <c r="C12">
        <v>176</v>
      </c>
      <c r="H12">
        <v>13</v>
      </c>
      <c r="J12">
        <v>13</v>
      </c>
      <c r="M12">
        <v>0</v>
      </c>
      <c r="P12">
        <v>0</v>
      </c>
      <c r="S12">
        <v>0</v>
      </c>
      <c r="W12">
        <v>5.5</v>
      </c>
      <c r="X12">
        <v>800</v>
      </c>
      <c r="Y12">
        <v>100</v>
      </c>
      <c r="Z12">
        <v>40</v>
      </c>
    </row>
    <row r="13" spans="1:35" x14ac:dyDescent="0.15">
      <c r="A13">
        <v>11</v>
      </c>
      <c r="B13" t="s">
        <v>131</v>
      </c>
      <c r="C13">
        <v>176</v>
      </c>
      <c r="J13">
        <v>0</v>
      </c>
      <c r="M13">
        <v>0</v>
      </c>
      <c r="P13">
        <v>0</v>
      </c>
      <c r="S13">
        <v>0</v>
      </c>
      <c r="W13">
        <v>10</v>
      </c>
      <c r="X13">
        <v>1300</v>
      </c>
      <c r="AC13">
        <v>10.5</v>
      </c>
    </row>
    <row r="14" spans="1:35" x14ac:dyDescent="0.15">
      <c r="A14">
        <v>12</v>
      </c>
      <c r="B14" t="s">
        <v>138</v>
      </c>
      <c r="C14">
        <v>176</v>
      </c>
      <c r="J14">
        <v>0</v>
      </c>
      <c r="M14">
        <v>0</v>
      </c>
      <c r="P14">
        <v>0</v>
      </c>
      <c r="S14">
        <v>0</v>
      </c>
      <c r="AC14">
        <v>8.5</v>
      </c>
    </row>
    <row r="15" spans="1:35" x14ac:dyDescent="0.15">
      <c r="A15">
        <v>13</v>
      </c>
      <c r="B15" t="s">
        <v>119</v>
      </c>
      <c r="C15">
        <v>176</v>
      </c>
      <c r="H15">
        <v>20</v>
      </c>
      <c r="J15">
        <v>20</v>
      </c>
      <c r="M15">
        <v>0</v>
      </c>
      <c r="P15">
        <v>0</v>
      </c>
      <c r="S15">
        <v>0</v>
      </c>
    </row>
    <row r="16" spans="1:35" x14ac:dyDescent="0.15">
      <c r="A16">
        <v>14</v>
      </c>
      <c r="B16" t="s">
        <v>125</v>
      </c>
      <c r="C16">
        <v>176</v>
      </c>
      <c r="J16">
        <v>0</v>
      </c>
      <c r="M16">
        <v>0</v>
      </c>
      <c r="P16">
        <v>0</v>
      </c>
      <c r="S16">
        <v>0</v>
      </c>
      <c r="X16">
        <v>800</v>
      </c>
      <c r="AC16">
        <v>8</v>
      </c>
    </row>
    <row r="17" spans="1:30" x14ac:dyDescent="0.15">
      <c r="A17">
        <v>15</v>
      </c>
      <c r="B17" t="s">
        <v>114</v>
      </c>
      <c r="C17">
        <v>176</v>
      </c>
      <c r="H17">
        <v>2.5</v>
      </c>
      <c r="J17">
        <v>2.5</v>
      </c>
      <c r="M17">
        <v>0</v>
      </c>
      <c r="P17">
        <v>0</v>
      </c>
      <c r="S17">
        <v>0</v>
      </c>
    </row>
    <row r="18" spans="1:30" x14ac:dyDescent="0.15">
      <c r="A18">
        <v>16</v>
      </c>
      <c r="B18" t="s">
        <v>136</v>
      </c>
      <c r="C18">
        <v>176</v>
      </c>
      <c r="J18">
        <v>0</v>
      </c>
      <c r="M18">
        <v>0</v>
      </c>
      <c r="P18">
        <v>0</v>
      </c>
      <c r="S18">
        <v>0</v>
      </c>
      <c r="AC18">
        <v>5.5</v>
      </c>
    </row>
    <row r="19" spans="1:30" x14ac:dyDescent="0.15">
      <c r="A19">
        <v>17</v>
      </c>
      <c r="B19" t="s">
        <v>22</v>
      </c>
      <c r="C19">
        <v>176</v>
      </c>
      <c r="J19">
        <v>0</v>
      </c>
      <c r="K19">
        <v>8.5</v>
      </c>
      <c r="M19">
        <v>8.5</v>
      </c>
      <c r="P19">
        <v>8.5</v>
      </c>
      <c r="S19">
        <v>0</v>
      </c>
    </row>
    <row r="20" spans="1:30" x14ac:dyDescent="0.15">
      <c r="A20">
        <v>18</v>
      </c>
      <c r="B20" t="s">
        <v>23</v>
      </c>
      <c r="C20">
        <v>165</v>
      </c>
      <c r="H20">
        <v>36.5</v>
      </c>
      <c r="I20">
        <v>8</v>
      </c>
      <c r="J20">
        <v>44.5</v>
      </c>
      <c r="K20">
        <v>4.5</v>
      </c>
      <c r="M20">
        <v>4.5</v>
      </c>
      <c r="N20">
        <v>-4.2</v>
      </c>
      <c r="P20">
        <v>4.5</v>
      </c>
      <c r="Q20">
        <v>7.5</v>
      </c>
      <c r="S20">
        <v>7.5</v>
      </c>
      <c r="T20">
        <v>8</v>
      </c>
      <c r="U20">
        <v>7</v>
      </c>
      <c r="V20">
        <v>6</v>
      </c>
      <c r="Y20">
        <v>60</v>
      </c>
    </row>
    <row r="21" spans="1:30" x14ac:dyDescent="0.15">
      <c r="A21">
        <v>19</v>
      </c>
      <c r="B21" t="s">
        <v>117</v>
      </c>
      <c r="C21">
        <v>176</v>
      </c>
      <c r="H21">
        <v>19</v>
      </c>
      <c r="J21">
        <v>19</v>
      </c>
      <c r="M21">
        <v>0</v>
      </c>
      <c r="P21">
        <v>0</v>
      </c>
      <c r="S21">
        <v>0</v>
      </c>
      <c r="W21">
        <v>4.5</v>
      </c>
      <c r="X21">
        <v>300</v>
      </c>
      <c r="Z21">
        <v>70</v>
      </c>
      <c r="AA21">
        <v>60</v>
      </c>
    </row>
    <row r="22" spans="1:30" x14ac:dyDescent="0.15">
      <c r="A22">
        <v>20</v>
      </c>
      <c r="B22" t="s">
        <v>24</v>
      </c>
      <c r="C22">
        <v>165</v>
      </c>
      <c r="H22">
        <v>28</v>
      </c>
      <c r="I22">
        <v>17.5</v>
      </c>
      <c r="J22">
        <v>45.5</v>
      </c>
      <c r="K22">
        <v>5.5</v>
      </c>
      <c r="L22">
        <v>8.5</v>
      </c>
      <c r="M22">
        <v>14</v>
      </c>
      <c r="N22">
        <v>-4.2</v>
      </c>
      <c r="P22">
        <v>14</v>
      </c>
      <c r="Q22">
        <v>7.5</v>
      </c>
      <c r="S22">
        <v>7.5</v>
      </c>
      <c r="T22">
        <v>10</v>
      </c>
      <c r="U22">
        <v>8</v>
      </c>
      <c r="V22">
        <v>7.5</v>
      </c>
      <c r="Y22">
        <v>60</v>
      </c>
    </row>
    <row r="23" spans="1:30" x14ac:dyDescent="0.15">
      <c r="A23">
        <v>21</v>
      </c>
      <c r="B23" t="s">
        <v>128</v>
      </c>
      <c r="C23">
        <v>176</v>
      </c>
      <c r="J23">
        <v>0</v>
      </c>
      <c r="M23">
        <v>0</v>
      </c>
      <c r="P23">
        <v>0</v>
      </c>
      <c r="S23">
        <v>0</v>
      </c>
      <c r="AC23">
        <v>0.5</v>
      </c>
    </row>
    <row r="24" spans="1:30" x14ac:dyDescent="0.15">
      <c r="A24">
        <v>22</v>
      </c>
      <c r="B24" t="s">
        <v>126</v>
      </c>
      <c r="C24">
        <v>176</v>
      </c>
      <c r="J24">
        <v>0</v>
      </c>
      <c r="M24">
        <v>0</v>
      </c>
      <c r="P24">
        <v>0</v>
      </c>
      <c r="Q24">
        <v>7.5</v>
      </c>
      <c r="S24">
        <v>7.5</v>
      </c>
    </row>
    <row r="25" spans="1:30" x14ac:dyDescent="0.15">
      <c r="A25">
        <v>23</v>
      </c>
      <c r="B25" t="s">
        <v>25</v>
      </c>
      <c r="C25">
        <v>180</v>
      </c>
      <c r="H25">
        <v>39.5</v>
      </c>
      <c r="J25">
        <v>39.5</v>
      </c>
      <c r="K25">
        <v>9.5</v>
      </c>
      <c r="M25">
        <v>9.5</v>
      </c>
      <c r="N25">
        <v>-3.6</v>
      </c>
      <c r="P25">
        <v>9.5</v>
      </c>
      <c r="S25">
        <v>0</v>
      </c>
      <c r="T25">
        <v>8</v>
      </c>
      <c r="U25">
        <v>8</v>
      </c>
      <c r="V25">
        <v>7</v>
      </c>
    </row>
    <row r="26" spans="1:30" x14ac:dyDescent="0.15">
      <c r="A26">
        <v>24</v>
      </c>
      <c r="B26" t="s">
        <v>123</v>
      </c>
      <c r="C26">
        <v>176</v>
      </c>
      <c r="H26">
        <v>20</v>
      </c>
      <c r="J26">
        <v>20</v>
      </c>
      <c r="M26">
        <v>0</v>
      </c>
      <c r="P26">
        <v>0</v>
      </c>
      <c r="S26">
        <v>0</v>
      </c>
    </row>
    <row r="27" spans="1:30" x14ac:dyDescent="0.15">
      <c r="A27">
        <v>25</v>
      </c>
      <c r="B27" t="s">
        <v>137</v>
      </c>
      <c r="C27">
        <v>176</v>
      </c>
      <c r="J27">
        <v>0</v>
      </c>
      <c r="M27">
        <v>0</v>
      </c>
      <c r="P27">
        <v>0</v>
      </c>
      <c r="S27">
        <v>0</v>
      </c>
      <c r="W27">
        <v>9</v>
      </c>
      <c r="X27">
        <v>1000</v>
      </c>
      <c r="AC27">
        <v>1.5</v>
      </c>
    </row>
    <row r="28" spans="1:30" x14ac:dyDescent="0.15">
      <c r="A28">
        <v>26</v>
      </c>
      <c r="B28" t="s">
        <v>124</v>
      </c>
      <c r="C28">
        <v>176</v>
      </c>
      <c r="H28">
        <v>5</v>
      </c>
      <c r="J28">
        <v>5</v>
      </c>
      <c r="M28">
        <v>0</v>
      </c>
      <c r="P28">
        <v>0</v>
      </c>
      <c r="Q28">
        <v>9</v>
      </c>
      <c r="S28">
        <v>9</v>
      </c>
    </row>
    <row r="29" spans="1:30" x14ac:dyDescent="0.15">
      <c r="A29">
        <v>27</v>
      </c>
      <c r="B29" t="s">
        <v>134</v>
      </c>
      <c r="C29">
        <v>176</v>
      </c>
      <c r="J29">
        <v>0</v>
      </c>
      <c r="M29">
        <v>0</v>
      </c>
      <c r="P29">
        <v>0</v>
      </c>
      <c r="Q29">
        <v>9.5</v>
      </c>
      <c r="S29">
        <v>9.5</v>
      </c>
      <c r="AC29">
        <v>5</v>
      </c>
    </row>
    <row r="30" spans="1:30" x14ac:dyDescent="0.15">
      <c r="A30">
        <v>28</v>
      </c>
      <c r="B30" t="s">
        <v>140</v>
      </c>
      <c r="C30">
        <v>176</v>
      </c>
      <c r="J30">
        <v>0</v>
      </c>
      <c r="M30">
        <v>0</v>
      </c>
      <c r="P30">
        <v>0</v>
      </c>
      <c r="S30">
        <v>0</v>
      </c>
      <c r="AC30">
        <v>3</v>
      </c>
      <c r="AD30">
        <v>2</v>
      </c>
    </row>
    <row r="31" spans="1:30" x14ac:dyDescent="0.15">
      <c r="A31">
        <v>29</v>
      </c>
      <c r="B31" t="s">
        <v>130</v>
      </c>
      <c r="C31">
        <v>176</v>
      </c>
      <c r="J31">
        <v>0</v>
      </c>
      <c r="M31">
        <v>0</v>
      </c>
      <c r="P31">
        <v>0</v>
      </c>
      <c r="S31">
        <v>0</v>
      </c>
      <c r="AC31">
        <v>3.5</v>
      </c>
    </row>
    <row r="32" spans="1:30" x14ac:dyDescent="0.15">
      <c r="A32">
        <v>30</v>
      </c>
      <c r="B32" t="s">
        <v>26</v>
      </c>
      <c r="C32">
        <v>180</v>
      </c>
      <c r="H32">
        <v>30</v>
      </c>
      <c r="I32">
        <v>12.5</v>
      </c>
      <c r="J32">
        <v>42.5</v>
      </c>
      <c r="K32">
        <v>3.5</v>
      </c>
      <c r="L32">
        <v>4.5</v>
      </c>
      <c r="M32">
        <v>8</v>
      </c>
      <c r="N32">
        <v>-3.6</v>
      </c>
      <c r="P32">
        <v>8</v>
      </c>
      <c r="S32">
        <v>0</v>
      </c>
      <c r="T32">
        <v>8</v>
      </c>
      <c r="U32">
        <v>8</v>
      </c>
      <c r="V32">
        <v>8.5</v>
      </c>
      <c r="Y32">
        <v>80</v>
      </c>
    </row>
    <row r="33" spans="1:25" x14ac:dyDescent="0.15">
      <c r="A33">
        <v>31</v>
      </c>
      <c r="B33" t="s">
        <v>142</v>
      </c>
      <c r="C33">
        <v>176</v>
      </c>
      <c r="J33">
        <v>0</v>
      </c>
      <c r="M33">
        <v>0</v>
      </c>
      <c r="P33">
        <v>0</v>
      </c>
      <c r="S33">
        <v>0</v>
      </c>
    </row>
    <row r="34" spans="1:25" x14ac:dyDescent="0.15">
      <c r="A34">
        <v>32</v>
      </c>
      <c r="B34" t="s">
        <v>115</v>
      </c>
      <c r="C34">
        <v>176</v>
      </c>
      <c r="H34">
        <v>20</v>
      </c>
      <c r="J34">
        <v>20</v>
      </c>
      <c r="M34">
        <v>0</v>
      </c>
      <c r="P34">
        <v>0</v>
      </c>
      <c r="S34">
        <v>0</v>
      </c>
    </row>
    <row r="35" spans="1:25" x14ac:dyDescent="0.15">
      <c r="A35">
        <v>33</v>
      </c>
      <c r="B35" t="s">
        <v>27</v>
      </c>
      <c r="C35">
        <v>172.5</v>
      </c>
      <c r="H35">
        <v>35</v>
      </c>
      <c r="I35">
        <v>4.5</v>
      </c>
      <c r="J35">
        <v>39.5</v>
      </c>
      <c r="K35">
        <v>5.5</v>
      </c>
      <c r="M35">
        <v>5.5</v>
      </c>
      <c r="N35">
        <v>-1.7</v>
      </c>
      <c r="P35">
        <v>5.5</v>
      </c>
      <c r="S35">
        <v>0</v>
      </c>
      <c r="T35">
        <v>6.5</v>
      </c>
      <c r="U35">
        <v>8</v>
      </c>
      <c r="V35">
        <v>7</v>
      </c>
    </row>
    <row r="36" spans="1:25" x14ac:dyDescent="0.15">
      <c r="A36">
        <v>34</v>
      </c>
      <c r="B36" t="s">
        <v>28</v>
      </c>
      <c r="C36">
        <v>165</v>
      </c>
      <c r="H36">
        <v>23</v>
      </c>
      <c r="I36">
        <v>21</v>
      </c>
      <c r="J36">
        <v>44</v>
      </c>
      <c r="K36">
        <v>3</v>
      </c>
      <c r="M36">
        <v>3</v>
      </c>
      <c r="N36">
        <v>-4.2</v>
      </c>
      <c r="P36">
        <v>3</v>
      </c>
      <c r="Q36">
        <v>11</v>
      </c>
      <c r="S36">
        <v>11</v>
      </c>
      <c r="T36">
        <v>5.5</v>
      </c>
      <c r="U36">
        <v>8.5</v>
      </c>
      <c r="V36">
        <v>9.5</v>
      </c>
      <c r="Y36">
        <v>60</v>
      </c>
    </row>
    <row r="37" spans="1:25" x14ac:dyDescent="0.15">
      <c r="A37">
        <v>35</v>
      </c>
      <c r="B37" t="s">
        <v>29</v>
      </c>
      <c r="C37">
        <v>176</v>
      </c>
      <c r="H37">
        <v>10.5</v>
      </c>
      <c r="J37">
        <v>10.5</v>
      </c>
      <c r="K37">
        <v>34</v>
      </c>
      <c r="M37">
        <v>34</v>
      </c>
      <c r="P37">
        <v>34</v>
      </c>
      <c r="S37">
        <v>0</v>
      </c>
    </row>
    <row r="38" spans="1:25" x14ac:dyDescent="0.15">
      <c r="A38">
        <v>36</v>
      </c>
      <c r="B38" t="s">
        <v>30</v>
      </c>
      <c r="C38">
        <v>172.5</v>
      </c>
      <c r="H38">
        <v>35</v>
      </c>
      <c r="I38">
        <v>4</v>
      </c>
      <c r="J38">
        <v>39</v>
      </c>
      <c r="K38">
        <v>16.5</v>
      </c>
      <c r="M38">
        <v>16.5</v>
      </c>
      <c r="N38">
        <v>-1.7</v>
      </c>
      <c r="P38">
        <v>16.5</v>
      </c>
      <c r="S38">
        <v>0</v>
      </c>
      <c r="T38">
        <v>8</v>
      </c>
      <c r="U38">
        <v>8</v>
      </c>
      <c r="V38">
        <v>7</v>
      </c>
      <c r="Y38">
        <v>30</v>
      </c>
    </row>
    <row r="39" spans="1:25" x14ac:dyDescent="0.15">
      <c r="A39">
        <v>37</v>
      </c>
      <c r="B39" t="s">
        <v>31</v>
      </c>
      <c r="C39">
        <v>165</v>
      </c>
      <c r="H39">
        <v>27</v>
      </c>
      <c r="I39">
        <v>4</v>
      </c>
      <c r="J39">
        <v>31</v>
      </c>
      <c r="K39">
        <v>14</v>
      </c>
      <c r="M39">
        <v>14</v>
      </c>
      <c r="N39">
        <v>-4.2</v>
      </c>
      <c r="P39">
        <v>14</v>
      </c>
      <c r="Q39">
        <v>7.5</v>
      </c>
      <c r="S39">
        <v>7.5</v>
      </c>
      <c r="T39">
        <v>8</v>
      </c>
      <c r="U39">
        <v>6.5</v>
      </c>
      <c r="V39">
        <v>8</v>
      </c>
      <c r="Y39">
        <v>30</v>
      </c>
    </row>
    <row r="40" spans="1:25" x14ac:dyDescent="0.15">
      <c r="A40">
        <v>38</v>
      </c>
      <c r="B40" t="s">
        <v>32</v>
      </c>
      <c r="C40">
        <v>165</v>
      </c>
      <c r="H40">
        <v>30.5</v>
      </c>
      <c r="I40">
        <v>4.5</v>
      </c>
      <c r="J40">
        <v>35</v>
      </c>
      <c r="K40">
        <v>2</v>
      </c>
      <c r="L40">
        <v>5</v>
      </c>
      <c r="M40">
        <v>7</v>
      </c>
      <c r="N40">
        <v>-4.2</v>
      </c>
      <c r="P40">
        <v>7</v>
      </c>
      <c r="Q40">
        <v>11</v>
      </c>
      <c r="S40">
        <v>11</v>
      </c>
      <c r="T40">
        <v>6.5</v>
      </c>
      <c r="U40">
        <v>8</v>
      </c>
      <c r="V40">
        <v>7.5</v>
      </c>
    </row>
    <row r="41" spans="1:25" x14ac:dyDescent="0.15">
      <c r="A41">
        <v>39</v>
      </c>
      <c r="B41" t="s">
        <v>33</v>
      </c>
      <c r="C41">
        <v>176</v>
      </c>
      <c r="H41">
        <v>1</v>
      </c>
      <c r="J41">
        <v>1</v>
      </c>
      <c r="K41">
        <v>8</v>
      </c>
      <c r="M41">
        <v>8</v>
      </c>
      <c r="P41">
        <v>8</v>
      </c>
      <c r="Q41">
        <v>8</v>
      </c>
      <c r="S41">
        <v>8</v>
      </c>
    </row>
    <row r="42" spans="1:25" x14ac:dyDescent="0.15">
      <c r="A42">
        <v>40</v>
      </c>
      <c r="B42" t="s">
        <v>34</v>
      </c>
      <c r="C42">
        <v>180</v>
      </c>
      <c r="H42">
        <v>38</v>
      </c>
      <c r="I42">
        <v>5</v>
      </c>
      <c r="J42">
        <v>43</v>
      </c>
      <c r="K42">
        <v>3.5</v>
      </c>
      <c r="L42">
        <v>4.5</v>
      </c>
      <c r="M42">
        <v>8</v>
      </c>
      <c r="N42">
        <v>-3.6</v>
      </c>
      <c r="P42">
        <v>8</v>
      </c>
      <c r="S42">
        <v>0</v>
      </c>
      <c r="T42">
        <v>9</v>
      </c>
      <c r="U42">
        <v>6.5</v>
      </c>
      <c r="V42">
        <v>7.5</v>
      </c>
    </row>
    <row r="43" spans="1:25" x14ac:dyDescent="0.15">
      <c r="A43">
        <v>41</v>
      </c>
      <c r="B43" t="s">
        <v>141</v>
      </c>
      <c r="C43">
        <v>176</v>
      </c>
      <c r="J43">
        <v>0</v>
      </c>
      <c r="M43">
        <v>0</v>
      </c>
      <c r="P43">
        <v>0</v>
      </c>
      <c r="S43">
        <v>0</v>
      </c>
    </row>
    <row r="44" spans="1:25" x14ac:dyDescent="0.15">
      <c r="A44">
        <v>42</v>
      </c>
      <c r="B44" t="s">
        <v>35</v>
      </c>
      <c r="C44">
        <v>176</v>
      </c>
      <c r="H44">
        <v>10.5</v>
      </c>
      <c r="J44">
        <v>10.5</v>
      </c>
      <c r="K44">
        <v>32</v>
      </c>
      <c r="M44">
        <v>32</v>
      </c>
      <c r="P44">
        <v>32</v>
      </c>
      <c r="Q44">
        <v>9</v>
      </c>
      <c r="S44">
        <v>9</v>
      </c>
      <c r="Y44">
        <v>30</v>
      </c>
    </row>
    <row r="45" spans="1:25" x14ac:dyDescent="0.15">
      <c r="A45">
        <v>43</v>
      </c>
      <c r="B45" t="s">
        <v>36</v>
      </c>
      <c r="C45">
        <v>172.5</v>
      </c>
      <c r="H45">
        <v>35.5</v>
      </c>
      <c r="I45">
        <v>4.5</v>
      </c>
      <c r="J45">
        <v>40</v>
      </c>
      <c r="K45">
        <v>4</v>
      </c>
      <c r="M45">
        <v>4</v>
      </c>
      <c r="N45">
        <v>-1.7</v>
      </c>
      <c r="P45">
        <v>4</v>
      </c>
      <c r="S45">
        <v>0</v>
      </c>
      <c r="T45">
        <v>8.5</v>
      </c>
      <c r="U45">
        <v>7.5</v>
      </c>
      <c r="V45">
        <v>6.5</v>
      </c>
    </row>
    <row r="46" spans="1:25" x14ac:dyDescent="0.15">
      <c r="A46">
        <v>44</v>
      </c>
      <c r="B46" t="s">
        <v>37</v>
      </c>
      <c r="C46">
        <v>176</v>
      </c>
      <c r="H46">
        <v>7</v>
      </c>
      <c r="J46">
        <v>7</v>
      </c>
      <c r="K46">
        <v>4</v>
      </c>
      <c r="M46">
        <v>4</v>
      </c>
      <c r="P46">
        <v>4</v>
      </c>
      <c r="S46">
        <v>0</v>
      </c>
    </row>
    <row r="47" spans="1:25" x14ac:dyDescent="0.15">
      <c r="A47">
        <v>45</v>
      </c>
      <c r="B47" t="s">
        <v>38</v>
      </c>
      <c r="C47">
        <v>176</v>
      </c>
      <c r="J47">
        <v>0</v>
      </c>
      <c r="M47">
        <v>0</v>
      </c>
      <c r="P47">
        <v>0</v>
      </c>
      <c r="S47">
        <v>0</v>
      </c>
    </row>
    <row r="48" spans="1:25" x14ac:dyDescent="0.15">
      <c r="A48">
        <v>46</v>
      </c>
      <c r="B48" t="s">
        <v>39</v>
      </c>
      <c r="C48">
        <v>172.5</v>
      </c>
      <c r="H48">
        <v>31.5</v>
      </c>
      <c r="J48">
        <v>31.5</v>
      </c>
      <c r="K48">
        <v>10.5</v>
      </c>
      <c r="L48">
        <v>4</v>
      </c>
      <c r="M48">
        <v>14.5</v>
      </c>
      <c r="N48">
        <v>-1.7</v>
      </c>
      <c r="P48">
        <v>14.5</v>
      </c>
      <c r="S48">
        <v>0</v>
      </c>
      <c r="T48">
        <v>8.5</v>
      </c>
      <c r="U48">
        <v>8</v>
      </c>
      <c r="V48">
        <v>7</v>
      </c>
    </row>
    <row r="49" spans="1:29" x14ac:dyDescent="0.15">
      <c r="A49">
        <v>47</v>
      </c>
      <c r="B49" t="s">
        <v>40</v>
      </c>
      <c r="C49">
        <v>172.5</v>
      </c>
      <c r="H49">
        <v>29.5</v>
      </c>
      <c r="I49">
        <v>8</v>
      </c>
      <c r="J49">
        <v>37.5</v>
      </c>
      <c r="K49">
        <v>5.5</v>
      </c>
      <c r="M49">
        <v>5.5</v>
      </c>
      <c r="N49">
        <v>-1.7</v>
      </c>
      <c r="P49">
        <v>5.5</v>
      </c>
      <c r="S49">
        <v>0</v>
      </c>
      <c r="T49">
        <v>8.5</v>
      </c>
      <c r="U49">
        <v>8</v>
      </c>
      <c r="V49">
        <v>7</v>
      </c>
      <c r="Y49">
        <v>60</v>
      </c>
    </row>
    <row r="50" spans="1:29" x14ac:dyDescent="0.15">
      <c r="A50">
        <v>48</v>
      </c>
      <c r="B50" t="s">
        <v>41</v>
      </c>
      <c r="C50">
        <v>165</v>
      </c>
      <c r="H50">
        <v>33</v>
      </c>
      <c r="I50">
        <v>4</v>
      </c>
      <c r="J50">
        <v>37</v>
      </c>
      <c r="K50">
        <v>4</v>
      </c>
      <c r="M50">
        <v>4</v>
      </c>
      <c r="N50">
        <v>-4.2</v>
      </c>
      <c r="P50">
        <v>4</v>
      </c>
      <c r="Q50">
        <v>11</v>
      </c>
      <c r="S50">
        <v>11</v>
      </c>
      <c r="T50">
        <v>6.5</v>
      </c>
      <c r="U50">
        <v>8</v>
      </c>
      <c r="V50">
        <v>8.5</v>
      </c>
    </row>
    <row r="51" spans="1:29" x14ac:dyDescent="0.15">
      <c r="A51">
        <v>49</v>
      </c>
      <c r="B51" t="s">
        <v>42</v>
      </c>
      <c r="C51">
        <v>176</v>
      </c>
      <c r="H51">
        <v>3</v>
      </c>
      <c r="J51">
        <v>3</v>
      </c>
      <c r="K51">
        <v>24</v>
      </c>
      <c r="M51">
        <v>24</v>
      </c>
      <c r="P51">
        <v>24</v>
      </c>
      <c r="S51">
        <v>0</v>
      </c>
    </row>
    <row r="52" spans="1:29" x14ac:dyDescent="0.15">
      <c r="A52">
        <v>50</v>
      </c>
      <c r="B52" t="s">
        <v>43</v>
      </c>
      <c r="C52">
        <v>176</v>
      </c>
      <c r="D52">
        <v>1</v>
      </c>
      <c r="H52">
        <v>8</v>
      </c>
      <c r="J52">
        <v>8</v>
      </c>
      <c r="K52">
        <v>13</v>
      </c>
      <c r="M52">
        <v>13</v>
      </c>
      <c r="P52">
        <v>13</v>
      </c>
      <c r="Q52">
        <v>8</v>
      </c>
      <c r="S52">
        <v>8</v>
      </c>
    </row>
    <row r="53" spans="1:29" x14ac:dyDescent="0.15">
      <c r="A53">
        <v>51</v>
      </c>
      <c r="B53" t="s">
        <v>44</v>
      </c>
      <c r="C53">
        <v>176</v>
      </c>
      <c r="H53">
        <v>8.5</v>
      </c>
      <c r="J53">
        <v>8.5</v>
      </c>
      <c r="K53">
        <v>35.5</v>
      </c>
      <c r="M53">
        <v>35.5</v>
      </c>
      <c r="P53">
        <v>35.5</v>
      </c>
      <c r="Q53">
        <v>8.5</v>
      </c>
      <c r="S53">
        <v>8.5</v>
      </c>
    </row>
    <row r="54" spans="1:29" x14ac:dyDescent="0.15">
      <c r="A54">
        <v>52</v>
      </c>
      <c r="B54" t="s">
        <v>45</v>
      </c>
      <c r="C54">
        <v>176</v>
      </c>
      <c r="H54">
        <v>12.5</v>
      </c>
      <c r="J54">
        <v>12.5</v>
      </c>
      <c r="M54">
        <v>0</v>
      </c>
      <c r="P54">
        <v>0</v>
      </c>
      <c r="Q54">
        <v>8</v>
      </c>
      <c r="S54">
        <v>8</v>
      </c>
    </row>
    <row r="55" spans="1:29" x14ac:dyDescent="0.15">
      <c r="A55">
        <v>53</v>
      </c>
      <c r="B55" t="s">
        <v>46</v>
      </c>
      <c r="C55">
        <v>176</v>
      </c>
      <c r="H55">
        <v>8</v>
      </c>
      <c r="J55">
        <v>8</v>
      </c>
      <c r="K55">
        <v>8</v>
      </c>
      <c r="M55">
        <v>8</v>
      </c>
      <c r="P55">
        <v>8</v>
      </c>
      <c r="Q55">
        <v>8.5</v>
      </c>
      <c r="S55">
        <v>8.5</v>
      </c>
    </row>
    <row r="56" spans="1:29" x14ac:dyDescent="0.15">
      <c r="A56">
        <v>54</v>
      </c>
      <c r="B56" t="s">
        <v>129</v>
      </c>
      <c r="C56">
        <v>176</v>
      </c>
      <c r="J56">
        <v>0</v>
      </c>
      <c r="M56">
        <v>0</v>
      </c>
      <c r="P56">
        <v>0</v>
      </c>
      <c r="S56">
        <v>0</v>
      </c>
      <c r="AC56">
        <v>0.5</v>
      </c>
    </row>
    <row r="57" spans="1:29" x14ac:dyDescent="0.15">
      <c r="A57">
        <v>55</v>
      </c>
      <c r="B57" t="s">
        <v>47</v>
      </c>
      <c r="C57">
        <v>176</v>
      </c>
      <c r="H57">
        <v>10</v>
      </c>
      <c r="J57">
        <v>10</v>
      </c>
      <c r="M57">
        <v>0</v>
      </c>
      <c r="P57">
        <v>0</v>
      </c>
      <c r="Q57">
        <v>8</v>
      </c>
      <c r="S57">
        <v>8</v>
      </c>
    </row>
    <row r="58" spans="1:29" x14ac:dyDescent="0.15">
      <c r="A58">
        <v>56</v>
      </c>
      <c r="B58" t="s">
        <v>48</v>
      </c>
      <c r="C58">
        <v>176</v>
      </c>
      <c r="H58">
        <v>13</v>
      </c>
      <c r="J58">
        <v>13</v>
      </c>
      <c r="K58">
        <v>16.5</v>
      </c>
      <c r="M58">
        <v>16.5</v>
      </c>
      <c r="P58">
        <v>16.5</v>
      </c>
      <c r="S58">
        <v>0</v>
      </c>
    </row>
    <row r="59" spans="1:29" x14ac:dyDescent="0.15">
      <c r="A59">
        <v>57</v>
      </c>
      <c r="B59" t="s">
        <v>49</v>
      </c>
      <c r="C59">
        <v>172.5</v>
      </c>
      <c r="H59">
        <v>30.5</v>
      </c>
      <c r="I59">
        <v>4.5</v>
      </c>
      <c r="J59">
        <v>35</v>
      </c>
      <c r="K59">
        <v>4</v>
      </c>
      <c r="M59">
        <v>4</v>
      </c>
      <c r="N59">
        <v>-1.7</v>
      </c>
      <c r="P59">
        <v>4</v>
      </c>
      <c r="S59">
        <v>0</v>
      </c>
      <c r="T59">
        <v>8</v>
      </c>
      <c r="U59">
        <v>8</v>
      </c>
      <c r="V59">
        <v>7.5</v>
      </c>
    </row>
    <row r="60" spans="1:29" x14ac:dyDescent="0.15">
      <c r="A60">
        <v>58</v>
      </c>
      <c r="B60" t="s">
        <v>50</v>
      </c>
      <c r="C60">
        <v>172.5</v>
      </c>
      <c r="H60">
        <v>33</v>
      </c>
      <c r="I60">
        <v>4</v>
      </c>
      <c r="J60">
        <v>37</v>
      </c>
      <c r="K60">
        <v>4</v>
      </c>
      <c r="M60">
        <v>4</v>
      </c>
      <c r="N60">
        <v>-1.7</v>
      </c>
      <c r="P60">
        <v>4</v>
      </c>
      <c r="R60">
        <v>4</v>
      </c>
      <c r="S60">
        <v>4</v>
      </c>
      <c r="T60">
        <v>8</v>
      </c>
      <c r="U60">
        <v>9</v>
      </c>
      <c r="V60">
        <v>7</v>
      </c>
      <c r="Y60">
        <v>60</v>
      </c>
    </row>
    <row r="61" spans="1:29" x14ac:dyDescent="0.15">
      <c r="A61">
        <v>59</v>
      </c>
      <c r="B61" t="s">
        <v>51</v>
      </c>
      <c r="C61">
        <v>172.5</v>
      </c>
      <c r="H61">
        <v>29.5</v>
      </c>
      <c r="I61">
        <v>4</v>
      </c>
      <c r="J61">
        <v>33.5</v>
      </c>
      <c r="K61">
        <v>14</v>
      </c>
      <c r="M61">
        <v>14</v>
      </c>
      <c r="N61">
        <v>-1.7</v>
      </c>
      <c r="P61">
        <v>14</v>
      </c>
      <c r="S61">
        <v>0</v>
      </c>
      <c r="T61">
        <v>8.5</v>
      </c>
      <c r="U61">
        <v>7</v>
      </c>
      <c r="V61">
        <v>7</v>
      </c>
      <c r="Y61">
        <v>30</v>
      </c>
    </row>
    <row r="62" spans="1:29" x14ac:dyDescent="0.15">
      <c r="A62">
        <v>60</v>
      </c>
      <c r="B62" t="s">
        <v>52</v>
      </c>
      <c r="C62">
        <v>180</v>
      </c>
      <c r="H62">
        <v>42.5</v>
      </c>
      <c r="J62">
        <v>42.5</v>
      </c>
      <c r="K62">
        <v>3.5</v>
      </c>
      <c r="M62">
        <v>3.5</v>
      </c>
      <c r="N62">
        <v>-3.6</v>
      </c>
      <c r="P62">
        <v>3.5</v>
      </c>
      <c r="S62">
        <v>0</v>
      </c>
      <c r="T62">
        <v>7</v>
      </c>
      <c r="U62">
        <v>8</v>
      </c>
      <c r="V62">
        <v>8</v>
      </c>
    </row>
    <row r="63" spans="1:29" x14ac:dyDescent="0.15">
      <c r="A63">
        <v>61</v>
      </c>
      <c r="B63" t="s">
        <v>53</v>
      </c>
      <c r="C63">
        <v>176</v>
      </c>
      <c r="J63">
        <v>0</v>
      </c>
      <c r="K63">
        <v>8.5</v>
      </c>
      <c r="M63">
        <v>8.5</v>
      </c>
      <c r="P63">
        <v>8.5</v>
      </c>
      <c r="S63">
        <v>0</v>
      </c>
    </row>
    <row r="64" spans="1:29" x14ac:dyDescent="0.15">
      <c r="A64">
        <v>62</v>
      </c>
      <c r="B64" t="s">
        <v>54</v>
      </c>
      <c r="C64">
        <v>165</v>
      </c>
      <c r="H64">
        <v>41.5</v>
      </c>
      <c r="J64">
        <v>41.5</v>
      </c>
      <c r="K64">
        <v>5.5</v>
      </c>
      <c r="M64">
        <v>5.5</v>
      </c>
      <c r="N64">
        <v>-4.2</v>
      </c>
      <c r="P64">
        <v>5.5</v>
      </c>
      <c r="Q64">
        <v>11</v>
      </c>
      <c r="S64">
        <v>11</v>
      </c>
      <c r="T64">
        <v>7</v>
      </c>
      <c r="U64">
        <v>8</v>
      </c>
      <c r="V64">
        <v>8</v>
      </c>
    </row>
    <row r="65" spans="1:27" x14ac:dyDescent="0.15">
      <c r="A65">
        <v>63</v>
      </c>
      <c r="B65" t="s">
        <v>55</v>
      </c>
      <c r="C65">
        <v>165</v>
      </c>
      <c r="H65">
        <v>38.5</v>
      </c>
      <c r="I65">
        <v>4</v>
      </c>
      <c r="J65">
        <v>42.5</v>
      </c>
      <c r="K65">
        <v>3</v>
      </c>
      <c r="L65">
        <v>4</v>
      </c>
      <c r="M65">
        <v>7</v>
      </c>
      <c r="N65">
        <v>-4.2</v>
      </c>
      <c r="P65">
        <v>7</v>
      </c>
      <c r="Q65">
        <v>11</v>
      </c>
      <c r="S65">
        <v>11</v>
      </c>
      <c r="T65">
        <v>7.5</v>
      </c>
      <c r="U65">
        <v>7.5</v>
      </c>
      <c r="V65">
        <v>8</v>
      </c>
    </row>
    <row r="66" spans="1:27" x14ac:dyDescent="0.15">
      <c r="A66">
        <v>64</v>
      </c>
      <c r="B66" t="s">
        <v>56</v>
      </c>
      <c r="C66">
        <v>165</v>
      </c>
      <c r="G66">
        <v>2</v>
      </c>
      <c r="H66">
        <v>30.5</v>
      </c>
      <c r="I66">
        <v>4</v>
      </c>
      <c r="J66">
        <v>34.5</v>
      </c>
      <c r="K66">
        <v>15</v>
      </c>
      <c r="M66">
        <v>15</v>
      </c>
      <c r="N66">
        <v>-4.2</v>
      </c>
      <c r="P66">
        <v>15</v>
      </c>
      <c r="Q66">
        <v>7.5</v>
      </c>
      <c r="S66">
        <v>7.5</v>
      </c>
      <c r="T66">
        <v>8</v>
      </c>
      <c r="U66">
        <v>7</v>
      </c>
      <c r="V66">
        <v>8.5</v>
      </c>
    </row>
    <row r="67" spans="1:27" x14ac:dyDescent="0.15">
      <c r="A67">
        <v>65</v>
      </c>
      <c r="B67" t="s">
        <v>57</v>
      </c>
      <c r="C67">
        <v>176</v>
      </c>
      <c r="H67">
        <v>2</v>
      </c>
      <c r="J67">
        <v>2</v>
      </c>
      <c r="K67">
        <v>9</v>
      </c>
      <c r="M67">
        <v>9</v>
      </c>
      <c r="O67">
        <v>-2.5</v>
      </c>
      <c r="P67">
        <v>6.5</v>
      </c>
      <c r="S67">
        <v>0</v>
      </c>
      <c r="Y67">
        <v>150</v>
      </c>
      <c r="Z67">
        <v>62.5</v>
      </c>
      <c r="AA67">
        <v>40</v>
      </c>
    </row>
    <row r="68" spans="1:27" x14ac:dyDescent="0.15">
      <c r="A68">
        <v>66</v>
      </c>
      <c r="B68" t="s">
        <v>58</v>
      </c>
      <c r="C68">
        <v>176</v>
      </c>
      <c r="H68">
        <v>11.5</v>
      </c>
      <c r="J68">
        <v>11.5</v>
      </c>
      <c r="K68">
        <v>9</v>
      </c>
      <c r="M68">
        <v>9</v>
      </c>
      <c r="P68">
        <v>9</v>
      </c>
      <c r="S68">
        <v>0</v>
      </c>
      <c r="Y68">
        <v>30</v>
      </c>
      <c r="Z68">
        <v>2.5</v>
      </c>
    </row>
    <row r="69" spans="1:27" x14ac:dyDescent="0.15">
      <c r="A69">
        <v>67</v>
      </c>
      <c r="B69" t="s">
        <v>59</v>
      </c>
      <c r="C69">
        <v>180</v>
      </c>
      <c r="D69">
        <v>1</v>
      </c>
      <c r="H69">
        <v>36</v>
      </c>
      <c r="I69">
        <v>4</v>
      </c>
      <c r="J69">
        <v>40</v>
      </c>
      <c r="K69">
        <v>3</v>
      </c>
      <c r="M69">
        <v>3</v>
      </c>
      <c r="N69">
        <v>-3.6</v>
      </c>
      <c r="P69">
        <v>3</v>
      </c>
      <c r="S69">
        <v>0</v>
      </c>
      <c r="T69">
        <v>8</v>
      </c>
      <c r="U69">
        <v>8</v>
      </c>
      <c r="V69">
        <v>8</v>
      </c>
    </row>
    <row r="70" spans="1:27" x14ac:dyDescent="0.15">
      <c r="A70">
        <v>68</v>
      </c>
      <c r="B70" t="s">
        <v>60</v>
      </c>
      <c r="C70">
        <v>180</v>
      </c>
      <c r="H70">
        <v>37.5</v>
      </c>
      <c r="I70">
        <v>4.5</v>
      </c>
      <c r="J70">
        <v>42</v>
      </c>
      <c r="K70">
        <v>3</v>
      </c>
      <c r="M70">
        <v>3</v>
      </c>
      <c r="N70">
        <v>-3.6</v>
      </c>
      <c r="P70">
        <v>3</v>
      </c>
      <c r="S70">
        <v>0</v>
      </c>
      <c r="T70">
        <v>8</v>
      </c>
      <c r="U70">
        <v>8</v>
      </c>
      <c r="V70">
        <v>7.5</v>
      </c>
    </row>
    <row r="71" spans="1:27" x14ac:dyDescent="0.15">
      <c r="A71">
        <v>69</v>
      </c>
      <c r="B71" t="s">
        <v>61</v>
      </c>
      <c r="C71">
        <v>165</v>
      </c>
      <c r="H71">
        <v>36</v>
      </c>
      <c r="J71">
        <v>36</v>
      </c>
      <c r="K71">
        <v>6</v>
      </c>
      <c r="L71">
        <v>4</v>
      </c>
      <c r="M71">
        <v>10</v>
      </c>
      <c r="N71">
        <v>-4.2</v>
      </c>
      <c r="P71">
        <v>10</v>
      </c>
      <c r="Q71">
        <v>8</v>
      </c>
      <c r="R71">
        <v>4</v>
      </c>
      <c r="S71">
        <v>12</v>
      </c>
      <c r="T71">
        <v>7</v>
      </c>
      <c r="U71">
        <v>8.5</v>
      </c>
      <c r="V71">
        <v>8.5</v>
      </c>
      <c r="Y71">
        <v>50</v>
      </c>
    </row>
    <row r="72" spans="1:27" x14ac:dyDescent="0.15">
      <c r="A72">
        <v>70</v>
      </c>
      <c r="B72" t="s">
        <v>62</v>
      </c>
      <c r="C72">
        <v>165</v>
      </c>
      <c r="H72">
        <v>26.5</v>
      </c>
      <c r="J72">
        <v>26.5</v>
      </c>
      <c r="K72">
        <v>12.5</v>
      </c>
      <c r="M72">
        <v>12.5</v>
      </c>
      <c r="N72">
        <v>-4.2</v>
      </c>
      <c r="P72">
        <v>12.5</v>
      </c>
      <c r="S72">
        <v>0</v>
      </c>
      <c r="T72">
        <v>7</v>
      </c>
      <c r="U72">
        <v>6</v>
      </c>
      <c r="V72">
        <v>7.5</v>
      </c>
    </row>
    <row r="73" spans="1:27" x14ac:dyDescent="0.15">
      <c r="A73">
        <v>71</v>
      </c>
      <c r="B73" t="s">
        <v>63</v>
      </c>
      <c r="C73">
        <v>176</v>
      </c>
      <c r="H73">
        <v>4.5</v>
      </c>
      <c r="J73">
        <v>4.5</v>
      </c>
      <c r="K73">
        <v>8</v>
      </c>
      <c r="M73">
        <v>8</v>
      </c>
      <c r="P73">
        <v>8</v>
      </c>
      <c r="S73">
        <v>0</v>
      </c>
    </row>
    <row r="74" spans="1:27" x14ac:dyDescent="0.15">
      <c r="A74">
        <v>72</v>
      </c>
      <c r="B74" t="s">
        <v>64</v>
      </c>
      <c r="C74">
        <v>165</v>
      </c>
      <c r="H74">
        <v>31.5</v>
      </c>
      <c r="I74">
        <v>9</v>
      </c>
      <c r="J74">
        <v>40.5</v>
      </c>
      <c r="K74">
        <v>4.5</v>
      </c>
      <c r="M74">
        <v>4.5</v>
      </c>
      <c r="N74">
        <v>-4.2</v>
      </c>
      <c r="P74">
        <v>4.5</v>
      </c>
      <c r="Q74">
        <v>4</v>
      </c>
      <c r="S74">
        <v>4</v>
      </c>
      <c r="T74">
        <v>8</v>
      </c>
      <c r="U74">
        <v>7.5</v>
      </c>
      <c r="V74">
        <v>8</v>
      </c>
    </row>
    <row r="75" spans="1:27" x14ac:dyDescent="0.15">
      <c r="A75">
        <v>73</v>
      </c>
      <c r="B75" t="s">
        <v>65</v>
      </c>
      <c r="C75">
        <v>176</v>
      </c>
      <c r="H75">
        <v>11.5</v>
      </c>
      <c r="J75">
        <v>11.5</v>
      </c>
      <c r="K75">
        <v>33.5</v>
      </c>
      <c r="M75">
        <v>33.5</v>
      </c>
      <c r="P75">
        <v>33.5</v>
      </c>
      <c r="Q75">
        <v>8.5</v>
      </c>
      <c r="S75">
        <v>8.5</v>
      </c>
    </row>
    <row r="76" spans="1:27" x14ac:dyDescent="0.15">
      <c r="A76">
        <v>74</v>
      </c>
      <c r="B76" t="s">
        <v>66</v>
      </c>
      <c r="C76">
        <v>176</v>
      </c>
      <c r="H76">
        <v>6</v>
      </c>
      <c r="J76">
        <v>6</v>
      </c>
      <c r="K76">
        <v>32</v>
      </c>
      <c r="M76">
        <v>32</v>
      </c>
      <c r="P76">
        <v>32</v>
      </c>
      <c r="Q76">
        <v>8</v>
      </c>
      <c r="S76">
        <v>8</v>
      </c>
    </row>
    <row r="77" spans="1:27" x14ac:dyDescent="0.15">
      <c r="A77">
        <v>75</v>
      </c>
      <c r="B77" t="s">
        <v>67</v>
      </c>
      <c r="C77">
        <v>180</v>
      </c>
      <c r="H77">
        <v>36</v>
      </c>
      <c r="J77">
        <v>36</v>
      </c>
      <c r="K77">
        <v>5</v>
      </c>
      <c r="M77">
        <v>5</v>
      </c>
      <c r="N77">
        <v>-3.6</v>
      </c>
      <c r="P77">
        <v>5</v>
      </c>
      <c r="S77">
        <v>0</v>
      </c>
      <c r="T77">
        <v>8</v>
      </c>
      <c r="U77">
        <v>4</v>
      </c>
      <c r="V77">
        <v>8</v>
      </c>
    </row>
    <row r="78" spans="1:27" x14ac:dyDescent="0.15">
      <c r="A78">
        <v>76</v>
      </c>
      <c r="B78" t="s">
        <v>68</v>
      </c>
      <c r="C78">
        <v>176</v>
      </c>
      <c r="J78">
        <v>0</v>
      </c>
      <c r="K78">
        <v>5</v>
      </c>
      <c r="M78">
        <v>5</v>
      </c>
      <c r="P78">
        <v>5</v>
      </c>
      <c r="S78">
        <v>0</v>
      </c>
    </row>
    <row r="79" spans="1:27" x14ac:dyDescent="0.15">
      <c r="A79">
        <v>77</v>
      </c>
      <c r="B79" t="s">
        <v>69</v>
      </c>
      <c r="C79">
        <v>176</v>
      </c>
      <c r="H79">
        <v>20.5</v>
      </c>
      <c r="J79">
        <v>20.5</v>
      </c>
      <c r="K79">
        <v>25</v>
      </c>
      <c r="M79">
        <v>25</v>
      </c>
      <c r="P79">
        <v>25</v>
      </c>
      <c r="S79">
        <v>0</v>
      </c>
      <c r="Y79">
        <v>50</v>
      </c>
      <c r="Z79">
        <v>20</v>
      </c>
      <c r="AA79">
        <v>20</v>
      </c>
    </row>
    <row r="80" spans="1:27" x14ac:dyDescent="0.15">
      <c r="A80">
        <v>78</v>
      </c>
      <c r="B80" t="s">
        <v>70</v>
      </c>
      <c r="C80">
        <v>176</v>
      </c>
      <c r="H80">
        <v>1.5</v>
      </c>
      <c r="J80">
        <v>1.5</v>
      </c>
      <c r="K80">
        <v>24</v>
      </c>
      <c r="M80">
        <v>24</v>
      </c>
      <c r="P80">
        <v>24</v>
      </c>
      <c r="S80">
        <v>0</v>
      </c>
    </row>
    <row r="81" spans="1:27" x14ac:dyDescent="0.15">
      <c r="A81">
        <v>79</v>
      </c>
      <c r="B81" t="s">
        <v>71</v>
      </c>
      <c r="C81">
        <v>165</v>
      </c>
      <c r="H81">
        <v>21.5</v>
      </c>
      <c r="I81">
        <v>16.5</v>
      </c>
      <c r="J81">
        <v>38</v>
      </c>
      <c r="K81">
        <v>4</v>
      </c>
      <c r="M81">
        <v>4</v>
      </c>
      <c r="N81">
        <v>-4.2</v>
      </c>
      <c r="P81">
        <v>4</v>
      </c>
      <c r="Q81">
        <v>11</v>
      </c>
      <c r="S81">
        <v>11</v>
      </c>
      <c r="T81">
        <v>7</v>
      </c>
      <c r="U81">
        <v>10</v>
      </c>
      <c r="V81">
        <v>8</v>
      </c>
      <c r="Y81">
        <v>90</v>
      </c>
    </row>
    <row r="82" spans="1:27" x14ac:dyDescent="0.15">
      <c r="A82">
        <v>80</v>
      </c>
      <c r="B82" t="s">
        <v>72</v>
      </c>
      <c r="C82">
        <v>165</v>
      </c>
      <c r="H82">
        <v>24</v>
      </c>
      <c r="I82">
        <v>4</v>
      </c>
      <c r="J82">
        <v>28</v>
      </c>
      <c r="K82">
        <v>3</v>
      </c>
      <c r="L82">
        <v>8</v>
      </c>
      <c r="M82">
        <v>11</v>
      </c>
      <c r="N82">
        <v>-4.2</v>
      </c>
      <c r="P82">
        <v>11</v>
      </c>
      <c r="Q82">
        <v>7.5</v>
      </c>
      <c r="S82">
        <v>7.5</v>
      </c>
      <c r="T82">
        <v>9.5</v>
      </c>
      <c r="U82">
        <v>7</v>
      </c>
      <c r="V82">
        <v>7.5</v>
      </c>
      <c r="Y82">
        <v>30</v>
      </c>
    </row>
    <row r="83" spans="1:27" x14ac:dyDescent="0.15">
      <c r="A83">
        <v>81</v>
      </c>
      <c r="B83" t="s">
        <v>73</v>
      </c>
      <c r="C83">
        <v>176</v>
      </c>
      <c r="H83">
        <v>7.5</v>
      </c>
      <c r="J83">
        <v>7.5</v>
      </c>
      <c r="K83">
        <v>18</v>
      </c>
      <c r="M83">
        <v>18</v>
      </c>
      <c r="P83">
        <v>18</v>
      </c>
      <c r="Q83">
        <v>8.5</v>
      </c>
      <c r="S83">
        <v>8.5</v>
      </c>
    </row>
    <row r="84" spans="1:27" x14ac:dyDescent="0.15">
      <c r="A84">
        <v>82</v>
      </c>
      <c r="B84" t="s">
        <v>74</v>
      </c>
      <c r="C84">
        <v>176</v>
      </c>
      <c r="J84">
        <v>0</v>
      </c>
      <c r="K84">
        <v>8</v>
      </c>
      <c r="M84">
        <v>8</v>
      </c>
      <c r="P84">
        <v>8</v>
      </c>
      <c r="S84">
        <v>0</v>
      </c>
    </row>
    <row r="85" spans="1:27" x14ac:dyDescent="0.15">
      <c r="A85">
        <v>83</v>
      </c>
      <c r="B85" t="s">
        <v>75</v>
      </c>
      <c r="C85">
        <v>165</v>
      </c>
      <c r="H85">
        <v>22</v>
      </c>
      <c r="I85">
        <v>9</v>
      </c>
      <c r="J85">
        <v>31</v>
      </c>
      <c r="K85">
        <v>4</v>
      </c>
      <c r="M85">
        <v>4</v>
      </c>
      <c r="N85">
        <v>-4.2</v>
      </c>
      <c r="P85">
        <v>4</v>
      </c>
      <c r="Q85">
        <v>11</v>
      </c>
      <c r="S85">
        <v>11</v>
      </c>
      <c r="T85">
        <v>7.5</v>
      </c>
      <c r="U85">
        <v>8</v>
      </c>
      <c r="V85">
        <v>8.5</v>
      </c>
    </row>
    <row r="86" spans="1:27" x14ac:dyDescent="0.15">
      <c r="A86">
        <v>84</v>
      </c>
      <c r="B86" t="s">
        <v>120</v>
      </c>
      <c r="C86">
        <v>176</v>
      </c>
      <c r="H86">
        <v>3</v>
      </c>
      <c r="J86">
        <v>3</v>
      </c>
      <c r="M86">
        <v>0</v>
      </c>
      <c r="P86">
        <v>0</v>
      </c>
      <c r="Q86">
        <v>8</v>
      </c>
      <c r="S86">
        <v>8</v>
      </c>
    </row>
    <row r="87" spans="1:27" x14ac:dyDescent="0.15">
      <c r="A87">
        <v>85</v>
      </c>
      <c r="B87" t="s">
        <v>76</v>
      </c>
      <c r="C87">
        <v>165</v>
      </c>
      <c r="H87">
        <v>27</v>
      </c>
      <c r="I87">
        <v>4.5</v>
      </c>
      <c r="J87">
        <v>31.5</v>
      </c>
      <c r="K87">
        <v>4</v>
      </c>
      <c r="M87">
        <v>4</v>
      </c>
      <c r="N87">
        <v>-4.2</v>
      </c>
      <c r="P87">
        <v>4</v>
      </c>
      <c r="Q87">
        <v>11</v>
      </c>
      <c r="S87">
        <v>11</v>
      </c>
      <c r="T87">
        <v>6.5</v>
      </c>
      <c r="U87">
        <v>8</v>
      </c>
      <c r="V87">
        <v>8.5</v>
      </c>
    </row>
    <row r="88" spans="1:27" x14ac:dyDescent="0.15">
      <c r="A88">
        <v>86</v>
      </c>
      <c r="B88" t="s">
        <v>77</v>
      </c>
      <c r="C88">
        <v>165</v>
      </c>
      <c r="H88">
        <v>25</v>
      </c>
      <c r="I88">
        <v>9</v>
      </c>
      <c r="J88">
        <v>34</v>
      </c>
      <c r="K88">
        <v>4</v>
      </c>
      <c r="M88">
        <v>4</v>
      </c>
      <c r="N88">
        <v>-4.2</v>
      </c>
      <c r="P88">
        <v>4</v>
      </c>
      <c r="Q88">
        <v>11</v>
      </c>
      <c r="S88">
        <v>11</v>
      </c>
      <c r="T88">
        <v>7</v>
      </c>
      <c r="U88">
        <v>9</v>
      </c>
      <c r="V88">
        <v>8</v>
      </c>
    </row>
    <row r="89" spans="1:27" x14ac:dyDescent="0.15">
      <c r="A89">
        <v>87</v>
      </c>
      <c r="B89" t="s">
        <v>78</v>
      </c>
      <c r="C89">
        <v>165</v>
      </c>
      <c r="H89">
        <v>34</v>
      </c>
      <c r="I89">
        <v>4.5</v>
      </c>
      <c r="J89">
        <v>38.5</v>
      </c>
      <c r="K89">
        <v>6.5</v>
      </c>
      <c r="M89">
        <v>6.5</v>
      </c>
      <c r="N89">
        <v>-4.2</v>
      </c>
      <c r="P89">
        <v>6.5</v>
      </c>
      <c r="Q89">
        <v>7.5</v>
      </c>
      <c r="S89">
        <v>7.5</v>
      </c>
      <c r="T89">
        <v>8</v>
      </c>
      <c r="U89">
        <v>7.5</v>
      </c>
      <c r="V89">
        <v>8.5</v>
      </c>
    </row>
    <row r="90" spans="1:27" x14ac:dyDescent="0.15">
      <c r="A90">
        <v>88</v>
      </c>
      <c r="B90" t="s">
        <v>79</v>
      </c>
      <c r="C90">
        <v>176</v>
      </c>
      <c r="J90">
        <v>0</v>
      </c>
      <c r="M90">
        <v>0</v>
      </c>
      <c r="P90">
        <v>0</v>
      </c>
      <c r="Q90">
        <v>6</v>
      </c>
      <c r="S90">
        <v>6</v>
      </c>
    </row>
    <row r="91" spans="1:27" x14ac:dyDescent="0.15">
      <c r="A91">
        <v>89</v>
      </c>
      <c r="B91" t="s">
        <v>80</v>
      </c>
      <c r="C91">
        <v>176</v>
      </c>
      <c r="H91">
        <v>13</v>
      </c>
      <c r="J91">
        <v>13</v>
      </c>
      <c r="K91">
        <v>10</v>
      </c>
      <c r="M91">
        <v>10</v>
      </c>
      <c r="P91">
        <v>10</v>
      </c>
      <c r="S91">
        <v>0</v>
      </c>
      <c r="Y91">
        <v>80</v>
      </c>
      <c r="Z91">
        <v>5</v>
      </c>
    </row>
    <row r="92" spans="1:27" x14ac:dyDescent="0.15">
      <c r="A92">
        <v>90</v>
      </c>
      <c r="B92" t="s">
        <v>81</v>
      </c>
      <c r="C92">
        <v>176</v>
      </c>
      <c r="H92">
        <v>22</v>
      </c>
      <c r="J92">
        <v>22</v>
      </c>
      <c r="K92">
        <v>8</v>
      </c>
      <c r="M92">
        <v>8</v>
      </c>
      <c r="P92">
        <v>8</v>
      </c>
      <c r="S92">
        <v>0</v>
      </c>
    </row>
    <row r="93" spans="1:27" x14ac:dyDescent="0.15">
      <c r="A93">
        <v>91</v>
      </c>
      <c r="B93" t="s">
        <v>82</v>
      </c>
      <c r="C93">
        <v>176</v>
      </c>
      <c r="H93">
        <v>4.5</v>
      </c>
      <c r="J93">
        <v>4.5</v>
      </c>
      <c r="M93">
        <v>0</v>
      </c>
      <c r="P93">
        <v>0</v>
      </c>
      <c r="S93">
        <v>0</v>
      </c>
    </row>
    <row r="94" spans="1:27" x14ac:dyDescent="0.15">
      <c r="A94">
        <v>92</v>
      </c>
      <c r="B94" t="s">
        <v>83</v>
      </c>
      <c r="C94">
        <v>180</v>
      </c>
      <c r="H94">
        <v>32</v>
      </c>
      <c r="I94">
        <v>4</v>
      </c>
      <c r="J94">
        <v>36</v>
      </c>
      <c r="K94">
        <v>4.5</v>
      </c>
      <c r="M94">
        <v>4.5</v>
      </c>
      <c r="N94">
        <v>-3.6</v>
      </c>
      <c r="P94">
        <v>4.5</v>
      </c>
      <c r="S94">
        <v>0</v>
      </c>
      <c r="T94">
        <v>8.5</v>
      </c>
      <c r="U94">
        <v>7.5</v>
      </c>
      <c r="V94">
        <v>8</v>
      </c>
    </row>
    <row r="95" spans="1:27" x14ac:dyDescent="0.15">
      <c r="A95">
        <v>93</v>
      </c>
      <c r="B95" t="s">
        <v>84</v>
      </c>
      <c r="C95">
        <v>176</v>
      </c>
      <c r="H95">
        <v>10</v>
      </c>
      <c r="J95">
        <v>10</v>
      </c>
      <c r="M95">
        <v>0</v>
      </c>
      <c r="P95">
        <v>0</v>
      </c>
      <c r="S95">
        <v>0</v>
      </c>
      <c r="Y95">
        <v>50</v>
      </c>
      <c r="Z95">
        <v>32.5</v>
      </c>
      <c r="AA95">
        <v>20</v>
      </c>
    </row>
    <row r="96" spans="1:27" x14ac:dyDescent="0.15">
      <c r="A96">
        <v>94</v>
      </c>
      <c r="B96" t="s">
        <v>85</v>
      </c>
      <c r="C96">
        <v>172.5</v>
      </c>
      <c r="H96">
        <v>31</v>
      </c>
      <c r="J96">
        <v>31</v>
      </c>
      <c r="K96">
        <v>4</v>
      </c>
      <c r="L96">
        <v>4</v>
      </c>
      <c r="M96">
        <v>8</v>
      </c>
      <c r="N96">
        <v>-1.7</v>
      </c>
      <c r="P96">
        <v>8</v>
      </c>
      <c r="S96">
        <v>0</v>
      </c>
      <c r="T96">
        <v>6.5</v>
      </c>
      <c r="U96">
        <v>8</v>
      </c>
      <c r="V96">
        <v>7.5</v>
      </c>
      <c r="Y96">
        <v>50</v>
      </c>
    </row>
    <row r="97" spans="1:26" x14ac:dyDescent="0.15">
      <c r="A97">
        <v>95</v>
      </c>
      <c r="B97" t="s">
        <v>86</v>
      </c>
      <c r="C97">
        <v>176</v>
      </c>
      <c r="D97">
        <v>1</v>
      </c>
      <c r="H97">
        <v>14.5</v>
      </c>
      <c r="J97">
        <v>14.5</v>
      </c>
      <c r="K97">
        <v>22</v>
      </c>
      <c r="M97">
        <v>22</v>
      </c>
      <c r="P97">
        <v>22</v>
      </c>
      <c r="S97">
        <v>0</v>
      </c>
    </row>
    <row r="98" spans="1:26" x14ac:dyDescent="0.15">
      <c r="A98">
        <v>96</v>
      </c>
      <c r="B98" t="s">
        <v>87</v>
      </c>
      <c r="C98">
        <v>176</v>
      </c>
      <c r="H98">
        <v>5</v>
      </c>
      <c r="J98">
        <v>5</v>
      </c>
      <c r="K98">
        <v>19</v>
      </c>
      <c r="M98">
        <v>19</v>
      </c>
      <c r="P98">
        <v>19</v>
      </c>
      <c r="S98">
        <v>0</v>
      </c>
      <c r="Y98">
        <v>100</v>
      </c>
      <c r="Z98">
        <v>25</v>
      </c>
    </row>
    <row r="99" spans="1:26" x14ac:dyDescent="0.15">
      <c r="A99">
        <v>97</v>
      </c>
      <c r="B99" t="s">
        <v>88</v>
      </c>
      <c r="C99">
        <v>165</v>
      </c>
      <c r="H99">
        <v>29.5</v>
      </c>
      <c r="I99">
        <v>4</v>
      </c>
      <c r="J99">
        <v>33.5</v>
      </c>
      <c r="K99">
        <v>5.5</v>
      </c>
      <c r="M99">
        <v>5.5</v>
      </c>
      <c r="N99">
        <v>-4.2</v>
      </c>
      <c r="P99">
        <v>5.5</v>
      </c>
      <c r="Q99">
        <v>7.5</v>
      </c>
      <c r="S99">
        <v>7.5</v>
      </c>
      <c r="T99">
        <v>8</v>
      </c>
      <c r="U99">
        <v>7</v>
      </c>
      <c r="V99">
        <v>8</v>
      </c>
      <c r="Y99">
        <v>30</v>
      </c>
    </row>
    <row r="100" spans="1:26" x14ac:dyDescent="0.15">
      <c r="A100">
        <v>98</v>
      </c>
      <c r="B100" t="s">
        <v>89</v>
      </c>
      <c r="C100">
        <v>176</v>
      </c>
      <c r="H100">
        <v>2.5</v>
      </c>
      <c r="J100">
        <v>2.5</v>
      </c>
      <c r="K100">
        <v>20</v>
      </c>
      <c r="M100">
        <v>20</v>
      </c>
      <c r="P100">
        <v>20</v>
      </c>
      <c r="S100">
        <v>0</v>
      </c>
    </row>
    <row r="101" spans="1:26" x14ac:dyDescent="0.15">
      <c r="A101">
        <v>99</v>
      </c>
      <c r="B101" t="s">
        <v>90</v>
      </c>
      <c r="C101">
        <v>176</v>
      </c>
      <c r="H101">
        <v>3.5</v>
      </c>
      <c r="J101">
        <v>3.5</v>
      </c>
      <c r="K101">
        <v>24</v>
      </c>
      <c r="M101">
        <v>24</v>
      </c>
      <c r="P101">
        <v>24</v>
      </c>
      <c r="Q101">
        <v>8</v>
      </c>
      <c r="S101">
        <v>8</v>
      </c>
    </row>
    <row r="102" spans="1:26" x14ac:dyDescent="0.15">
      <c r="A102">
        <v>100</v>
      </c>
      <c r="B102" t="s">
        <v>91</v>
      </c>
      <c r="C102">
        <v>176</v>
      </c>
      <c r="H102">
        <v>6</v>
      </c>
      <c r="J102">
        <v>6</v>
      </c>
      <c r="K102">
        <v>22</v>
      </c>
      <c r="M102">
        <v>22</v>
      </c>
      <c r="P102">
        <v>22</v>
      </c>
      <c r="Q102">
        <v>8</v>
      </c>
      <c r="S102">
        <v>8</v>
      </c>
    </row>
    <row r="103" spans="1:26" x14ac:dyDescent="0.15">
      <c r="A103">
        <v>101</v>
      </c>
      <c r="B103" t="s">
        <v>92</v>
      </c>
      <c r="C103">
        <v>165</v>
      </c>
      <c r="H103">
        <v>28</v>
      </c>
      <c r="I103">
        <v>4.5</v>
      </c>
      <c r="J103">
        <v>32.5</v>
      </c>
      <c r="K103">
        <v>1</v>
      </c>
      <c r="L103">
        <v>4</v>
      </c>
      <c r="M103">
        <v>5</v>
      </c>
      <c r="N103">
        <v>-4.2</v>
      </c>
      <c r="P103">
        <v>5</v>
      </c>
      <c r="Q103">
        <v>7.5</v>
      </c>
      <c r="S103">
        <v>7.5</v>
      </c>
      <c r="T103">
        <v>8</v>
      </c>
      <c r="U103">
        <v>7</v>
      </c>
      <c r="V103">
        <v>7</v>
      </c>
    </row>
    <row r="104" spans="1:26" x14ac:dyDescent="0.15">
      <c r="A104">
        <v>102</v>
      </c>
      <c r="B104" t="s">
        <v>118</v>
      </c>
      <c r="C104">
        <v>176</v>
      </c>
      <c r="H104">
        <v>5</v>
      </c>
      <c r="J104">
        <v>5</v>
      </c>
      <c r="M104">
        <v>0</v>
      </c>
      <c r="P104">
        <v>0</v>
      </c>
      <c r="S104">
        <v>0</v>
      </c>
    </row>
    <row r="105" spans="1:26" x14ac:dyDescent="0.15">
      <c r="A105">
        <v>103</v>
      </c>
      <c r="B105" t="s">
        <v>93</v>
      </c>
      <c r="C105">
        <v>176</v>
      </c>
      <c r="H105">
        <v>7</v>
      </c>
      <c r="J105">
        <v>7</v>
      </c>
      <c r="K105">
        <v>26.5</v>
      </c>
      <c r="M105">
        <v>26.5</v>
      </c>
      <c r="P105">
        <v>26.5</v>
      </c>
      <c r="Q105">
        <v>10</v>
      </c>
      <c r="S105">
        <v>10</v>
      </c>
    </row>
    <row r="106" spans="1:26" x14ac:dyDescent="0.15">
      <c r="A106">
        <v>104</v>
      </c>
      <c r="B106" t="s">
        <v>94</v>
      </c>
      <c r="C106">
        <v>180</v>
      </c>
      <c r="H106">
        <v>28.5</v>
      </c>
      <c r="I106">
        <v>8</v>
      </c>
      <c r="J106">
        <v>36.5</v>
      </c>
      <c r="K106">
        <v>4</v>
      </c>
      <c r="M106">
        <v>4</v>
      </c>
      <c r="N106">
        <v>-3.6</v>
      </c>
      <c r="P106">
        <v>4</v>
      </c>
      <c r="S106">
        <v>0</v>
      </c>
      <c r="T106">
        <v>9</v>
      </c>
      <c r="U106">
        <v>8</v>
      </c>
      <c r="V106">
        <v>7</v>
      </c>
    </row>
    <row r="107" spans="1:26" x14ac:dyDescent="0.15">
      <c r="A107">
        <v>105</v>
      </c>
      <c r="B107" t="s">
        <v>95</v>
      </c>
      <c r="C107">
        <v>172.5</v>
      </c>
      <c r="H107">
        <v>30.5</v>
      </c>
      <c r="I107">
        <v>4</v>
      </c>
      <c r="J107">
        <v>34.5</v>
      </c>
      <c r="K107">
        <v>4</v>
      </c>
      <c r="M107">
        <v>4</v>
      </c>
      <c r="N107">
        <v>-1.7</v>
      </c>
      <c r="P107">
        <v>4</v>
      </c>
      <c r="S107">
        <v>0</v>
      </c>
      <c r="T107">
        <v>3.5</v>
      </c>
      <c r="U107">
        <v>8</v>
      </c>
      <c r="V107">
        <v>7.5</v>
      </c>
      <c r="Y107">
        <v>50</v>
      </c>
    </row>
    <row r="108" spans="1:26" x14ac:dyDescent="0.15">
      <c r="A108">
        <v>106</v>
      </c>
      <c r="B108" t="s">
        <v>96</v>
      </c>
      <c r="C108">
        <v>180</v>
      </c>
      <c r="H108">
        <v>42</v>
      </c>
      <c r="J108">
        <v>42</v>
      </c>
      <c r="K108">
        <v>4</v>
      </c>
      <c r="M108">
        <v>4</v>
      </c>
      <c r="N108">
        <v>-3.6</v>
      </c>
      <c r="P108">
        <v>4</v>
      </c>
      <c r="S108">
        <v>0</v>
      </c>
      <c r="T108">
        <v>8</v>
      </c>
      <c r="U108">
        <v>8</v>
      </c>
      <c r="V108">
        <v>8</v>
      </c>
    </row>
    <row r="109" spans="1:26" x14ac:dyDescent="0.15">
      <c r="A109">
        <v>107</v>
      </c>
      <c r="B109" t="s">
        <v>97</v>
      </c>
      <c r="C109">
        <v>176</v>
      </c>
      <c r="D109">
        <v>2</v>
      </c>
      <c r="H109">
        <v>7</v>
      </c>
      <c r="J109">
        <v>7</v>
      </c>
      <c r="K109">
        <v>35</v>
      </c>
      <c r="M109">
        <v>35</v>
      </c>
      <c r="P109">
        <v>35</v>
      </c>
      <c r="S109">
        <v>0</v>
      </c>
    </row>
    <row r="110" spans="1:26" x14ac:dyDescent="0.15">
      <c r="A110">
        <v>108</v>
      </c>
      <c r="B110" t="s">
        <v>98</v>
      </c>
      <c r="C110">
        <v>165</v>
      </c>
      <c r="H110">
        <v>25</v>
      </c>
      <c r="I110">
        <v>7</v>
      </c>
      <c r="J110">
        <v>32</v>
      </c>
      <c r="K110">
        <v>4</v>
      </c>
      <c r="M110">
        <v>4</v>
      </c>
      <c r="N110">
        <v>-4.2</v>
      </c>
      <c r="P110">
        <v>4</v>
      </c>
      <c r="Q110">
        <v>11</v>
      </c>
      <c r="S110">
        <v>11</v>
      </c>
      <c r="T110">
        <v>8</v>
      </c>
      <c r="U110">
        <v>8</v>
      </c>
      <c r="V110">
        <v>8</v>
      </c>
      <c r="Y110">
        <v>30</v>
      </c>
    </row>
    <row r="111" spans="1:26" x14ac:dyDescent="0.15">
      <c r="A111">
        <v>109</v>
      </c>
      <c r="B111" t="s">
        <v>99</v>
      </c>
      <c r="C111">
        <v>176</v>
      </c>
      <c r="D111">
        <v>1</v>
      </c>
      <c r="H111">
        <v>6</v>
      </c>
      <c r="J111">
        <v>6</v>
      </c>
      <c r="K111">
        <v>31</v>
      </c>
      <c r="M111">
        <v>31</v>
      </c>
      <c r="P111">
        <v>31</v>
      </c>
      <c r="Q111">
        <v>8</v>
      </c>
      <c r="S111">
        <v>8</v>
      </c>
    </row>
    <row r="112" spans="1:26" x14ac:dyDescent="0.15">
      <c r="A112">
        <v>110</v>
      </c>
      <c r="B112" t="s">
        <v>100</v>
      </c>
      <c r="C112">
        <v>165</v>
      </c>
      <c r="H112">
        <v>35</v>
      </c>
      <c r="I112">
        <v>4</v>
      </c>
      <c r="J112">
        <v>39</v>
      </c>
      <c r="K112">
        <v>7</v>
      </c>
      <c r="M112">
        <v>7</v>
      </c>
      <c r="N112">
        <v>-4.2</v>
      </c>
      <c r="P112">
        <v>7</v>
      </c>
      <c r="Q112">
        <v>7.5</v>
      </c>
      <c r="S112">
        <v>7.5</v>
      </c>
      <c r="T112">
        <v>8.5</v>
      </c>
      <c r="U112">
        <v>7</v>
      </c>
      <c r="V112">
        <v>8</v>
      </c>
    </row>
    <row r="113" spans="1:25" x14ac:dyDescent="0.15">
      <c r="A113">
        <v>111</v>
      </c>
      <c r="B113" t="s">
        <v>101</v>
      </c>
      <c r="C113">
        <v>176</v>
      </c>
      <c r="H113">
        <v>1</v>
      </c>
      <c r="J113">
        <v>1</v>
      </c>
      <c r="M113">
        <v>0</v>
      </c>
      <c r="P113">
        <v>0</v>
      </c>
      <c r="S113">
        <v>0</v>
      </c>
    </row>
    <row r="114" spans="1:25" x14ac:dyDescent="0.15">
      <c r="A114">
        <v>112</v>
      </c>
      <c r="B114" t="s">
        <v>102</v>
      </c>
      <c r="C114">
        <v>176</v>
      </c>
      <c r="H114">
        <v>10.5</v>
      </c>
      <c r="J114">
        <v>10.5</v>
      </c>
      <c r="K114">
        <v>8</v>
      </c>
      <c r="M114">
        <v>8</v>
      </c>
      <c r="P114">
        <v>8</v>
      </c>
      <c r="S114">
        <v>0</v>
      </c>
    </row>
    <row r="115" spans="1:25" x14ac:dyDescent="0.15">
      <c r="A115">
        <v>113</v>
      </c>
      <c r="B115" t="s">
        <v>103</v>
      </c>
      <c r="C115">
        <v>172.5</v>
      </c>
      <c r="H115">
        <v>28</v>
      </c>
      <c r="I115">
        <v>8.5</v>
      </c>
      <c r="J115">
        <v>36.5</v>
      </c>
      <c r="K115">
        <v>2.5</v>
      </c>
      <c r="M115">
        <v>2.5</v>
      </c>
      <c r="N115">
        <v>-1.7</v>
      </c>
      <c r="P115">
        <v>2.5</v>
      </c>
      <c r="S115">
        <v>0</v>
      </c>
      <c r="T115">
        <v>8.5</v>
      </c>
      <c r="U115">
        <v>8.5</v>
      </c>
      <c r="V115">
        <v>7</v>
      </c>
      <c r="Y115">
        <v>30</v>
      </c>
    </row>
    <row r="116" spans="1:25" x14ac:dyDescent="0.15">
      <c r="A116">
        <v>114</v>
      </c>
      <c r="B116" t="s">
        <v>104</v>
      </c>
      <c r="C116">
        <v>180</v>
      </c>
      <c r="H116">
        <v>31</v>
      </c>
      <c r="I116">
        <v>4</v>
      </c>
      <c r="J116">
        <v>35</v>
      </c>
      <c r="K116">
        <v>3</v>
      </c>
      <c r="M116">
        <v>3</v>
      </c>
      <c r="N116">
        <v>-3.6</v>
      </c>
      <c r="P116">
        <v>3</v>
      </c>
      <c r="S116">
        <v>0</v>
      </c>
      <c r="T116">
        <v>8</v>
      </c>
      <c r="U116">
        <v>6.5</v>
      </c>
      <c r="V116">
        <v>8</v>
      </c>
    </row>
    <row r="117" spans="1:25" x14ac:dyDescent="0.15">
      <c r="A117">
        <v>115</v>
      </c>
      <c r="B117" t="s">
        <v>105</v>
      </c>
      <c r="C117">
        <v>176</v>
      </c>
      <c r="D117">
        <v>2</v>
      </c>
      <c r="H117">
        <v>3.5</v>
      </c>
      <c r="J117">
        <v>3.5</v>
      </c>
      <c r="K117">
        <v>9.5</v>
      </c>
      <c r="M117">
        <v>9.5</v>
      </c>
      <c r="O117">
        <v>-7.5</v>
      </c>
      <c r="P117">
        <v>2</v>
      </c>
      <c r="S117">
        <v>0</v>
      </c>
    </row>
    <row r="118" spans="1:25" x14ac:dyDescent="0.15">
      <c r="A118">
        <v>116</v>
      </c>
      <c r="B118" t="s">
        <v>106</v>
      </c>
      <c r="C118">
        <v>165</v>
      </c>
      <c r="H118">
        <v>17.5</v>
      </c>
      <c r="J118">
        <v>17.5</v>
      </c>
      <c r="K118">
        <v>5</v>
      </c>
      <c r="M118">
        <v>5</v>
      </c>
      <c r="N118">
        <v>-4.2</v>
      </c>
      <c r="P118">
        <v>5</v>
      </c>
      <c r="Q118">
        <v>11</v>
      </c>
      <c r="S118">
        <v>11</v>
      </c>
      <c r="T118">
        <v>5</v>
      </c>
      <c r="U118">
        <v>8</v>
      </c>
      <c r="V118">
        <v>8</v>
      </c>
    </row>
    <row r="119" spans="1:25" x14ac:dyDescent="0.15">
      <c r="A119">
        <v>117</v>
      </c>
      <c r="B119" t="s">
        <v>107</v>
      </c>
      <c r="C119">
        <v>172.5</v>
      </c>
      <c r="H119">
        <v>42</v>
      </c>
      <c r="J119">
        <v>42</v>
      </c>
      <c r="K119">
        <v>4</v>
      </c>
      <c r="M119">
        <v>4</v>
      </c>
      <c r="N119">
        <v>-1.7</v>
      </c>
      <c r="P119">
        <v>4</v>
      </c>
      <c r="S119">
        <v>0</v>
      </c>
      <c r="T119">
        <v>8</v>
      </c>
      <c r="U119">
        <v>8</v>
      </c>
      <c r="V119">
        <v>7</v>
      </c>
    </row>
    <row r="120" spans="1:25" x14ac:dyDescent="0.15">
      <c r="A120">
        <v>118</v>
      </c>
      <c r="B120" t="s">
        <v>108</v>
      </c>
      <c r="C120">
        <v>176</v>
      </c>
      <c r="D120">
        <v>1</v>
      </c>
      <c r="H120">
        <v>14.5</v>
      </c>
      <c r="J120">
        <v>14.5</v>
      </c>
      <c r="K120">
        <v>10</v>
      </c>
      <c r="M120">
        <v>10</v>
      </c>
      <c r="P120">
        <v>10</v>
      </c>
      <c r="S120">
        <v>0</v>
      </c>
    </row>
    <row r="121" spans="1:25" x14ac:dyDescent="0.15">
      <c r="A121">
        <v>119</v>
      </c>
      <c r="B121" t="s">
        <v>109</v>
      </c>
      <c r="C121">
        <v>176</v>
      </c>
      <c r="H121">
        <v>11</v>
      </c>
      <c r="J121">
        <v>11</v>
      </c>
      <c r="K121">
        <v>30</v>
      </c>
      <c r="M121">
        <v>30</v>
      </c>
      <c r="P121">
        <v>30</v>
      </c>
      <c r="Q121">
        <v>10</v>
      </c>
      <c r="S121">
        <v>10</v>
      </c>
    </row>
    <row r="122" spans="1:25" x14ac:dyDescent="0.15">
      <c r="A122">
        <v>120</v>
      </c>
      <c r="B122" t="s">
        <v>110</v>
      </c>
      <c r="C122">
        <v>165</v>
      </c>
      <c r="H122">
        <v>25</v>
      </c>
      <c r="I122">
        <v>8.5</v>
      </c>
      <c r="J122">
        <v>33.5</v>
      </c>
      <c r="K122">
        <v>5.5</v>
      </c>
      <c r="M122">
        <v>5.5</v>
      </c>
      <c r="N122">
        <v>-4.2</v>
      </c>
      <c r="P122">
        <v>5.5</v>
      </c>
      <c r="Q122">
        <v>7.5</v>
      </c>
      <c r="S122">
        <v>7.5</v>
      </c>
      <c r="T122">
        <v>8</v>
      </c>
      <c r="U122">
        <v>8</v>
      </c>
      <c r="V122">
        <v>8</v>
      </c>
    </row>
    <row r="123" spans="1:25" x14ac:dyDescent="0.15">
      <c r="A123">
        <v>121</v>
      </c>
      <c r="B123" t="s">
        <v>111</v>
      </c>
      <c r="C123">
        <v>165</v>
      </c>
      <c r="H123">
        <v>16.5</v>
      </c>
      <c r="J123">
        <v>16.5</v>
      </c>
      <c r="K123">
        <v>5</v>
      </c>
      <c r="M123">
        <v>5</v>
      </c>
      <c r="N123">
        <v>-4.2</v>
      </c>
      <c r="P123">
        <v>5</v>
      </c>
      <c r="Q123">
        <v>11</v>
      </c>
      <c r="S123">
        <v>11</v>
      </c>
      <c r="T123">
        <v>7</v>
      </c>
      <c r="U123">
        <v>8</v>
      </c>
      <c r="V123">
        <v>8</v>
      </c>
    </row>
    <row r="124" spans="1:25" x14ac:dyDescent="0.15">
      <c r="A124">
        <v>122</v>
      </c>
      <c r="B124" t="s">
        <v>112</v>
      </c>
      <c r="C124">
        <v>176</v>
      </c>
      <c r="H124">
        <v>9.5</v>
      </c>
      <c r="J124">
        <v>9.5</v>
      </c>
      <c r="K124">
        <v>19.5</v>
      </c>
      <c r="M124">
        <v>19.5</v>
      </c>
      <c r="O124">
        <v>-1</v>
      </c>
      <c r="P124">
        <v>18.5</v>
      </c>
      <c r="Q124">
        <v>8</v>
      </c>
      <c r="S124">
        <v>8</v>
      </c>
    </row>
    <row r="125" spans="1:25" x14ac:dyDescent="0.15">
      <c r="A125">
        <v>123</v>
      </c>
      <c r="B125" t="s">
        <v>113</v>
      </c>
      <c r="C125">
        <v>165</v>
      </c>
      <c r="H125">
        <v>31.5</v>
      </c>
      <c r="J125">
        <v>31.5</v>
      </c>
      <c r="K125">
        <v>13.5</v>
      </c>
      <c r="M125">
        <v>13.5</v>
      </c>
      <c r="N125">
        <v>-4.2</v>
      </c>
      <c r="P125">
        <v>13.5</v>
      </c>
      <c r="Q125">
        <v>7.5</v>
      </c>
      <c r="S125">
        <v>7.5</v>
      </c>
      <c r="T125">
        <v>8</v>
      </c>
      <c r="U125">
        <v>7</v>
      </c>
      <c r="V125">
        <v>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3.5" x14ac:dyDescent="0.15"/>
  <sheetData>
    <row r="1" spans="1:2" x14ac:dyDescent="0.15">
      <c r="A1" s="2" t="s">
        <v>470</v>
      </c>
      <c r="B1" s="2" t="s">
        <v>471</v>
      </c>
    </row>
    <row r="2" spans="1:2" x14ac:dyDescent="0.15">
      <c r="A2" t="s">
        <v>472</v>
      </c>
    </row>
    <row r="3" spans="1:2" x14ac:dyDescent="0.15">
      <c r="A3" t="s">
        <v>473</v>
      </c>
    </row>
    <row r="4" spans="1:2" x14ac:dyDescent="0.15">
      <c r="A4" t="s">
        <v>474</v>
      </c>
      <c r="B4">
        <v>174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员工信息(202401)_202401</vt:lpstr>
      <vt:lpstr>工资明细202401_Sheet1</vt:lpstr>
      <vt:lpstr>考勤信息2401_2401</vt:lpstr>
      <vt:lpstr>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cenice5794</cp:lastModifiedBy>
  <dcterms:created xsi:type="dcterms:W3CDTF">2026-03-02T07:59:04Z</dcterms:created>
  <dcterms:modified xsi:type="dcterms:W3CDTF">2026-03-02T08:49:37Z</dcterms:modified>
</cp:coreProperties>
</file>