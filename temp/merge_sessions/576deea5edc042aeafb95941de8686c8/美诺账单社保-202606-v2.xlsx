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comments2.xml" ContentType="application/vnd.openxmlformats-officedocument.spreadsheetml.comments+xml"/>
  <Default Extension="vml" ContentType="application/vnd.openxmlformats-officedocument.vmlDrawing"/>
  <Override PartName="/xl/worksheets/sheet2.xml" ContentType="application/vnd.openxmlformats-officedocument.spreadsheetml.worksheet+xml"/>
  <Override PartName="/xl/comments3.xml" ContentType="application/vnd.openxmlformats-officedocument.spreadsheetml.comments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美诺2026-06\导入文件\"/>
    </mc:Choice>
  </mc:AlternateContent>
  <bookViews>
    <workbookView xWindow="-120" yWindow="-120" windowWidth="29040" windowHeight="15720" activeTab="0"/>
  </bookViews>
  <sheets>
    <sheet name="账单明细" sheetId="1" r:id="rId3"/>
    <sheet name="工资明细" sheetId="4" r:id="rId4"/>
    <sheet name="Sheet7" sheetId="9" state="hidden" r:id="rId5"/>
  </sheets>
  <externalReferences>
    <externalReference r:id="rId7"/>
  </externalReferences>
  <definedNames>
    <definedName name="_xlnm._FilterDatabase" localSheetId="1" hidden="1">工资明细!$A$1:$AZ$1</definedName>
    <definedName name="Dept" localSheetId="1">'[1]1_New Hire'!#REF!</definedName>
    <definedName name="Dept">'[1]1_New Hire'!#REF!</definedName>
    <definedName name="_xlnm.Print_Titles" localSheetId="0">账单明细!$6:$7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4" l="1"/>
</calcChain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yang.wu</author>
    <author>daina.zhou</author>
  </authors>
  <commentList>
    <comment ref="I2" authorId="0" shapeId="0" xr:uid="{00000000-0006-0000-0100-000001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2025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5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日转签合杰杭州分</t>
        </r>
      </text>
    </comment>
    <comment ref="I8" authorId="0" shapeId="0" xr:uid="{00000000-0006-0000-0100-000002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2025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7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日转合杰份工资</t>
        </r>
      </text>
    </comment>
    <comment ref="S9" authorId="0" shapeId="0" xr:uid="{00000000-0006-0000-0100-000003000000}">
      <text>
        <r>
          <rPr>
            <b/>
            <sz val="9"/>
            <rFont val="Tahoma"/>
            <family val="2"/>
          </rPr>
          <t>5</t>
        </r>
        <r>
          <rPr>
            <b/>
            <sz val="9"/>
            <rFont val="宋体"/>
            <family val="3"/>
            <charset val="134"/>
          </rPr>
          <t>月</t>
        </r>
        <r>
          <rPr>
            <b/>
            <sz val="9"/>
            <rFont val="Tahoma"/>
            <family val="2"/>
          </rPr>
          <t>7</t>
        </r>
        <r>
          <rPr>
            <b/>
            <sz val="9"/>
            <rFont val="宋体"/>
            <family val="3"/>
            <charset val="134"/>
          </rPr>
          <t>天病假</t>
        </r>
      </text>
    </comment>
    <comment ref="G10" authorId="0" shapeId="0" xr:uid="{00000000-0006-0000-0100-000004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2025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5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日转签合杰武汉分</t>
        </r>
      </text>
    </comment>
    <comment ref="I10" authorId="0" shapeId="0" xr:uid="{00000000-0006-0000-0100-000005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2025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5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日转签合杰武汉分</t>
        </r>
      </text>
    </comment>
    <comment ref="H12" authorId="0" shapeId="0" xr:uid="{00000000-0006-0000-0100-000006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日开始实施</t>
        </r>
      </text>
    </comment>
    <comment ref="I12" authorId="0" shapeId="0" xr:uid="{00000000-0006-0000-0100-000007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2025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7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日转合杰份工资</t>
        </r>
      </text>
    </comment>
    <comment ref="H16" authorId="0" shapeId="0" xr:uid="{00000000-0006-0000-0100-000008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日实施</t>
        </r>
      </text>
    </comment>
    <comment ref="I16" authorId="0" shapeId="0" xr:uid="{00000000-0006-0000-0100-000009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2025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12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日转合杰重庆</t>
        </r>
      </text>
    </comment>
    <comment ref="H20" authorId="0" shapeId="0" xr:uid="{00000000-0006-0000-0100-00000A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2025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3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日起</t>
        </r>
        <r>
          <rPr>
            <sz val="9"/>
            <rFont val="Tahoma"/>
            <family val="2"/>
          </rPr>
          <t>2500</t>
        </r>
      </text>
    </comment>
    <comment ref="I20" authorId="0" shapeId="0" xr:uid="{00000000-0006-0000-0100-00000B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2025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12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日转广州合杰</t>
        </r>
      </text>
    </comment>
    <comment ref="H21" authorId="0" shapeId="0" xr:uid="{00000000-0006-0000-0100-00000C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日实施</t>
        </r>
      </text>
    </comment>
    <comment ref="I21" authorId="0" shapeId="0" xr:uid="{00000000-0006-0000-0100-00000D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2025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12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日转合杰重庆</t>
        </r>
      </text>
    </comment>
    <comment ref="H22" authorId="0" shapeId="0" xr:uid="{00000000-0006-0000-0100-00000E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日实施</t>
        </r>
      </text>
    </comment>
    <comment ref="I22" authorId="0" shapeId="0" xr:uid="{00000000-0006-0000-0100-00000F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2025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12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日转合杰重庆</t>
        </r>
      </text>
    </comment>
    <comment ref="I23" authorId="0" shapeId="0" xr:uid="{00000000-0006-0000-0100-000010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2025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7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日转合杰份工资</t>
        </r>
      </text>
    </comment>
    <comment ref="I24" authorId="0" shapeId="0" xr:uid="{00000000-0006-0000-0100-000011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2025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7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日转合杰份工资</t>
        </r>
      </text>
    </comment>
    <comment ref="I25" authorId="0" shapeId="0" xr:uid="{00000000-0006-0000-0100-000012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2025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7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日转合杰份工资</t>
        </r>
      </text>
    </comment>
    <comment ref="Z33" authorId="0" shapeId="0" xr:uid="{00000000-0006-0000-0100-000013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产假期间公司垫付工资共计：</t>
        </r>
        <r>
          <rPr>
            <sz val="9"/>
            <rFont val="Tahoma"/>
            <family val="2"/>
          </rPr>
          <t>695.67</t>
        </r>
        <r>
          <rPr>
            <sz val="9"/>
            <rFont val="宋体"/>
            <family val="3"/>
            <charset val="134"/>
          </rPr>
          <t>元和</t>
        </r>
        <r>
          <rPr>
            <sz val="9"/>
            <rFont val="Tahoma"/>
            <family val="2"/>
          </rPr>
          <t>7970.36</t>
        </r>
        <r>
          <rPr>
            <sz val="9"/>
            <rFont val="宋体"/>
            <family val="3"/>
            <charset val="134"/>
          </rPr>
          <t>的社保垫付，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月扣回</t>
        </r>
        <r>
          <rPr>
            <sz val="9"/>
            <rFont val="Tahoma"/>
            <family val="2"/>
          </rPr>
          <t>354.62</t>
        </r>
        <r>
          <rPr>
            <sz val="9"/>
            <rFont val="宋体"/>
            <family val="3"/>
            <charset val="134"/>
          </rPr>
          <t>元，</t>
        </r>
        <r>
          <rPr>
            <sz val="9"/>
            <rFont val="Tahoma"/>
            <family val="2"/>
          </rPr>
          <t>2</t>
        </r>
        <r>
          <rPr>
            <sz val="9"/>
            <rFont val="宋体"/>
            <family val="3"/>
            <charset val="134"/>
          </rPr>
          <t>月扣回</t>
        </r>
        <r>
          <rPr>
            <sz val="9"/>
            <rFont val="Tahoma"/>
            <family val="2"/>
          </rPr>
          <t>341.05</t>
        </r>
        <r>
          <rPr>
            <sz val="9"/>
            <rFont val="宋体"/>
            <family val="3"/>
            <charset val="134"/>
          </rPr>
          <t>元；</t>
        </r>
        <r>
          <rPr>
            <sz val="9"/>
            <rFont val="Tahoma"/>
            <family val="2"/>
          </rPr>
          <t>3</t>
        </r>
        <r>
          <rPr>
            <sz val="9"/>
            <rFont val="宋体"/>
            <family val="3"/>
            <charset val="134"/>
          </rPr>
          <t>月扣回</t>
        </r>
        <r>
          <rPr>
            <sz val="9"/>
            <rFont val="Tahoma"/>
            <family val="2"/>
          </rPr>
          <t>375.98</t>
        </r>
        <r>
          <rPr>
            <sz val="9"/>
            <rFont val="宋体"/>
            <family val="3"/>
            <charset val="134"/>
          </rPr>
          <t>；</t>
        </r>
        <r>
          <rPr>
            <sz val="9"/>
            <rFont val="Tahoma"/>
            <family val="2"/>
          </rPr>
          <t>4</t>
        </r>
        <r>
          <rPr>
            <sz val="9"/>
            <rFont val="宋体"/>
            <family val="3"/>
            <charset val="134"/>
          </rPr>
          <t>月扣回</t>
        </r>
        <r>
          <rPr>
            <sz val="9"/>
            <rFont val="Tahoma"/>
            <family val="2"/>
          </rPr>
          <t>403.24</t>
        </r>
        <r>
          <rPr>
            <sz val="9"/>
            <rFont val="宋体"/>
            <family val="3"/>
            <charset val="134"/>
          </rPr>
          <t>，</t>
        </r>
        <r>
          <rPr>
            <sz val="9"/>
            <rFont val="Tahoma"/>
            <family val="2"/>
          </rPr>
          <t>5</t>
        </r>
        <r>
          <rPr>
            <sz val="9"/>
            <rFont val="宋体"/>
            <family val="3"/>
            <charset val="134"/>
          </rPr>
          <t>月扣回</t>
        </r>
        <r>
          <rPr>
            <sz val="9"/>
            <rFont val="Tahoma"/>
            <family val="2"/>
          </rPr>
          <t>354.62</t>
        </r>
        <r>
          <rPr>
            <sz val="9"/>
            <rFont val="宋体"/>
            <family val="3"/>
            <charset val="134"/>
          </rPr>
          <t>，</t>
        </r>
        <r>
          <rPr>
            <sz val="9"/>
            <rFont val="Tahoma"/>
            <family val="2"/>
          </rPr>
          <t>6</t>
        </r>
        <r>
          <rPr>
            <sz val="9"/>
            <rFont val="宋体"/>
            <family val="3"/>
            <charset val="134"/>
          </rPr>
          <t>月扣回</t>
        </r>
        <r>
          <rPr>
            <sz val="9"/>
            <rFont val="Tahoma"/>
            <family val="2"/>
          </rPr>
          <t>-362.36</t>
        </r>
      </text>
    </comment>
    <comment ref="H34" authorId="0" shapeId="0" xr:uid="{00000000-0006-0000-0100-000014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2025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3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日起</t>
        </r>
        <r>
          <rPr>
            <sz val="9"/>
            <rFont val="Tahoma"/>
            <family val="2"/>
          </rPr>
          <t>2080</t>
        </r>
      </text>
    </comment>
    <comment ref="H35" authorId="0" shapeId="0" xr:uid="{00000000-0006-0000-0100-000015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2025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3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日起</t>
        </r>
        <r>
          <rPr>
            <sz val="9"/>
            <rFont val="Tahoma"/>
            <family val="2"/>
          </rPr>
          <t>2080</t>
        </r>
      </text>
    </comment>
    <comment ref="H39" authorId="0" shapeId="0" xr:uid="{00000000-0006-0000-0100-000016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日实施</t>
        </r>
      </text>
    </comment>
    <comment ref="I39" authorId="0" shapeId="0" xr:uid="{00000000-0006-0000-0100-000017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2025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12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日转合杰重庆</t>
        </r>
      </text>
    </comment>
    <comment ref="H40" authorId="0" shapeId="0" xr:uid="{00000000-0006-0000-0100-000018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日实施</t>
        </r>
      </text>
    </comment>
    <comment ref="I40" authorId="0" shapeId="0" xr:uid="{00000000-0006-0000-0100-000019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2025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12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日转合杰重庆</t>
        </r>
      </text>
    </comment>
    <comment ref="H41" authorId="0" shapeId="0" xr:uid="{00000000-0006-0000-0100-00001A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日实施</t>
        </r>
      </text>
    </comment>
    <comment ref="I41" authorId="0" shapeId="0" xr:uid="{00000000-0006-0000-0100-00001B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2025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12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日转合杰重庆</t>
        </r>
      </text>
    </comment>
    <comment ref="H42" authorId="0" shapeId="0" xr:uid="{00000000-0006-0000-0100-00001C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日实施</t>
        </r>
      </text>
    </comment>
    <comment ref="I42" authorId="0" shapeId="0" xr:uid="{00000000-0006-0000-0100-00001D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2025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12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日转合杰重庆</t>
        </r>
      </text>
    </comment>
    <comment ref="F44" authorId="0" shapeId="0" xr:uid="{00000000-0006-0000-0100-00001E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2024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月调整岗位</t>
        </r>
      </text>
    </comment>
    <comment ref="I50" authorId="0" shapeId="0" xr:uid="{00000000-0006-0000-0100-00001F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2025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5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日转签合杰杭州分</t>
        </r>
      </text>
    </comment>
    <comment ref="I51" authorId="0" shapeId="0" xr:uid="{00000000-0006-0000-0100-000020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2025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5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日转签合杰杭州分</t>
        </r>
      </text>
    </comment>
    <comment ref="I53" authorId="0" shapeId="0" xr:uid="{00000000-0006-0000-0100-000021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2026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3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日转合杰合肥分公司</t>
        </r>
      </text>
    </comment>
    <comment ref="I61" authorId="0" shapeId="0" xr:uid="{00000000-0006-0000-0100-000022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2025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5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日转签合杰武汉分</t>
        </r>
      </text>
    </comment>
    <comment ref="G62" authorId="0" shapeId="0" xr:uid="{00000000-0006-0000-0100-000023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2024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4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日变更到广州</t>
        </r>
      </text>
    </comment>
    <comment ref="H62" authorId="0" shapeId="0" xr:uid="{00000000-0006-0000-0100-000024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2025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3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日起</t>
        </r>
        <r>
          <rPr>
            <sz val="9"/>
            <rFont val="Tahoma"/>
            <family val="2"/>
          </rPr>
          <t>2500</t>
        </r>
      </text>
    </comment>
    <comment ref="I62" authorId="0" shapeId="0" xr:uid="{00000000-0006-0000-0100-000025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2025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12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日转广州合杰</t>
        </r>
      </text>
    </comment>
    <comment ref="H63" authorId="0" shapeId="0" xr:uid="{00000000-0006-0000-0100-000026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日开始实施</t>
        </r>
      </text>
    </comment>
    <comment ref="I63" authorId="0" shapeId="0" xr:uid="{00000000-0006-0000-0100-000027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2025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7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日转合杰份工资</t>
        </r>
      </text>
    </comment>
    <comment ref="F64" authorId="0" shapeId="0" xr:uid="{00000000-0006-0000-0100-000028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24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月调整岗位</t>
        </r>
      </text>
    </comment>
    <comment ref="I66" authorId="0" shapeId="0" xr:uid="{00000000-0006-0000-0100-000029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2025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7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日转合杰份工资</t>
        </r>
      </text>
    </comment>
    <comment ref="H67" authorId="0" shapeId="0" xr:uid="{00000000-0006-0000-0100-00002A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日开始实施</t>
        </r>
      </text>
    </comment>
    <comment ref="I67" authorId="0" shapeId="0" xr:uid="{00000000-0006-0000-0100-00002B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2025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7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日转合杰份工资</t>
        </r>
      </text>
    </comment>
    <comment ref="H68" authorId="0" shapeId="0" xr:uid="{00000000-0006-0000-0100-00002C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日实施</t>
        </r>
      </text>
    </comment>
    <comment ref="I68" authorId="0" shapeId="0" xr:uid="{00000000-0006-0000-0100-00002D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2025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12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日转合杰重庆</t>
        </r>
      </text>
    </comment>
    <comment ref="I71" authorId="0" shapeId="0" xr:uid="{00000000-0006-0000-0100-00002E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2025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5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日转签合杰武汉分</t>
        </r>
      </text>
    </comment>
    <comment ref="H73" authorId="0" shapeId="0" xr:uid="{00000000-0006-0000-0100-00002F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日开始实施</t>
        </r>
      </text>
    </comment>
    <comment ref="I73" authorId="0" shapeId="0" xr:uid="{00000000-0006-0000-0100-000030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2025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7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日转合杰份工资</t>
        </r>
      </text>
    </comment>
    <comment ref="H74" authorId="0" shapeId="0" xr:uid="{00000000-0006-0000-0100-000031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2025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3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日起</t>
        </r>
        <r>
          <rPr>
            <sz val="9"/>
            <rFont val="Tahoma"/>
            <family val="2"/>
          </rPr>
          <t>2520</t>
        </r>
      </text>
    </comment>
    <comment ref="I78" authorId="0" shapeId="0" xr:uid="{00000000-0006-0000-0100-000032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2025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5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日转签合杰武汉分</t>
        </r>
      </text>
    </comment>
    <comment ref="H81" authorId="0" shapeId="0" xr:uid="{00000000-0006-0000-0100-000033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2025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3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日起</t>
        </r>
        <r>
          <rPr>
            <sz val="9"/>
            <rFont val="Tahoma"/>
            <family val="2"/>
          </rPr>
          <t>2520</t>
        </r>
      </text>
    </comment>
    <comment ref="H85" authorId="0" shapeId="0" xr:uid="{00000000-0006-0000-0100-000034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2025</t>
        </r>
        <r>
          <rPr>
            <sz val="9"/>
            <rFont val="宋体"/>
            <family val="3"/>
            <charset val="134"/>
          </rPr>
          <t>年</t>
        </r>
        <r>
          <rPr>
            <sz val="9"/>
            <rFont val="Tahoma"/>
            <family val="2"/>
          </rPr>
          <t>3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日起</t>
        </r>
        <r>
          <rPr>
            <sz val="9"/>
            <rFont val="Tahoma"/>
            <family val="2"/>
          </rPr>
          <t>2520</t>
        </r>
      </text>
    </comment>
    <comment ref="K92" authorId="1" shapeId="0" xr:uid="{00000000-0006-0000-0100-000035000000}">
      <text>
        <r>
          <rPr>
            <b/>
            <sz val="9"/>
            <rFont val="Tahoma"/>
            <family val="2"/>
          </rPr>
          <t>101</t>
        </r>
        <r>
          <rPr>
            <b/>
            <sz val="9"/>
            <rFont val="宋体"/>
            <family val="3"/>
            <charset val="134"/>
          </rPr>
          <t>小时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yang.wu</author>
  </authors>
  <commentList>
    <comment ref="B9" authorId="0" shapeId="0" xr:uid="{00000000-0006-0000-0200-000001000000}">
      <text>
        <r>
          <rPr>
            <b/>
            <sz val="9"/>
            <rFont val="Tahoma"/>
            <family val="2"/>
          </rPr>
          <t>yang.wu: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产假期间公司垫付工资共计：</t>
        </r>
        <r>
          <rPr>
            <sz val="9"/>
            <rFont val="Tahoma"/>
            <family val="2"/>
          </rPr>
          <t>695.67</t>
        </r>
        <r>
          <rPr>
            <sz val="9"/>
            <rFont val="宋体"/>
            <family val="3"/>
            <charset val="134"/>
          </rPr>
          <t>元和</t>
        </r>
        <r>
          <rPr>
            <sz val="9"/>
            <rFont val="Tahoma"/>
            <family val="2"/>
          </rPr>
          <t>7970.36</t>
        </r>
        <r>
          <rPr>
            <sz val="9"/>
            <rFont val="宋体"/>
            <family val="3"/>
            <charset val="134"/>
          </rPr>
          <t>的社保垫付，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月扣回</t>
        </r>
        <r>
          <rPr>
            <sz val="9"/>
            <rFont val="Tahoma"/>
            <family val="2"/>
          </rPr>
          <t>354.62</t>
        </r>
        <r>
          <rPr>
            <sz val="9"/>
            <rFont val="宋体"/>
            <family val="3"/>
            <charset val="134"/>
          </rPr>
          <t>元，</t>
        </r>
        <r>
          <rPr>
            <sz val="9"/>
            <rFont val="Tahoma"/>
            <family val="2"/>
          </rPr>
          <t>2</t>
        </r>
        <r>
          <rPr>
            <sz val="9"/>
            <rFont val="宋体"/>
            <family val="3"/>
            <charset val="134"/>
          </rPr>
          <t>月扣回</t>
        </r>
        <r>
          <rPr>
            <sz val="9"/>
            <rFont val="Tahoma"/>
            <family val="2"/>
          </rPr>
          <t>341.05</t>
        </r>
        <r>
          <rPr>
            <sz val="9"/>
            <rFont val="宋体"/>
            <family val="3"/>
            <charset val="134"/>
          </rPr>
          <t>元；</t>
        </r>
        <r>
          <rPr>
            <sz val="9"/>
            <rFont val="Tahoma"/>
            <family val="2"/>
          </rPr>
          <t>3</t>
        </r>
        <r>
          <rPr>
            <sz val="9"/>
            <rFont val="宋体"/>
            <family val="3"/>
            <charset val="134"/>
          </rPr>
          <t>月扣回</t>
        </r>
        <r>
          <rPr>
            <sz val="9"/>
            <rFont val="Tahoma"/>
            <family val="2"/>
          </rPr>
          <t>375.98</t>
        </r>
        <r>
          <rPr>
            <sz val="9"/>
            <rFont val="宋体"/>
            <family val="3"/>
            <charset val="134"/>
          </rPr>
          <t>；</t>
        </r>
        <r>
          <rPr>
            <sz val="9"/>
            <rFont val="Tahoma"/>
            <family val="2"/>
          </rPr>
          <t>4</t>
        </r>
        <r>
          <rPr>
            <sz val="9"/>
            <rFont val="宋体"/>
            <family val="3"/>
            <charset val="134"/>
          </rPr>
          <t>月扣回</t>
        </r>
        <r>
          <rPr>
            <sz val="9"/>
            <rFont val="Tahoma"/>
            <family val="2"/>
          </rPr>
          <t>403.24</t>
        </r>
        <r>
          <rPr>
            <sz val="9"/>
            <rFont val="宋体"/>
            <family val="3"/>
            <charset val="134"/>
          </rPr>
          <t>，</t>
        </r>
        <r>
          <rPr>
            <sz val="9"/>
            <rFont val="Tahoma"/>
            <family val="2"/>
          </rPr>
          <t>5</t>
        </r>
        <r>
          <rPr>
            <sz val="9"/>
            <rFont val="宋体"/>
            <family val="3"/>
            <charset val="134"/>
          </rPr>
          <t>月扣回</t>
        </r>
        <r>
          <rPr>
            <sz val="9"/>
            <rFont val="Tahoma"/>
            <family val="2"/>
          </rPr>
          <t>354.62</t>
        </r>
        <r>
          <rPr>
            <sz val="9"/>
            <rFont val="宋体"/>
            <family val="3"/>
            <charset val="134"/>
          </rPr>
          <t>，</t>
        </r>
        <r>
          <rPr>
            <sz val="9"/>
            <rFont val="Tahoma"/>
            <family val="2"/>
          </rPr>
          <t>6</t>
        </r>
        <r>
          <rPr>
            <sz val="9"/>
            <rFont val="宋体"/>
            <family val="3"/>
            <charset val="134"/>
          </rPr>
          <t>月扣回</t>
        </r>
        <r>
          <rPr>
            <sz val="9"/>
            <rFont val="Tahoma"/>
            <family val="2"/>
          </rPr>
          <t>-362.36</t>
        </r>
      </text>
    </comment>
  </commentList>
</comments>
</file>

<file path=xl/sharedStrings.xml><?xml version="1.0" encoding="utf-8"?>
<sst xmlns="http://schemas.openxmlformats.org/spreadsheetml/2006/main" count="1242" uniqueCount="552">
  <si>
    <t>收款通知书</t>
  </si>
  <si>
    <t>ADVISE ON COLLECTION</t>
  </si>
  <si>
    <t>公司名称：美诺电器有限公司.</t>
  </si>
  <si>
    <t>序号</t>
  </si>
  <si>
    <t>姓名</t>
  </si>
  <si>
    <t>员工编号</t>
  </si>
  <si>
    <t>发生年月</t>
  </si>
  <si>
    <t>入职日期</t>
  </si>
  <si>
    <t>当月社保基数</t>
  </si>
  <si>
    <t>当月公积金基数</t>
  </si>
  <si>
    <t>社保类
公司支付
Social Insurance Premiums
Paid by Employer</t>
  </si>
  <si>
    <t>公积金类
公司支付
Provident Fund
Paid by Employer</t>
  </si>
  <si>
    <t>公司合计</t>
  </si>
  <si>
    <t>社保类
个人支付
Social Insurance Premiums
Paid by Employee</t>
  </si>
  <si>
    <t>公积金类
个人支付
Provident Fund
Paid by Employee</t>
  </si>
  <si>
    <t>个人合计</t>
  </si>
  <si>
    <t>实发工资</t>
  </si>
  <si>
    <t>税前工资</t>
  </si>
  <si>
    <t>其他</t>
  </si>
  <si>
    <t>离职补尝金</t>
  </si>
  <si>
    <t>总费用</t>
  </si>
  <si>
    <t>附件税</t>
  </si>
  <si>
    <t>增值税</t>
  </si>
  <si>
    <t>总计</t>
  </si>
  <si>
    <t>备注</t>
  </si>
  <si>
    <t>证件号码</t>
  </si>
  <si>
    <t>社保缴纳地</t>
  </si>
  <si>
    <t>S/N</t>
  </si>
  <si>
    <t>Name</t>
  </si>
  <si>
    <t>Number</t>
  </si>
  <si>
    <t>YYYYMM</t>
  </si>
  <si>
    <t>Employment Start Date</t>
  </si>
  <si>
    <t>Employment Departure Date</t>
  </si>
  <si>
    <t>Social Insurance Base Amount of Current Month</t>
  </si>
  <si>
    <t>Provident Fund Base Amount of Current Month</t>
  </si>
  <si>
    <t>养老保险
Endowment</t>
  </si>
  <si>
    <t>医疗保险
Medical</t>
  </si>
  <si>
    <t>失业保险
Unemploy-ment</t>
  </si>
  <si>
    <t>工伤保险
Employment Injury</t>
  </si>
  <si>
    <t>生育保险
Maternity</t>
  </si>
  <si>
    <t>大病
Major Disease</t>
  </si>
  <si>
    <t>保障金
Disabled people&amp;Back pay Fund</t>
  </si>
  <si>
    <t>社保工会费
Trade union fee</t>
  </si>
  <si>
    <t>公积金
Provident Fund</t>
  </si>
  <si>
    <t>Subtotal of Employer Payment</t>
  </si>
  <si>
    <t>大病   Major Disease</t>
  </si>
  <si>
    <t>Subtotal of Personal Payment</t>
  </si>
  <si>
    <t>Remarks</t>
  </si>
  <si>
    <t>ID Card</t>
  </si>
  <si>
    <t>Location</t>
  </si>
  <si>
    <t>上海市</t>
  </si>
  <si>
    <t>MNCN00101</t>
  </si>
  <si>
    <t>2016-3-1</t>
  </si>
  <si>
    <t>310103198112094018</t>
  </si>
  <si>
    <t>刘星全</t>
  </si>
  <si>
    <t>MNCN00263</t>
  </si>
  <si>
    <t>2016-4-13</t>
  </si>
  <si>
    <t>37292519890401691X</t>
  </si>
  <si>
    <t>卢晓香</t>
  </si>
  <si>
    <t>MNCN00391</t>
  </si>
  <si>
    <t>2018-2-7</t>
  </si>
  <si>
    <t>422324198009156823</t>
  </si>
  <si>
    <t>秦懿</t>
  </si>
  <si>
    <t>MNCN00369</t>
  </si>
  <si>
    <t>2017-10-9</t>
  </si>
  <si>
    <t>310105198108060045</t>
  </si>
  <si>
    <t>周之绮</t>
  </si>
  <si>
    <t>MNCN00390</t>
  </si>
  <si>
    <t>310107198302217221</t>
  </si>
  <si>
    <t>李旻天</t>
  </si>
  <si>
    <t>MNCN00399</t>
  </si>
  <si>
    <t>310107198503120944</t>
  </si>
  <si>
    <t>陆立琴</t>
  </si>
  <si>
    <t>MNCN00414</t>
  </si>
  <si>
    <t>320924198001065721</t>
  </si>
  <si>
    <t>王金栋</t>
  </si>
  <si>
    <t>MNCN00163</t>
  </si>
  <si>
    <t>110223198702142714</t>
  </si>
  <si>
    <t>徐乐</t>
  </si>
  <si>
    <t>MNCN00238</t>
  </si>
  <si>
    <t>110222198702056027</t>
  </si>
  <si>
    <t>韩英</t>
  </si>
  <si>
    <t>MNCN00226</t>
  </si>
  <si>
    <t>320123197712131022</t>
  </si>
  <si>
    <t>南京市</t>
  </si>
  <si>
    <t>沈国伟</t>
  </si>
  <si>
    <t>MNCN00246</t>
  </si>
  <si>
    <t>330184198807080319</t>
  </si>
  <si>
    <t>苏州园区</t>
  </si>
  <si>
    <t>MNCN00281</t>
  </si>
  <si>
    <t>2016-7-1</t>
  </si>
  <si>
    <t>420822198801105563</t>
  </si>
  <si>
    <t>李爱芳</t>
  </si>
  <si>
    <t>MNCN00300</t>
  </si>
  <si>
    <t>2016-12-17</t>
  </si>
  <si>
    <t>320981197710083482</t>
  </si>
  <si>
    <t>程琪</t>
  </si>
  <si>
    <t>MNCN00355</t>
  </si>
  <si>
    <t>2017-8-16</t>
  </si>
  <si>
    <t>42010219880908082x</t>
  </si>
  <si>
    <t>贾锐</t>
  </si>
  <si>
    <t>MNCN00381</t>
  </si>
  <si>
    <t>510104198710260016</t>
  </si>
  <si>
    <t>广州市</t>
  </si>
  <si>
    <t>胡伟</t>
  </si>
  <si>
    <t>MNCN00400</t>
  </si>
  <si>
    <t>513029198606282471</t>
  </si>
  <si>
    <t>重庆市</t>
  </si>
  <si>
    <t>王李赫</t>
  </si>
  <si>
    <t>MNCN00412</t>
  </si>
  <si>
    <t>610102198811072314</t>
  </si>
  <si>
    <t>王平</t>
  </si>
  <si>
    <t>MNCN00424</t>
  </si>
  <si>
    <t>610424199508080038</t>
  </si>
  <si>
    <t>祝荣丹</t>
  </si>
  <si>
    <t>MNCN00444</t>
  </si>
  <si>
    <t>440923199101235762</t>
  </si>
  <si>
    <t>刘明杰</t>
  </si>
  <si>
    <t>MNCN00447</t>
  </si>
  <si>
    <t>500108199010022613</t>
  </si>
  <si>
    <t>王译</t>
  </si>
  <si>
    <t>500109199008271924</t>
  </si>
  <si>
    <t>孙亮</t>
  </si>
  <si>
    <t>MNCN00445</t>
  </si>
  <si>
    <t>370205198604191016</t>
  </si>
  <si>
    <t>胡蔷薇</t>
  </si>
  <si>
    <t>MNCN00446</t>
  </si>
  <si>
    <t>420921198704155525</t>
  </si>
  <si>
    <t>沈鸿鹏</t>
  </si>
  <si>
    <t>MNCN00450</t>
  </si>
  <si>
    <t>张洁</t>
  </si>
  <si>
    <t>MNCN00452</t>
  </si>
  <si>
    <t>320106198205172442</t>
  </si>
  <si>
    <t>王广春</t>
  </si>
  <si>
    <t>MNCN00459</t>
  </si>
  <si>
    <t>320922199702083617</t>
  </si>
  <si>
    <t>吕静雯</t>
  </si>
  <si>
    <t>MNCN00461</t>
  </si>
  <si>
    <t>130181198905025229</t>
  </si>
  <si>
    <t>王雪娇</t>
  </si>
  <si>
    <t>340823198402105888</t>
  </si>
  <si>
    <t>张家港市</t>
  </si>
  <si>
    <t>赵徐</t>
  </si>
  <si>
    <t>MNCN00478</t>
  </si>
  <si>
    <t>340421198706282854</t>
  </si>
  <si>
    <t>郭思玉</t>
  </si>
  <si>
    <t>MNCN00479</t>
  </si>
  <si>
    <t>622827199610250384</t>
  </si>
  <si>
    <t>葛梦影</t>
  </si>
  <si>
    <t>MNCN00480</t>
  </si>
  <si>
    <t>320283199108137568</t>
  </si>
  <si>
    <t>聂贝</t>
  </si>
  <si>
    <t>MNCN00488</t>
  </si>
  <si>
    <t>430221199003075221</t>
  </si>
  <si>
    <t>黄炳金</t>
  </si>
  <si>
    <t>MNCN00490</t>
  </si>
  <si>
    <t>佛山市</t>
  </si>
  <si>
    <t>张露文</t>
  </si>
  <si>
    <t>MNCN00491</t>
  </si>
  <si>
    <t>441283199312171024</t>
  </si>
  <si>
    <t>人民币收款账号：1001199409006536383</t>
  </si>
  <si>
    <t>开户银行：中国工商银行上海市金钟支行</t>
  </si>
  <si>
    <t>地址：中国上海淮海中路98号</t>
  </si>
  <si>
    <t>医疗生育保险
Medical Maternity</t>
  </si>
  <si>
    <t>林辉</t>
  </si>
  <si>
    <t>刘丽微</t>
  </si>
  <si>
    <t>MNCN00515</t>
  </si>
  <si>
    <t>MNCN00517</t>
  </si>
  <si>
    <t>310115197803192515</t>
  </si>
  <si>
    <t>211302198202250020</t>
  </si>
  <si>
    <t>采暖费Heating Fee</t>
  </si>
  <si>
    <t>MNCN00521</t>
  </si>
  <si>
    <t>31011019830528513x</t>
  </si>
  <si>
    <t>34012319851229364X</t>
  </si>
  <si>
    <t>341021198002026720</t>
  </si>
  <si>
    <t>MNCN00576</t>
  </si>
  <si>
    <t>MNCN00577</t>
  </si>
  <si>
    <t>MNCN00578</t>
  </si>
  <si>
    <t>MNCN00580</t>
  </si>
  <si>
    <t>MNCN00553</t>
  </si>
  <si>
    <t>MNCN00552</t>
  </si>
  <si>
    <t>胡敏</t>
  </si>
  <si>
    <t>杨吕明</t>
  </si>
  <si>
    <t>MNCN00603</t>
  </si>
  <si>
    <t>MNCN00617</t>
  </si>
  <si>
    <t>阳杰</t>
  </si>
  <si>
    <t>429006199501020014</t>
  </si>
  <si>
    <t>130225199509230043</t>
  </si>
  <si>
    <t>MNCN00646</t>
  </si>
  <si>
    <t>MNCN00656</t>
  </si>
  <si>
    <t>MNCN00661</t>
  </si>
  <si>
    <t>MNCN00663</t>
  </si>
  <si>
    <t>MNCN00668</t>
  </si>
  <si>
    <t>MNCN00677</t>
  </si>
  <si>
    <t>MNCN00679</t>
  </si>
  <si>
    <t>MNCN00681</t>
  </si>
  <si>
    <t>本月总计（RMB）人民币</t>
  </si>
  <si>
    <t>220521198212290027</t>
  </si>
  <si>
    <t>MNCN00697</t>
  </si>
  <si>
    <t>离职日期</t>
  </si>
  <si>
    <t>13薪/奖金</t>
  </si>
  <si>
    <t>Adm Fee</t>
  </si>
  <si>
    <t>傅禄杰</t>
  </si>
  <si>
    <t>户名：上海外服合杰企业服务有限公司</t>
  </si>
  <si>
    <t>何雯</t>
  </si>
  <si>
    <t>王琳</t>
  </si>
  <si>
    <t>51072419900424082X</t>
  </si>
  <si>
    <t>所属公司</t>
  </si>
  <si>
    <t>管理费</t>
  </si>
  <si>
    <t>上海合杰</t>
  </si>
  <si>
    <t>北京市</t>
  </si>
  <si>
    <t>北京合杰</t>
  </si>
  <si>
    <t>北京市</t>
  </si>
  <si>
    <t>北京合杰</t>
  </si>
  <si>
    <t>张晨</t>
  </si>
  <si>
    <t>11010219811008041X</t>
  </si>
  <si>
    <t>贾璞</t>
  </si>
  <si>
    <t>130624198708032411</t>
  </si>
  <si>
    <t>杭州市</t>
  </si>
  <si>
    <t>合杰区域分公司</t>
  </si>
  <si>
    <t>周华荣</t>
  </si>
  <si>
    <t>天津市</t>
  </si>
  <si>
    <t>上海合杰</t>
  </si>
  <si>
    <t>武汉市</t>
  </si>
  <si>
    <t>合杰区域分公司</t>
  </si>
  <si>
    <t>成都市</t>
  </si>
  <si>
    <t>成都合杰</t>
  </si>
  <si>
    <t>合杰区域分公司</t>
  </si>
  <si>
    <t>西安市</t>
  </si>
  <si>
    <t>合杰区域分公司</t>
  </si>
  <si>
    <t>MNCN00448</t>
  </si>
  <si>
    <t>青岛市</t>
  </si>
  <si>
    <t>青岛市</t>
  </si>
  <si>
    <t>合杰区域分公司</t>
  </si>
  <si>
    <t>220284198807302313</t>
  </si>
  <si>
    <t>青岛市</t>
  </si>
  <si>
    <t>合杰区域分公司</t>
  </si>
  <si>
    <t>MNCN00477</t>
  </si>
  <si>
    <t>上海合杰</t>
  </si>
  <si>
    <t>西安市</t>
  </si>
  <si>
    <t>合杰区域分公司</t>
  </si>
  <si>
    <t>45042119951105101x</t>
  </si>
  <si>
    <t>210323198908074066</t>
  </si>
  <si>
    <t>大连市</t>
  </si>
  <si>
    <t>上海合杰</t>
  </si>
  <si>
    <t>姚远</t>
  </si>
  <si>
    <t>赵凌云</t>
  </si>
  <si>
    <t>MNCN00536</t>
  </si>
  <si>
    <t>511321198801061483</t>
  </si>
  <si>
    <t>陈世益</t>
  </si>
  <si>
    <t>MNCN00537</t>
  </si>
  <si>
    <t>500224199208282854</t>
  </si>
  <si>
    <t>罗丽丽</t>
  </si>
  <si>
    <t>MNCN00541</t>
  </si>
  <si>
    <t>513023198808152183</t>
  </si>
  <si>
    <t>汤黎</t>
  </si>
  <si>
    <t>MNCN00542</t>
  </si>
  <si>
    <t>513001198108140220</t>
  </si>
  <si>
    <t>重庆市</t>
  </si>
  <si>
    <t>王玉婷</t>
  </si>
  <si>
    <t>MNCN00547</t>
  </si>
  <si>
    <t>210282198711178747</t>
  </si>
  <si>
    <t>大连市</t>
  </si>
  <si>
    <t>李思帆</t>
  </si>
  <si>
    <t>MNCN00559</t>
  </si>
  <si>
    <t>411503199709176324</t>
  </si>
  <si>
    <t>刘培培</t>
  </si>
  <si>
    <t>MNCN00564</t>
  </si>
  <si>
    <t>320623198910194368</t>
  </si>
  <si>
    <t>黄蕾</t>
  </si>
  <si>
    <t>MNCN00567</t>
  </si>
  <si>
    <t>310108197808254048</t>
  </si>
  <si>
    <t>张陆敏</t>
  </si>
  <si>
    <t>黄欢</t>
  </si>
  <si>
    <t>杭州市</t>
  </si>
  <si>
    <t>张春彩</t>
  </si>
  <si>
    <t>苏敏</t>
  </si>
  <si>
    <t>532123200004070025</t>
  </si>
  <si>
    <t>MNCN00590</t>
  </si>
  <si>
    <t>340825198510252319</t>
  </si>
  <si>
    <t>合肥市</t>
  </si>
  <si>
    <t>合杰区域分公司</t>
  </si>
  <si>
    <t>MNCN00595</t>
  </si>
  <si>
    <t>310110198101283722</t>
  </si>
  <si>
    <t>杜文伟</t>
  </si>
  <si>
    <t>MNCN00602</t>
  </si>
  <si>
    <t>310115198212077755</t>
  </si>
  <si>
    <t>张燕</t>
  </si>
  <si>
    <t>36252519820225002x</t>
  </si>
  <si>
    <t>北京市</t>
  </si>
  <si>
    <t>北京合杰</t>
  </si>
  <si>
    <t>李磊</t>
  </si>
  <si>
    <t>510322198910194715</t>
  </si>
  <si>
    <t>MNCN00625</t>
  </si>
  <si>
    <t>武汉市</t>
  </si>
  <si>
    <t>肖若竹</t>
  </si>
  <si>
    <t>何雯</t>
  </si>
  <si>
    <t>510106198710121449</t>
  </si>
  <si>
    <t>成都市</t>
  </si>
  <si>
    <t>成都合杰</t>
  </si>
  <si>
    <t>李芳</t>
  </si>
  <si>
    <t>360121199309283548</t>
  </si>
  <si>
    <t>南昌市</t>
  </si>
  <si>
    <t>朱健</t>
  </si>
  <si>
    <t>360481198502284030</t>
  </si>
  <si>
    <t>董琪</t>
  </si>
  <si>
    <t>MNCN00667</t>
  </si>
  <si>
    <t>421181198909180429</t>
  </si>
  <si>
    <t>王琳</t>
  </si>
  <si>
    <t>230119198905161023</t>
  </si>
  <si>
    <t>周峰</t>
  </si>
  <si>
    <t>MNCN00673</t>
  </si>
  <si>
    <t>500382198603225336</t>
  </si>
  <si>
    <t>王丹</t>
  </si>
  <si>
    <t>131121199101201441</t>
  </si>
  <si>
    <t>熊蒙蒙</t>
  </si>
  <si>
    <t>321323199806203649</t>
  </si>
  <si>
    <t>陈传波</t>
  </si>
  <si>
    <t>420683198510200554</t>
  </si>
  <si>
    <t>罗莎莎</t>
  </si>
  <si>
    <t>MNCN00695</t>
  </si>
  <si>
    <t>51072419900424082X</t>
  </si>
  <si>
    <t>姚顾周</t>
  </si>
  <si>
    <t>MNCN00696</t>
  </si>
  <si>
    <t>42108719830930323X</t>
  </si>
  <si>
    <t>深圳市</t>
  </si>
  <si>
    <t>深圳合杰</t>
  </si>
  <si>
    <t>张嵩扬</t>
  </si>
  <si>
    <t>邓怡青</t>
  </si>
  <si>
    <t>MNCN00704</t>
  </si>
  <si>
    <t>360105199208251213</t>
  </si>
  <si>
    <t>李琳</t>
  </si>
  <si>
    <t>MNCN00707</t>
  </si>
  <si>
    <t>420116199710180487</t>
  </si>
  <si>
    <t>郭圣杰</t>
  </si>
  <si>
    <t>MNCN00718</t>
  </si>
  <si>
    <t>420116200212250011</t>
  </si>
  <si>
    <t>鲁业全</t>
  </si>
  <si>
    <t>MNCN00285</t>
  </si>
  <si>
    <t>513030198906301035</t>
  </si>
  <si>
    <t>王永维</t>
  </si>
  <si>
    <t>MNCN00723</t>
  </si>
  <si>
    <t>130721199007055830</t>
  </si>
  <si>
    <t>张欢欢</t>
  </si>
  <si>
    <t>MNCN00725</t>
  </si>
  <si>
    <t>342221199203055081</t>
  </si>
  <si>
    <t>张家港市</t>
  </si>
  <si>
    <t>杨利芳</t>
  </si>
  <si>
    <t>MNCN00727</t>
  </si>
  <si>
    <t>410326198808163746</t>
  </si>
  <si>
    <t>天津市</t>
  </si>
  <si>
    <t>潘莉文</t>
  </si>
  <si>
    <t>MNCN00737</t>
  </si>
  <si>
    <t>341124199404044023</t>
  </si>
  <si>
    <t>上海市</t>
  </si>
  <si>
    <t>冯莉</t>
  </si>
  <si>
    <t>MNCN00739</t>
  </si>
  <si>
    <t>420114198702065422</t>
  </si>
  <si>
    <t>丁家恒</t>
  </si>
  <si>
    <t>MNCN00740</t>
  </si>
  <si>
    <t>420923199511134397</t>
  </si>
  <si>
    <t>魏华</t>
  </si>
  <si>
    <t>MNCN00741</t>
  </si>
  <si>
    <t>210114198602035120</t>
  </si>
  <si>
    <t>沈阳市</t>
  </si>
  <si>
    <t>刘玉栋</t>
  </si>
  <si>
    <t>MNCN00742</t>
  </si>
  <si>
    <t>120105199601302115</t>
  </si>
  <si>
    <t>何娜玉</t>
  </si>
  <si>
    <t>341623200209068042</t>
  </si>
  <si>
    <t>收入</t>
  </si>
  <si>
    <t>上海合杰</t>
  </si>
  <si>
    <t>退4-5月</t>
  </si>
  <si>
    <t>马艳华</t>
  </si>
  <si>
    <t>310113198004211726</t>
  </si>
  <si>
    <t>退基数差异5月基数差异费用</t>
  </si>
  <si>
    <t>5月基数差异费用</t>
  </si>
  <si>
    <t>月份</t>
  </si>
  <si>
    <t>员工编码</t>
  </si>
  <si>
    <t>中文姓名</t>
  </si>
  <si>
    <t>身份证号码</t>
  </si>
  <si>
    <t>岗位</t>
  </si>
  <si>
    <t>工作地</t>
  </si>
  <si>
    <t>最低工资</t>
  </si>
  <si>
    <t>入职时间</t>
  </si>
  <si>
    <t>离职日期</t>
  </si>
  <si>
    <t>基本工资</t>
  </si>
  <si>
    <t>出勤工资调整</t>
  </si>
  <si>
    <t>职位津贴</t>
  </si>
  <si>
    <t>店员工龄津贴</t>
  </si>
  <si>
    <t>延时加班</t>
  </si>
  <si>
    <t>周末加班</t>
  </si>
  <si>
    <t>节假日加班</t>
  </si>
  <si>
    <t>加班工资</t>
  </si>
  <si>
    <t>病假扣资</t>
  </si>
  <si>
    <t>事假扣资</t>
  </si>
  <si>
    <t>产假扣资</t>
  </si>
  <si>
    <t>月度销售提成</t>
  </si>
  <si>
    <t>绩效评估奖金</t>
  </si>
  <si>
    <t>税前调整</t>
  </si>
  <si>
    <t>未休年假折算</t>
  </si>
  <si>
    <t>公司垫付社保工资</t>
  </si>
  <si>
    <t>公司承担税</t>
  </si>
  <si>
    <t>最低工资标准</t>
  </si>
  <si>
    <t>应发工资</t>
  </si>
  <si>
    <t>个人养老</t>
  </si>
  <si>
    <t>个人医疗</t>
  </si>
  <si>
    <t>个人失业</t>
  </si>
  <si>
    <t>个人公积金</t>
  </si>
  <si>
    <t>工资个税</t>
  </si>
  <si>
    <t>计税调整项</t>
  </si>
  <si>
    <t>13薪奖金/年终奖</t>
  </si>
  <si>
    <t>奖金个税</t>
  </si>
  <si>
    <t>收入合计</t>
  </si>
  <si>
    <t>离职补偿金</t>
  </si>
  <si>
    <t>生育津贴/一次性伤残就业补助金</t>
  </si>
  <si>
    <t>当年累计发放月数</t>
  </si>
  <si>
    <t>当年累计收入</t>
  </si>
  <si>
    <t>当年累计税</t>
  </si>
  <si>
    <t>专项抵扣</t>
  </si>
  <si>
    <t>备注</t>
  </si>
  <si>
    <r>
      <rPr>
        <sz val="10"/>
        <color indexed="8"/>
        <rFont val="宋体"/>
        <family val="3"/>
        <charset val="134"/>
        <scheme val="minor"/>
      </rPr>
      <t>沈国伟</t>
    </r>
  </si>
  <si>
    <t>高级销售顾问</t>
  </si>
  <si>
    <t>杭州</t>
  </si>
  <si>
    <t>合杰区域分</t>
  </si>
  <si>
    <r>
      <rPr>
        <sz val="10"/>
        <color indexed="8"/>
        <rFont val="宋体"/>
        <family val="3"/>
        <charset val="134"/>
        <scheme val="minor"/>
      </rPr>
      <t>傅禄杰</t>
    </r>
  </si>
  <si>
    <t>上海</t>
  </si>
  <si>
    <t>销售主管</t>
  </si>
  <si>
    <t>南京</t>
  </si>
  <si>
    <r>
      <rPr>
        <sz val="10"/>
        <color indexed="8"/>
        <rFont val="宋体"/>
        <family val="3"/>
        <charset val="134"/>
        <scheme val="minor"/>
      </rPr>
      <t>王金栋</t>
    </r>
  </si>
  <si>
    <t>销售顾问</t>
  </si>
  <si>
    <t>北京</t>
  </si>
  <si>
    <r>
      <rPr>
        <sz val="10"/>
        <color indexed="8"/>
        <rFont val="宋体"/>
        <family val="3"/>
        <charset val="134"/>
        <scheme val="minor"/>
      </rPr>
      <t>徐乐</t>
    </r>
  </si>
  <si>
    <t>周华荣</t>
  </si>
  <si>
    <t>天津</t>
  </si>
  <si>
    <t>李爱芳</t>
  </si>
  <si>
    <t>苏州</t>
  </si>
  <si>
    <t>42010219880908082X</t>
  </si>
  <si>
    <t>武汉</t>
  </si>
  <si>
    <t>成都</t>
  </si>
  <si>
    <t>资深销售主管</t>
  </si>
  <si>
    <t>重庆</t>
  </si>
  <si>
    <t>西安</t>
  </si>
  <si>
    <t>广州</t>
  </si>
  <si>
    <t>资深销售主管</t>
  </si>
  <si>
    <t>MNCN00448</t>
  </si>
  <si>
    <t>青岛</t>
  </si>
  <si>
    <t>220284198807302313</t>
  </si>
  <si>
    <t>张洁</t>
  </si>
  <si>
    <t>王广春</t>
  </si>
  <si>
    <t>高级销售顾问</t>
  </si>
  <si>
    <t>MNCN00477</t>
  </si>
  <si>
    <t>张家港</t>
  </si>
  <si>
    <t>前台</t>
  </si>
  <si>
    <t>45042119951105101X</t>
  </si>
  <si>
    <t>佛山</t>
  </si>
  <si>
    <t>上海</t>
  </si>
  <si>
    <t>210323198908074066</t>
  </si>
  <si>
    <t>大连</t>
  </si>
  <si>
    <t>销售主管</t>
  </si>
  <si>
    <t>511321198801061483</t>
  </si>
  <si>
    <t>重庆</t>
  </si>
  <si>
    <t>500224199208282854</t>
  </si>
  <si>
    <t>王玉婷</t>
  </si>
  <si>
    <t>MNCN00553</t>
  </si>
  <si>
    <t>北京</t>
  </si>
  <si>
    <t>MNCN00552</t>
  </si>
  <si>
    <t>销售主管</t>
  </si>
  <si>
    <t>电商客服</t>
  </si>
  <si>
    <t>MNCN00564</t>
  </si>
  <si>
    <t>销售顾问</t>
  </si>
  <si>
    <t>MNCN00567</t>
  </si>
  <si>
    <t>31011019830528513X</t>
  </si>
  <si>
    <t>34012319851229364X</t>
  </si>
  <si>
    <t>杭州</t>
  </si>
  <si>
    <t>341021198002026720</t>
  </si>
  <si>
    <t>电商客服</t>
  </si>
  <si>
    <t>杨吕明</t>
  </si>
  <si>
    <t>合肥</t>
  </si>
  <si>
    <t>MNCN00593</t>
  </si>
  <si>
    <t>李玉文</t>
  </si>
  <si>
    <t>220421199508174147</t>
  </si>
  <si>
    <t>胡敏</t>
  </si>
  <si>
    <t>MNCN00602</t>
  </si>
  <si>
    <t>36252519820225002X</t>
  </si>
  <si>
    <t>MNCN00608</t>
  </si>
  <si>
    <t>白雪杰</t>
  </si>
  <si>
    <t>130824198307310047</t>
  </si>
  <si>
    <t>MNCN00617</t>
  </si>
  <si>
    <t>MNCN00618</t>
  </si>
  <si>
    <t>魏园园</t>
  </si>
  <si>
    <t>420325199710041927</t>
  </si>
  <si>
    <t>429006199501020014</t>
  </si>
  <si>
    <t>武汉</t>
  </si>
  <si>
    <t>MNCN00646</t>
  </si>
  <si>
    <t>130225199509230043</t>
  </si>
  <si>
    <t>广州</t>
  </si>
  <si>
    <t>MNCN00656</t>
  </si>
  <si>
    <t>成都</t>
  </si>
  <si>
    <t>南昌</t>
  </si>
  <si>
    <t>MNCN00668</t>
  </si>
  <si>
    <t>周峰</t>
  </si>
  <si>
    <t>MNCN00677</t>
  </si>
  <si>
    <t>131121199101201441</t>
  </si>
  <si>
    <t>MNCN00679</t>
  </si>
  <si>
    <t>321323199806203649</t>
  </si>
  <si>
    <t>MNCN00689</t>
  </si>
  <si>
    <t>张瑜婷</t>
  </si>
  <si>
    <t>360734199804210025</t>
  </si>
  <si>
    <t>南昌</t>
  </si>
  <si>
    <t>罗莎莎</t>
  </si>
  <si>
    <t>姚顾周</t>
  </si>
  <si>
    <t>深圳</t>
  </si>
  <si>
    <t>MNCN00697</t>
  </si>
  <si>
    <t>220521198212290027</t>
  </si>
  <si>
    <t>MNCN00699</t>
  </si>
  <si>
    <t>周丹</t>
  </si>
  <si>
    <t>110222198511116824</t>
  </si>
  <si>
    <t>MNCN00704</t>
  </si>
  <si>
    <t>MNCN00707</t>
  </si>
  <si>
    <t>MNCN00717</t>
  </si>
  <si>
    <t>徐殊</t>
  </si>
  <si>
    <t>36012120000506144X</t>
  </si>
  <si>
    <t>MNCN00718</t>
  </si>
  <si>
    <t>420116200212250011</t>
  </si>
  <si>
    <t>MNCN00285</t>
  </si>
  <si>
    <t>513030198906301035</t>
  </si>
  <si>
    <t>MNCN00723</t>
  </si>
  <si>
    <t>MNCN00725</t>
  </si>
  <si>
    <t>张家港</t>
  </si>
  <si>
    <t>MNCN00727</t>
  </si>
  <si>
    <t>天津</t>
  </si>
  <si>
    <t>MNCN00729</t>
  </si>
  <si>
    <t>江婷婷</t>
  </si>
  <si>
    <t>445281199201232120</t>
  </si>
  <si>
    <t>MNCN00737</t>
  </si>
  <si>
    <t>MNCN00739</t>
  </si>
  <si>
    <t>MNCN00740</t>
  </si>
  <si>
    <t>MNCN00741</t>
  </si>
  <si>
    <t>沈阳</t>
  </si>
  <si>
    <t>MNCN00742</t>
  </si>
  <si>
    <t>202606</t>
  </si>
  <si>
    <t>202606</t>
  </si>
  <si>
    <t>社保</t>
  </si>
  <si>
    <t>工资</t>
  </si>
  <si>
    <t>1月扣回</t>
  </si>
  <si>
    <t>2月扣回</t>
  </si>
  <si>
    <t>3月扣回</t>
  </si>
  <si>
    <t>4月扣回</t>
  </si>
  <si>
    <t>5月扣回</t>
  </si>
  <si>
    <t>6月扣回</t>
  </si>
  <si>
    <t>南昌市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</si>
</sst>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[$-409]dd/mmm/yy;@"/>
  </numFmts>
  <fonts count="25">
    <font>
      <sz val="11"/>
      <color theme="1"/>
      <name val="宋体"/>
      <family val="2"/>
      <charset val="134"/>
      <scheme val="minor"/>
    </font>
    <font>
      <sz val="10"/>
      <color theme="1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  <font>
      <b/>
      <sz val="14"/>
      <color theme="1"/>
      <name val="宋体"/>
      <family val="3"/>
      <charset val="134"/>
      <scheme val="minor"/>
    </font>
    <font>
      <b/>
      <sz val="12"/>
      <name val="宋体"/>
      <family val="3"/>
      <charset val="134"/>
    </font>
    <font>
      <b/>
      <sz val="16"/>
      <name val="宋体"/>
      <family val="3"/>
      <charset val="134"/>
    </font>
    <font>
      <b/>
      <sz val="10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.5"/>
      <color theme="1"/>
      <name val="Calibri"/>
      <family val="2"/>
    </font>
    <font>
      <sz val="12"/>
      <name val="宋体"/>
      <family val="3"/>
      <charset val="134"/>
    </font>
    <font>
      <sz val="9"/>
      <color theme="1"/>
      <name val="宋体"/>
      <family val="3"/>
      <charset val="134"/>
    </font>
    <font>
      <sz val="9"/>
      <color rgb="FF0000FF"/>
      <name val="宋体"/>
      <family val="3"/>
      <charset val="134"/>
    </font>
    <font>
      <sz val="14"/>
      <color theme="1"/>
      <name val="宋体"/>
      <family val="3"/>
      <charset val="134"/>
      <scheme val="minor"/>
    </font>
    <font>
      <sz val="9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b/>
      <sz val="9"/>
      <name val="微软雅黑"/>
      <family val="2"/>
      <charset val="134"/>
    </font>
    <font>
      <sz val="10"/>
      <color indexed="8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b/>
      <sz val="9"/>
      <name val="Tahoma"/>
      <family val="2"/>
    </font>
    <font>
      <sz val="9"/>
      <name val="Tahoma"/>
      <family val="2"/>
    </font>
    <font>
      <b/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66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500036239624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/>
      <right/>
      <top/>
      <bottom style="thin">
        <color auto="1"/>
      </bottom>
    </border>
  </borders>
  <cellStyleXfs count="26">
    <xf numFmtId="176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Protection="0">
      <alignment/>
    </xf>
    <xf numFmtId="43" fontId="0" fillId="0" borderId="0" applyFont="0" applyFill="0" applyBorder="0" applyProtection="0">
      <alignment/>
    </xf>
    <xf numFmtId="43" fontId="11" fillId="0" borderId="0" applyFont="0" applyFill="0" applyBorder="0" applyProtection="0">
      <alignment/>
    </xf>
    <xf numFmtId="176" fontId="0" fillId="0" borderId="0">
      <alignment vertical="center"/>
      <protection/>
    </xf>
    <xf numFmtId="176" fontId="0" fillId="0" borderId="0">
      <alignment vertical="center"/>
      <protection/>
    </xf>
    <xf numFmtId="176" fontId="0" fillId="0" borderId="0">
      <alignment vertical="center"/>
      <protection/>
    </xf>
  </cellStyleXfs>
  <cellXfs count="93">
    <xf numFmtId="176" fontId="0" fillId="0" borderId="0" xfId="0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176" fontId="17" fillId="0" borderId="1" xfId="0" applyFont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 vertical="center" wrapText="1"/>
    </xf>
    <xf numFmtId="176" fontId="17" fillId="2" borderId="1" xfId="0" applyFont="1" applyFill="1" applyBorder="1" applyAlignment="1">
      <alignment horizontal="center" vertical="center" wrapText="1"/>
    </xf>
    <xf numFmtId="176" fontId="17" fillId="3" borderId="1" xfId="0" applyFont="1" applyFill="1" applyBorder="1" applyAlignment="1">
      <alignment horizontal="center" vertical="center" wrapText="1"/>
    </xf>
    <xf numFmtId="176" fontId="17" fillId="4" borderId="1" xfId="0" applyFont="1" applyFill="1" applyBorder="1" applyAlignment="1">
      <alignment horizontal="center" vertical="center" wrapText="1"/>
    </xf>
    <xf numFmtId="176" fontId="17" fillId="5" borderId="1" xfId="0" applyFont="1" applyFill="1" applyBorder="1" applyAlignment="1">
      <alignment horizontal="center" vertical="center" wrapText="1"/>
    </xf>
    <xf numFmtId="176" fontId="18" fillId="0" borderId="0" xfId="20" applyNumberFormat="1" applyFont="1" applyFill="1" applyBorder="1" applyAlignment="1">
      <alignment vertical="center" wrapText="1"/>
    </xf>
    <xf numFmtId="176" fontId="18" fillId="0" borderId="0" xfId="20" applyNumberFormat="1" applyFont="1" applyFill="1" applyBorder="1" applyAlignment="1">
      <alignment horizontal="center" vertical="center" wrapText="1"/>
    </xf>
    <xf numFmtId="176" fontId="16" fillId="0" borderId="0" xfId="0" applyFont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 quotePrefix="1">
      <alignment horizontal="center" vertical="center"/>
    </xf>
    <xf numFmtId="176" fontId="16" fillId="0" borderId="1" xfId="0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176" fontId="20" fillId="0" borderId="1" xfId="0" applyFont="1" applyBorder="1" applyAlignment="1">
      <alignment horizontal="center" vertical="center"/>
    </xf>
    <xf numFmtId="176" fontId="16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176" fontId="21" fillId="0" borderId="1" xfId="0" applyFont="1" applyBorder="1" applyAlignment="1">
      <alignment horizontal="center" vertical="center"/>
    </xf>
    <xf numFmtId="49" fontId="16" fillId="0" borderId="2" xfId="0" applyNumberFormat="1" applyFont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176" fontId="21" fillId="0" borderId="0" xfId="0" applyFont="1" applyAlignment="1">
      <alignment horizontal="center" vertical="center"/>
    </xf>
    <xf numFmtId="176" fontId="20" fillId="0" borderId="0" xfId="0" applyFont="1" applyAlignment="1">
      <alignment horizontal="center" vertical="center"/>
    </xf>
    <xf numFmtId="49" fontId="16" fillId="0" borderId="0" xfId="0" applyNumberFormat="1" applyFont="1" applyAlignment="1">
      <alignment vertical="center"/>
    </xf>
    <xf numFmtId="14" fontId="16" fillId="0" borderId="0" xfId="0" applyNumberFormat="1" applyFont="1" applyAlignment="1">
      <alignment vertical="center"/>
    </xf>
    <xf numFmtId="176" fontId="16" fillId="0" borderId="0" xfId="0" applyFont="1" applyAlignment="1">
      <alignment vertical="center"/>
    </xf>
    <xf numFmtId="176" fontId="21" fillId="0" borderId="0" xfId="0" applyFont="1" applyAlignment="1">
      <alignment vertical="center"/>
    </xf>
    <xf numFmtId="49" fontId="16" fillId="6" borderId="1" xfId="0" applyNumberFormat="1" applyFont="1" applyFill="1" applyBorder="1" applyAlignment="1">
      <alignment horizontal="center" vertical="center"/>
    </xf>
    <xf numFmtId="176" fontId="15" fillId="6" borderId="1" xfId="0" applyFont="1" applyFill="1" applyBorder="1" applyAlignment="1">
      <alignment horizontal="center" vertical="center"/>
    </xf>
    <xf numFmtId="176" fontId="16" fillId="6" borderId="1" xfId="0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14" fontId="16" fillId="6" borderId="1" xfId="0" applyNumberFormat="1" applyFont="1" applyFill="1" applyBorder="1" applyAlignment="1">
      <alignment horizontal="center" vertical="center"/>
    </xf>
    <xf numFmtId="176" fontId="20" fillId="6" borderId="1" xfId="0" applyFont="1" applyFill="1" applyBorder="1" applyAlignment="1">
      <alignment horizontal="center" vertical="center"/>
    </xf>
    <xf numFmtId="176" fontId="16" fillId="6" borderId="0" xfId="0" applyFont="1" applyFill="1" applyAlignment="1">
      <alignment horizontal="center" vertical="center"/>
    </xf>
    <xf numFmtId="49" fontId="16" fillId="6" borderId="0" xfId="0" applyNumberFormat="1" applyFont="1" applyFill="1" applyAlignment="1">
      <alignment horizontal="center" vertical="center"/>
    </xf>
    <xf numFmtId="176" fontId="2" fillId="6" borderId="1" xfId="0" applyFont="1" applyFill="1" applyBorder="1" applyAlignment="1">
      <alignment horizontal="center" vertical="center"/>
    </xf>
    <xf numFmtId="176" fontId="2" fillId="6" borderId="1" xfId="0" applyFont="1" applyFill="1" applyBorder="1" applyAlignment="1" quotePrefix="1">
      <alignment horizontal="center" vertical="center"/>
    </xf>
    <xf numFmtId="176" fontId="0" fillId="0" borderId="0" xfId="25" applyAlignment="1">
      <alignment vertical="center"/>
      <protection/>
    </xf>
    <xf numFmtId="0" fontId="0" fillId="0" borderId="0" xfId="0" applyNumberForma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  <xf numFmtId="0" fontId="7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center" vertical="center"/>
    </xf>
    <xf numFmtId="0" fontId="2" fillId="0" borderId="3" xfId="0" applyNumberFormat="1" applyFont="1" applyBorder="1" applyAlignment="1">
      <alignment horizontal="center" wrapText="1"/>
    </xf>
    <xf numFmtId="0" fontId="2" fillId="0" borderId="4" xfId="0" applyNumberFormat="1" applyFont="1" applyBorder="1" applyAlignment="1">
      <alignment horizontal="center" vertical="top" wrapText="1"/>
    </xf>
    <xf numFmtId="0" fontId="2" fillId="0" borderId="5" xfId="0" applyNumberFormat="1" applyFont="1" applyBorder="1" applyAlignment="1">
      <alignment horizontal="center" vertical="top" wrapText="1"/>
    </xf>
    <xf numFmtId="0" fontId="2" fillId="0" borderId="6" xfId="0" applyNumberFormat="1" applyFont="1" applyBorder="1" applyAlignment="1">
      <alignment horizontal="center" vertical="top" wrapText="1"/>
    </xf>
    <xf numFmtId="0" fontId="2" fillId="0" borderId="3" xfId="0" applyNumberFormat="1" applyFont="1" applyBorder="1" applyAlignment="1">
      <alignment horizontal="center" vertical="top" wrapText="1"/>
    </xf>
    <xf numFmtId="0" fontId="2" fillId="0" borderId="3" xfId="0" applyNumberFormat="1" applyFont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center" vertical="top" wrapText="1"/>
    </xf>
    <xf numFmtId="0" fontId="2" fillId="0" borderId="7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 wrapText="1"/>
    </xf>
    <xf numFmtId="0" fontId="13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 quotePrefix="1">
      <alignment horizontal="center" vertical="center"/>
    </xf>
    <xf numFmtId="0" fontId="15" fillId="0" borderId="1" xfId="0" applyNumberFormat="1" applyFont="1" applyBorder="1" applyAlignment="1">
      <alignment horizontal="center" vertical="center"/>
    </xf>
    <xf numFmtId="0" fontId="13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 quotePrefix="1">
      <alignment horizontal="center" vertical="center" wrapText="1"/>
    </xf>
    <xf numFmtId="0" fontId="12" fillId="0" borderId="1" xfId="0" applyNumberFormat="1" applyFont="1" applyBorder="1" applyAlignment="1" quotePrefix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16" fillId="0" borderId="1" xfId="0" applyNumberFormat="1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/>
    </xf>
    <xf numFmtId="0" fontId="13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 quotePrefix="1">
      <alignment horizontal="center" vertical="center"/>
    </xf>
    <xf numFmtId="0" fontId="12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right" vertical="center"/>
    </xf>
    <xf numFmtId="0" fontId="0" fillId="0" borderId="0" xfId="0" applyNumberFormat="1" applyFont="1" applyAlignment="1">
      <alignment horizontal="right" vertical="center"/>
    </xf>
    <xf numFmtId="0" fontId="4" fillId="0" borderId="0" xfId="0" applyNumberFormat="1" applyFont="1" applyAlignment="1">
      <alignment vertical="center"/>
    </xf>
    <xf numFmtId="0" fontId="4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horizontal="left" vertical="center"/>
    </xf>
    <xf numFmtId="0" fontId="14" fillId="0" borderId="0" xfId="0" applyNumberFormat="1" applyFont="1" applyAlignment="1">
      <alignment horizontal="center" vertical="center"/>
    </xf>
    <xf numFmtId="0" fontId="10" fillId="0" borderId="0" xfId="0" applyNumberFormat="1" applyFont="1" applyAlignment="1">
      <alignment vertical="center"/>
    </xf>
    <xf numFmtId="0" fontId="16" fillId="0" borderId="8" xfId="0" applyNumberFormat="1" applyFont="1" applyBorder="1" applyAlignment="1">
      <alignment horizontal="center" vertical="center"/>
    </xf>
    <xf numFmtId="0" fontId="16" fillId="0" borderId="0" xfId="0" applyNumberFormat="1" applyFont="1" applyAlignment="1">
      <alignment horizontal="center" vertical="center"/>
    </xf>
    <xf numFmtId="0" fontId="16" fillId="0" borderId="9" xfId="0" applyNumberFormat="1" applyFont="1" applyBorder="1" applyAlignment="1">
      <alignment horizontal="center" vertical="center"/>
    </xf>
    <xf numFmtId="0" fontId="16" fillId="6" borderId="1" xfId="0" applyNumberFormat="1" applyFont="1" applyFill="1" applyBorder="1" applyAlignment="1">
      <alignment horizontal="center" vertical="center"/>
    </xf>
    <xf numFmtId="0" fontId="16" fillId="6" borderId="8" xfId="0" applyNumberFormat="1" applyFont="1" applyFill="1" applyBorder="1" applyAlignment="1">
      <alignment horizontal="center" vertical="center"/>
    </xf>
    <xf numFmtId="0" fontId="21" fillId="0" borderId="2" xfId="0" applyNumberFormat="1" applyFont="1" applyBorder="1" applyAlignment="1">
      <alignment horizontal="center" vertical="center"/>
    </xf>
    <xf numFmtId="0" fontId="20" fillId="0" borderId="2" xfId="0" applyNumberFormat="1" applyFont="1" applyBorder="1" applyAlignment="1">
      <alignment horizontal="center" vertical="center"/>
    </xf>
    <xf numFmtId="0" fontId="0" fillId="0" borderId="0" xfId="25" applyNumberFormat="1" applyAlignment="1">
      <alignment vertical="center"/>
      <protection/>
    </xf>
    <xf numFmtId="0" fontId="0" fillId="0" borderId="10" xfId="25" applyNumberFormat="1" applyBorder="1" applyAlignment="1">
      <alignment vertical="center"/>
      <protection/>
    </xf>
    <xf numFmtId="0" fontId="0" fillId="0" borderId="2" xfId="25" applyNumberFormat="1" applyBorder="1" applyAlignment="1">
      <alignment vertical="center"/>
      <protection/>
    </xf>
  </cellXfs>
  <cellStyles count="12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千位分隔 2" xfId="20"/>
    <cellStyle name="千位分隔 3" xfId="21"/>
    <cellStyle name="Comma_2008年4月司机工资" xfId="22"/>
    <cellStyle name="常规 2" xfId="23"/>
    <cellStyle name="常规 3" xfId="24"/>
    <cellStyle name="常规 4" xfId="25"/>
  </cellStyles>
  <dxfs count="62"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externalLink" Target="externalLinks/externalLink1.xml" /><Relationship Id="rId6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Relationship Id="rId8" Type="http://schemas.openxmlformats.org/officeDocument/2006/relationships/calcChain" Target="calcChain.xml" /><Relationship Id="rId4" Type="http://schemas.openxmlformats.org/officeDocument/2006/relationships/worksheet" Target="worksheets/sheet2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/My%20files/MetLife/Removing%20from%20Z/Monthly%20Salary/&#24037;&#36164;/ZJ(63200)/201408/Payroll%20Data%20Collection%20%20Checking%20Sheet_ZJ%20201407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_New Hire"/>
      <sheetName val="2_Terminated"/>
      <sheetName val="3_Change of Status"/>
      <sheetName val="4_OT"/>
      <sheetName val="5_Other Items"/>
      <sheetName val="6_EE"/>
      <sheetName val="7_Balance Shee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3" Type="http://schemas.openxmlformats.org/officeDocument/2006/relationships/printerSettings" Target="../printerSettings/printerSettings2.bin" /><Relationship Id="rId1" Type="http://schemas.openxmlformats.org/officeDocument/2006/relationships/comments" Target="../comments2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comments" Target="../comments3.xml" /><Relationship Id="rId2" Type="http://schemas.openxmlformats.org/officeDocument/2006/relationships/vmlDrawing" Target="../drawings/vmlDrawing2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D116"/>
  <sheetViews>
    <sheetView tabSelected="1" workbookViewId="0" topLeftCell="A1">
      <pane ySplit="7" topLeftCell="A28" activePane="bottomLeft" state="frozen"/>
      <selection pane="topLeft" activeCell="P1" sqref="P1"/>
      <selection pane="bottomLeft" activeCell="A1" sqref="A1:XFD1048576"/>
    </sheetView>
  </sheetViews>
  <sheetFormatPr defaultColWidth="9.005" defaultRowHeight="13.5"/>
  <cols>
    <col min="1" max="1" width="6.5" style="41" customWidth="1"/>
    <col min="2" max="2" width="8.125" style="41" customWidth="1"/>
    <col min="3" max="3" width="9" style="41" customWidth="1"/>
    <col min="4" max="4" width="8.5" style="41" customWidth="1"/>
    <col min="5" max="6" width="12.875" style="41" bestFit="1" customWidth="1"/>
    <col min="7" max="7" width="9.125" style="41" customWidth="1"/>
    <col min="8" max="8" width="15.625" style="41" bestFit="1" customWidth="1"/>
    <col min="9" max="9" width="13.75" style="41" bestFit="1" customWidth="1"/>
    <col min="10" max="10" width="9.5" style="41" customWidth="1"/>
    <col min="11" max="14" width="9" style="41" customWidth="1"/>
    <col min="15" max="15" width="8.75" style="41" customWidth="1"/>
    <col min="16" max="16" width="10.75" style="41" customWidth="1"/>
    <col min="17" max="17" width="6.75" style="41" customWidth="1"/>
    <col min="18" max="19" width="9" style="41" customWidth="1"/>
    <col min="20" max="20" width="11.125" style="41" customWidth="1"/>
    <col min="21" max="25" width="9" style="41" customWidth="1"/>
    <col min="26" max="26" width="7.5" style="41" customWidth="1"/>
    <col min="27" max="27" width="13" style="41" customWidth="1"/>
    <col min="28" max="28" width="11.125" style="41" customWidth="1"/>
    <col min="29" max="30" width="11.5" style="41" customWidth="1"/>
    <col min="31" max="31" width="9" style="41" customWidth="1"/>
    <col min="32" max="32" width="8.5" style="41" customWidth="1"/>
    <col min="33" max="33" width="12.375" style="41" customWidth="1"/>
    <col min="34" max="34" width="12.5" style="43" customWidth="1"/>
    <col min="35" max="35" width="10.25" style="43" customWidth="1"/>
    <col min="36" max="36" width="9.625" style="43" customWidth="1"/>
    <col min="37" max="37" width="15" style="43" bestFit="1" customWidth="1"/>
    <col min="38" max="38" width="66.625" style="41" customWidth="1"/>
    <col min="39" max="39" width="18.25" style="41" customWidth="1"/>
    <col min="40" max="40" width="19.875" style="41" customWidth="1"/>
    <col min="41" max="41" width="15.375" style="41" customWidth="1"/>
    <col min="42" max="52" width="9" style="41" customWidth="1"/>
    <col min="53" max="288" width="9" style="41"/>
    <col min="289" max="289" width="12.125" style="41" customWidth="1"/>
    <col min="290" max="290" width="9" style="41"/>
    <col min="291" max="291" width="15.625" style="41" customWidth="1"/>
    <col min="292" max="544" width="9" style="41"/>
    <col min="545" max="545" width="12.125" style="41" customWidth="1"/>
    <col min="546" max="546" width="9" style="41"/>
    <col min="547" max="547" width="15.625" style="41" customWidth="1"/>
    <col min="548" max="800" width="9" style="41"/>
    <col min="801" max="801" width="12.125" style="41" customWidth="1"/>
    <col min="802" max="802" width="9" style="41"/>
    <col min="803" max="803" width="15.625" style="41" customWidth="1"/>
    <col min="804" max="1056" width="9" style="41"/>
    <col min="1057" max="1057" width="12.125" style="41" customWidth="1"/>
    <col min="1058" max="1058" width="9" style="41"/>
    <col min="1059" max="1059" width="15.625" style="41" customWidth="1"/>
    <col min="1060" max="1312" width="9" style="41"/>
    <col min="1313" max="1313" width="12.125" style="41" customWidth="1"/>
    <col min="1314" max="1314" width="9" style="41"/>
    <col min="1315" max="1315" width="15.625" style="41" customWidth="1"/>
    <col min="1316" max="1568" width="9" style="41"/>
    <col min="1569" max="1569" width="12.125" style="41" customWidth="1"/>
    <col min="1570" max="1570" width="9" style="41"/>
    <col min="1571" max="1571" width="15.625" style="41" customWidth="1"/>
    <col min="1572" max="1824" width="9" style="41"/>
    <col min="1825" max="1825" width="12.125" style="41" customWidth="1"/>
    <col min="1826" max="1826" width="9" style="41"/>
    <col min="1827" max="1827" width="15.625" style="41" customWidth="1"/>
    <col min="1828" max="2080" width="9" style="41"/>
    <col min="2081" max="2081" width="12.125" style="41" customWidth="1"/>
    <col min="2082" max="2082" width="9" style="41"/>
    <col min="2083" max="2083" width="15.625" style="41" customWidth="1"/>
    <col min="2084" max="2336" width="9" style="41"/>
    <col min="2337" max="2337" width="12.125" style="41" customWidth="1"/>
    <col min="2338" max="2338" width="9" style="41"/>
    <col min="2339" max="2339" width="15.625" style="41" customWidth="1"/>
    <col min="2340" max="2592" width="9" style="41"/>
    <col min="2593" max="2593" width="12.125" style="41" customWidth="1"/>
    <col min="2594" max="2594" width="9" style="41"/>
    <col min="2595" max="2595" width="15.625" style="41" customWidth="1"/>
    <col min="2596" max="2848" width="9" style="41"/>
    <col min="2849" max="2849" width="12.125" style="41" customWidth="1"/>
    <col min="2850" max="2850" width="9" style="41"/>
    <col min="2851" max="2851" width="15.625" style="41" customWidth="1"/>
    <col min="2852" max="3104" width="9" style="41"/>
    <col min="3105" max="3105" width="12.125" style="41" customWidth="1"/>
    <col min="3106" max="3106" width="9" style="41"/>
    <col min="3107" max="3107" width="15.625" style="41" customWidth="1"/>
    <col min="3108" max="3360" width="9" style="41"/>
    <col min="3361" max="3361" width="12.125" style="41" customWidth="1"/>
    <col min="3362" max="3362" width="9" style="41"/>
    <col min="3363" max="3363" width="15.625" style="41" customWidth="1"/>
    <col min="3364" max="3616" width="9" style="41"/>
    <col min="3617" max="3617" width="12.125" style="41" customWidth="1"/>
    <col min="3618" max="3618" width="9" style="41"/>
    <col min="3619" max="3619" width="15.625" style="41" customWidth="1"/>
    <col min="3620" max="3872" width="9" style="41"/>
    <col min="3873" max="3873" width="12.125" style="41" customWidth="1"/>
    <col min="3874" max="3874" width="9" style="41"/>
    <col min="3875" max="3875" width="15.625" style="41" customWidth="1"/>
    <col min="3876" max="4128" width="9" style="41"/>
    <col min="4129" max="4129" width="12.125" style="41" customWidth="1"/>
    <col min="4130" max="4130" width="9" style="41"/>
    <col min="4131" max="4131" width="15.625" style="41" customWidth="1"/>
    <col min="4132" max="4384" width="9" style="41"/>
    <col min="4385" max="4385" width="12.125" style="41" customWidth="1"/>
    <col min="4386" max="4386" width="9" style="41"/>
    <col min="4387" max="4387" width="15.625" style="41" customWidth="1"/>
    <col min="4388" max="4640" width="9" style="41"/>
    <col min="4641" max="4641" width="12.125" style="41" customWidth="1"/>
    <col min="4642" max="4642" width="9" style="41"/>
    <col min="4643" max="4643" width="15.625" style="41" customWidth="1"/>
    <col min="4644" max="4896" width="9" style="41"/>
    <col min="4897" max="4897" width="12.125" style="41" customWidth="1"/>
    <col min="4898" max="4898" width="9" style="41"/>
    <col min="4899" max="4899" width="15.625" style="41" customWidth="1"/>
    <col min="4900" max="5152" width="9" style="41"/>
    <col min="5153" max="5153" width="12.125" style="41" customWidth="1"/>
    <col min="5154" max="5154" width="9" style="41"/>
    <col min="5155" max="5155" width="15.625" style="41" customWidth="1"/>
    <col min="5156" max="5408" width="9" style="41"/>
    <col min="5409" max="5409" width="12.125" style="41" customWidth="1"/>
    <col min="5410" max="5410" width="9" style="41"/>
    <col min="5411" max="5411" width="15.625" style="41" customWidth="1"/>
    <col min="5412" max="5664" width="9" style="41"/>
    <col min="5665" max="5665" width="12.125" style="41" customWidth="1"/>
    <col min="5666" max="5666" width="9" style="41"/>
    <col min="5667" max="5667" width="15.625" style="41" customWidth="1"/>
    <col min="5668" max="5920" width="9" style="41"/>
    <col min="5921" max="5921" width="12.125" style="41" customWidth="1"/>
    <col min="5922" max="5922" width="9" style="41"/>
    <col min="5923" max="5923" width="15.625" style="41" customWidth="1"/>
    <col min="5924" max="6176" width="9" style="41"/>
    <col min="6177" max="6177" width="12.125" style="41" customWidth="1"/>
    <col min="6178" max="6178" width="9" style="41"/>
    <col min="6179" max="6179" width="15.625" style="41" customWidth="1"/>
    <col min="6180" max="6432" width="9" style="41"/>
    <col min="6433" max="6433" width="12.125" style="41" customWidth="1"/>
    <col min="6434" max="6434" width="9" style="41"/>
    <col min="6435" max="6435" width="15.625" style="41" customWidth="1"/>
    <col min="6436" max="6688" width="9" style="41"/>
    <col min="6689" max="6689" width="12.125" style="41" customWidth="1"/>
    <col min="6690" max="6690" width="9" style="41"/>
    <col min="6691" max="6691" width="15.625" style="41" customWidth="1"/>
    <col min="6692" max="6944" width="9" style="41"/>
    <col min="6945" max="6945" width="12.125" style="41" customWidth="1"/>
    <col min="6946" max="6946" width="9" style="41"/>
    <col min="6947" max="6947" width="15.625" style="41" customWidth="1"/>
    <col min="6948" max="7200" width="9" style="41"/>
    <col min="7201" max="7201" width="12.125" style="41" customWidth="1"/>
    <col min="7202" max="7202" width="9" style="41"/>
    <col min="7203" max="7203" width="15.625" style="41" customWidth="1"/>
    <col min="7204" max="7456" width="9" style="41"/>
    <col min="7457" max="7457" width="12.125" style="41" customWidth="1"/>
    <col min="7458" max="7458" width="9" style="41"/>
    <col min="7459" max="7459" width="15.625" style="41" customWidth="1"/>
    <col min="7460" max="7712" width="9" style="41"/>
    <col min="7713" max="7713" width="12.125" style="41" customWidth="1"/>
    <col min="7714" max="7714" width="9" style="41"/>
    <col min="7715" max="7715" width="15.625" style="41" customWidth="1"/>
    <col min="7716" max="7968" width="9" style="41"/>
    <col min="7969" max="7969" width="12.125" style="41" customWidth="1"/>
    <col min="7970" max="7970" width="9" style="41"/>
    <col min="7971" max="7971" width="15.625" style="41" customWidth="1"/>
    <col min="7972" max="8224" width="9" style="41"/>
    <col min="8225" max="8225" width="12.125" style="41" customWidth="1"/>
    <col min="8226" max="8226" width="9" style="41"/>
    <col min="8227" max="8227" width="15.625" style="41" customWidth="1"/>
    <col min="8228" max="8480" width="9" style="41"/>
    <col min="8481" max="8481" width="12.125" style="41" customWidth="1"/>
    <col min="8482" max="8482" width="9" style="41"/>
    <col min="8483" max="8483" width="15.625" style="41" customWidth="1"/>
    <col min="8484" max="8736" width="9" style="41"/>
    <col min="8737" max="8737" width="12.125" style="41" customWidth="1"/>
    <col min="8738" max="8738" width="9" style="41"/>
    <col min="8739" max="8739" width="15.625" style="41" customWidth="1"/>
    <col min="8740" max="8992" width="9" style="41"/>
    <col min="8993" max="8993" width="12.125" style="41" customWidth="1"/>
    <col min="8994" max="8994" width="9" style="41"/>
    <col min="8995" max="8995" width="15.625" style="41" customWidth="1"/>
    <col min="8996" max="9248" width="9" style="41"/>
    <col min="9249" max="9249" width="12.125" style="41" customWidth="1"/>
    <col min="9250" max="9250" width="9" style="41"/>
    <col min="9251" max="9251" width="15.625" style="41" customWidth="1"/>
    <col min="9252" max="9504" width="9" style="41"/>
    <col min="9505" max="9505" width="12.125" style="41" customWidth="1"/>
    <col min="9506" max="9506" width="9" style="41"/>
    <col min="9507" max="9507" width="15.625" style="41" customWidth="1"/>
    <col min="9508" max="9760" width="9" style="41"/>
    <col min="9761" max="9761" width="12.125" style="41" customWidth="1"/>
    <col min="9762" max="9762" width="9" style="41"/>
    <col min="9763" max="9763" width="15.625" style="41" customWidth="1"/>
    <col min="9764" max="10016" width="9" style="41"/>
    <col min="10017" max="10017" width="12.125" style="41" customWidth="1"/>
    <col min="10018" max="10018" width="9" style="41"/>
    <col min="10019" max="10019" width="15.625" style="41" customWidth="1"/>
    <col min="10020" max="10272" width="9" style="41"/>
    <col min="10273" max="10273" width="12.125" style="41" customWidth="1"/>
    <col min="10274" max="10274" width="9" style="41"/>
    <col min="10275" max="10275" width="15.625" style="41" customWidth="1"/>
    <col min="10276" max="10528" width="9" style="41"/>
    <col min="10529" max="10529" width="12.125" style="41" customWidth="1"/>
    <col min="10530" max="10530" width="9" style="41"/>
    <col min="10531" max="10531" width="15.625" style="41" customWidth="1"/>
    <col min="10532" max="10784" width="9" style="41"/>
    <col min="10785" max="10785" width="12.125" style="41" customWidth="1"/>
    <col min="10786" max="10786" width="9" style="41"/>
    <col min="10787" max="10787" width="15.625" style="41" customWidth="1"/>
    <col min="10788" max="11040" width="9" style="41"/>
    <col min="11041" max="11041" width="12.125" style="41" customWidth="1"/>
    <col min="11042" max="11042" width="9" style="41"/>
    <col min="11043" max="11043" width="15.625" style="41" customWidth="1"/>
    <col min="11044" max="11296" width="9" style="41"/>
    <col min="11297" max="11297" width="12.125" style="41" customWidth="1"/>
    <col min="11298" max="11298" width="9" style="41"/>
    <col min="11299" max="11299" width="15.625" style="41" customWidth="1"/>
    <col min="11300" max="11552" width="9" style="41"/>
    <col min="11553" max="11553" width="12.125" style="41" customWidth="1"/>
    <col min="11554" max="11554" width="9" style="41"/>
    <col min="11555" max="11555" width="15.625" style="41" customWidth="1"/>
    <col min="11556" max="11808" width="9" style="41"/>
    <col min="11809" max="11809" width="12.125" style="41" customWidth="1"/>
    <col min="11810" max="11810" width="9" style="41"/>
    <col min="11811" max="11811" width="15.625" style="41" customWidth="1"/>
    <col min="11812" max="12064" width="9" style="41"/>
    <col min="12065" max="12065" width="12.125" style="41" customWidth="1"/>
    <col min="12066" max="12066" width="9" style="41"/>
    <col min="12067" max="12067" width="15.625" style="41" customWidth="1"/>
    <col min="12068" max="12320" width="9" style="41"/>
    <col min="12321" max="12321" width="12.125" style="41" customWidth="1"/>
    <col min="12322" max="12322" width="9" style="41"/>
    <col min="12323" max="12323" width="15.625" style="41" customWidth="1"/>
    <col min="12324" max="12576" width="9" style="41"/>
    <col min="12577" max="12577" width="12.125" style="41" customWidth="1"/>
    <col min="12578" max="12578" width="9" style="41"/>
    <col min="12579" max="12579" width="15.625" style="41" customWidth="1"/>
    <col min="12580" max="12832" width="9" style="41"/>
    <col min="12833" max="12833" width="12.125" style="41" customWidth="1"/>
    <col min="12834" max="12834" width="9" style="41"/>
    <col min="12835" max="12835" width="15.625" style="41" customWidth="1"/>
    <col min="12836" max="13088" width="9" style="41"/>
    <col min="13089" max="13089" width="12.125" style="41" customWidth="1"/>
    <col min="13090" max="13090" width="9" style="41"/>
    <col min="13091" max="13091" width="15.625" style="41" customWidth="1"/>
    <col min="13092" max="13344" width="9" style="41"/>
    <col min="13345" max="13345" width="12.125" style="41" customWidth="1"/>
    <col min="13346" max="13346" width="9" style="41"/>
    <col min="13347" max="13347" width="15.625" style="41" customWidth="1"/>
    <col min="13348" max="13600" width="9" style="41"/>
    <col min="13601" max="13601" width="12.125" style="41" customWidth="1"/>
    <col min="13602" max="13602" width="9" style="41"/>
    <col min="13603" max="13603" width="15.625" style="41" customWidth="1"/>
    <col min="13604" max="13856" width="9" style="41"/>
    <col min="13857" max="13857" width="12.125" style="41" customWidth="1"/>
    <col min="13858" max="13858" width="9" style="41"/>
    <col min="13859" max="13859" width="15.625" style="41" customWidth="1"/>
    <col min="13860" max="14112" width="9" style="41"/>
    <col min="14113" max="14113" width="12.125" style="41" customWidth="1"/>
    <col min="14114" max="14114" width="9" style="41"/>
    <col min="14115" max="14115" width="15.625" style="41" customWidth="1"/>
    <col min="14116" max="14368" width="9" style="41"/>
    <col min="14369" max="14369" width="12.125" style="41" customWidth="1"/>
    <col min="14370" max="14370" width="9" style="41"/>
    <col min="14371" max="14371" width="15.625" style="41" customWidth="1"/>
    <col min="14372" max="14624" width="9" style="41"/>
    <col min="14625" max="14625" width="12.125" style="41" customWidth="1"/>
    <col min="14626" max="14626" width="9" style="41"/>
    <col min="14627" max="14627" width="15.625" style="41" customWidth="1"/>
    <col min="14628" max="14880" width="9" style="41"/>
    <col min="14881" max="14881" width="12.125" style="41" customWidth="1"/>
    <col min="14882" max="14882" width="9" style="41"/>
    <col min="14883" max="14883" width="15.625" style="41" customWidth="1"/>
    <col min="14884" max="15136" width="9" style="41"/>
    <col min="15137" max="15137" width="12.125" style="41" customWidth="1"/>
    <col min="15138" max="15138" width="9" style="41"/>
    <col min="15139" max="15139" width="15.625" style="41" customWidth="1"/>
    <col min="15140" max="15392" width="9" style="41"/>
    <col min="15393" max="15393" width="12.125" style="41" customWidth="1"/>
    <col min="15394" max="15394" width="9" style="41"/>
    <col min="15395" max="15395" width="15.625" style="41" customWidth="1"/>
    <col min="15396" max="15648" width="9" style="41"/>
    <col min="15649" max="15649" width="12.125" style="41" customWidth="1"/>
    <col min="15650" max="15650" width="9" style="41"/>
    <col min="15651" max="15651" width="15.625" style="41" customWidth="1"/>
    <col min="15652" max="15904" width="9" style="41"/>
    <col min="15905" max="15905" width="12.125" style="41" customWidth="1"/>
    <col min="15906" max="15906" width="9" style="41"/>
    <col min="15907" max="15907" width="15.625" style="41" customWidth="1"/>
    <col min="15908" max="16160" width="9" style="41"/>
    <col min="16161" max="16161" width="12.125" style="41" customWidth="1"/>
    <col min="16162" max="16162" width="9" style="41"/>
    <col min="16163" max="16163" width="15.625" style="41" customWidth="1"/>
    <col min="16164" max="16384" width="9" style="41"/>
  </cols>
  <sheetData>
    <row r="1" spans="1:45" ht="20.25">
      <c r="A1" s="41"/>
      <c r="B1" s="41"/>
      <c r="C1" s="41"/>
      <c r="D1" s="41"/>
      <c r="E1" s="41"/>
      <c r="F1" s="41"/>
      <c r="G1" s="42" t="s">
        <v>0</v>
      </c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3"/>
      <c r="AI1" s="43"/>
      <c r="AJ1" s="43"/>
      <c r="AK1" s="43"/>
      <c r="AL1" s="41"/>
      <c r="AM1" s="41"/>
      <c r="AN1" s="41"/>
      <c r="AO1" s="41"/>
      <c r="AP1" s="41"/>
      <c r="AQ1" s="41"/>
      <c r="AR1" s="41"/>
      <c r="AS1" s="41"/>
    </row>
    <row r="2" spans="1:45" ht="20.25">
      <c r="A2" s="41"/>
      <c r="B2" s="41"/>
      <c r="C2" s="41"/>
      <c r="D2" s="41"/>
      <c r="E2" s="41"/>
      <c r="F2" s="41"/>
      <c r="G2" s="42" t="s">
        <v>1</v>
      </c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3"/>
      <c r="AI2" s="43"/>
      <c r="AJ2" s="43"/>
      <c r="AK2" s="43"/>
      <c r="AL2" s="41"/>
      <c r="AM2" s="41"/>
      <c r="AN2" s="41"/>
      <c r="AO2" s="41"/>
      <c r="AP2" s="41"/>
      <c r="AQ2" s="41"/>
      <c r="AR2" s="41"/>
      <c r="AS2" s="41"/>
    </row>
    <row r="3" spans="1:45" ht="14.25">
      <c r="A3" s="41"/>
      <c r="B3" s="41"/>
      <c r="C3" s="41"/>
      <c r="D3" s="41"/>
      <c r="E3" s="41"/>
      <c r="F3" s="41"/>
      <c r="G3" s="44">
        <v>46174</v>
      </c>
      <c r="H3" s="44"/>
      <c r="I3" s="44"/>
      <c r="J3" s="44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3"/>
      <c r="AI3" s="43"/>
      <c r="AJ3" s="43"/>
      <c r="AK3" s="43"/>
      <c r="AL3" s="41"/>
      <c r="AM3" s="41"/>
      <c r="AN3" s="41"/>
      <c r="AO3" s="41"/>
      <c r="AP3" s="41"/>
      <c r="AQ3" s="41"/>
      <c r="AR3" s="41"/>
      <c r="AS3" s="41"/>
    </row>
    <row r="4" spans="1:45" ht="13.5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3"/>
      <c r="AI4" s="43"/>
      <c r="AJ4" s="43"/>
      <c r="AK4" s="43"/>
      <c r="AL4" s="41"/>
      <c r="AM4" s="41"/>
      <c r="AN4" s="41"/>
      <c r="AO4" s="41"/>
      <c r="AP4" s="41"/>
      <c r="AQ4" s="41"/>
      <c r="AR4" s="41"/>
      <c r="AS4" s="41"/>
    </row>
    <row r="5" spans="1:45" s="46" customFormat="1" ht="21" customHeight="1">
      <c r="A5" s="45" t="s">
        <v>2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5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</row>
    <row r="6" spans="1:45" s="47" customFormat="1" ht="60" customHeight="1">
      <c r="A6" s="47" t="s">
        <v>3</v>
      </c>
      <c r="B6" s="47" t="s">
        <v>4</v>
      </c>
      <c r="C6" s="47" t="s">
        <v>5</v>
      </c>
      <c r="D6" s="47" t="s">
        <v>6</v>
      </c>
      <c r="E6" s="47" t="s">
        <v>7</v>
      </c>
      <c r="F6" s="47" t="s">
        <v>199</v>
      </c>
      <c r="G6" s="47" t="s">
        <v>208</v>
      </c>
      <c r="H6" s="47" t="s">
        <v>8</v>
      </c>
      <c r="I6" s="47" t="s">
        <v>9</v>
      </c>
      <c r="J6" s="48" t="s">
        <v>10</v>
      </c>
      <c r="K6" s="49"/>
      <c r="L6" s="49"/>
      <c r="M6" s="49"/>
      <c r="N6" s="49"/>
      <c r="O6" s="49"/>
      <c r="P6" s="49"/>
      <c r="Q6" s="49"/>
      <c r="R6" s="50"/>
      <c r="S6" s="51" t="s">
        <v>11</v>
      </c>
      <c r="T6" s="47" t="s">
        <v>12</v>
      </c>
      <c r="U6" s="48" t="s">
        <v>13</v>
      </c>
      <c r="V6" s="49"/>
      <c r="W6" s="49"/>
      <c r="X6" s="49"/>
      <c r="Y6" s="49"/>
      <c r="Z6" s="50"/>
      <c r="AA6" s="51" t="s">
        <v>14</v>
      </c>
      <c r="AB6" s="47" t="s">
        <v>15</v>
      </c>
      <c r="AC6" s="47" t="s">
        <v>16</v>
      </c>
      <c r="AD6" s="47" t="s">
        <v>17</v>
      </c>
      <c r="AE6" s="47" t="s">
        <v>200</v>
      </c>
      <c r="AF6" s="47" t="s">
        <v>18</v>
      </c>
      <c r="AG6" s="47" t="s">
        <v>19</v>
      </c>
      <c r="AH6" s="47" t="s">
        <v>20</v>
      </c>
      <c r="AI6" s="47" t="s">
        <v>21</v>
      </c>
      <c r="AJ6" s="47" t="s">
        <v>22</v>
      </c>
      <c r="AK6" s="47" t="s">
        <v>23</v>
      </c>
      <c r="AL6" s="47" t="s">
        <v>24</v>
      </c>
      <c r="AM6" s="47" t="s">
        <v>25</v>
      </c>
      <c r="AN6" s="47" t="s">
        <v>26</v>
      </c>
      <c r="AO6" s="47" t="s">
        <v>207</v>
      </c>
      <c r="AP6" s="52" t="s">
        <v>370</v>
      </c>
      <c r="AQ6" s="47"/>
      <c r="AR6" s="47"/>
      <c r="AS6" s="47"/>
    </row>
    <row r="7" spans="1:45" s="55" customFormat="1" ht="60" customHeight="1">
      <c r="A7" s="53" t="s">
        <v>27</v>
      </c>
      <c r="B7" s="53" t="s">
        <v>28</v>
      </c>
      <c r="C7" s="53" t="s">
        <v>29</v>
      </c>
      <c r="D7" s="53" t="s">
        <v>30</v>
      </c>
      <c r="E7" s="53" t="s">
        <v>31</v>
      </c>
      <c r="F7" s="53" t="s">
        <v>32</v>
      </c>
      <c r="G7" s="53" t="s">
        <v>201</v>
      </c>
      <c r="H7" s="53" t="s">
        <v>33</v>
      </c>
      <c r="I7" s="53" t="s">
        <v>34</v>
      </c>
      <c r="J7" s="54" t="s">
        <v>35</v>
      </c>
      <c r="K7" s="54" t="s">
        <v>36</v>
      </c>
      <c r="L7" s="54" t="s">
        <v>37</v>
      </c>
      <c r="M7" s="54" t="s">
        <v>38</v>
      </c>
      <c r="N7" s="54" t="s">
        <v>163</v>
      </c>
      <c r="O7" s="54" t="s">
        <v>40</v>
      </c>
      <c r="P7" s="54" t="s">
        <v>41</v>
      </c>
      <c r="Q7" s="54" t="s">
        <v>170</v>
      </c>
      <c r="R7" s="54" t="s">
        <v>42</v>
      </c>
      <c r="S7" s="54" t="s">
        <v>43</v>
      </c>
      <c r="T7" s="53" t="s">
        <v>44</v>
      </c>
      <c r="U7" s="54" t="s">
        <v>35</v>
      </c>
      <c r="V7" s="54" t="s">
        <v>36</v>
      </c>
      <c r="W7" s="54" t="s">
        <v>37</v>
      </c>
      <c r="X7" s="54" t="s">
        <v>38</v>
      </c>
      <c r="Y7" s="54" t="s">
        <v>39</v>
      </c>
      <c r="Z7" s="54" t="s">
        <v>45</v>
      </c>
      <c r="AA7" s="54" t="s">
        <v>43</v>
      </c>
      <c r="AB7" s="53" t="s">
        <v>46</v>
      </c>
      <c r="AC7" s="53"/>
      <c r="AD7" s="55"/>
      <c r="AE7" s="55"/>
      <c r="AF7" s="55"/>
      <c r="AG7" s="55"/>
      <c r="AH7" s="55"/>
      <c r="AI7" s="55"/>
      <c r="AJ7" s="55"/>
      <c r="AK7" s="55"/>
      <c r="AL7" s="55" t="s">
        <v>47</v>
      </c>
      <c r="AM7" s="55" t="s">
        <v>48</v>
      </c>
      <c r="AN7" s="55" t="s">
        <v>49</v>
      </c>
      <c r="AO7" s="55"/>
      <c r="AP7" s="56"/>
      <c r="AQ7" s="55"/>
      <c r="AR7" s="55"/>
      <c r="AS7" s="55"/>
    </row>
    <row r="8" spans="1:45" s="57" customFormat="1" ht="16.15" customHeight="1">
      <c r="A8" s="57">
        <v>1</v>
      </c>
      <c r="B8" s="58" t="s">
        <v>202</v>
      </c>
      <c r="C8" s="58" t="s">
        <v>51</v>
      </c>
      <c r="D8" s="58">
        <v>202606</v>
      </c>
      <c r="E8" s="57" t="s">
        <v>52</v>
      </c>
      <c r="F8" s="58"/>
      <c r="G8" s="57">
        <v>595</v>
      </c>
      <c r="H8" s="58">
        <v>9902.60</v>
      </c>
      <c r="I8" s="58">
        <v>9902.60</v>
      </c>
      <c r="J8" s="58">
        <f t="shared" si="0" ref="J8:J14">ROUND($H8*16%,2)</f>
        <v>1584.4200000000001</v>
      </c>
      <c r="K8" s="58">
        <f>ROUNDDOWN(H8*9%,2)</f>
        <v>891.23000000000002</v>
      </c>
      <c r="L8" s="58">
        <f t="shared" si="1" ref="L8:L14">ROUND(H8*0.5%,2)</f>
        <v>49.509999999999998</v>
      </c>
      <c r="M8" s="58">
        <f>ROUND(H8*0.32%,2)</f>
        <v>31.690000000000001</v>
      </c>
      <c r="N8" s="58"/>
      <c r="O8" s="58"/>
      <c r="P8" s="58">
        <f t="shared" si="2" ref="P8:P14">ROUND(H8*(1.5%*0.9),2)</f>
        <v>133.69</v>
      </c>
      <c r="Q8" s="58"/>
      <c r="R8" s="58"/>
      <c r="S8" s="58">
        <f t="shared" si="3" ref="S8:S14">ROUND(I8*7%,0)</f>
        <v>693</v>
      </c>
      <c r="T8" s="57">
        <f>ROUND(SUM(J8:S8),2)</f>
        <v>3383.54</v>
      </c>
      <c r="U8" s="58">
        <f t="shared" si="4" ref="U8:U14">ROUND(H8*8%,2)</f>
        <v>792.21000000000004</v>
      </c>
      <c r="V8" s="58">
        <f t="shared" si="5" ref="V8:V14">ROUND(H8*2%,2)</f>
        <v>198.05000000000001</v>
      </c>
      <c r="W8" s="58">
        <f t="shared" si="6" ref="W8:W14">ROUND(H8*0.5%,2)</f>
        <v>49.509999999999998</v>
      </c>
      <c r="X8" s="58"/>
      <c r="Y8" s="58"/>
      <c r="Z8" s="58"/>
      <c r="AA8" s="58">
        <f t="shared" si="7" ref="AA8:AA14">ROUND(I8*7%,0)</f>
        <v>693</v>
      </c>
      <c r="AB8" s="58">
        <f t="shared" si="8" ref="AB8:AB13">ROUND(SUM(U8:AA8),2)</f>
        <v>1732.77</v>
      </c>
      <c r="AC8" s="58">
        <f>VLOOKUP(AM:AM,工资明细!E:AP,38,0)</f>
        <v>6306.1199999999999</v>
      </c>
      <c r="AD8" s="57">
        <f>VLOOKUP(AM:AM,工资明细!E:AH,30,0)</f>
        <v>6400.1099999999997</v>
      </c>
      <c r="AE8" s="57"/>
      <c r="AF8" s="57"/>
      <c r="AG8" s="57"/>
      <c r="AH8" s="57">
        <f t="shared" si="9" ref="AH8">ROUND(G8+T8+AB8+AD8+AF8+AG8+AE8,2)</f>
        <v>12111.42</v>
      </c>
      <c r="AI8" s="59">
        <f t="shared" si="10" ref="AI8">ROUND(AH8*(1/(1-0.78%)-1),2)</f>
        <v>95.209999999999994</v>
      </c>
      <c r="AJ8" s="59">
        <f t="shared" si="11" ref="AJ8">ROUND(SUM(AH8:AI8)*6%,2)</f>
        <v>732.39999999999998</v>
      </c>
      <c r="AK8" s="59">
        <f>ROUND(SUM(AH8:AJ8),2)</f>
        <v>12939.030000000001</v>
      </c>
      <c r="AL8" s="60"/>
      <c r="AM8" s="58" t="s">
        <v>53</v>
      </c>
      <c r="AN8" s="57" t="s">
        <v>50</v>
      </c>
      <c r="AO8" s="57" t="s">
        <v>209</v>
      </c>
      <c r="AP8" s="57">
        <f>U8</f>
        <v>792.21000000000004</v>
      </c>
      <c r="AQ8" s="57">
        <f>V8+Z8</f>
        <v>198.05000000000001</v>
      </c>
      <c r="AR8" s="57">
        <f>W8</f>
        <v>49.509999999999998</v>
      </c>
      <c r="AS8" s="57">
        <f>AA8</f>
        <v>693</v>
      </c>
    </row>
    <row r="9" spans="1:45" s="57" customFormat="1" ht="16.15" customHeight="1">
      <c r="A9" s="57">
        <v>2</v>
      </c>
      <c r="B9" s="58" t="s">
        <v>54</v>
      </c>
      <c r="C9" s="58" t="s">
        <v>55</v>
      </c>
      <c r="D9" s="58">
        <v>202606</v>
      </c>
      <c r="E9" s="57" t="s">
        <v>56</v>
      </c>
      <c r="F9" s="58"/>
      <c r="G9" s="57">
        <v>595</v>
      </c>
      <c r="H9" s="58">
        <v>14649.80</v>
      </c>
      <c r="I9" s="58">
        <v>14649.80</v>
      </c>
      <c r="J9" s="58">
        <f t="shared" si="0"/>
        <v>2343.9699999999998</v>
      </c>
      <c r="K9" s="58">
        <f>ROUNDDOWN(H9*9%,2)</f>
        <v>1318.48</v>
      </c>
      <c r="L9" s="58">
        <f t="shared" si="1"/>
        <v>73.25</v>
      </c>
      <c r="M9" s="58">
        <f t="shared" si="12" ref="M9:M14">ROUND(H9*0.32%,2)</f>
        <v>46.880000000000003</v>
      </c>
      <c r="N9" s="58"/>
      <c r="O9" s="58"/>
      <c r="P9" s="58">
        <f t="shared" si="2"/>
        <v>197.77000000000001</v>
      </c>
      <c r="Q9" s="58"/>
      <c r="R9" s="58"/>
      <c r="S9" s="58">
        <f t="shared" si="3"/>
        <v>1025</v>
      </c>
      <c r="T9" s="57">
        <f t="shared" si="13" ref="T9:T13">ROUND(SUM(J9:S9),2)</f>
        <v>5005.3500000000004</v>
      </c>
      <c r="U9" s="58">
        <f t="shared" si="4"/>
        <v>1171.98</v>
      </c>
      <c r="V9" s="58">
        <f t="shared" si="5"/>
        <v>293</v>
      </c>
      <c r="W9" s="58">
        <f t="shared" si="6"/>
        <v>73.25</v>
      </c>
      <c r="X9" s="58"/>
      <c r="Y9" s="58"/>
      <c r="Z9" s="58"/>
      <c r="AA9" s="58">
        <f t="shared" si="7"/>
        <v>1025</v>
      </c>
      <c r="AB9" s="58">
        <f t="shared" si="8"/>
        <v>2563.23</v>
      </c>
      <c r="AC9" s="58">
        <f>VLOOKUP(AM:AM,工资明细!E:AP,38,0)</f>
        <v>9316.7399999999998</v>
      </c>
      <c r="AD9" s="57">
        <f>VLOOKUP(AM:AM,工资明细!E:AH,30,0)</f>
        <v>9316.7399999999998</v>
      </c>
      <c r="AE9" s="57"/>
      <c r="AF9" s="57"/>
      <c r="AG9" s="57"/>
      <c r="AH9" s="57">
        <f t="shared" si="14" ref="AH9:AH72">ROUND(G9+T9+AB9+AD9+AF9+AG9+AE9,2)</f>
        <v>17480.32</v>
      </c>
      <c r="AI9" s="59">
        <f t="shared" si="15" ref="AI9:AI72">ROUND(AH9*(1/(1-0.78%)-1),2)</f>
        <v>137.41999999999999</v>
      </c>
      <c r="AJ9" s="59">
        <f t="shared" si="16" ref="AJ9:AJ72">ROUND(SUM(AH9:AI9)*6%,2)</f>
        <v>1057.0599999999999</v>
      </c>
      <c r="AK9" s="59">
        <f t="shared" si="17" ref="AK9:AK72">ROUND(SUM(AH9:AJ9),2)</f>
        <v>18674.799999999999</v>
      </c>
      <c r="AL9" s="60"/>
      <c r="AM9" s="58" t="s">
        <v>57</v>
      </c>
      <c r="AN9" s="57" t="s">
        <v>50</v>
      </c>
      <c r="AO9" s="57" t="s">
        <v>209</v>
      </c>
      <c r="AP9" s="57">
        <f t="shared" si="18" ref="AP9:AP72">U9</f>
        <v>1171.98</v>
      </c>
      <c r="AQ9" s="57">
        <f t="shared" si="19" ref="AQ9:AQ72">V9+Z9</f>
        <v>293</v>
      </c>
      <c r="AR9" s="57">
        <f t="shared" si="20" ref="AR9:AR72">W9</f>
        <v>73.25</v>
      </c>
      <c r="AS9" s="57">
        <f t="shared" si="21" ref="AS9:AS72">AA9</f>
        <v>1025</v>
      </c>
    </row>
    <row r="10" spans="1:45" s="57" customFormat="1" ht="16.15" customHeight="1">
      <c r="A10" s="57">
        <v>3</v>
      </c>
      <c r="B10" s="58" t="s">
        <v>58</v>
      </c>
      <c r="C10" s="58" t="s">
        <v>59</v>
      </c>
      <c r="D10" s="58">
        <v>202606</v>
      </c>
      <c r="E10" s="57" t="s">
        <v>60</v>
      </c>
      <c r="F10" s="58"/>
      <c r="G10" s="57">
        <v>595</v>
      </c>
      <c r="H10" s="58">
        <v>11167.40</v>
      </c>
      <c r="I10" s="58">
        <v>11167.40</v>
      </c>
      <c r="J10" s="58">
        <f t="shared" si="0"/>
        <v>1786.78</v>
      </c>
      <c r="K10" s="58">
        <f t="shared" si="22" ref="K10:K14">ROUND(H10*9%,2)</f>
        <v>1005.0700000000001</v>
      </c>
      <c r="L10" s="58">
        <f t="shared" si="1"/>
        <v>55.840000000000003</v>
      </c>
      <c r="M10" s="58">
        <f t="shared" si="12"/>
        <v>35.740000000000002</v>
      </c>
      <c r="N10" s="58"/>
      <c r="O10" s="58"/>
      <c r="P10" s="58">
        <f t="shared" si="2"/>
        <v>150.75999999999999</v>
      </c>
      <c r="Q10" s="58"/>
      <c r="R10" s="58"/>
      <c r="S10" s="58">
        <f t="shared" si="3"/>
        <v>782</v>
      </c>
      <c r="T10" s="57">
        <f t="shared" si="13"/>
        <v>3816.1900000000001</v>
      </c>
      <c r="U10" s="58">
        <f t="shared" si="4"/>
        <v>893.38999999999999</v>
      </c>
      <c r="V10" s="58">
        <f t="shared" si="5"/>
        <v>223.34999999999999</v>
      </c>
      <c r="W10" s="58">
        <f t="shared" si="6"/>
        <v>55.840000000000003</v>
      </c>
      <c r="X10" s="58"/>
      <c r="Y10" s="58"/>
      <c r="Z10" s="58"/>
      <c r="AA10" s="58">
        <f t="shared" si="7"/>
        <v>782</v>
      </c>
      <c r="AB10" s="58">
        <f t="shared" si="8"/>
        <v>1954.5799999999999</v>
      </c>
      <c r="AC10" s="58">
        <f>VLOOKUP(AM:AM,工资明细!E:AP,38,0)</f>
        <v>5921.1899999999996</v>
      </c>
      <c r="AD10" s="57">
        <f>VLOOKUP(AM:AM,工资明细!E:AH,30,0)</f>
        <v>5921.1899999999996</v>
      </c>
      <c r="AE10" s="57"/>
      <c r="AF10" s="57"/>
      <c r="AG10" s="57"/>
      <c r="AH10" s="57">
        <f t="shared" si="14"/>
        <v>12286.959999999999</v>
      </c>
      <c r="AI10" s="59">
        <f t="shared" si="15"/>
        <v>96.590000000000003</v>
      </c>
      <c r="AJ10" s="59">
        <f t="shared" si="16"/>
        <v>743.00999999999999</v>
      </c>
      <c r="AK10" s="59">
        <f t="shared" si="17"/>
        <v>13126.559999999999</v>
      </c>
      <c r="AL10" s="60"/>
      <c r="AM10" s="58" t="s">
        <v>61</v>
      </c>
      <c r="AN10" s="57" t="s">
        <v>50</v>
      </c>
      <c r="AO10" s="57" t="s">
        <v>209</v>
      </c>
      <c r="AP10" s="57">
        <f t="shared" si="18"/>
        <v>893.38999999999999</v>
      </c>
      <c r="AQ10" s="57">
        <f t="shared" si="19"/>
        <v>223.34999999999999</v>
      </c>
      <c r="AR10" s="57">
        <f t="shared" si="20"/>
        <v>55.840000000000003</v>
      </c>
      <c r="AS10" s="57">
        <f t="shared" si="21"/>
        <v>782</v>
      </c>
    </row>
    <row r="11" spans="1:45" s="57" customFormat="1" ht="16.15" customHeight="1">
      <c r="A11" s="57">
        <v>4</v>
      </c>
      <c r="B11" s="58" t="s">
        <v>62</v>
      </c>
      <c r="C11" s="57" t="s">
        <v>63</v>
      </c>
      <c r="D11" s="58">
        <v>202606</v>
      </c>
      <c r="E11" s="58" t="s">
        <v>64</v>
      </c>
      <c r="F11" s="58"/>
      <c r="G11" s="57">
        <v>595</v>
      </c>
      <c r="H11" s="58">
        <v>9803.10</v>
      </c>
      <c r="I11" s="58">
        <v>9803.10</v>
      </c>
      <c r="J11" s="58">
        <f t="shared" si="0"/>
        <v>1568.5</v>
      </c>
      <c r="K11" s="58">
        <f t="shared" si="22"/>
        <v>882.27999999999997</v>
      </c>
      <c r="L11" s="58">
        <f t="shared" si="1"/>
        <v>49.020000000000003</v>
      </c>
      <c r="M11" s="58">
        <f t="shared" si="12"/>
        <v>31.370000000000001</v>
      </c>
      <c r="N11" s="58"/>
      <c r="O11" s="58"/>
      <c r="P11" s="58">
        <f t="shared" si="2"/>
        <v>132.34</v>
      </c>
      <c r="Q11" s="58"/>
      <c r="R11" s="58"/>
      <c r="S11" s="58">
        <f t="shared" si="3"/>
        <v>686</v>
      </c>
      <c r="T11" s="57">
        <f>ROUND(SUM(J11:S11),2)</f>
        <v>3349.5100000000002</v>
      </c>
      <c r="U11" s="58">
        <f t="shared" si="4"/>
        <v>784.25</v>
      </c>
      <c r="V11" s="58">
        <f t="shared" si="5"/>
        <v>196.06</v>
      </c>
      <c r="W11" s="58">
        <f t="shared" si="6"/>
        <v>49.020000000000003</v>
      </c>
      <c r="X11" s="58"/>
      <c r="Y11" s="58"/>
      <c r="Z11" s="58"/>
      <c r="AA11" s="58">
        <f t="shared" si="7"/>
        <v>686</v>
      </c>
      <c r="AB11" s="58">
        <f t="shared" si="8"/>
        <v>1715.3299999999999</v>
      </c>
      <c r="AC11" s="58">
        <f>VLOOKUP(AM:AM,工资明细!E:AP,38,0)</f>
        <v>5379.1899999999996</v>
      </c>
      <c r="AD11" s="57">
        <f>VLOOKUP(AM:AM,工资明细!E:AH,30,0)</f>
        <v>5379.1899999999996</v>
      </c>
      <c r="AE11" s="57"/>
      <c r="AF11" s="57"/>
      <c r="AG11" s="57"/>
      <c r="AH11" s="57">
        <f t="shared" si="14"/>
        <v>11039.030000000001</v>
      </c>
      <c r="AI11" s="59">
        <f t="shared" si="15"/>
        <v>86.780000000000001</v>
      </c>
      <c r="AJ11" s="59">
        <f t="shared" si="16"/>
        <v>667.54999999999995</v>
      </c>
      <c r="AK11" s="59">
        <f t="shared" si="17"/>
        <v>11793.360000000001</v>
      </c>
      <c r="AL11" s="60"/>
      <c r="AM11" s="57" t="s">
        <v>65</v>
      </c>
      <c r="AN11" s="57" t="s">
        <v>50</v>
      </c>
      <c r="AO11" s="57" t="s">
        <v>209</v>
      </c>
      <c r="AP11" s="57">
        <f t="shared" si="18"/>
        <v>784.25</v>
      </c>
      <c r="AQ11" s="57">
        <f t="shared" si="19"/>
        <v>196.06</v>
      </c>
      <c r="AR11" s="57">
        <f t="shared" si="20"/>
        <v>49.020000000000003</v>
      </c>
      <c r="AS11" s="57">
        <f t="shared" si="21"/>
        <v>686</v>
      </c>
    </row>
    <row r="12" spans="1:45" s="57" customFormat="1" ht="16.15" customHeight="1">
      <c r="A12" s="57">
        <v>5</v>
      </c>
      <c r="B12" s="58" t="s">
        <v>66</v>
      </c>
      <c r="C12" s="57" t="s">
        <v>67</v>
      </c>
      <c r="D12" s="58">
        <v>202606</v>
      </c>
      <c r="E12" s="58">
        <v>43136</v>
      </c>
      <c r="F12" s="58"/>
      <c r="G12" s="57">
        <v>595</v>
      </c>
      <c r="H12" s="58">
        <v>17572.30</v>
      </c>
      <c r="I12" s="58">
        <v>17572.30</v>
      </c>
      <c r="J12" s="58">
        <f t="shared" si="0"/>
        <v>2811.5700000000002</v>
      </c>
      <c r="K12" s="58">
        <f>ROUND(H12*9%,2)</f>
        <v>1581.51</v>
      </c>
      <c r="L12" s="58">
        <f t="shared" si="1"/>
        <v>87.859999999999999</v>
      </c>
      <c r="M12" s="58">
        <f t="shared" si="12"/>
        <v>56.229999999999997</v>
      </c>
      <c r="N12" s="58"/>
      <c r="O12" s="58"/>
      <c r="P12" s="58">
        <f t="shared" si="2"/>
        <v>237.22999999999999</v>
      </c>
      <c r="Q12" s="58"/>
      <c r="R12" s="58"/>
      <c r="S12" s="58">
        <f t="shared" si="3"/>
        <v>1230</v>
      </c>
      <c r="T12" s="57">
        <f t="shared" si="13"/>
        <v>6004.3999999999996</v>
      </c>
      <c r="U12" s="58">
        <f t="shared" si="4"/>
        <v>1405.78</v>
      </c>
      <c r="V12" s="58">
        <f t="shared" si="5"/>
        <v>351.44999999999999</v>
      </c>
      <c r="W12" s="58">
        <f t="shared" si="6"/>
        <v>87.859999999999999</v>
      </c>
      <c r="X12" s="58"/>
      <c r="Y12" s="58"/>
      <c r="Z12" s="58"/>
      <c r="AA12" s="58">
        <f t="shared" si="7"/>
        <v>1230</v>
      </c>
      <c r="AB12" s="58">
        <f t="shared" si="8"/>
        <v>3075.0900000000001</v>
      </c>
      <c r="AC12" s="58">
        <f>VLOOKUP(AM:AM,工资明细!E:AP,38,0)</f>
        <v>14293.879999999999</v>
      </c>
      <c r="AD12" s="57">
        <f>VLOOKUP(AM:AM,工资明细!E:AH,30,0)</f>
        <v>14300.839999999998</v>
      </c>
      <c r="AE12" s="57"/>
      <c r="AF12" s="57"/>
      <c r="AG12" s="57"/>
      <c r="AH12" s="57">
        <f t="shared" si="14"/>
        <v>23975.330000000002</v>
      </c>
      <c r="AI12" s="59">
        <f t="shared" si="15"/>
        <v>188.47999999999999</v>
      </c>
      <c r="AJ12" s="59">
        <f t="shared" si="16"/>
        <v>1449.8299999999999</v>
      </c>
      <c r="AK12" s="59">
        <f t="shared" si="17"/>
        <v>25613.639999999999</v>
      </c>
      <c r="AL12" s="60"/>
      <c r="AM12" s="57" t="s">
        <v>68</v>
      </c>
      <c r="AN12" s="57" t="s">
        <v>50</v>
      </c>
      <c r="AO12" s="57" t="s">
        <v>209</v>
      </c>
      <c r="AP12" s="57">
        <f t="shared" si="18"/>
        <v>1405.78</v>
      </c>
      <c r="AQ12" s="57">
        <f t="shared" si="19"/>
        <v>351.44999999999999</v>
      </c>
      <c r="AR12" s="57">
        <f t="shared" si="20"/>
        <v>87.859999999999999</v>
      </c>
      <c r="AS12" s="57">
        <f t="shared" si="21"/>
        <v>1230</v>
      </c>
    </row>
    <row r="13" spans="1:45" s="57" customFormat="1" ht="16.15" customHeight="1">
      <c r="A13" s="57">
        <v>6</v>
      </c>
      <c r="B13" s="58" t="s">
        <v>69</v>
      </c>
      <c r="C13" s="57" t="s">
        <v>70</v>
      </c>
      <c r="D13" s="58">
        <v>202606</v>
      </c>
      <c r="E13" s="58">
        <v>43189</v>
      </c>
      <c r="F13" s="58"/>
      <c r="G13" s="57">
        <v>595</v>
      </c>
      <c r="H13" s="58">
        <v>16112</v>
      </c>
      <c r="I13" s="58">
        <v>16112</v>
      </c>
      <c r="J13" s="58">
        <f t="shared" si="0"/>
        <v>2577.9200000000001</v>
      </c>
      <c r="K13" s="58">
        <f t="shared" si="22"/>
        <v>1450.0799999999999</v>
      </c>
      <c r="L13" s="58">
        <f t="shared" si="1"/>
        <v>80.560000000000002</v>
      </c>
      <c r="M13" s="58">
        <f t="shared" si="12"/>
        <v>51.560000000000002</v>
      </c>
      <c r="N13" s="58"/>
      <c r="O13" s="58"/>
      <c r="P13" s="58">
        <f t="shared" si="2"/>
        <v>217.50999999999999</v>
      </c>
      <c r="Q13" s="58"/>
      <c r="R13" s="58"/>
      <c r="S13" s="58">
        <f t="shared" si="3"/>
        <v>1128</v>
      </c>
      <c r="T13" s="57">
        <f t="shared" si="13"/>
        <v>5505.6300000000001</v>
      </c>
      <c r="U13" s="58">
        <f t="shared" si="4"/>
        <v>1288.96</v>
      </c>
      <c r="V13" s="58">
        <f t="shared" si="5"/>
        <v>322.24000000000001</v>
      </c>
      <c r="W13" s="58">
        <f t="shared" si="6"/>
        <v>80.560000000000002</v>
      </c>
      <c r="X13" s="58"/>
      <c r="Y13" s="58"/>
      <c r="Z13" s="58"/>
      <c r="AA13" s="58">
        <f t="shared" si="7"/>
        <v>1128</v>
      </c>
      <c r="AB13" s="58">
        <f t="shared" si="8"/>
        <v>2819.7600000000002</v>
      </c>
      <c r="AC13" s="58">
        <f>VLOOKUP(AM:AM,工资明细!E:AP,38,0)</f>
        <v>11657.879999999999</v>
      </c>
      <c r="AD13" s="57">
        <f>VLOOKUP(AM:AM,工资明细!E:AH,30,0)</f>
        <v>11927.380000000001</v>
      </c>
      <c r="AE13" s="57"/>
      <c r="AF13" s="57"/>
      <c r="AG13" s="57"/>
      <c r="AH13" s="57">
        <f t="shared" si="14"/>
        <v>20847.77</v>
      </c>
      <c r="AI13" s="59">
        <f t="shared" si="15"/>
        <v>163.88999999999999</v>
      </c>
      <c r="AJ13" s="59">
        <f t="shared" si="16"/>
        <v>1260.7</v>
      </c>
      <c r="AK13" s="59">
        <f t="shared" si="17"/>
        <v>22272.360000000001</v>
      </c>
      <c r="AL13" s="60"/>
      <c r="AM13" s="57" t="s">
        <v>71</v>
      </c>
      <c r="AN13" s="57" t="s">
        <v>50</v>
      </c>
      <c r="AO13" s="57" t="s">
        <v>209</v>
      </c>
      <c r="AP13" s="57">
        <f t="shared" si="18"/>
        <v>1288.96</v>
      </c>
      <c r="AQ13" s="57">
        <f t="shared" si="19"/>
        <v>322.24000000000001</v>
      </c>
      <c r="AR13" s="57">
        <f t="shared" si="20"/>
        <v>80.560000000000002</v>
      </c>
      <c r="AS13" s="57">
        <f t="shared" si="21"/>
        <v>1128</v>
      </c>
    </row>
    <row r="14" spans="1:45" s="57" customFormat="1" ht="16.15" customHeight="1">
      <c r="A14" s="57">
        <v>7</v>
      </c>
      <c r="B14" s="58" t="s">
        <v>72</v>
      </c>
      <c r="C14" s="57" t="s">
        <v>73</v>
      </c>
      <c r="D14" s="58">
        <v>202606</v>
      </c>
      <c r="E14" s="57">
        <v>43236</v>
      </c>
      <c r="F14" s="58"/>
      <c r="G14" s="57">
        <v>595</v>
      </c>
      <c r="H14" s="58">
        <v>7460</v>
      </c>
      <c r="I14" s="58">
        <v>7405.30</v>
      </c>
      <c r="J14" s="58">
        <f t="shared" si="0"/>
        <v>1193.5999999999999</v>
      </c>
      <c r="K14" s="58">
        <f t="shared" si="22"/>
        <v>671.39999999999998</v>
      </c>
      <c r="L14" s="58">
        <f t="shared" si="1"/>
        <v>37.299999999999997</v>
      </c>
      <c r="M14" s="58">
        <f t="shared" si="12"/>
        <v>23.870000000000001</v>
      </c>
      <c r="N14" s="58"/>
      <c r="O14" s="58"/>
      <c r="P14" s="58">
        <f t="shared" si="2"/>
        <v>100.70999999999999</v>
      </c>
      <c r="Q14" s="58"/>
      <c r="R14" s="58"/>
      <c r="S14" s="58">
        <f t="shared" si="3"/>
        <v>518</v>
      </c>
      <c r="T14" s="57">
        <f t="shared" si="23" ref="T14:T19">ROUND(SUM(J14:S14),2)</f>
        <v>2544.8800000000001</v>
      </c>
      <c r="U14" s="58">
        <f t="shared" si="4"/>
        <v>596.79999999999995</v>
      </c>
      <c r="V14" s="58">
        <f t="shared" si="5"/>
        <v>149.19999999999999</v>
      </c>
      <c r="W14" s="58">
        <f t="shared" si="6"/>
        <v>37.299999999999997</v>
      </c>
      <c r="X14" s="58"/>
      <c r="Y14" s="58"/>
      <c r="Z14" s="58"/>
      <c r="AA14" s="58">
        <f t="shared" si="7"/>
        <v>518</v>
      </c>
      <c r="AB14" s="58">
        <f>ROUND(SUM(U14:AA14),2)</f>
        <v>1301.3</v>
      </c>
      <c r="AC14" s="58">
        <f>VLOOKUP(AM:AM,工资明细!E:AP,38,0)</f>
        <v>5516.0100000000002</v>
      </c>
      <c r="AD14" s="57">
        <f>VLOOKUP(AM:AM,工资明细!E:AH,30,0)</f>
        <v>5516.0100000000002</v>
      </c>
      <c r="AE14" s="57"/>
      <c r="AF14" s="57"/>
      <c r="AG14" s="57"/>
      <c r="AH14" s="57">
        <f t="shared" si="14"/>
        <v>9957.1900000000005</v>
      </c>
      <c r="AI14" s="59">
        <f t="shared" si="15"/>
        <v>78.280000000000001</v>
      </c>
      <c r="AJ14" s="59">
        <f t="shared" si="16"/>
        <v>602.13</v>
      </c>
      <c r="AK14" s="59">
        <f t="shared" si="17"/>
        <v>10637.6</v>
      </c>
      <c r="AL14" s="60"/>
      <c r="AM14" s="57" t="s">
        <v>74</v>
      </c>
      <c r="AN14" s="57" t="s">
        <v>50</v>
      </c>
      <c r="AO14" s="57" t="s">
        <v>209</v>
      </c>
      <c r="AP14" s="57">
        <f t="shared" si="18"/>
        <v>596.79999999999995</v>
      </c>
      <c r="AQ14" s="57">
        <f t="shared" si="19"/>
        <v>149.19999999999999</v>
      </c>
      <c r="AR14" s="57">
        <f t="shared" si="20"/>
        <v>37.299999999999997</v>
      </c>
      <c r="AS14" s="57">
        <f t="shared" si="21"/>
        <v>518</v>
      </c>
    </row>
    <row r="15" spans="1:45" s="57" customFormat="1" ht="16.15" customHeight="1">
      <c r="A15" s="57">
        <v>8</v>
      </c>
      <c r="B15" s="58" t="s">
        <v>75</v>
      </c>
      <c r="C15" s="58" t="s">
        <v>76</v>
      </c>
      <c r="D15" s="58">
        <v>202606</v>
      </c>
      <c r="E15" s="57" t="s">
        <v>52</v>
      </c>
      <c r="F15" s="58"/>
      <c r="G15" s="57">
        <v>595</v>
      </c>
      <c r="H15" s="58">
        <v>29348</v>
      </c>
      <c r="I15" s="58">
        <v>29348</v>
      </c>
      <c r="J15" s="58">
        <f t="shared" si="24" ref="J15:J19">ROUND(H15*16%,2)</f>
        <v>4695.6800000000003</v>
      </c>
      <c r="K15" s="58">
        <f>ROUND(H15*9.8%,2)</f>
        <v>2876.0999999999999</v>
      </c>
      <c r="L15" s="58">
        <f t="shared" si="25" ref="L15:L20">ROUND(H15*0.5%,2)</f>
        <v>146.74000000000001</v>
      </c>
      <c r="M15" s="58">
        <f>ROUND(H15*0.32%,2)</f>
        <v>93.909999999999997</v>
      </c>
      <c r="N15" s="58"/>
      <c r="O15" s="58"/>
      <c r="P15" s="58">
        <f t="shared" si="26" ref="P15:P19">ROUND(H15*1.5%,2)</f>
        <v>440.22000000000003</v>
      </c>
      <c r="Q15" s="58"/>
      <c r="R15" s="58"/>
      <c r="S15" s="58">
        <f t="shared" si="27" ref="S15:S19">ROUND(I15*12%,0)</f>
        <v>3522</v>
      </c>
      <c r="T15" s="57">
        <f t="shared" si="23"/>
        <v>11774.65</v>
      </c>
      <c r="U15" s="58">
        <f t="shared" si="28" ref="U15:U19">ROUND(H15*8%,2)</f>
        <v>2347.8400000000001</v>
      </c>
      <c r="V15" s="58">
        <f t="shared" si="29" ref="V15:V19">ROUND(H15*2%,2)</f>
        <v>586.96000000000004</v>
      </c>
      <c r="W15" s="58">
        <f t="shared" si="30" ref="W15:W19">ROUND(H15*0.5%,2)</f>
        <v>146.74000000000001</v>
      </c>
      <c r="X15" s="58"/>
      <c r="Y15" s="58"/>
      <c r="Z15" s="58">
        <v>3</v>
      </c>
      <c r="AA15" s="58">
        <f t="shared" si="31" ref="AA15:AA19">S15</f>
        <v>3522</v>
      </c>
      <c r="AB15" s="58">
        <f t="shared" si="32" ref="AB15:AB19">ROUND(SUM(U15:AA15),2)</f>
        <v>6606.54</v>
      </c>
      <c r="AC15" s="58">
        <f>VLOOKUP(AM:AM,工资明细!E:AP,38,0)</f>
        <v>2540</v>
      </c>
      <c r="AD15" s="57">
        <f>VLOOKUP(AM:AM,工资明细!E:AH,30,0)</f>
        <v>2540.0000000000009</v>
      </c>
      <c r="AE15" s="57"/>
      <c r="AF15" s="57"/>
      <c r="AG15" s="57"/>
      <c r="AH15" s="57">
        <f t="shared" si="14"/>
        <v>21516.189999999999</v>
      </c>
      <c r="AI15" s="59">
        <f t="shared" si="15"/>
        <v>169.15000000000001</v>
      </c>
      <c r="AJ15" s="59">
        <f t="shared" si="16"/>
        <v>1301.1199999999999</v>
      </c>
      <c r="AK15" s="59">
        <f t="shared" si="17"/>
        <v>22986.459999999999</v>
      </c>
      <c r="AL15" s="60"/>
      <c r="AM15" s="57" t="s">
        <v>77</v>
      </c>
      <c r="AN15" s="58" t="s">
        <v>210</v>
      </c>
      <c r="AO15" s="57" t="s">
        <v>211</v>
      </c>
      <c r="AP15" s="57">
        <f t="shared" si="18"/>
        <v>2347.8400000000001</v>
      </c>
      <c r="AQ15" s="57">
        <f t="shared" si="19"/>
        <v>589.96000000000004</v>
      </c>
      <c r="AR15" s="57">
        <f t="shared" si="20"/>
        <v>146.74000000000001</v>
      </c>
      <c r="AS15" s="57">
        <f t="shared" si="21"/>
        <v>3522</v>
      </c>
    </row>
    <row r="16" spans="1:45" s="57" customFormat="1" ht="16.15" customHeight="1">
      <c r="A16" s="57">
        <v>9</v>
      </c>
      <c r="B16" s="58" t="s">
        <v>78</v>
      </c>
      <c r="C16" s="58" t="s">
        <v>79</v>
      </c>
      <c r="D16" s="58">
        <v>202606</v>
      </c>
      <c r="E16" s="57" t="s">
        <v>52</v>
      </c>
      <c r="F16" s="58"/>
      <c r="G16" s="57">
        <v>595</v>
      </c>
      <c r="H16" s="58">
        <v>27346</v>
      </c>
      <c r="I16" s="58">
        <v>27346</v>
      </c>
      <c r="J16" s="58">
        <f t="shared" si="24"/>
        <v>4375.3599999999997</v>
      </c>
      <c r="K16" s="58">
        <f t="shared" si="33" ref="K16:K19">ROUND(H16*9.8%,2)</f>
        <v>2679.9099999999999</v>
      </c>
      <c r="L16" s="58">
        <f t="shared" si="25"/>
        <v>136.72999999999999</v>
      </c>
      <c r="M16" s="58">
        <f t="shared" si="34" ref="M16:M19">ROUND(H16*0.32%,2)</f>
        <v>87.510000000000005</v>
      </c>
      <c r="N16" s="58"/>
      <c r="O16" s="58"/>
      <c r="P16" s="58">
        <f t="shared" si="26"/>
        <v>410.19</v>
      </c>
      <c r="Q16" s="58"/>
      <c r="R16" s="58"/>
      <c r="S16" s="58">
        <f t="shared" si="27"/>
        <v>3282</v>
      </c>
      <c r="T16" s="57">
        <f t="shared" si="23"/>
        <v>10971.700000000001</v>
      </c>
      <c r="U16" s="58">
        <f t="shared" si="28"/>
        <v>2187.6799999999998</v>
      </c>
      <c r="V16" s="58">
        <f t="shared" si="29"/>
        <v>546.91999999999996</v>
      </c>
      <c r="W16" s="58">
        <f t="shared" si="30"/>
        <v>136.72999999999999</v>
      </c>
      <c r="X16" s="58"/>
      <c r="Y16" s="58"/>
      <c r="Z16" s="58">
        <v>3</v>
      </c>
      <c r="AA16" s="58">
        <f t="shared" si="31"/>
        <v>3282</v>
      </c>
      <c r="AB16" s="58">
        <f t="shared" si="32"/>
        <v>6156.3299999999999</v>
      </c>
      <c r="AC16" s="58">
        <f>VLOOKUP(AM:AM,工资明细!E:AP,38,0)</f>
        <v>5765.0200000000004</v>
      </c>
      <c r="AD16" s="57">
        <f>VLOOKUP(AM:AM,工资明细!E:AH,30,0)</f>
        <v>6030.8899999999994</v>
      </c>
      <c r="AE16" s="57"/>
      <c r="AF16" s="57"/>
      <c r="AG16" s="57"/>
      <c r="AH16" s="57">
        <f t="shared" si="14"/>
        <v>23753.919999999998</v>
      </c>
      <c r="AI16" s="59">
        <f t="shared" si="15"/>
        <v>186.74000000000001</v>
      </c>
      <c r="AJ16" s="59">
        <f t="shared" si="16"/>
        <v>1436.4400000000001</v>
      </c>
      <c r="AK16" s="59">
        <f t="shared" si="17"/>
        <v>25377.099999999999</v>
      </c>
      <c r="AL16" s="60"/>
      <c r="AM16" s="57" t="s">
        <v>80</v>
      </c>
      <c r="AN16" s="58" t="s">
        <v>210</v>
      </c>
      <c r="AO16" s="57" t="s">
        <v>211</v>
      </c>
      <c r="AP16" s="57">
        <f t="shared" si="18"/>
        <v>2187.6799999999998</v>
      </c>
      <c r="AQ16" s="57">
        <f t="shared" si="19"/>
        <v>549.91999999999996</v>
      </c>
      <c r="AR16" s="57">
        <f t="shared" si="20"/>
        <v>136.72999999999999</v>
      </c>
      <c r="AS16" s="57">
        <f t="shared" si="21"/>
        <v>3282</v>
      </c>
    </row>
    <row r="17" spans="1:45" s="57" customFormat="1" ht="16.15" customHeight="1">
      <c r="A17" s="57">
        <v>10</v>
      </c>
      <c r="B17" s="58" t="s">
        <v>136</v>
      </c>
      <c r="C17" s="58" t="s">
        <v>137</v>
      </c>
      <c r="D17" s="58">
        <v>202606</v>
      </c>
      <c r="E17" s="57">
        <v>44301</v>
      </c>
      <c r="F17" s="58"/>
      <c r="G17" s="57">
        <v>595</v>
      </c>
      <c r="H17" s="58">
        <v>29678</v>
      </c>
      <c r="I17" s="58">
        <v>29678</v>
      </c>
      <c r="J17" s="58">
        <f t="shared" si="24"/>
        <v>4748.4799999999996</v>
      </c>
      <c r="K17" s="58">
        <f t="shared" si="33"/>
        <v>2908.4400000000001</v>
      </c>
      <c r="L17" s="58">
        <f t="shared" si="25"/>
        <v>148.38999999999999</v>
      </c>
      <c r="M17" s="58">
        <f t="shared" si="34"/>
        <v>94.969999999999999</v>
      </c>
      <c r="N17" s="58"/>
      <c r="O17" s="58"/>
      <c r="P17" s="58">
        <f t="shared" si="26"/>
        <v>445.17000000000002</v>
      </c>
      <c r="Q17" s="58"/>
      <c r="R17" s="58"/>
      <c r="S17" s="58">
        <f t="shared" si="27"/>
        <v>3561</v>
      </c>
      <c r="T17" s="57">
        <f t="shared" si="23"/>
        <v>11906.450000000001</v>
      </c>
      <c r="U17" s="58">
        <f t="shared" si="28"/>
        <v>2374.2399999999998</v>
      </c>
      <c r="V17" s="58">
        <f t="shared" si="29"/>
        <v>593.55999999999995</v>
      </c>
      <c r="W17" s="58">
        <f t="shared" si="30"/>
        <v>148.38999999999999</v>
      </c>
      <c r="X17" s="58"/>
      <c r="Y17" s="58"/>
      <c r="Z17" s="58">
        <v>3</v>
      </c>
      <c r="AA17" s="58">
        <f t="shared" si="31"/>
        <v>3561</v>
      </c>
      <c r="AB17" s="58">
        <f t="shared" si="32"/>
        <v>6680.1899999999996</v>
      </c>
      <c r="AC17" s="58">
        <f>VLOOKUP(AM:AM,工资明细!E:AP,38,0)</f>
        <v>4310.5200000000004</v>
      </c>
      <c r="AD17" s="57">
        <f>VLOOKUP(AM:AM,工资明细!E:AH,30,0)</f>
        <v>4651.1800000000021</v>
      </c>
      <c r="AE17" s="57"/>
      <c r="AF17" s="57"/>
      <c r="AG17" s="57"/>
      <c r="AH17" s="57">
        <f t="shared" si="14"/>
        <v>23832.82</v>
      </c>
      <c r="AI17" s="59">
        <f t="shared" si="15"/>
        <v>187.36000000000001</v>
      </c>
      <c r="AJ17" s="59">
        <f t="shared" si="16"/>
        <v>1441.21</v>
      </c>
      <c r="AK17" s="59">
        <f t="shared" si="17"/>
        <v>25461.389999999999</v>
      </c>
      <c r="AL17" s="60"/>
      <c r="AM17" s="61" t="s">
        <v>138</v>
      </c>
      <c r="AN17" s="58" t="s">
        <v>212</v>
      </c>
      <c r="AO17" s="57" t="s">
        <v>213</v>
      </c>
      <c r="AP17" s="57">
        <f t="shared" si="18"/>
        <v>2374.2399999999998</v>
      </c>
      <c r="AQ17" s="57">
        <f t="shared" si="19"/>
        <v>596.55999999999995</v>
      </c>
      <c r="AR17" s="57">
        <f t="shared" si="20"/>
        <v>148.38999999999999</v>
      </c>
      <c r="AS17" s="57">
        <f t="shared" si="21"/>
        <v>3561</v>
      </c>
    </row>
    <row r="18" spans="1:45" s="57" customFormat="1" ht="16.15" customHeight="1">
      <c r="A18" s="57">
        <v>11</v>
      </c>
      <c r="B18" s="58" t="s">
        <v>214</v>
      </c>
      <c r="C18" s="58" t="s">
        <v>179</v>
      </c>
      <c r="D18" s="58">
        <v>202606</v>
      </c>
      <c r="E18" s="57">
        <v>44301</v>
      </c>
      <c r="F18" s="58"/>
      <c r="G18" s="57">
        <v>595</v>
      </c>
      <c r="H18" s="58">
        <v>7230</v>
      </c>
      <c r="I18" s="58">
        <v>7230</v>
      </c>
      <c r="J18" s="58">
        <f t="shared" si="24"/>
        <v>1156.8</v>
      </c>
      <c r="K18" s="58">
        <f t="shared" si="33"/>
        <v>708.53999999999996</v>
      </c>
      <c r="L18" s="58">
        <f t="shared" si="25"/>
        <v>36.149999999999999</v>
      </c>
      <c r="M18" s="58">
        <f t="shared" si="34"/>
        <v>23.140000000000001</v>
      </c>
      <c r="N18" s="58"/>
      <c r="O18" s="58"/>
      <c r="P18" s="58">
        <f t="shared" si="26"/>
        <v>108.45</v>
      </c>
      <c r="Q18" s="58"/>
      <c r="R18" s="58"/>
      <c r="S18" s="58">
        <f t="shared" si="27"/>
        <v>868</v>
      </c>
      <c r="T18" s="57">
        <f t="shared" si="23"/>
        <v>2901.0799999999999</v>
      </c>
      <c r="U18" s="58">
        <f t="shared" si="28"/>
        <v>578.39999999999998</v>
      </c>
      <c r="V18" s="58">
        <f t="shared" si="29"/>
        <v>144.59999999999999</v>
      </c>
      <c r="W18" s="58">
        <f t="shared" si="30"/>
        <v>36.149999999999999</v>
      </c>
      <c r="X18" s="58"/>
      <c r="Y18" s="58"/>
      <c r="Z18" s="58">
        <v>3</v>
      </c>
      <c r="AA18" s="58">
        <f t="shared" si="31"/>
        <v>868</v>
      </c>
      <c r="AB18" s="58">
        <f t="shared" si="32"/>
        <v>1630.1500000000001</v>
      </c>
      <c r="AC18" s="58">
        <f>VLOOKUP(AM:AM,工资明细!E:AP,38,0)</f>
        <v>7804.7799999999997</v>
      </c>
      <c r="AD18" s="57">
        <f>VLOOKUP(AM:AM,工资明细!E:AH,30,0)</f>
        <v>7804.7800000000007</v>
      </c>
      <c r="AE18" s="57"/>
      <c r="AF18" s="57"/>
      <c r="AG18" s="57"/>
      <c r="AH18" s="57">
        <f t="shared" si="14"/>
        <v>12931.01</v>
      </c>
      <c r="AI18" s="59">
        <f t="shared" si="15"/>
        <v>101.65000000000001</v>
      </c>
      <c r="AJ18" s="59">
        <f t="shared" si="16"/>
        <v>781.96000000000004</v>
      </c>
      <c r="AK18" s="59">
        <f t="shared" si="17"/>
        <v>13814.620000000001</v>
      </c>
      <c r="AL18" s="60"/>
      <c r="AM18" s="61" t="s">
        <v>215</v>
      </c>
      <c r="AN18" s="58" t="s">
        <v>212</v>
      </c>
      <c r="AO18" s="57" t="s">
        <v>213</v>
      </c>
      <c r="AP18" s="57">
        <f t="shared" si="18"/>
        <v>578.39999999999998</v>
      </c>
      <c r="AQ18" s="57">
        <f t="shared" si="19"/>
        <v>147.59999999999999</v>
      </c>
      <c r="AR18" s="57">
        <f t="shared" si="20"/>
        <v>36.149999999999999</v>
      </c>
      <c r="AS18" s="57">
        <f t="shared" si="21"/>
        <v>868</v>
      </c>
    </row>
    <row r="19" spans="1:45" s="57" customFormat="1" ht="16.15" customHeight="1">
      <c r="A19" s="57">
        <v>12</v>
      </c>
      <c r="B19" s="58" t="s">
        <v>216</v>
      </c>
      <c r="C19" s="58" t="s">
        <v>180</v>
      </c>
      <c r="D19" s="58">
        <v>202606</v>
      </c>
      <c r="E19" s="57">
        <v>44301</v>
      </c>
      <c r="F19" s="58"/>
      <c r="G19" s="57">
        <v>595</v>
      </c>
      <c r="H19" s="58">
        <v>12502</v>
      </c>
      <c r="I19" s="58">
        <v>12502</v>
      </c>
      <c r="J19" s="58">
        <f t="shared" si="24"/>
        <v>2000.3199999999999</v>
      </c>
      <c r="K19" s="58">
        <f t="shared" si="33"/>
        <v>1225.2</v>
      </c>
      <c r="L19" s="58">
        <f t="shared" si="25"/>
        <v>62.509999999999998</v>
      </c>
      <c r="M19" s="58">
        <f t="shared" si="34"/>
        <v>40.009999999999998</v>
      </c>
      <c r="N19" s="58"/>
      <c r="O19" s="58"/>
      <c r="P19" s="58">
        <f t="shared" si="26"/>
        <v>187.53</v>
      </c>
      <c r="Q19" s="58"/>
      <c r="R19" s="58"/>
      <c r="S19" s="58">
        <f t="shared" si="27"/>
        <v>1500</v>
      </c>
      <c r="T19" s="57">
        <f t="shared" si="23"/>
        <v>5015.5699999999997</v>
      </c>
      <c r="U19" s="58">
        <f t="shared" si="28"/>
        <v>1000.16</v>
      </c>
      <c r="V19" s="58">
        <f t="shared" si="29"/>
        <v>250.03999999999999</v>
      </c>
      <c r="W19" s="58">
        <f t="shared" si="30"/>
        <v>62.509999999999998</v>
      </c>
      <c r="X19" s="58"/>
      <c r="Y19" s="58"/>
      <c r="Z19" s="58">
        <v>3</v>
      </c>
      <c r="AA19" s="58">
        <f t="shared" si="31"/>
        <v>1500</v>
      </c>
      <c r="AB19" s="58">
        <f t="shared" si="32"/>
        <v>2815.71</v>
      </c>
      <c r="AC19" s="58">
        <f>VLOOKUP(AM:AM,工资明细!E:AP,38,0)</f>
        <v>11590.83</v>
      </c>
      <c r="AD19" s="57">
        <f>VLOOKUP(AM:AM,工资明细!E:AH,30,0)</f>
        <v>12636.009999999998</v>
      </c>
      <c r="AE19" s="57"/>
      <c r="AF19" s="57"/>
      <c r="AG19" s="57"/>
      <c r="AH19" s="57">
        <f t="shared" si="14"/>
        <v>21062.290000000001</v>
      </c>
      <c r="AI19" s="59">
        <f t="shared" si="15"/>
        <v>165.58000000000001</v>
      </c>
      <c r="AJ19" s="59">
        <f t="shared" si="16"/>
        <v>1273.6700000000001</v>
      </c>
      <c r="AK19" s="59">
        <f t="shared" si="17"/>
        <v>22501.540000000001</v>
      </c>
      <c r="AL19" s="60"/>
      <c r="AM19" s="61" t="s">
        <v>217</v>
      </c>
      <c r="AN19" s="58" t="s">
        <v>212</v>
      </c>
      <c r="AO19" s="57" t="s">
        <v>213</v>
      </c>
      <c r="AP19" s="57">
        <f t="shared" si="18"/>
        <v>1000.16</v>
      </c>
      <c r="AQ19" s="57">
        <f t="shared" si="19"/>
        <v>253.03999999999999</v>
      </c>
      <c r="AR19" s="57">
        <f t="shared" si="20"/>
        <v>62.509999999999998</v>
      </c>
      <c r="AS19" s="57">
        <f t="shared" si="21"/>
        <v>1500</v>
      </c>
    </row>
    <row r="20" spans="1:45" s="57" customFormat="1" ht="16.15" customHeight="1">
      <c r="A20" s="57">
        <v>13</v>
      </c>
      <c r="B20" s="58" t="s">
        <v>81</v>
      </c>
      <c r="C20" s="58" t="s">
        <v>82</v>
      </c>
      <c r="D20" s="58">
        <v>202606</v>
      </c>
      <c r="E20" s="57" t="s">
        <v>52</v>
      </c>
      <c r="F20" s="58"/>
      <c r="G20" s="57">
        <v>595</v>
      </c>
      <c r="H20" s="58">
        <v>23864</v>
      </c>
      <c r="I20" s="58">
        <v>21696</v>
      </c>
      <c r="J20" s="58">
        <f t="shared" si="35" ref="J20:J24">ROUND($H20*16%,2)</f>
        <v>3818.2399999999998</v>
      </c>
      <c r="K20" s="58">
        <f>ROUND($H20*7%,2)</f>
        <v>1670.48</v>
      </c>
      <c r="L20" s="58">
        <f t="shared" si="25"/>
        <v>119.31999999999999</v>
      </c>
      <c r="M20" s="58">
        <f>ROUND($H20*0.4%,2)</f>
        <v>95.459999999999994</v>
      </c>
      <c r="N20" s="58">
        <f>ROUND($H20*0.8%,2)</f>
        <v>190.91</v>
      </c>
      <c r="O20" s="58"/>
      <c r="P20" s="58"/>
      <c r="Q20" s="58"/>
      <c r="R20" s="58"/>
      <c r="S20" s="58">
        <f>ROUND(I20*12%,0)</f>
        <v>2604</v>
      </c>
      <c r="T20" s="57">
        <f t="shared" si="36" ref="T20:T29">ROUND(SUM(J20:S20),2)</f>
        <v>8498.4099999999999</v>
      </c>
      <c r="U20" s="58">
        <f>ROUND($H20*8%,2)</f>
        <v>1909.1199999999999</v>
      </c>
      <c r="V20" s="58">
        <f>ROUND($H20*2%,2)</f>
        <v>477.27999999999997</v>
      </c>
      <c r="W20" s="58">
        <f>ROUND($H20*0.5%,2)</f>
        <v>119.31999999999999</v>
      </c>
      <c r="X20" s="58"/>
      <c r="Y20" s="58"/>
      <c r="Z20" s="58">
        <v>10</v>
      </c>
      <c r="AA20" s="58">
        <f t="shared" si="37" ref="AA20:AA29">S20</f>
        <v>2604</v>
      </c>
      <c r="AB20" s="58">
        <f t="shared" si="38" ref="AB20:AB29">ROUND(SUM(U20:AA20),2)</f>
        <v>5119.7200000000003</v>
      </c>
      <c r="AC20" s="58">
        <f>VLOOKUP(AM:AM,工资明细!E:AP,38,0)</f>
        <v>8187.29</v>
      </c>
      <c r="AD20" s="57">
        <f>VLOOKUP(AM:AM,工资明细!E:AH,30,0)</f>
        <v>8776.9600000000009</v>
      </c>
      <c r="AE20" s="57"/>
      <c r="AF20" s="57"/>
      <c r="AG20" s="57"/>
      <c r="AH20" s="57">
        <f t="shared" si="14"/>
        <v>22990.09</v>
      </c>
      <c r="AI20" s="59">
        <f t="shared" si="15"/>
        <v>180.72999999999999</v>
      </c>
      <c r="AJ20" s="59">
        <f t="shared" si="16"/>
        <v>1390.25</v>
      </c>
      <c r="AK20" s="59">
        <f t="shared" si="17"/>
        <v>24561.07</v>
      </c>
      <c r="AL20" s="60"/>
      <c r="AM20" s="57" t="s">
        <v>83</v>
      </c>
      <c r="AN20" s="57" t="s">
        <v>84</v>
      </c>
      <c r="AO20" s="57" t="s">
        <v>209</v>
      </c>
      <c r="AP20" s="57">
        <f t="shared" si="18"/>
        <v>1909.1199999999999</v>
      </c>
      <c r="AQ20" s="57">
        <f t="shared" si="19"/>
        <v>487.27999999999997</v>
      </c>
      <c r="AR20" s="57">
        <f t="shared" si="20"/>
        <v>119.31999999999999</v>
      </c>
      <c r="AS20" s="57">
        <f t="shared" si="21"/>
        <v>2604</v>
      </c>
    </row>
    <row r="21" spans="1:45" s="57" customFormat="1" ht="16.15" customHeight="1">
      <c r="A21" s="57">
        <v>14</v>
      </c>
      <c r="B21" s="58" t="s">
        <v>85</v>
      </c>
      <c r="C21" s="58" t="s">
        <v>86</v>
      </c>
      <c r="D21" s="58">
        <v>202606</v>
      </c>
      <c r="E21" s="57" t="s">
        <v>52</v>
      </c>
      <c r="F21" s="58"/>
      <c r="G21" s="57">
        <v>595</v>
      </c>
      <c r="H21" s="58">
        <v>16997.91</v>
      </c>
      <c r="I21" s="58">
        <v>13128.87</v>
      </c>
      <c r="J21" s="58">
        <f t="shared" si="35"/>
        <v>2719.6700000000001</v>
      </c>
      <c r="K21" s="58">
        <f>ROUND($H21*9.5%,2)</f>
        <v>1614.8</v>
      </c>
      <c r="L21" s="58">
        <f>ROUND(H21*0.5%,2)</f>
        <v>84.989999999999995</v>
      </c>
      <c r="M21" s="58">
        <f>ROUND(H21*0.2%,2)</f>
        <v>34</v>
      </c>
      <c r="N21" s="58"/>
      <c r="O21" s="58"/>
      <c r="P21" s="58">
        <f>ROUND(H21*1.5%,2)</f>
        <v>254.97</v>
      </c>
      <c r="Q21" s="58"/>
      <c r="R21" s="58"/>
      <c r="S21" s="58">
        <v>1575</v>
      </c>
      <c r="T21" s="57">
        <f t="shared" si="36"/>
        <v>6283.4300000000003</v>
      </c>
      <c r="U21" s="58">
        <f>ROUND($H21*8%,2)</f>
        <v>1359.8299999999999</v>
      </c>
      <c r="V21" s="58">
        <f>ROUND($H21*2%,2)</f>
        <v>339.95999999999998</v>
      </c>
      <c r="W21" s="58">
        <f>ROUND($H21*0.5%,2)</f>
        <v>84.989999999999995</v>
      </c>
      <c r="X21" s="58"/>
      <c r="Y21" s="58"/>
      <c r="Z21" s="58"/>
      <c r="AA21" s="58">
        <f t="shared" si="37"/>
        <v>1575</v>
      </c>
      <c r="AB21" s="58">
        <f t="shared" si="38"/>
        <v>3359.7800000000002</v>
      </c>
      <c r="AC21" s="58">
        <f>VLOOKUP(AM:AM,工资明细!E:AP,38,0)</f>
        <v>6578.6400000000003</v>
      </c>
      <c r="AD21" s="57">
        <f>VLOOKUP(AM:AM,工资明细!E:AH,30,0)</f>
        <v>6578.6400000000012</v>
      </c>
      <c r="AE21" s="57"/>
      <c r="AF21" s="57"/>
      <c r="AG21" s="57"/>
      <c r="AH21" s="57">
        <f t="shared" si="14"/>
        <v>16816.849999999999</v>
      </c>
      <c r="AI21" s="59">
        <f t="shared" si="15"/>
        <v>132.19999999999999</v>
      </c>
      <c r="AJ21" s="59">
        <f t="shared" si="16"/>
        <v>1016.9400000000001</v>
      </c>
      <c r="AK21" s="59">
        <f t="shared" si="17"/>
        <v>17965.990000000002</v>
      </c>
      <c r="AL21" s="60"/>
      <c r="AM21" s="57" t="s">
        <v>87</v>
      </c>
      <c r="AN21" s="57" t="s">
        <v>218</v>
      </c>
      <c r="AO21" s="57" t="s">
        <v>219</v>
      </c>
      <c r="AP21" s="57">
        <f t="shared" si="18"/>
        <v>1359.8299999999999</v>
      </c>
      <c r="AQ21" s="57">
        <f t="shared" si="19"/>
        <v>339.95999999999998</v>
      </c>
      <c r="AR21" s="57">
        <f t="shared" si="20"/>
        <v>84.989999999999995</v>
      </c>
      <c r="AS21" s="57">
        <f t="shared" si="21"/>
        <v>1575</v>
      </c>
    </row>
    <row r="22" spans="1:45" s="57" customFormat="1" ht="16.15" customHeight="1">
      <c r="A22" s="57">
        <v>15</v>
      </c>
      <c r="B22" s="58" t="s">
        <v>220</v>
      </c>
      <c r="C22" s="58" t="s">
        <v>89</v>
      </c>
      <c r="D22" s="58">
        <v>202606</v>
      </c>
      <c r="E22" s="57" t="s">
        <v>90</v>
      </c>
      <c r="F22" s="58"/>
      <c r="G22" s="57">
        <v>595</v>
      </c>
      <c r="H22" s="58">
        <v>7464</v>
      </c>
      <c r="I22" s="58">
        <v>7932</v>
      </c>
      <c r="J22" s="58">
        <f t="shared" si="35"/>
        <v>1194.24</v>
      </c>
      <c r="K22" s="58">
        <f>ROUND(H22*10.5%,2)</f>
        <v>783.72000000000003</v>
      </c>
      <c r="L22" s="58">
        <f>ROUND(H22*0.5%,2)</f>
        <v>37.32</v>
      </c>
      <c r="M22" s="58">
        <f>ROUND(H22*0.4%,2)</f>
        <v>29.859999999999999</v>
      </c>
      <c r="N22" s="58"/>
      <c r="O22" s="58"/>
      <c r="P22" s="58">
        <f>ROUND(H22*1.5%,2)</f>
        <v>111.95999999999999</v>
      </c>
      <c r="Q22" s="58"/>
      <c r="R22" s="58"/>
      <c r="S22" s="58">
        <f>ROUND(I22*11%,0)</f>
        <v>873</v>
      </c>
      <c r="T22" s="57">
        <f t="shared" si="36"/>
        <v>3030.0999999999999</v>
      </c>
      <c r="U22" s="58">
        <f>ROUND(H22*8%,2)</f>
        <v>597.12</v>
      </c>
      <c r="V22" s="58">
        <f>ROUND(H22*2%,2)</f>
        <v>149.28</v>
      </c>
      <c r="W22" s="58">
        <f>ROUND(H22*0.5%,2)</f>
        <v>37.32</v>
      </c>
      <c r="X22" s="58"/>
      <c r="Y22" s="58"/>
      <c r="Z22" s="58">
        <v>21</v>
      </c>
      <c r="AA22" s="58">
        <f t="shared" si="37"/>
        <v>873</v>
      </c>
      <c r="AB22" s="58">
        <f t="shared" si="38"/>
        <v>1677.72</v>
      </c>
      <c r="AC22" s="58">
        <f>VLOOKUP(AM:AM,工资明细!E:AP,38,0)</f>
        <v>5546.1499999999996</v>
      </c>
      <c r="AD22" s="57">
        <f>VLOOKUP(AM:AM,工资明细!E:AH,30,0)</f>
        <v>5546.1500000000005</v>
      </c>
      <c r="AE22" s="57"/>
      <c r="AF22" s="57"/>
      <c r="AG22" s="57"/>
      <c r="AH22" s="57">
        <f t="shared" si="14"/>
        <v>10848.969999999999</v>
      </c>
      <c r="AI22" s="59">
        <f t="shared" si="15"/>
        <v>85.290000000000006</v>
      </c>
      <c r="AJ22" s="59">
        <f t="shared" si="16"/>
        <v>656.05999999999995</v>
      </c>
      <c r="AK22" s="59">
        <f t="shared" si="17"/>
        <v>11590.32</v>
      </c>
      <c r="AL22" s="60"/>
      <c r="AM22" s="57" t="s">
        <v>91</v>
      </c>
      <c r="AN22" s="57" t="s">
        <v>221</v>
      </c>
      <c r="AO22" s="57" t="s">
        <v>219</v>
      </c>
      <c r="AP22" s="57">
        <f t="shared" si="18"/>
        <v>597.12</v>
      </c>
      <c r="AQ22" s="57">
        <f t="shared" si="19"/>
        <v>170.28</v>
      </c>
      <c r="AR22" s="57">
        <f t="shared" si="20"/>
        <v>37.32</v>
      </c>
      <c r="AS22" s="57">
        <f t="shared" si="21"/>
        <v>873</v>
      </c>
    </row>
    <row r="23" spans="1:45" s="57" customFormat="1" ht="16.15" customHeight="1">
      <c r="A23" s="57">
        <v>16</v>
      </c>
      <c r="B23" s="58" t="s">
        <v>92</v>
      </c>
      <c r="C23" s="58" t="s">
        <v>93</v>
      </c>
      <c r="D23" s="58">
        <v>202606</v>
      </c>
      <c r="E23" s="57" t="s">
        <v>94</v>
      </c>
      <c r="F23" s="58"/>
      <c r="G23" s="57">
        <v>595</v>
      </c>
      <c r="H23" s="58">
        <v>9488</v>
      </c>
      <c r="I23" s="58">
        <v>7203.65</v>
      </c>
      <c r="J23" s="58">
        <f t="shared" si="35"/>
        <v>1518.0799999999999</v>
      </c>
      <c r="K23" s="58">
        <f>ROUND(H23*6%,2)</f>
        <v>569.27999999999997</v>
      </c>
      <c r="L23" s="58">
        <f>ROUND($H23*0.5%,2)</f>
        <v>47.439999999999998</v>
      </c>
      <c r="M23" s="58">
        <f>ROUND($H23*0.4%,2)</f>
        <v>37.950000000000003</v>
      </c>
      <c r="N23" s="58">
        <f>ROUND($H23*0.8%,2)</f>
        <v>75.900000000000006</v>
      </c>
      <c r="O23" s="58"/>
      <c r="P23" s="58"/>
      <c r="Q23" s="58"/>
      <c r="R23" s="58"/>
      <c r="S23" s="58">
        <f>ROUND(I23*8%,2)</f>
        <v>576.28999999999996</v>
      </c>
      <c r="T23" s="57">
        <f t="shared" si="36"/>
        <v>2824.9400000000001</v>
      </c>
      <c r="U23" s="58">
        <f>ROUND($H23*8%,2)</f>
        <v>759.03999999999996</v>
      </c>
      <c r="V23" s="58">
        <f>ROUND($H23*2%,2)</f>
        <v>189.75999999999999</v>
      </c>
      <c r="W23" s="58">
        <f>ROUND($H23*0.5%,2)</f>
        <v>47.439999999999998</v>
      </c>
      <c r="X23" s="58"/>
      <c r="Y23" s="58"/>
      <c r="Z23" s="58">
        <v>5</v>
      </c>
      <c r="AA23" s="58">
        <f t="shared" si="37"/>
        <v>576.28999999999996</v>
      </c>
      <c r="AB23" s="58">
        <f t="shared" si="38"/>
        <v>1577.53</v>
      </c>
      <c r="AC23" s="58">
        <f>VLOOKUP(AM:AM,工资明细!E:AP,38,0)</f>
        <v>8969.5599999999995</v>
      </c>
      <c r="AD23" s="57">
        <f>VLOOKUP(AM:AM,工资明细!E:AH,30,0)</f>
        <v>9111.3099999999977</v>
      </c>
      <c r="AE23" s="57"/>
      <c r="AF23" s="57"/>
      <c r="AG23" s="57"/>
      <c r="AH23" s="57">
        <f t="shared" si="14"/>
        <v>14108.780000000001</v>
      </c>
      <c r="AI23" s="59">
        <f t="shared" si="15"/>
        <v>110.91</v>
      </c>
      <c r="AJ23" s="59">
        <f t="shared" si="16"/>
        <v>853.17999999999995</v>
      </c>
      <c r="AK23" s="59">
        <f t="shared" si="17"/>
        <v>15072.870000000001</v>
      </c>
      <c r="AL23" s="60"/>
      <c r="AM23" s="57" t="s">
        <v>95</v>
      </c>
      <c r="AN23" s="57" t="s">
        <v>88</v>
      </c>
      <c r="AO23" s="57" t="s">
        <v>222</v>
      </c>
      <c r="AP23" s="57">
        <f t="shared" si="18"/>
        <v>759.03999999999996</v>
      </c>
      <c r="AQ23" s="57">
        <f t="shared" si="19"/>
        <v>194.75999999999999</v>
      </c>
      <c r="AR23" s="57">
        <f t="shared" si="20"/>
        <v>47.439999999999998</v>
      </c>
      <c r="AS23" s="57">
        <f t="shared" si="21"/>
        <v>576.28999999999996</v>
      </c>
    </row>
    <row r="24" spans="1:45" s="57" customFormat="1" ht="16.15" customHeight="1">
      <c r="A24" s="57">
        <v>17</v>
      </c>
      <c r="B24" s="58" t="s">
        <v>96</v>
      </c>
      <c r="C24" s="58" t="s">
        <v>97</v>
      </c>
      <c r="D24" s="58">
        <v>202606</v>
      </c>
      <c r="E24" s="57" t="s">
        <v>98</v>
      </c>
      <c r="F24" s="58"/>
      <c r="G24" s="57">
        <v>595</v>
      </c>
      <c r="H24" s="58">
        <v>11666</v>
      </c>
      <c r="I24" s="58">
        <v>11666.12</v>
      </c>
      <c r="J24" s="58">
        <f t="shared" si="35"/>
        <v>1866.5599999999999</v>
      </c>
      <c r="K24" s="58">
        <f>ROUND($H24*8.7%,2)</f>
        <v>1014.9400000000001</v>
      </c>
      <c r="L24" s="58">
        <f>ROUND($H24*0.7%,2)</f>
        <v>81.659999999999997</v>
      </c>
      <c r="M24" s="58">
        <f>ROUND($H24*0.2%,2)</f>
        <v>23.329999999999998</v>
      </c>
      <c r="N24" s="58"/>
      <c r="O24" s="58"/>
      <c r="P24" s="58">
        <f t="shared" si="39" ref="P24:P26">ROUND(H24*1.5%,2)</f>
        <v>174.99000000000001</v>
      </c>
      <c r="Q24" s="58"/>
      <c r="R24" s="58"/>
      <c r="S24" s="58">
        <f>ROUND($I24*8%,2)</f>
        <v>933.28999999999996</v>
      </c>
      <c r="T24" s="57">
        <f t="shared" si="36"/>
        <v>4094.77</v>
      </c>
      <c r="U24" s="58">
        <f>ROUND($H24*8%,2)</f>
        <v>933.27999999999997</v>
      </c>
      <c r="V24" s="58">
        <f>ROUND($H24*2%,2)</f>
        <v>233.31999999999999</v>
      </c>
      <c r="W24" s="58">
        <f>ROUND($H24*0.3%,2)</f>
        <v>35</v>
      </c>
      <c r="X24" s="58"/>
      <c r="Y24" s="58"/>
      <c r="Z24" s="58">
        <v>7</v>
      </c>
      <c r="AA24" s="58">
        <f t="shared" si="37"/>
        <v>933.28999999999996</v>
      </c>
      <c r="AB24" s="58">
        <f t="shared" si="38"/>
        <v>2141.8899999999999</v>
      </c>
      <c r="AC24" s="58">
        <f>VLOOKUP(AM:AM,工资明细!E:AP,38,0)</f>
        <v>7718.1300000000001</v>
      </c>
      <c r="AD24" s="57">
        <f>VLOOKUP(AM:AM,工资明细!E:AH,30,0)</f>
        <v>7858.3900000000003</v>
      </c>
      <c r="AE24" s="57"/>
      <c r="AF24" s="57"/>
      <c r="AG24" s="57"/>
      <c r="AH24" s="57">
        <f t="shared" si="14"/>
        <v>14690.049999999999</v>
      </c>
      <c r="AI24" s="59">
        <f t="shared" si="15"/>
        <v>115.48</v>
      </c>
      <c r="AJ24" s="59">
        <f t="shared" si="16"/>
        <v>888.33000000000004</v>
      </c>
      <c r="AK24" s="59">
        <f t="shared" si="17"/>
        <v>15693.860000000001</v>
      </c>
      <c r="AL24" s="60"/>
      <c r="AM24" s="57" t="s">
        <v>99</v>
      </c>
      <c r="AN24" s="58" t="s">
        <v>223</v>
      </c>
      <c r="AO24" s="57" t="s">
        <v>224</v>
      </c>
      <c r="AP24" s="57">
        <f t="shared" si="18"/>
        <v>933.27999999999997</v>
      </c>
      <c r="AQ24" s="57">
        <f t="shared" si="19"/>
        <v>240.31999999999999</v>
      </c>
      <c r="AR24" s="57">
        <f t="shared" si="20"/>
        <v>35</v>
      </c>
      <c r="AS24" s="57">
        <f t="shared" si="21"/>
        <v>933.28999999999996</v>
      </c>
    </row>
    <row r="25" spans="1:45" s="57" customFormat="1" ht="16.15" customHeight="1">
      <c r="A25" s="57"/>
      <c r="B25" s="58" t="s">
        <v>100</v>
      </c>
      <c r="C25" s="58"/>
      <c r="D25" s="58">
        <v>202605</v>
      </c>
      <c r="E25" s="57">
        <v>43103</v>
      </c>
      <c r="F25" s="58"/>
      <c r="G25" s="57">
        <v>595</v>
      </c>
      <c r="H25" s="62">
        <v>2761</v>
      </c>
      <c r="I25" s="58">
        <v>10640</v>
      </c>
      <c r="J25" s="58">
        <f t="shared" si="40" ref="J25">ROUND(H25*16%,2)</f>
        <v>441.75999999999999</v>
      </c>
      <c r="K25" s="58">
        <f>ROUND(H25*7.55%,2)</f>
        <v>208.46000000000001</v>
      </c>
      <c r="L25" s="58">
        <f>ROUND(H25*0.6%,2)</f>
        <v>16.57</v>
      </c>
      <c r="M25" s="58">
        <f>ROUND(H25*0.4%,2)</f>
        <v>11.039999999999999</v>
      </c>
      <c r="N25" s="58"/>
      <c r="O25" s="58">
        <f>ROUND(H25*0.75%,2)</f>
        <v>20.710000000000001</v>
      </c>
      <c r="P25" s="58">
        <f t="shared" si="41" ref="P25">ROUND(H25*1.5%,2)</f>
        <v>41.420000000000002</v>
      </c>
      <c r="Q25" s="58"/>
      <c r="R25" s="58"/>
      <c r="S25" s="58"/>
      <c r="T25" s="57">
        <f t="shared" si="42" ref="T25">ROUND(SUM(J25:S25),2)</f>
        <v>739.96000000000004</v>
      </c>
      <c r="U25" s="58">
        <f>ROUND(H25*8%,2)</f>
        <v>220.88</v>
      </c>
      <c r="V25" s="58">
        <f>ROUND(H25*2%,2)</f>
        <v>55.219999999999999</v>
      </c>
      <c r="W25" s="58">
        <f>ROUND(H25*0.4%,2)</f>
        <v>11.039999999999999</v>
      </c>
      <c r="X25" s="58"/>
      <c r="Y25" s="58"/>
      <c r="Z25" s="58"/>
      <c r="AA25" s="58">
        <f t="shared" si="43" ref="AA25">S25</f>
        <v>0</v>
      </c>
      <c r="AB25" s="58">
        <f t="shared" si="44" ref="AB25">ROUND(SUM(U25:AA25),2)</f>
        <v>287.13999999999999</v>
      </c>
      <c r="AC25" s="58"/>
      <c r="AD25" s="57"/>
      <c r="AE25" s="57"/>
      <c r="AF25" s="57"/>
      <c r="AG25" s="57"/>
      <c r="AH25" s="57">
        <f t="shared" si="45" ref="AH25">ROUND(G25+T25+AB25+AD25+AF25+AG25+AE25,2)</f>
        <v>1622.0999999999999</v>
      </c>
      <c r="AI25" s="59">
        <f t="shared" si="46" ref="AI25">ROUND(AH25*(1/(1-0.78%)-1),2)</f>
        <v>12.75</v>
      </c>
      <c r="AJ25" s="59">
        <f t="shared" si="47" ref="AJ25">ROUND(SUM(AH25:AI25)*6%,2)</f>
        <v>98.090000000000003</v>
      </c>
      <c r="AK25" s="59">
        <f t="shared" si="48" ref="AK25">ROUND(SUM(AH25:AJ25),2)</f>
        <v>1732.9400000000001</v>
      </c>
      <c r="AL25" s="60" t="s">
        <v>376</v>
      </c>
      <c r="AM25" s="57" t="s">
        <v>102</v>
      </c>
      <c r="AN25" s="57" t="s">
        <v>225</v>
      </c>
      <c r="AO25" s="57" t="s">
        <v>226</v>
      </c>
      <c r="AP25" s="57">
        <f t="shared" si="18"/>
        <v>220.88</v>
      </c>
      <c r="AQ25" s="57">
        <f t="shared" si="19"/>
        <v>55.219999999999999</v>
      </c>
      <c r="AR25" s="57">
        <f t="shared" si="20"/>
        <v>11.039999999999999</v>
      </c>
      <c r="AS25" s="57">
        <f t="shared" si="21"/>
        <v>0</v>
      </c>
    </row>
    <row r="26" spans="1:45" s="57" customFormat="1" ht="16.15" customHeight="1">
      <c r="A26" s="57">
        <v>18</v>
      </c>
      <c r="B26" s="58" t="s">
        <v>100</v>
      </c>
      <c r="C26" s="58" t="s">
        <v>101</v>
      </c>
      <c r="D26" s="58">
        <v>202606</v>
      </c>
      <c r="E26" s="57">
        <v>43103</v>
      </c>
      <c r="F26" s="58"/>
      <c r="G26" s="57">
        <v>595</v>
      </c>
      <c r="H26" s="58">
        <v>6809</v>
      </c>
      <c r="I26" s="58">
        <v>10640</v>
      </c>
      <c r="J26" s="58">
        <f t="shared" si="49" ref="J26:J30">ROUND(H26*16%,2)</f>
        <v>1089.4400000000001</v>
      </c>
      <c r="K26" s="58">
        <f>ROUND(H26*7.55%,2)</f>
        <v>514.08000000000004</v>
      </c>
      <c r="L26" s="58">
        <f>ROUND(H26*0.6%,2)</f>
        <v>40.850000000000001</v>
      </c>
      <c r="M26" s="58">
        <f>ROUND(H26*0.4%,2)</f>
        <v>27.239999999999998</v>
      </c>
      <c r="N26" s="58"/>
      <c r="O26" s="58">
        <f>ROUND(H26*0.75%,2)</f>
        <v>51.07</v>
      </c>
      <c r="P26" s="58">
        <f t="shared" si="39"/>
        <v>102.14</v>
      </c>
      <c r="Q26" s="58"/>
      <c r="R26" s="58"/>
      <c r="S26" s="58">
        <f>ROUNDUP(I26*6%,0)</f>
        <v>639</v>
      </c>
      <c r="T26" s="57">
        <f t="shared" si="36"/>
        <v>2463.8200000000002</v>
      </c>
      <c r="U26" s="58">
        <f>ROUND(H26*8%,2)</f>
        <v>544.72000000000003</v>
      </c>
      <c r="V26" s="58">
        <f>ROUND(H26*2%,2)</f>
        <v>136.18000000000001</v>
      </c>
      <c r="W26" s="58">
        <f>ROUND(H26*0.4%,2)</f>
        <v>27.239999999999998</v>
      </c>
      <c r="X26" s="58"/>
      <c r="Y26" s="58"/>
      <c r="Z26" s="58"/>
      <c r="AA26" s="58">
        <f t="shared" si="37"/>
        <v>639</v>
      </c>
      <c r="AB26" s="58">
        <f t="shared" si="38"/>
        <v>1347.1400000000001</v>
      </c>
      <c r="AC26" s="58">
        <f>VLOOKUP(AM:AM,工资明细!E:AP,38,0)</f>
        <v>6153.3699999999999</v>
      </c>
      <c r="AD26" s="57">
        <f>VLOOKUP(AM:AM,工资明细!E:AH,30,0)</f>
        <v>6225.6300000000001</v>
      </c>
      <c r="AE26" s="57"/>
      <c r="AF26" s="57"/>
      <c r="AG26" s="57"/>
      <c r="AH26" s="57">
        <f t="shared" si="14"/>
        <v>10631.59</v>
      </c>
      <c r="AI26" s="59">
        <f t="shared" si="15"/>
        <v>83.579999999999998</v>
      </c>
      <c r="AJ26" s="59">
        <f t="shared" si="16"/>
        <v>642.90999999999997</v>
      </c>
      <c r="AK26" s="59">
        <f t="shared" si="17"/>
        <v>11358.08</v>
      </c>
      <c r="AL26" s="60"/>
      <c r="AM26" s="57" t="s">
        <v>102</v>
      </c>
      <c r="AN26" s="57" t="s">
        <v>225</v>
      </c>
      <c r="AO26" s="57" t="s">
        <v>226</v>
      </c>
      <c r="AP26" s="57">
        <f t="shared" si="18"/>
        <v>544.72000000000003</v>
      </c>
      <c r="AQ26" s="57">
        <f t="shared" si="19"/>
        <v>136.18000000000001</v>
      </c>
      <c r="AR26" s="57">
        <f t="shared" si="20"/>
        <v>27.239999999999998</v>
      </c>
      <c r="AS26" s="57">
        <f t="shared" si="21"/>
        <v>639</v>
      </c>
    </row>
    <row r="27" spans="1:45" s="57" customFormat="1" ht="16.15" customHeight="1">
      <c r="A27" s="57">
        <v>19</v>
      </c>
      <c r="B27" s="58" t="s">
        <v>104</v>
      </c>
      <c r="C27" s="58" t="s">
        <v>105</v>
      </c>
      <c r="D27" s="58">
        <v>202606</v>
      </c>
      <c r="E27" s="57">
        <v>43199</v>
      </c>
      <c r="F27" s="58"/>
      <c r="G27" s="57">
        <v>595</v>
      </c>
      <c r="H27" s="58">
        <v>8994</v>
      </c>
      <c r="I27" s="58">
        <v>9958</v>
      </c>
      <c r="J27" s="58">
        <f t="shared" si="49"/>
        <v>1439.04</v>
      </c>
      <c r="K27" s="58">
        <f>ROUND($H27*8.5%,2)</f>
        <v>764.49000000000001</v>
      </c>
      <c r="L27" s="58">
        <f>ROUND($H27*0.5%,2)</f>
        <v>44.969999999999999</v>
      </c>
      <c r="M27" s="58">
        <f>ROUND($H27*0.6%,2)</f>
        <v>53.960000000000001</v>
      </c>
      <c r="N27" s="58"/>
      <c r="O27" s="58">
        <f>ROUND(H27*1.5%,2)</f>
        <v>134.91</v>
      </c>
      <c r="P27" s="58">
        <f>ROUND(H27*1.5%,2)</f>
        <v>134.91</v>
      </c>
      <c r="Q27" s="58"/>
      <c r="R27" s="58"/>
      <c r="S27" s="58">
        <f>ROUND(I27*5%,0)</f>
        <v>498</v>
      </c>
      <c r="T27" s="57">
        <f t="shared" si="36"/>
        <v>3070.2800000000002</v>
      </c>
      <c r="U27" s="58">
        <f>ROUND($H27*8%,2)</f>
        <v>719.51999999999998</v>
      </c>
      <c r="V27" s="58">
        <f>ROUND($H27*2%,2)</f>
        <v>179.88</v>
      </c>
      <c r="W27" s="58">
        <f>ROUND($H27*0.5%,2)</f>
        <v>44.969999999999999</v>
      </c>
      <c r="X27" s="58"/>
      <c r="Y27" s="58"/>
      <c r="Z27" s="58">
        <v>5</v>
      </c>
      <c r="AA27" s="58">
        <f t="shared" si="37"/>
        <v>498</v>
      </c>
      <c r="AB27" s="58">
        <f t="shared" si="38"/>
        <v>1447.3699999999999</v>
      </c>
      <c r="AC27" s="58">
        <f>VLOOKUP(AM:AM,工资明细!E:AP,38,0)</f>
        <v>4511.6300000000001</v>
      </c>
      <c r="AD27" s="57">
        <f>VLOOKUP(AM:AM,工资明细!E:AH,30,0)</f>
        <v>4511.6299999999992</v>
      </c>
      <c r="AH27" s="57">
        <f t="shared" si="14"/>
        <v>9624.2800000000007</v>
      </c>
      <c r="AI27" s="59">
        <f t="shared" si="15"/>
        <v>75.659999999999997</v>
      </c>
      <c r="AJ27" s="59">
        <f t="shared" si="16"/>
        <v>582</v>
      </c>
      <c r="AK27" s="59">
        <f t="shared" si="17"/>
        <v>10281.940000000001</v>
      </c>
      <c r="AL27" s="63"/>
      <c r="AM27" s="57" t="s">
        <v>106</v>
      </c>
      <c r="AN27" s="57" t="s">
        <v>107</v>
      </c>
      <c r="AO27" s="57" t="s">
        <v>227</v>
      </c>
      <c r="AP27" s="57">
        <f t="shared" si="18"/>
        <v>719.51999999999998</v>
      </c>
      <c r="AQ27" s="57">
        <f t="shared" si="19"/>
        <v>184.88</v>
      </c>
      <c r="AR27" s="57">
        <f t="shared" si="20"/>
        <v>44.969999999999999</v>
      </c>
      <c r="AS27" s="57">
        <f t="shared" si="21"/>
        <v>498</v>
      </c>
    </row>
    <row r="28" spans="1:45" s="57" customFormat="1" ht="16.15" customHeight="1">
      <c r="A28" s="57">
        <v>20</v>
      </c>
      <c r="B28" s="58" t="s">
        <v>108</v>
      </c>
      <c r="C28" s="58" t="s">
        <v>109</v>
      </c>
      <c r="D28" s="58">
        <v>202606</v>
      </c>
      <c r="E28" s="57">
        <v>43224</v>
      </c>
      <c r="F28" s="58"/>
      <c r="G28" s="57">
        <v>595</v>
      </c>
      <c r="H28" s="58">
        <v>14912.07</v>
      </c>
      <c r="I28" s="58">
        <v>17105.25</v>
      </c>
      <c r="J28" s="58">
        <f t="shared" si="49"/>
        <v>2385.9299999999998</v>
      </c>
      <c r="K28" s="58">
        <f>ROUND(H28*7%,2)</f>
        <v>1043.8399999999999</v>
      </c>
      <c r="L28" s="58">
        <f>ROUND(H28*0.7%,2)</f>
        <v>104.38</v>
      </c>
      <c r="M28" s="58">
        <f>ROUND(H28*0.32%,2)</f>
        <v>47.719999999999999</v>
      </c>
      <c r="N28" s="58"/>
      <c r="O28" s="58">
        <v>6.40</v>
      </c>
      <c r="P28" s="58">
        <f t="shared" si="50" ref="P28:P29">ROUND(H28*1.5%,2)</f>
        <v>223.68000000000001</v>
      </c>
      <c r="Q28" s="58"/>
      <c r="R28" s="58"/>
      <c r="S28" s="58">
        <f>ROUND(I28*5%,0)</f>
        <v>855</v>
      </c>
      <c r="T28" s="57">
        <f t="shared" si="36"/>
        <v>4666.9499999999998</v>
      </c>
      <c r="U28" s="58">
        <f>ROUND(H28*8%,2)</f>
        <v>1192.97</v>
      </c>
      <c r="V28" s="58">
        <f>ROUND(H28*2%,2)</f>
        <v>298.24000000000001</v>
      </c>
      <c r="W28" s="58">
        <f>ROUND(H28*0.3%,2)</f>
        <v>44.740000000000002</v>
      </c>
      <c r="X28" s="58"/>
      <c r="Y28" s="58"/>
      <c r="Z28" s="58">
        <v>1.60</v>
      </c>
      <c r="AA28" s="58">
        <f t="shared" si="37"/>
        <v>855</v>
      </c>
      <c r="AB28" s="58">
        <f t="shared" si="38"/>
        <v>2392.5500000000002</v>
      </c>
      <c r="AC28" s="58">
        <f>VLOOKUP(AM:AM,工资明细!E:AP,38,0)</f>
        <v>10202.360000000001</v>
      </c>
      <c r="AD28" s="57">
        <f>VLOOKUP(AM:AM,工资明细!E:AH,30,0)</f>
        <v>10250.42</v>
      </c>
      <c r="AH28" s="57">
        <f t="shared" si="14"/>
        <v>17904.919999999998</v>
      </c>
      <c r="AI28" s="59">
        <f t="shared" si="15"/>
        <v>140.75999999999999</v>
      </c>
      <c r="AJ28" s="59">
        <f t="shared" si="16"/>
        <v>1082.74</v>
      </c>
      <c r="AK28" s="59">
        <f t="shared" si="17"/>
        <v>19128.419999999998</v>
      </c>
      <c r="AL28" s="60"/>
      <c r="AM28" s="57" t="s">
        <v>110</v>
      </c>
      <c r="AN28" s="57" t="s">
        <v>228</v>
      </c>
      <c r="AO28" s="57" t="s">
        <v>229</v>
      </c>
      <c r="AP28" s="57">
        <f t="shared" si="18"/>
        <v>1192.97</v>
      </c>
      <c r="AQ28" s="57">
        <f t="shared" si="19"/>
        <v>299.84000000000003</v>
      </c>
      <c r="AR28" s="57">
        <f t="shared" si="20"/>
        <v>44.740000000000002</v>
      </c>
      <c r="AS28" s="57">
        <f t="shared" si="21"/>
        <v>855</v>
      </c>
    </row>
    <row r="29" spans="1:45" s="57" customFormat="1" ht="16.15" customHeight="1">
      <c r="A29" s="57">
        <v>21</v>
      </c>
      <c r="B29" s="58" t="s">
        <v>111</v>
      </c>
      <c r="C29" s="58" t="s">
        <v>112</v>
      </c>
      <c r="D29" s="58">
        <v>202606</v>
      </c>
      <c r="E29" s="57">
        <v>43244</v>
      </c>
      <c r="F29" s="58"/>
      <c r="G29" s="57">
        <v>595</v>
      </c>
      <c r="H29" s="58">
        <v>9616.50</v>
      </c>
      <c r="I29" s="58">
        <v>11565.75</v>
      </c>
      <c r="J29" s="58">
        <f t="shared" si="49"/>
        <v>1538.6400000000001</v>
      </c>
      <c r="K29" s="58">
        <f>ROUND(H29*7%,2)</f>
        <v>673.15999999999997</v>
      </c>
      <c r="L29" s="58">
        <f>ROUND(H29*0.7%,2)</f>
        <v>67.319999999999993</v>
      </c>
      <c r="M29" s="58">
        <f>ROUND(H29*0.32%,2)</f>
        <v>30.77</v>
      </c>
      <c r="N29" s="58"/>
      <c r="O29" s="58">
        <v>6.40</v>
      </c>
      <c r="P29" s="58">
        <f t="shared" si="50"/>
        <v>144.25</v>
      </c>
      <c r="Q29" s="58"/>
      <c r="R29" s="58"/>
      <c r="S29" s="58">
        <f>ROUND(I29*5%,0)</f>
        <v>578</v>
      </c>
      <c r="T29" s="57">
        <f t="shared" si="36"/>
        <v>3038.54</v>
      </c>
      <c r="U29" s="58">
        <f>ROUND(H29*8%,2)</f>
        <v>769.32000000000005</v>
      </c>
      <c r="V29" s="58">
        <f>ROUND(H29*2%,2)</f>
        <v>192.33000000000001</v>
      </c>
      <c r="W29" s="58">
        <f>ROUND(H29*0.3%,2)</f>
        <v>28.850000000000001</v>
      </c>
      <c r="X29" s="58"/>
      <c r="Y29" s="58"/>
      <c r="Z29" s="58">
        <v>1.60</v>
      </c>
      <c r="AA29" s="58">
        <f t="shared" si="37"/>
        <v>578</v>
      </c>
      <c r="AB29" s="58">
        <f t="shared" si="38"/>
        <v>1570.0999999999999</v>
      </c>
      <c r="AC29" s="58">
        <f>VLOOKUP(AM:AM,工资明细!E:AP,38,0)</f>
        <v>4914.25</v>
      </c>
      <c r="AD29" s="57">
        <f>VLOOKUP(AM:AM,工资明细!E:AH,30,0)</f>
        <v>4960.1599999999999</v>
      </c>
      <c r="AH29" s="57">
        <f t="shared" si="14"/>
        <v>10163.799999999999</v>
      </c>
      <c r="AI29" s="59">
        <f t="shared" si="15"/>
        <v>79.900000000000006</v>
      </c>
      <c r="AJ29" s="59">
        <f t="shared" si="16"/>
        <v>614.62</v>
      </c>
      <c r="AK29" s="59">
        <f t="shared" si="17"/>
        <v>10858.32</v>
      </c>
      <c r="AL29" s="60"/>
      <c r="AM29" s="57" t="s">
        <v>113</v>
      </c>
      <c r="AN29" s="57" t="s">
        <v>228</v>
      </c>
      <c r="AO29" s="57" t="s">
        <v>229</v>
      </c>
      <c r="AP29" s="57">
        <f t="shared" si="18"/>
        <v>769.32000000000005</v>
      </c>
      <c r="AQ29" s="57">
        <f t="shared" si="19"/>
        <v>193.93000000000001</v>
      </c>
      <c r="AR29" s="57">
        <f t="shared" si="20"/>
        <v>28.850000000000001</v>
      </c>
      <c r="AS29" s="57">
        <f t="shared" si="21"/>
        <v>578</v>
      </c>
    </row>
    <row r="30" spans="1:45" s="57" customFormat="1" ht="16.15" customHeight="1">
      <c r="A30" s="57">
        <v>22</v>
      </c>
      <c r="B30" s="58" t="s">
        <v>114</v>
      </c>
      <c r="C30" s="58" t="s">
        <v>115</v>
      </c>
      <c r="D30" s="58">
        <v>202606</v>
      </c>
      <c r="E30" s="57">
        <v>43359</v>
      </c>
      <c r="F30" s="58"/>
      <c r="G30" s="57">
        <v>595</v>
      </c>
      <c r="H30" s="58">
        <v>9436</v>
      </c>
      <c r="I30" s="58">
        <v>9436</v>
      </c>
      <c r="J30" s="58">
        <f t="shared" si="49"/>
        <v>1509.76</v>
      </c>
      <c r="K30" s="58">
        <f>ROUND(H30*6.85%,2)</f>
        <v>646.37</v>
      </c>
      <c r="L30" s="58">
        <f>ROUND(H30*0.8%,2)</f>
        <v>75.489999999999995</v>
      </c>
      <c r="M30" s="58">
        <f>ROUND(H30*0.4%,2)</f>
        <v>37.740000000000002</v>
      </c>
      <c r="N30" s="58"/>
      <c r="O30" s="58"/>
      <c r="P30" s="58">
        <f>ROUND(H30*1.5%,2)</f>
        <v>141.53999999999999</v>
      </c>
      <c r="Q30" s="58"/>
      <c r="R30" s="58"/>
      <c r="S30" s="58">
        <f>ROUND(I30*7%,0)</f>
        <v>661</v>
      </c>
      <c r="T30" s="57">
        <f t="shared" si="51" ref="T30:T46">ROUND(SUM(J30:S30),2)</f>
        <v>3071.9000000000001</v>
      </c>
      <c r="U30" s="58">
        <f>ROUND(H30*8%,2)</f>
        <v>754.88</v>
      </c>
      <c r="V30" s="58">
        <f>ROUND(H30*2%,2)</f>
        <v>188.72</v>
      </c>
      <c r="W30" s="58">
        <f>ROUND(H30*0.2%,2)</f>
        <v>18.870000000000001</v>
      </c>
      <c r="X30" s="58"/>
      <c r="Y30" s="58"/>
      <c r="Z30" s="58"/>
      <c r="AA30" s="58">
        <f t="shared" si="52" ref="AA30:AA37">S30</f>
        <v>661</v>
      </c>
      <c r="AB30" s="58">
        <f t="shared" si="53" ref="AB30:AB47">ROUND(SUM(U30:AA30),2)</f>
        <v>1623.47</v>
      </c>
      <c r="AC30" s="58">
        <f>VLOOKUP(AM:AM,工资明细!E:AP,38,0)</f>
        <v>4449.1300000000001</v>
      </c>
      <c r="AD30" s="57">
        <f>VLOOKUP(AM:AM,工资明细!E:AH,30,0)</f>
        <v>4449.1300000000001</v>
      </c>
      <c r="AH30" s="57">
        <f t="shared" si="14"/>
        <v>9739.5</v>
      </c>
      <c r="AI30" s="59">
        <f t="shared" si="15"/>
        <v>76.569999999999993</v>
      </c>
      <c r="AJ30" s="59">
        <f t="shared" si="16"/>
        <v>588.96000000000004</v>
      </c>
      <c r="AK30" s="59">
        <f t="shared" si="17"/>
        <v>10405.030000000001</v>
      </c>
      <c r="AL30" s="63"/>
      <c r="AM30" s="57" t="s">
        <v>116</v>
      </c>
      <c r="AN30" s="57" t="s">
        <v>103</v>
      </c>
      <c r="AO30" s="57" t="s">
        <v>227</v>
      </c>
      <c r="AP30" s="57">
        <f t="shared" si="18"/>
        <v>754.88</v>
      </c>
      <c r="AQ30" s="57">
        <f t="shared" si="19"/>
        <v>188.72</v>
      </c>
      <c r="AR30" s="57">
        <f t="shared" si="20"/>
        <v>18.870000000000001</v>
      </c>
      <c r="AS30" s="57">
        <f t="shared" si="21"/>
        <v>661</v>
      </c>
    </row>
    <row r="31" spans="1:45" s="57" customFormat="1" ht="16.15" customHeight="1">
      <c r="A31" s="57">
        <v>23</v>
      </c>
      <c r="B31" s="58" t="s">
        <v>117</v>
      </c>
      <c r="C31" s="58" t="s">
        <v>118</v>
      </c>
      <c r="D31" s="58">
        <v>202606</v>
      </c>
      <c r="E31" s="57">
        <v>43360</v>
      </c>
      <c r="F31" s="58"/>
      <c r="G31" s="57">
        <v>595</v>
      </c>
      <c r="H31" s="58">
        <v>17048</v>
      </c>
      <c r="I31" s="58">
        <v>18473</v>
      </c>
      <c r="J31" s="58">
        <f>ROUND($H31*16%,2)</f>
        <v>2727.6799999999998</v>
      </c>
      <c r="K31" s="58">
        <f>ROUND($H31*8.5%,2)</f>
        <v>1449.0799999999999</v>
      </c>
      <c r="L31" s="58">
        <f>ROUND($H31*0.5%,2)</f>
        <v>85.239999999999995</v>
      </c>
      <c r="M31" s="58">
        <f>ROUND($H31*0.6%,2)</f>
        <v>102.29000000000001</v>
      </c>
      <c r="N31" s="58"/>
      <c r="O31" s="58">
        <f>ROUND(H31*1.5%,2)</f>
        <v>255.72</v>
      </c>
      <c r="P31" s="58">
        <f t="shared" si="54" ref="P31:P32">ROUND(H31*1.5%,2)</f>
        <v>255.72</v>
      </c>
      <c r="Q31" s="58"/>
      <c r="R31" s="58"/>
      <c r="S31" s="58">
        <f>ROUND(I31*5%,0)</f>
        <v>924</v>
      </c>
      <c r="T31" s="57">
        <f>ROUND(SUM(J31:S31),2)</f>
        <v>5799.7299999999996</v>
      </c>
      <c r="U31" s="58">
        <f>ROUND($H31*8%,2)</f>
        <v>1363.8399999999999</v>
      </c>
      <c r="V31" s="58">
        <f>ROUND($H31*2%,2)</f>
        <v>340.95999999999998</v>
      </c>
      <c r="W31" s="58">
        <f>ROUND($H31*0.5%,2)</f>
        <v>85.239999999999995</v>
      </c>
      <c r="X31" s="58"/>
      <c r="Y31" s="58"/>
      <c r="Z31" s="58">
        <v>5</v>
      </c>
      <c r="AA31" s="58">
        <f t="shared" si="52"/>
        <v>924</v>
      </c>
      <c r="AB31" s="58">
        <f>ROUND(SUM(U31:AA31),2)</f>
        <v>2719.04</v>
      </c>
      <c r="AC31" s="58">
        <f>VLOOKUP(AM:AM,工资明细!E:AP,38,0)</f>
        <v>9565.0400000000009</v>
      </c>
      <c r="AD31" s="57">
        <f>VLOOKUP(AM:AM,工资明细!E:AH,30,0)</f>
        <v>10374.380000000001</v>
      </c>
      <c r="AH31" s="57">
        <f t="shared" si="14"/>
        <v>19488.150000000001</v>
      </c>
      <c r="AI31" s="59">
        <f t="shared" si="15"/>
        <v>153.19999999999999</v>
      </c>
      <c r="AJ31" s="59">
        <f t="shared" si="16"/>
        <v>1178.48</v>
      </c>
      <c r="AK31" s="59">
        <f t="shared" si="17"/>
        <v>20819.830000000002</v>
      </c>
      <c r="AL31" s="63"/>
      <c r="AM31" s="57" t="s">
        <v>119</v>
      </c>
      <c r="AN31" s="57" t="s">
        <v>107</v>
      </c>
      <c r="AO31" s="57" t="s">
        <v>227</v>
      </c>
      <c r="AP31" s="57">
        <f t="shared" si="18"/>
        <v>1363.8399999999999</v>
      </c>
      <c r="AQ31" s="57">
        <f t="shared" si="19"/>
        <v>345.95999999999998</v>
      </c>
      <c r="AR31" s="57">
        <f t="shared" si="20"/>
        <v>85.239999999999995</v>
      </c>
      <c r="AS31" s="57">
        <f t="shared" si="21"/>
        <v>924</v>
      </c>
    </row>
    <row r="32" spans="1:45" s="57" customFormat="1" ht="16.15" customHeight="1">
      <c r="A32" s="57">
        <v>24</v>
      </c>
      <c r="B32" s="58" t="s">
        <v>120</v>
      </c>
      <c r="C32" s="58" t="s">
        <v>230</v>
      </c>
      <c r="D32" s="58">
        <v>202606</v>
      </c>
      <c r="E32" s="57">
        <v>43360</v>
      </c>
      <c r="F32" s="58"/>
      <c r="G32" s="57">
        <v>595</v>
      </c>
      <c r="H32" s="58">
        <v>5981</v>
      </c>
      <c r="I32" s="58">
        <v>7545</v>
      </c>
      <c r="J32" s="58">
        <f>ROUND($H32*16%,2)</f>
        <v>956.96000000000004</v>
      </c>
      <c r="K32" s="58">
        <f>ROUND($H32*8.5%,2)</f>
        <v>508.38999999999999</v>
      </c>
      <c r="L32" s="58">
        <f>ROUND($H32*0.5%,2)</f>
        <v>29.91</v>
      </c>
      <c r="M32" s="58">
        <f>ROUND($H32*0.6%,2)</f>
        <v>35.890000000000001</v>
      </c>
      <c r="N32" s="58"/>
      <c r="O32" s="58">
        <f>ROUND(H32*1.5%,2)</f>
        <v>89.719999999999999</v>
      </c>
      <c r="P32" s="58">
        <f t="shared" si="54"/>
        <v>89.719999999999999</v>
      </c>
      <c r="Q32" s="58"/>
      <c r="R32" s="58"/>
      <c r="S32" s="58">
        <f>ROUND(I32*5%,0)</f>
        <v>377</v>
      </c>
      <c r="T32" s="57">
        <f>ROUND(SUM(J32:S32),2)</f>
        <v>2087.5900000000001</v>
      </c>
      <c r="U32" s="58">
        <f>ROUND($H32*8%,2)</f>
        <v>478.48000000000002</v>
      </c>
      <c r="V32" s="58">
        <f>ROUND($H32*2%,2)</f>
        <v>119.62</v>
      </c>
      <c r="W32" s="58">
        <f>ROUND($H32*0.5%,2)</f>
        <v>29.91</v>
      </c>
      <c r="X32" s="58"/>
      <c r="Y32" s="58"/>
      <c r="Z32" s="58">
        <v>5</v>
      </c>
      <c r="AA32" s="58">
        <f t="shared" si="52"/>
        <v>377</v>
      </c>
      <c r="AB32" s="58">
        <f>ROUND(SUM(U32:AA32),2)</f>
        <v>1010.01</v>
      </c>
      <c r="AC32" s="58">
        <f>VLOOKUP(AM:AM,工资明细!E:AP,38,0)</f>
        <v>3972.75</v>
      </c>
      <c r="AD32" s="57">
        <f>VLOOKUP(AM:AM,工资明细!E:AH,30,0)</f>
        <v>3972.7500000000009</v>
      </c>
      <c r="AH32" s="57">
        <f t="shared" si="14"/>
        <v>7665.3500000000004</v>
      </c>
      <c r="AI32" s="59">
        <f t="shared" si="15"/>
        <v>60.259999999999998</v>
      </c>
      <c r="AJ32" s="59">
        <f t="shared" si="16"/>
        <v>463.54000000000002</v>
      </c>
      <c r="AK32" s="59">
        <f t="shared" si="17"/>
        <v>8189.1499999999996</v>
      </c>
      <c r="AL32" s="63"/>
      <c r="AM32" s="57" t="s">
        <v>121</v>
      </c>
      <c r="AN32" s="57" t="s">
        <v>107</v>
      </c>
      <c r="AO32" s="57" t="s">
        <v>227</v>
      </c>
      <c r="AP32" s="57">
        <f t="shared" si="18"/>
        <v>478.48000000000002</v>
      </c>
      <c r="AQ32" s="57">
        <f t="shared" si="19"/>
        <v>124.62</v>
      </c>
      <c r="AR32" s="57">
        <f t="shared" si="20"/>
        <v>29.91</v>
      </c>
      <c r="AS32" s="57">
        <f t="shared" si="21"/>
        <v>377</v>
      </c>
    </row>
    <row r="33" spans="1:45" s="57" customFormat="1" ht="16.15" customHeight="1">
      <c r="A33" s="57">
        <v>25</v>
      </c>
      <c r="B33" s="58" t="s">
        <v>122</v>
      </c>
      <c r="C33" s="58" t="s">
        <v>123</v>
      </c>
      <c r="D33" s="58">
        <v>202606</v>
      </c>
      <c r="E33" s="57">
        <v>43360</v>
      </c>
      <c r="F33" s="58"/>
      <c r="G33" s="57">
        <v>595</v>
      </c>
      <c r="H33" s="58">
        <v>14540</v>
      </c>
      <c r="I33" s="58">
        <v>15170.08</v>
      </c>
      <c r="J33" s="58">
        <f>ROUND(H33*16%,2)</f>
        <v>2326.4000000000001</v>
      </c>
      <c r="K33" s="58">
        <f>ROUND(H33*8%,2)</f>
        <v>1163.2</v>
      </c>
      <c r="L33" s="58">
        <f>ROUND(H33*0.7%,2)</f>
        <v>101.78</v>
      </c>
      <c r="M33" s="58">
        <f>ROUND(H33*0.16%,2)</f>
        <v>23.260000000000002</v>
      </c>
      <c r="N33" s="58"/>
      <c r="O33" s="58"/>
      <c r="P33" s="58">
        <f t="shared" si="55" ref="P33:P35">ROUND(H33*1.5%,2)</f>
        <v>218.09999999999999</v>
      </c>
      <c r="Q33" s="58"/>
      <c r="R33" s="58"/>
      <c r="S33" s="58">
        <f>ROUND(I33*5%,0)</f>
        <v>759</v>
      </c>
      <c r="T33" s="57">
        <f t="shared" si="51"/>
        <v>4591.7399999999998</v>
      </c>
      <c r="U33" s="58">
        <f>ROUND(H33*8%,2)</f>
        <v>1163.2</v>
      </c>
      <c r="V33" s="58">
        <f>ROUND(H33*2%,2)</f>
        <v>290.80000000000001</v>
      </c>
      <c r="W33" s="58">
        <f>ROUND(H33*0.3%,2)</f>
        <v>43.619999999999997</v>
      </c>
      <c r="X33" s="58"/>
      <c r="Y33" s="58"/>
      <c r="Z33" s="58"/>
      <c r="AA33" s="58">
        <f t="shared" si="52"/>
        <v>759</v>
      </c>
      <c r="AB33" s="58">
        <f t="shared" si="53"/>
        <v>2256.6199999999999</v>
      </c>
      <c r="AC33" s="58">
        <f>VLOOKUP(AM:AM,工资明细!E:AP,38,0)</f>
        <v>10665.99</v>
      </c>
      <c r="AD33" s="57">
        <f>VLOOKUP(AM:AM,工资明细!E:AH,30,0)</f>
        <v>10705.759999999998</v>
      </c>
      <c r="AH33" s="57">
        <f t="shared" si="14"/>
        <v>18149.119999999999</v>
      </c>
      <c r="AI33" s="59">
        <f t="shared" si="15"/>
        <v>142.68000000000001</v>
      </c>
      <c r="AJ33" s="59">
        <f t="shared" si="16"/>
        <v>1097.51</v>
      </c>
      <c r="AK33" s="59">
        <f t="shared" si="17"/>
        <v>19389.310000000001</v>
      </c>
      <c r="AL33" s="60"/>
      <c r="AM33" s="57" t="s">
        <v>124</v>
      </c>
      <c r="AN33" s="57" t="s">
        <v>231</v>
      </c>
      <c r="AO33" s="57" t="s">
        <v>227</v>
      </c>
      <c r="AP33" s="57">
        <f t="shared" si="18"/>
        <v>1163.2</v>
      </c>
      <c r="AQ33" s="57">
        <f t="shared" si="19"/>
        <v>290.80000000000001</v>
      </c>
      <c r="AR33" s="57">
        <f t="shared" si="20"/>
        <v>43.619999999999997</v>
      </c>
      <c r="AS33" s="57">
        <f t="shared" si="21"/>
        <v>759</v>
      </c>
    </row>
    <row r="34" spans="1:45" s="57" customFormat="1" ht="16.15" customHeight="1">
      <c r="A34" s="57">
        <v>26</v>
      </c>
      <c r="B34" s="58" t="s">
        <v>125</v>
      </c>
      <c r="C34" s="58" t="s">
        <v>126</v>
      </c>
      <c r="D34" s="58">
        <v>202606</v>
      </c>
      <c r="E34" s="57">
        <v>43360</v>
      </c>
      <c r="F34" s="58"/>
      <c r="G34" s="57">
        <v>595</v>
      </c>
      <c r="H34" s="58">
        <v>10007</v>
      </c>
      <c r="I34" s="58">
        <v>11152.91</v>
      </c>
      <c r="J34" s="58">
        <f>ROUND(H34*16%,2)</f>
        <v>1601.1199999999999</v>
      </c>
      <c r="K34" s="58">
        <f>ROUND(H34*8%,2)</f>
        <v>800.55999999999995</v>
      </c>
      <c r="L34" s="58">
        <f>ROUND(H34*0.7%,2)</f>
        <v>70.049999999999997</v>
      </c>
      <c r="M34" s="58">
        <f>ROUND(H34*0.16%,2)</f>
        <v>16.010000000000002</v>
      </c>
      <c r="N34" s="58"/>
      <c r="O34" s="58"/>
      <c r="P34" s="58">
        <f t="shared" si="55"/>
        <v>150.11000000000001</v>
      </c>
      <c r="Q34" s="58"/>
      <c r="R34" s="58"/>
      <c r="S34" s="58">
        <f>ROUND(I34*5%,0)</f>
        <v>558</v>
      </c>
      <c r="T34" s="57">
        <f t="shared" si="51"/>
        <v>3195.8499999999999</v>
      </c>
      <c r="U34" s="58">
        <f>ROUND(H34*8%,2)</f>
        <v>800.55999999999995</v>
      </c>
      <c r="V34" s="58">
        <f>ROUND(H34*2%,2)</f>
        <v>200.13999999999999</v>
      </c>
      <c r="W34" s="58">
        <f>ROUND(H34*0.3%,2)</f>
        <v>30.02</v>
      </c>
      <c r="X34" s="58"/>
      <c r="Y34" s="58"/>
      <c r="Z34" s="58"/>
      <c r="AA34" s="58">
        <f t="shared" si="52"/>
        <v>558</v>
      </c>
      <c r="AB34" s="58">
        <f t="shared" si="53"/>
        <v>1588.72</v>
      </c>
      <c r="AC34" s="58">
        <f>VLOOKUP(AM:AM,工资明细!E:AP,38,0)</f>
        <v>9198.8700000000008</v>
      </c>
      <c r="AD34" s="57">
        <f>VLOOKUP(AM:AM,工资明细!E:AH,30,0)</f>
        <v>9198.8700000000008</v>
      </c>
      <c r="AH34" s="57">
        <f t="shared" si="14"/>
        <v>14578.440000000001</v>
      </c>
      <c r="AI34" s="59">
        <f t="shared" si="15"/>
        <v>114.61</v>
      </c>
      <c r="AJ34" s="59">
        <f t="shared" si="16"/>
        <v>881.58000000000004</v>
      </c>
      <c r="AK34" s="59">
        <f t="shared" si="17"/>
        <v>15574.629999999999</v>
      </c>
      <c r="AL34" s="60"/>
      <c r="AM34" s="57" t="s">
        <v>127</v>
      </c>
      <c r="AN34" s="57" t="s">
        <v>232</v>
      </c>
      <c r="AO34" s="57" t="s">
        <v>233</v>
      </c>
      <c r="AP34" s="57">
        <f t="shared" si="18"/>
        <v>800.55999999999995</v>
      </c>
      <c r="AQ34" s="57">
        <f t="shared" si="19"/>
        <v>200.13999999999999</v>
      </c>
      <c r="AR34" s="57">
        <f t="shared" si="20"/>
        <v>30.02</v>
      </c>
      <c r="AS34" s="57">
        <f t="shared" si="21"/>
        <v>558</v>
      </c>
    </row>
    <row r="35" spans="1:45" s="57" customFormat="1" ht="16.15" customHeight="1">
      <c r="A35" s="57">
        <v>27</v>
      </c>
      <c r="B35" s="58" t="s">
        <v>128</v>
      </c>
      <c r="C35" s="58" t="s">
        <v>129</v>
      </c>
      <c r="D35" s="58">
        <v>202606</v>
      </c>
      <c r="E35" s="57">
        <v>43372</v>
      </c>
      <c r="F35" s="58"/>
      <c r="G35" s="57">
        <v>595</v>
      </c>
      <c r="H35" s="58">
        <v>10173</v>
      </c>
      <c r="I35" s="58">
        <v>10032.59</v>
      </c>
      <c r="J35" s="58">
        <f>ROUND(H35*16%,2)</f>
        <v>1627.6800000000001</v>
      </c>
      <c r="K35" s="58">
        <f>ROUND(H35*8%,2)</f>
        <v>813.84000000000003</v>
      </c>
      <c r="L35" s="58">
        <f>ROUND(H35*0.7%,2)</f>
        <v>71.209999999999994</v>
      </c>
      <c r="M35" s="58">
        <f>ROUND(H35*0.16%,2)</f>
        <v>16.280000000000001</v>
      </c>
      <c r="N35" s="58"/>
      <c r="O35" s="58"/>
      <c r="P35" s="58">
        <f t="shared" si="55"/>
        <v>152.59999999999999</v>
      </c>
      <c r="Q35" s="58"/>
      <c r="R35" s="58"/>
      <c r="S35" s="58">
        <f>ROUND(I35*5%,0)</f>
        <v>502</v>
      </c>
      <c r="T35" s="57">
        <f t="shared" si="51"/>
        <v>3183.6100000000001</v>
      </c>
      <c r="U35" s="58">
        <f>ROUND(H35*8%,2)</f>
        <v>813.84000000000003</v>
      </c>
      <c r="V35" s="58">
        <f>ROUND(H35*2%,2)</f>
        <v>203.46000000000001</v>
      </c>
      <c r="W35" s="58">
        <f>ROUND(H35*0.3%,2)</f>
        <v>30.52</v>
      </c>
      <c r="X35" s="58"/>
      <c r="Y35" s="58"/>
      <c r="Z35" s="58"/>
      <c r="AA35" s="58">
        <f t="shared" si="52"/>
        <v>502</v>
      </c>
      <c r="AB35" s="58">
        <f t="shared" si="53"/>
        <v>1549.8199999999999</v>
      </c>
      <c r="AC35" s="58">
        <f>VLOOKUP(AM:AM,工资明细!E:AP,38,0)</f>
        <v>5199.8599999999997</v>
      </c>
      <c r="AD35" s="57">
        <f>VLOOKUP(AM:AM,工资明细!E:AH,30,0)</f>
        <v>5199.8599999999997</v>
      </c>
      <c r="AH35" s="57">
        <f t="shared" si="14"/>
        <v>10528.290000000001</v>
      </c>
      <c r="AI35" s="59">
        <f t="shared" si="15"/>
        <v>82.769999999999996</v>
      </c>
      <c r="AJ35" s="59">
        <f t="shared" si="16"/>
        <v>636.65999999999997</v>
      </c>
      <c r="AK35" s="59">
        <f t="shared" si="17"/>
        <v>11247.719999999999</v>
      </c>
      <c r="AL35" s="60"/>
      <c r="AM35" s="64" t="s">
        <v>234</v>
      </c>
      <c r="AN35" s="57" t="s">
        <v>235</v>
      </c>
      <c r="AO35" s="57" t="s">
        <v>236</v>
      </c>
      <c r="AP35" s="57">
        <f t="shared" si="18"/>
        <v>813.84000000000003</v>
      </c>
      <c r="AQ35" s="57">
        <f t="shared" si="19"/>
        <v>203.46000000000001</v>
      </c>
      <c r="AR35" s="57">
        <f t="shared" si="20"/>
        <v>30.52</v>
      </c>
      <c r="AS35" s="57">
        <f t="shared" si="21"/>
        <v>502</v>
      </c>
    </row>
    <row r="36" spans="1:45" s="57" customFormat="1" ht="16.15" customHeight="1">
      <c r="A36" s="57">
        <v>28</v>
      </c>
      <c r="B36" s="58" t="s">
        <v>130</v>
      </c>
      <c r="C36" s="58" t="s">
        <v>131</v>
      </c>
      <c r="D36" s="58">
        <v>202606</v>
      </c>
      <c r="E36" s="57">
        <v>43382</v>
      </c>
      <c r="F36" s="58"/>
      <c r="G36" s="57">
        <v>595</v>
      </c>
      <c r="H36" s="58">
        <v>14420</v>
      </c>
      <c r="I36" s="58">
        <v>13440</v>
      </c>
      <c r="J36" s="58">
        <f>ROUND($H36*16%,2)</f>
        <v>2307.1999999999998</v>
      </c>
      <c r="K36" s="58">
        <f>ROUND($H36*7%,2)</f>
        <v>1009.4</v>
      </c>
      <c r="L36" s="58">
        <f>ROUND($H36*0.5%,2)</f>
        <v>72.099999999999994</v>
      </c>
      <c r="M36" s="58">
        <f>ROUND($H36*0.4%,2)</f>
        <v>57.68</v>
      </c>
      <c r="N36" s="58">
        <f>ROUND($H36*0.8%,2)</f>
        <v>115.36</v>
      </c>
      <c r="O36" s="58"/>
      <c r="P36" s="58"/>
      <c r="Q36" s="58"/>
      <c r="R36" s="58"/>
      <c r="S36" s="58">
        <f t="shared" si="56" ref="S36:S37">ROUND(I36*12%,0)</f>
        <v>1613</v>
      </c>
      <c r="T36" s="57">
        <f t="shared" si="57" ref="T36:T41">ROUND(SUM(J36:S36),2)</f>
        <v>5174.7399999999998</v>
      </c>
      <c r="U36" s="58">
        <f>ROUND($H36*8%,2)</f>
        <v>1153.5999999999999</v>
      </c>
      <c r="V36" s="58">
        <f>ROUND($H36*2%,2)</f>
        <v>288.39999999999998</v>
      </c>
      <c r="W36" s="58">
        <f>ROUND($H36*0.5%,2)</f>
        <v>72.099999999999994</v>
      </c>
      <c r="X36" s="58"/>
      <c r="Y36" s="58"/>
      <c r="Z36" s="58">
        <v>10</v>
      </c>
      <c r="AA36" s="58">
        <f>S36</f>
        <v>1613</v>
      </c>
      <c r="AB36" s="58">
        <f t="shared" si="58" ref="AB36:AB41">ROUND(SUM(U36:AA36),2)</f>
        <v>3137.0999999999999</v>
      </c>
      <c r="AC36" s="58">
        <f>VLOOKUP(AM:AM,工资明细!E:AP,38,0)</f>
        <v>6049.8599999999997</v>
      </c>
      <c r="AD36" s="57">
        <f>VLOOKUP(AM:AM,工资明细!E:AH,30,0)</f>
        <v>6049.8599999999988</v>
      </c>
      <c r="AH36" s="57">
        <f t="shared" si="14"/>
        <v>14956.700000000001</v>
      </c>
      <c r="AI36" s="59">
        <f t="shared" si="15"/>
        <v>117.58</v>
      </c>
      <c r="AJ36" s="59">
        <f t="shared" si="16"/>
        <v>904.46000000000004</v>
      </c>
      <c r="AK36" s="59">
        <f t="shared" si="17"/>
        <v>15978.74</v>
      </c>
      <c r="AL36" s="60"/>
      <c r="AM36" s="57" t="s">
        <v>132</v>
      </c>
      <c r="AN36" s="57" t="s">
        <v>84</v>
      </c>
      <c r="AO36" s="57" t="s">
        <v>209</v>
      </c>
      <c r="AP36" s="57">
        <f t="shared" si="18"/>
        <v>1153.5999999999999</v>
      </c>
      <c r="AQ36" s="57">
        <f t="shared" si="19"/>
        <v>298.39999999999998</v>
      </c>
      <c r="AR36" s="57">
        <f t="shared" si="20"/>
        <v>72.099999999999994</v>
      </c>
      <c r="AS36" s="57">
        <f t="shared" si="21"/>
        <v>1613</v>
      </c>
    </row>
    <row r="37" spans="1:45" s="57" customFormat="1" ht="16.15" customHeight="1">
      <c r="A37" s="57">
        <v>29</v>
      </c>
      <c r="B37" s="58" t="s">
        <v>133</v>
      </c>
      <c r="C37" s="58" t="s">
        <v>134</v>
      </c>
      <c r="D37" s="58">
        <v>202606</v>
      </c>
      <c r="E37" s="57">
        <v>43524</v>
      </c>
      <c r="F37" s="58"/>
      <c r="G37" s="57">
        <v>595</v>
      </c>
      <c r="H37" s="58">
        <v>15418</v>
      </c>
      <c r="I37" s="58">
        <v>16073</v>
      </c>
      <c r="J37" s="58">
        <f>ROUND($H37*16%,2)</f>
        <v>2466.8800000000001</v>
      </c>
      <c r="K37" s="58">
        <f>ROUND($H37*7%,2)</f>
        <v>1079.26</v>
      </c>
      <c r="L37" s="58">
        <f>ROUND($H37*0.5%,2)</f>
        <v>77.090000000000003</v>
      </c>
      <c r="M37" s="58">
        <f>ROUND($H37*0.4%,2)</f>
        <v>61.670000000000002</v>
      </c>
      <c r="N37" s="58">
        <f>ROUND($H37*0.8%,2)</f>
        <v>123.34</v>
      </c>
      <c r="O37" s="58"/>
      <c r="P37" s="58"/>
      <c r="Q37" s="58"/>
      <c r="R37" s="58"/>
      <c r="S37" s="58">
        <f t="shared" si="56"/>
        <v>1929</v>
      </c>
      <c r="T37" s="57">
        <f t="shared" si="57"/>
        <v>5737.2399999999998</v>
      </c>
      <c r="U37" s="58">
        <f>ROUND($H37*8%,2)</f>
        <v>1233.4400000000001</v>
      </c>
      <c r="V37" s="58">
        <f>ROUND($H37*2%,2)</f>
        <v>308.36000000000001</v>
      </c>
      <c r="W37" s="58">
        <f>ROUND($H37*0.5%,2)</f>
        <v>77.090000000000003</v>
      </c>
      <c r="X37" s="58"/>
      <c r="Y37" s="58"/>
      <c r="Z37" s="58">
        <v>10</v>
      </c>
      <c r="AA37" s="58">
        <f t="shared" si="52"/>
        <v>1929</v>
      </c>
      <c r="AB37" s="58">
        <f t="shared" si="58"/>
        <v>3557.8899999999999</v>
      </c>
      <c r="AC37" s="58">
        <f>VLOOKUP(AM:AM,工资明细!E:AP,38,0)</f>
        <v>21228.400000000001</v>
      </c>
      <c r="AD37" s="57">
        <f>VLOOKUP(AM:AM,工资明细!E:AH,30,0)</f>
        <v>21553.040000000001</v>
      </c>
      <c r="AH37" s="57">
        <f t="shared" si="14"/>
        <v>31443.169999999998</v>
      </c>
      <c r="AI37" s="59">
        <f t="shared" si="15"/>
        <v>247.18000000000001</v>
      </c>
      <c r="AJ37" s="59">
        <f t="shared" si="16"/>
        <v>1901.4200000000001</v>
      </c>
      <c r="AK37" s="59">
        <f t="shared" si="17"/>
        <v>33591.769999999997</v>
      </c>
      <c r="AL37" s="60"/>
      <c r="AM37" s="57" t="s">
        <v>135</v>
      </c>
      <c r="AN37" s="57" t="s">
        <v>84</v>
      </c>
      <c r="AO37" s="57" t="s">
        <v>209</v>
      </c>
      <c r="AP37" s="57">
        <f t="shared" si="18"/>
        <v>1233.4400000000001</v>
      </c>
      <c r="AQ37" s="57">
        <f t="shared" si="19"/>
        <v>318.36000000000001</v>
      </c>
      <c r="AR37" s="57">
        <f t="shared" si="20"/>
        <v>77.090000000000003</v>
      </c>
      <c r="AS37" s="57">
        <f t="shared" si="21"/>
        <v>1929</v>
      </c>
    </row>
    <row r="38" spans="1:45" s="57" customFormat="1" ht="16.15" customHeight="1">
      <c r="A38" s="57">
        <v>30</v>
      </c>
      <c r="B38" s="58" t="s">
        <v>139</v>
      </c>
      <c r="C38" s="58" t="s">
        <v>237</v>
      </c>
      <c r="D38" s="58">
        <v>202606</v>
      </c>
      <c r="E38" s="57">
        <v>43689</v>
      </c>
      <c r="F38" s="58"/>
      <c r="G38" s="57">
        <v>595</v>
      </c>
      <c r="H38" s="58">
        <v>21253</v>
      </c>
      <c r="I38" s="58">
        <v>24921</v>
      </c>
      <c r="J38" s="58">
        <f>ROUND($H38*16%,2)</f>
        <v>3400.48</v>
      </c>
      <c r="K38" s="58">
        <f>ROUND($H38*7%,2)</f>
        <v>1487.71</v>
      </c>
      <c r="L38" s="58">
        <f>ROUND($H38*0.5%,2)</f>
        <v>106.27</v>
      </c>
      <c r="M38" s="58">
        <f>ROUND($H38*1.1%,2)</f>
        <v>233.78</v>
      </c>
      <c r="N38" s="58">
        <f>ROUND($H38*0.8%,2)</f>
        <v>170.02000000000001</v>
      </c>
      <c r="O38" s="58"/>
      <c r="P38" s="58"/>
      <c r="Q38" s="58"/>
      <c r="R38" s="58"/>
      <c r="S38" s="58">
        <f>ROUND(I38*8%,0)</f>
        <v>1994</v>
      </c>
      <c r="T38" s="57">
        <f t="shared" si="57"/>
        <v>7392.2600000000002</v>
      </c>
      <c r="U38" s="58">
        <f>ROUND($H38*8%,2)</f>
        <v>1700.24</v>
      </c>
      <c r="V38" s="58">
        <f>ROUND($H38*2%,2)</f>
        <v>425.06</v>
      </c>
      <c r="W38" s="58">
        <f>ROUND($H38*0.5%,2)</f>
        <v>106.27</v>
      </c>
      <c r="X38" s="58"/>
      <c r="Y38" s="58"/>
      <c r="Z38" s="58">
        <v>5</v>
      </c>
      <c r="AA38" s="58">
        <f>S38</f>
        <v>1994</v>
      </c>
      <c r="AB38" s="58">
        <f t="shared" si="58"/>
        <v>4230.5699999999997</v>
      </c>
      <c r="AC38" s="58">
        <f>VLOOKUP(AM:AM,工资明细!E:AP,38,0)</f>
        <v>5065.4200000000001</v>
      </c>
      <c r="AD38" s="57">
        <f>VLOOKUP(AM:AM,工资明细!E:AH,30,0)</f>
        <v>5198.29</v>
      </c>
      <c r="AH38" s="57">
        <f t="shared" si="14"/>
        <v>17416.119999999999</v>
      </c>
      <c r="AI38" s="59">
        <f t="shared" si="15"/>
        <v>136.91</v>
      </c>
      <c r="AJ38" s="59">
        <f t="shared" si="16"/>
        <v>1053.1800000000001</v>
      </c>
      <c r="AK38" s="59">
        <f t="shared" si="17"/>
        <v>18606.209999999999</v>
      </c>
      <c r="AL38" s="60"/>
      <c r="AM38" s="57" t="s">
        <v>140</v>
      </c>
      <c r="AN38" s="57" t="s">
        <v>141</v>
      </c>
      <c r="AO38" s="57" t="s">
        <v>238</v>
      </c>
      <c r="AP38" s="57">
        <f t="shared" si="18"/>
        <v>1700.24</v>
      </c>
      <c r="AQ38" s="57">
        <f t="shared" si="19"/>
        <v>430.06</v>
      </c>
      <c r="AR38" s="57">
        <f t="shared" si="20"/>
        <v>106.27</v>
      </c>
      <c r="AS38" s="57">
        <f t="shared" si="21"/>
        <v>1994</v>
      </c>
    </row>
    <row r="39" spans="1:45" s="57" customFormat="1" ht="16.15" customHeight="1">
      <c r="A39" s="57">
        <v>31</v>
      </c>
      <c r="B39" s="58" t="s">
        <v>142</v>
      </c>
      <c r="C39" s="58" t="s">
        <v>143</v>
      </c>
      <c r="D39" s="58">
        <v>202606</v>
      </c>
      <c r="E39" s="57">
        <v>43690</v>
      </c>
      <c r="F39" s="58"/>
      <c r="G39" s="57">
        <v>595</v>
      </c>
      <c r="H39" s="58">
        <v>24619</v>
      </c>
      <c r="I39" s="58">
        <v>26520</v>
      </c>
      <c r="J39" s="58">
        <f>ROUND($H39*16%,2)</f>
        <v>3939.04</v>
      </c>
      <c r="K39" s="58">
        <f>ROUND($H39*7%,2)</f>
        <v>1723.3299999999999</v>
      </c>
      <c r="L39" s="58">
        <f>ROUND($H39*0.5%,2)</f>
        <v>123.09999999999999</v>
      </c>
      <c r="M39" s="58">
        <f>ROUND($H39*1.1%,2)</f>
        <v>270.81</v>
      </c>
      <c r="N39" s="58">
        <f>ROUND($H39*0.8%,2)</f>
        <v>196.94999999999999</v>
      </c>
      <c r="O39" s="58"/>
      <c r="P39" s="58"/>
      <c r="Q39" s="58"/>
      <c r="R39" s="58"/>
      <c r="S39" s="58">
        <f>ROUND(I39*8%,0)</f>
        <v>2122</v>
      </c>
      <c r="T39" s="57">
        <f t="shared" si="57"/>
        <v>8375.2299999999996</v>
      </c>
      <c r="U39" s="58">
        <f>ROUND($H39*8%,2)</f>
        <v>1969.52</v>
      </c>
      <c r="V39" s="58">
        <f>ROUND($H39*2%,2)</f>
        <v>492.38</v>
      </c>
      <c r="W39" s="58">
        <f>ROUND($H39*0.5%,2)</f>
        <v>123.09999999999999</v>
      </c>
      <c r="X39" s="58"/>
      <c r="Y39" s="58"/>
      <c r="Z39" s="58">
        <v>5</v>
      </c>
      <c r="AA39" s="58">
        <f>S39</f>
        <v>2122</v>
      </c>
      <c r="AB39" s="58">
        <f t="shared" si="58"/>
        <v>4712</v>
      </c>
      <c r="AC39" s="58">
        <f>VLOOKUP(AM:AM,工资明细!E:AP,38,0)</f>
        <v>5900.3999999999996</v>
      </c>
      <c r="AD39" s="57">
        <f>VLOOKUP(AM:AM,工资明细!E:AH,30,0)</f>
        <v>6524</v>
      </c>
      <c r="AH39" s="57">
        <f t="shared" si="14"/>
        <v>20206.23</v>
      </c>
      <c r="AI39" s="59">
        <f t="shared" si="15"/>
        <v>158.84999999999999</v>
      </c>
      <c r="AJ39" s="59">
        <f t="shared" si="16"/>
        <v>1221.9000000000001</v>
      </c>
      <c r="AK39" s="59">
        <f t="shared" si="17"/>
        <v>21586.98</v>
      </c>
      <c r="AL39" s="60"/>
      <c r="AM39" s="57" t="s">
        <v>144</v>
      </c>
      <c r="AN39" s="57" t="s">
        <v>141</v>
      </c>
      <c r="AO39" s="57" t="s">
        <v>238</v>
      </c>
      <c r="AP39" s="57">
        <f t="shared" si="18"/>
        <v>1969.52</v>
      </c>
      <c r="AQ39" s="57">
        <f t="shared" si="19"/>
        <v>497.38</v>
      </c>
      <c r="AR39" s="57">
        <f t="shared" si="20"/>
        <v>123.09999999999999</v>
      </c>
      <c r="AS39" s="57">
        <f t="shared" si="21"/>
        <v>2122</v>
      </c>
    </row>
    <row r="40" spans="1:45" s="57" customFormat="1" ht="16.15" customHeight="1">
      <c r="A40" s="57">
        <v>32</v>
      </c>
      <c r="B40" s="58" t="s">
        <v>145</v>
      </c>
      <c r="C40" s="58" t="s">
        <v>146</v>
      </c>
      <c r="D40" s="58">
        <v>202606</v>
      </c>
      <c r="E40" s="57">
        <v>43697</v>
      </c>
      <c r="F40" s="58"/>
      <c r="G40" s="57">
        <v>595</v>
      </c>
      <c r="H40" s="58">
        <v>11591.63</v>
      </c>
      <c r="I40" s="58">
        <v>11277.12</v>
      </c>
      <c r="J40" s="58">
        <f>ROUND(H40*16%,2)</f>
        <v>1854.6600000000001</v>
      </c>
      <c r="K40" s="58">
        <f>ROUND(H40*7%,2)</f>
        <v>811.40999999999997</v>
      </c>
      <c r="L40" s="58">
        <f>ROUND(H40*0.7%,2)</f>
        <v>81.140000000000001</v>
      </c>
      <c r="M40" s="58">
        <f>ROUND(H40*0.32%,2)</f>
        <v>37.090000000000003</v>
      </c>
      <c r="N40" s="58"/>
      <c r="O40" s="58">
        <v>6.40</v>
      </c>
      <c r="P40" s="58">
        <f>ROUND(H40*1.5%,2)</f>
        <v>173.87</v>
      </c>
      <c r="Q40" s="58"/>
      <c r="R40" s="58"/>
      <c r="S40" s="58">
        <f>ROUND(I40*5%,0)</f>
        <v>564</v>
      </c>
      <c r="T40" s="57">
        <f t="shared" si="57"/>
        <v>3528.5700000000002</v>
      </c>
      <c r="U40" s="58">
        <f>ROUND(H40*8%,2)</f>
        <v>927.33000000000004</v>
      </c>
      <c r="V40" s="58">
        <f t="shared" si="59" ref="V40:V45">ROUND(H40*2%,2)</f>
        <v>231.83000000000001</v>
      </c>
      <c r="W40" s="58">
        <f>ROUND(H40*0.3%,2)</f>
        <v>34.770000000000003</v>
      </c>
      <c r="X40" s="58"/>
      <c r="Y40" s="58"/>
      <c r="Z40" s="58">
        <v>1.60</v>
      </c>
      <c r="AA40" s="58">
        <f>S40</f>
        <v>564</v>
      </c>
      <c r="AB40" s="58">
        <f t="shared" si="58"/>
        <v>1759.53</v>
      </c>
      <c r="AC40" s="58">
        <f>VLOOKUP(AM:AM,工资明细!E:AP,38,0)</f>
        <v>7511.0299999999997</v>
      </c>
      <c r="AD40" s="57">
        <f>VLOOKUP(AM:AM,工资明细!E:AH,30,0)</f>
        <v>7643.1099999999988</v>
      </c>
      <c r="AH40" s="57">
        <f t="shared" si="14"/>
        <v>13526.209999999999</v>
      </c>
      <c r="AI40" s="59">
        <f t="shared" si="15"/>
        <v>106.33</v>
      </c>
      <c r="AJ40" s="59">
        <f t="shared" si="16"/>
        <v>817.95000000000005</v>
      </c>
      <c r="AK40" s="59">
        <f t="shared" si="17"/>
        <v>14450.49</v>
      </c>
      <c r="AL40" s="60"/>
      <c r="AM40" s="57" t="s">
        <v>147</v>
      </c>
      <c r="AN40" s="57" t="s">
        <v>239</v>
      </c>
      <c r="AO40" s="57" t="s">
        <v>240</v>
      </c>
      <c r="AP40" s="57">
        <f t="shared" si="18"/>
        <v>927.33000000000004</v>
      </c>
      <c r="AQ40" s="57">
        <f t="shared" si="19"/>
        <v>233.43000000000001</v>
      </c>
      <c r="AR40" s="57">
        <f t="shared" si="20"/>
        <v>34.770000000000003</v>
      </c>
      <c r="AS40" s="57">
        <f t="shared" si="21"/>
        <v>564</v>
      </c>
    </row>
    <row r="41" spans="1:45" s="57" customFormat="1" ht="16.15" customHeight="1">
      <c r="A41" s="57">
        <v>33</v>
      </c>
      <c r="B41" s="58" t="s">
        <v>148</v>
      </c>
      <c r="C41" s="58" t="s">
        <v>149</v>
      </c>
      <c r="D41" s="58">
        <v>202606</v>
      </c>
      <c r="E41" s="57">
        <v>43697</v>
      </c>
      <c r="F41" s="58"/>
      <c r="G41" s="57">
        <v>595</v>
      </c>
      <c r="H41" s="58">
        <v>7460</v>
      </c>
      <c r="I41" s="58">
        <v>6754.80</v>
      </c>
      <c r="J41" s="58">
        <f>ROUND($H41*16%,2)</f>
        <v>1193.5999999999999</v>
      </c>
      <c r="K41" s="58">
        <f>ROUND(H41*9%,2)</f>
        <v>671.39999999999998</v>
      </c>
      <c r="L41" s="58">
        <f>ROUND(H41*0.5%,2)</f>
        <v>37.299999999999997</v>
      </c>
      <c r="M41" s="58">
        <f>ROUND(H41*0.32%,2)</f>
        <v>23.870000000000001</v>
      </c>
      <c r="N41" s="58"/>
      <c r="O41" s="58"/>
      <c r="P41" s="58">
        <f>ROUND(H41*(1.5%*0.9),2)</f>
        <v>100.70999999999999</v>
      </c>
      <c r="Q41" s="58"/>
      <c r="R41" s="58"/>
      <c r="S41" s="58">
        <f>ROUND(I41*7%,0)</f>
        <v>473</v>
      </c>
      <c r="T41" s="57">
        <f t="shared" si="57"/>
        <v>2499.8800000000001</v>
      </c>
      <c r="U41" s="58">
        <f>ROUND(H41*8%,2)</f>
        <v>596.79999999999995</v>
      </c>
      <c r="V41" s="58">
        <f t="shared" si="59"/>
        <v>149.19999999999999</v>
      </c>
      <c r="W41" s="58">
        <f>ROUND(H41*0.5%,2)</f>
        <v>37.299999999999997</v>
      </c>
      <c r="X41" s="58"/>
      <c r="Y41" s="58"/>
      <c r="Z41" s="58"/>
      <c r="AA41" s="58">
        <f>ROUND(I41*7%,0)</f>
        <v>473</v>
      </c>
      <c r="AB41" s="58">
        <f t="shared" si="58"/>
        <v>1256.3</v>
      </c>
      <c r="AC41" s="58">
        <f>VLOOKUP(AM:AM,工资明细!E:AP,38,0)</f>
        <v>4736.7700000000004</v>
      </c>
      <c r="AD41" s="57">
        <f>VLOOKUP(AM:AM,工资明细!E:AH,30,0)</f>
        <v>4743.6999999999998</v>
      </c>
      <c r="AH41" s="57">
        <f t="shared" si="14"/>
        <v>9094.8799999999992</v>
      </c>
      <c r="AI41" s="59">
        <f t="shared" si="15"/>
        <v>71.5</v>
      </c>
      <c r="AJ41" s="59">
        <f t="shared" si="16"/>
        <v>549.98000000000002</v>
      </c>
      <c r="AK41" s="59">
        <f t="shared" si="17"/>
        <v>9716.3600000000006</v>
      </c>
      <c r="AL41" s="60"/>
      <c r="AM41" s="57" t="s">
        <v>150</v>
      </c>
      <c r="AN41" s="57" t="s">
        <v>50</v>
      </c>
      <c r="AO41" s="57" t="s">
        <v>209</v>
      </c>
      <c r="AP41" s="57">
        <f t="shared" si="18"/>
        <v>596.79999999999995</v>
      </c>
      <c r="AQ41" s="57">
        <f t="shared" si="19"/>
        <v>149.19999999999999</v>
      </c>
      <c r="AR41" s="57">
        <f t="shared" si="20"/>
        <v>37.299999999999997</v>
      </c>
      <c r="AS41" s="57">
        <f t="shared" si="21"/>
        <v>473</v>
      </c>
    </row>
    <row r="42" spans="1:45" s="57" customFormat="1" ht="16.15" customHeight="1">
      <c r="A42" s="57">
        <v>34</v>
      </c>
      <c r="B42" s="58" t="s">
        <v>151</v>
      </c>
      <c r="C42" s="58" t="s">
        <v>152</v>
      </c>
      <c r="D42" s="58">
        <v>202606</v>
      </c>
      <c r="E42" s="57">
        <v>43728</v>
      </c>
      <c r="F42" s="58"/>
      <c r="G42" s="57">
        <v>595</v>
      </c>
      <c r="H42" s="58">
        <v>9746.50</v>
      </c>
      <c r="I42" s="58">
        <v>9746.50</v>
      </c>
      <c r="J42" s="58">
        <f>ROUND($H42*16%,2)</f>
        <v>1559.4400000000001</v>
      </c>
      <c r="K42" s="58">
        <f>ROUNDDOWN(H42*9%,2)</f>
        <v>877.17999999999995</v>
      </c>
      <c r="L42" s="58">
        <f>ROUND(H42*0.5%,2)</f>
        <v>48.729999999999997</v>
      </c>
      <c r="M42" s="58">
        <f>ROUND(H42*0.32%,2)</f>
        <v>31.190000000000001</v>
      </c>
      <c r="N42" s="58"/>
      <c r="O42" s="58"/>
      <c r="P42" s="58">
        <f>ROUND(H42*(1.5%*0.9),2)</f>
        <v>131.58000000000001</v>
      </c>
      <c r="Q42" s="58"/>
      <c r="R42" s="58"/>
      <c r="S42" s="58">
        <f>ROUND(I42*7%,0)</f>
        <v>682</v>
      </c>
      <c r="T42" s="57">
        <f t="shared" si="51"/>
        <v>3330.1199999999999</v>
      </c>
      <c r="U42" s="58">
        <f>ROUND(H42*8%,2)</f>
        <v>779.72000000000003</v>
      </c>
      <c r="V42" s="58">
        <f t="shared" si="59"/>
        <v>194.93000000000001</v>
      </c>
      <c r="W42" s="58">
        <f>ROUND(H42*0.5%,2)</f>
        <v>48.729999999999997</v>
      </c>
      <c r="X42" s="58"/>
      <c r="Y42" s="58"/>
      <c r="Z42" s="58"/>
      <c r="AA42" s="58">
        <f>ROUND(I42*7%,0)</f>
        <v>682</v>
      </c>
      <c r="AB42" s="58">
        <f t="shared" si="53"/>
        <v>1705.3800000000001</v>
      </c>
      <c r="AC42" s="58">
        <f>VLOOKUP(AM:AM,工资明细!E:AP,38,0)</f>
        <v>3952.9299999999998</v>
      </c>
      <c r="AD42" s="57">
        <f>VLOOKUP(AM:AM,工资明细!E:AH,30,0)</f>
        <v>3952.9300000000003</v>
      </c>
      <c r="AH42" s="57">
        <f t="shared" si="14"/>
        <v>9583.4300000000003</v>
      </c>
      <c r="AI42" s="59">
        <f t="shared" si="15"/>
        <v>75.340000000000003</v>
      </c>
      <c r="AJ42" s="59">
        <f t="shared" si="16"/>
        <v>579.52999999999997</v>
      </c>
      <c r="AK42" s="59">
        <f t="shared" si="17"/>
        <v>10238.299999999999</v>
      </c>
      <c r="AL42" s="60"/>
      <c r="AM42" s="57" t="s">
        <v>153</v>
      </c>
      <c r="AN42" s="57" t="s">
        <v>50</v>
      </c>
      <c r="AO42" s="57" t="s">
        <v>209</v>
      </c>
      <c r="AP42" s="57">
        <f t="shared" si="18"/>
        <v>779.72000000000003</v>
      </c>
      <c r="AQ42" s="57">
        <f t="shared" si="19"/>
        <v>194.93000000000001</v>
      </c>
      <c r="AR42" s="57">
        <f t="shared" si="20"/>
        <v>48.729999999999997</v>
      </c>
      <c r="AS42" s="57">
        <f t="shared" si="21"/>
        <v>682</v>
      </c>
    </row>
    <row r="43" spans="1:45" s="57" customFormat="1" ht="16.15" customHeight="1">
      <c r="A43" s="57">
        <v>35</v>
      </c>
      <c r="B43" s="58" t="s">
        <v>154</v>
      </c>
      <c r="C43" s="58" t="s">
        <v>155</v>
      </c>
      <c r="D43" s="58">
        <v>202606</v>
      </c>
      <c r="E43" s="57">
        <v>43747</v>
      </c>
      <c r="F43" s="58"/>
      <c r="G43" s="57">
        <v>595</v>
      </c>
      <c r="H43" s="58">
        <v>8182</v>
      </c>
      <c r="I43" s="58">
        <v>8182</v>
      </c>
      <c r="J43" s="58">
        <f>ROUND($H43*16%,2)</f>
        <v>1309.1199999999999</v>
      </c>
      <c r="K43" s="58">
        <f>ROUND($H43*5.5%,2)</f>
        <v>450.00999999999999</v>
      </c>
      <c r="L43" s="58">
        <f>ROUND($H43*0.8%,2)</f>
        <v>65.459999999999994</v>
      </c>
      <c r="M43" s="58">
        <f>ROUND($H43*0.4%,2)</f>
        <v>32.729999999999997</v>
      </c>
      <c r="N43" s="58"/>
      <c r="O43" s="58"/>
      <c r="P43" s="58"/>
      <c r="Q43" s="58"/>
      <c r="R43" s="58"/>
      <c r="S43" s="58">
        <f>ROUND(I43*5%,0)</f>
        <v>409</v>
      </c>
      <c r="T43" s="57">
        <f t="shared" si="51"/>
        <v>2266.3200000000002</v>
      </c>
      <c r="U43" s="58">
        <f>ROUND($H43*8%,2)</f>
        <v>654.55999999999995</v>
      </c>
      <c r="V43" s="58">
        <f t="shared" si="59"/>
        <v>163.63999999999999</v>
      </c>
      <c r="W43" s="58">
        <f>ROUND($H43*0.2%,2)</f>
        <v>16.359999999999999</v>
      </c>
      <c r="X43" s="58"/>
      <c r="Y43" s="58"/>
      <c r="Z43" s="58"/>
      <c r="AA43" s="58">
        <f>S43</f>
        <v>409</v>
      </c>
      <c r="AB43" s="58">
        <f t="shared" si="53"/>
        <v>1243.5599999999999</v>
      </c>
      <c r="AC43" s="58">
        <f>VLOOKUP(AM:AM,工资明细!E:AP,38,0)</f>
        <v>5088.3400000000001</v>
      </c>
      <c r="AD43" s="57">
        <f>VLOOKUP(AM:AM,工资明细!E:AH,30,0)</f>
        <v>5088.3400000000001</v>
      </c>
      <c r="AH43" s="57">
        <f t="shared" si="14"/>
        <v>9193.2199999999993</v>
      </c>
      <c r="AI43" s="59">
        <f t="shared" si="15"/>
        <v>72.269999999999996</v>
      </c>
      <c r="AJ43" s="59">
        <f t="shared" si="16"/>
        <v>555.92999999999995</v>
      </c>
      <c r="AK43" s="59">
        <f t="shared" si="17"/>
        <v>9821.4200000000001</v>
      </c>
      <c r="AL43" s="60"/>
      <c r="AM43" s="57" t="s">
        <v>241</v>
      </c>
      <c r="AN43" s="57" t="s">
        <v>156</v>
      </c>
      <c r="AO43" s="57" t="s">
        <v>209</v>
      </c>
      <c r="AP43" s="57">
        <f t="shared" si="18"/>
        <v>654.55999999999995</v>
      </c>
      <c r="AQ43" s="57">
        <f t="shared" si="19"/>
        <v>163.63999999999999</v>
      </c>
      <c r="AR43" s="57">
        <f t="shared" si="20"/>
        <v>16.359999999999999</v>
      </c>
      <c r="AS43" s="57">
        <f t="shared" si="21"/>
        <v>409</v>
      </c>
    </row>
    <row r="44" spans="1:45" s="57" customFormat="1" ht="16.15" customHeight="1">
      <c r="A44" s="57">
        <v>36</v>
      </c>
      <c r="B44" s="58" t="s">
        <v>157</v>
      </c>
      <c r="C44" s="58" t="s">
        <v>158</v>
      </c>
      <c r="D44" s="58">
        <v>202606</v>
      </c>
      <c r="E44" s="57">
        <v>43751</v>
      </c>
      <c r="F44" s="58"/>
      <c r="G44" s="57">
        <v>595</v>
      </c>
      <c r="H44" s="58">
        <v>7788</v>
      </c>
      <c r="I44" s="58">
        <v>7788</v>
      </c>
      <c r="J44" s="58">
        <f>ROUND($H44*16%,2)</f>
        <v>1246.0799999999999</v>
      </c>
      <c r="K44" s="58">
        <f>ROUND($H44*5.5%,2)</f>
        <v>428.33999999999997</v>
      </c>
      <c r="L44" s="58">
        <f>ROUND($H44*0.8%,2)</f>
        <v>62.299999999999997</v>
      </c>
      <c r="M44" s="58">
        <f>ROUND($H44*0.4%,2)</f>
        <v>31.149999999999999</v>
      </c>
      <c r="N44" s="58"/>
      <c r="O44" s="58"/>
      <c r="P44" s="58"/>
      <c r="Q44" s="58"/>
      <c r="R44" s="58"/>
      <c r="S44" s="58">
        <f>ROUND(I44*5%,0)</f>
        <v>389</v>
      </c>
      <c r="T44" s="57">
        <f t="shared" si="51"/>
        <v>2156.8699999999999</v>
      </c>
      <c r="U44" s="58">
        <f>ROUND($H44*8%,2)</f>
        <v>623.03999999999996</v>
      </c>
      <c r="V44" s="58">
        <f t="shared" si="59"/>
        <v>155.75999999999999</v>
      </c>
      <c r="W44" s="58">
        <f>ROUND($H44*0.2%,2)</f>
        <v>15.58</v>
      </c>
      <c r="X44" s="58"/>
      <c r="Y44" s="58"/>
      <c r="Z44" s="58"/>
      <c r="AA44" s="58">
        <f>S44</f>
        <v>389</v>
      </c>
      <c r="AB44" s="58">
        <f t="shared" si="53"/>
        <v>1183.3800000000001</v>
      </c>
      <c r="AC44" s="58">
        <f>VLOOKUP(AM:AM,工资明细!E:AP,38,0)</f>
        <v>4513.3100000000004</v>
      </c>
      <c r="AD44" s="57">
        <f>VLOOKUP(AM:AM,工资明细!E:AH,30,0)</f>
        <v>4520.0699999999997</v>
      </c>
      <c r="AH44" s="57">
        <f t="shared" si="14"/>
        <v>8455.3199999999997</v>
      </c>
      <c r="AI44" s="59">
        <f t="shared" si="15"/>
        <v>66.469999999999999</v>
      </c>
      <c r="AJ44" s="59">
        <f t="shared" si="16"/>
        <v>511.31</v>
      </c>
      <c r="AK44" s="59">
        <f t="shared" si="17"/>
        <v>9033.1000000000004</v>
      </c>
      <c r="AL44" s="60"/>
      <c r="AM44" s="57" t="s">
        <v>159</v>
      </c>
      <c r="AN44" s="57" t="s">
        <v>156</v>
      </c>
      <c r="AO44" s="57" t="s">
        <v>209</v>
      </c>
      <c r="AP44" s="57">
        <f t="shared" si="18"/>
        <v>623.03999999999996</v>
      </c>
      <c r="AQ44" s="57">
        <f t="shared" si="19"/>
        <v>155.75999999999999</v>
      </c>
      <c r="AR44" s="57">
        <f t="shared" si="20"/>
        <v>15.58</v>
      </c>
      <c r="AS44" s="57">
        <f t="shared" si="21"/>
        <v>389</v>
      </c>
    </row>
    <row r="45" spans="1:45" s="57" customFormat="1" ht="16.15" customHeight="1">
      <c r="A45" s="57">
        <v>37</v>
      </c>
      <c r="B45" s="58" t="s">
        <v>164</v>
      </c>
      <c r="C45" s="58" t="s">
        <v>166</v>
      </c>
      <c r="D45" s="58">
        <v>202606</v>
      </c>
      <c r="E45" s="57">
        <v>44004</v>
      </c>
      <c r="F45" s="58"/>
      <c r="G45" s="57">
        <v>595</v>
      </c>
      <c r="H45" s="58">
        <v>13515.90</v>
      </c>
      <c r="I45" s="58">
        <v>13515.90</v>
      </c>
      <c r="J45" s="58">
        <f t="shared" si="60" ref="J45:J53">ROUND($H45*16%,2)</f>
        <v>2162.54</v>
      </c>
      <c r="K45" s="58">
        <f>ROUND(H45*9%,2)</f>
        <v>1216.4300000000001</v>
      </c>
      <c r="L45" s="58">
        <f>ROUND(H45*0.5%,2)</f>
        <v>67.579999999999998</v>
      </c>
      <c r="M45" s="58">
        <f>ROUND(H45*0.32%,2)</f>
        <v>43.25</v>
      </c>
      <c r="N45" s="58"/>
      <c r="O45" s="58"/>
      <c r="P45" s="58">
        <f>ROUND(H45*(1.5%*0.9),2)</f>
        <v>182.46000000000001</v>
      </c>
      <c r="Q45" s="58"/>
      <c r="R45" s="58"/>
      <c r="S45" s="58">
        <f>ROUND(I45*7%,0)</f>
        <v>946</v>
      </c>
      <c r="T45" s="57">
        <f t="shared" si="51"/>
        <v>4618.2600000000002</v>
      </c>
      <c r="U45" s="58">
        <f>ROUND(H45*8%,2)</f>
        <v>1081.27</v>
      </c>
      <c r="V45" s="58">
        <f t="shared" si="59"/>
        <v>270.31999999999999</v>
      </c>
      <c r="W45" s="58">
        <f>ROUND(H45*0.5%,2)</f>
        <v>67.579999999999998</v>
      </c>
      <c r="X45" s="58"/>
      <c r="Y45" s="58"/>
      <c r="Z45" s="58"/>
      <c r="AA45" s="58">
        <f>ROUND(I45*7%,0)</f>
        <v>946</v>
      </c>
      <c r="AB45" s="58">
        <f t="shared" si="53"/>
        <v>2365.1700000000001</v>
      </c>
      <c r="AC45" s="58">
        <f>VLOOKUP(AM:AM,工资明细!E:AP,38,0)</f>
        <v>12758.540000000001</v>
      </c>
      <c r="AD45" s="57">
        <f>VLOOKUP(AM:AM,工资明细!E:AH,30,0)</f>
        <v>12947.940000000001</v>
      </c>
      <c r="AH45" s="57">
        <f t="shared" si="14"/>
        <v>20526.369999999999</v>
      </c>
      <c r="AI45" s="59">
        <f t="shared" si="15"/>
        <v>161.36000000000001</v>
      </c>
      <c r="AJ45" s="59">
        <f t="shared" si="16"/>
        <v>1241.26</v>
      </c>
      <c r="AK45" s="59">
        <f t="shared" si="17"/>
        <v>21928.990000000002</v>
      </c>
      <c r="AL45" s="60"/>
      <c r="AM45" s="57" t="s">
        <v>168</v>
      </c>
      <c r="AN45" s="57" t="s">
        <v>50</v>
      </c>
      <c r="AO45" s="57" t="s">
        <v>209</v>
      </c>
      <c r="AP45" s="57">
        <f t="shared" si="18"/>
        <v>1081.27</v>
      </c>
      <c r="AQ45" s="57">
        <f t="shared" si="19"/>
        <v>270.31999999999999</v>
      </c>
      <c r="AR45" s="57">
        <f t="shared" si="20"/>
        <v>67.579999999999998</v>
      </c>
      <c r="AS45" s="57">
        <f t="shared" si="21"/>
        <v>946</v>
      </c>
    </row>
    <row r="46" spans="1:45" s="57" customFormat="1" ht="16.15" customHeight="1">
      <c r="A46" s="57">
        <v>38</v>
      </c>
      <c r="B46" s="58" t="s">
        <v>165</v>
      </c>
      <c r="C46" s="58" t="s">
        <v>167</v>
      </c>
      <c r="D46" s="58">
        <v>202606</v>
      </c>
      <c r="E46" s="57">
        <v>44004</v>
      </c>
      <c r="F46" s="58"/>
      <c r="G46" s="57">
        <v>595</v>
      </c>
      <c r="H46" s="58">
        <v>8688.16</v>
      </c>
      <c r="I46" s="58">
        <v>8628</v>
      </c>
      <c r="J46" s="58">
        <f t="shared" si="60"/>
        <v>1390.1099999999999</v>
      </c>
      <c r="K46" s="58">
        <f>ROUND($H46*9%,2)</f>
        <v>781.92999999999995</v>
      </c>
      <c r="L46" s="58">
        <f>ROUND(H46*0.5%,2)</f>
        <v>43.439999999999998</v>
      </c>
      <c r="M46" s="58">
        <f>ROUND(H46*0.9%,2)</f>
        <v>78.189999999999998</v>
      </c>
      <c r="N46" s="58"/>
      <c r="O46" s="58">
        <f>ROUND(H46*0.2%,2)</f>
        <v>17.379999999999999</v>
      </c>
      <c r="P46" s="58"/>
      <c r="Q46" s="58"/>
      <c r="R46" s="58"/>
      <c r="S46" s="58">
        <f>ROUND(I46*7%,2)</f>
        <v>603.96000000000004</v>
      </c>
      <c r="T46" s="57">
        <f t="shared" si="51"/>
        <v>2915.0100000000002</v>
      </c>
      <c r="U46" s="58">
        <f>ROUND($H46*8%,2)</f>
        <v>695.04999999999995</v>
      </c>
      <c r="V46" s="58">
        <f t="shared" si="61" ref="V46:V52">ROUND($H46*2%,2)</f>
        <v>173.75999999999999</v>
      </c>
      <c r="W46" s="58">
        <f>ROUND(H46*0.5%,2)</f>
        <v>43.439999999999998</v>
      </c>
      <c r="X46" s="58"/>
      <c r="Y46" s="58"/>
      <c r="Z46" s="58">
        <f>ROUND(H46*0.1%,2)</f>
        <v>8.6899999999999995</v>
      </c>
      <c r="AA46" s="58">
        <f t="shared" si="62" ref="AA46:AA52">S46</f>
        <v>603.96000000000004</v>
      </c>
      <c r="AB46" s="58">
        <f t="shared" si="53"/>
        <v>1524.9000000000001</v>
      </c>
      <c r="AC46" s="58">
        <f>VLOOKUP(AM:AM,工资明细!E:AP,38,0)</f>
        <v>5118.54</v>
      </c>
      <c r="AD46" s="57">
        <f>VLOOKUP(AM:AM,工资明细!E:AH,30,0)</f>
        <v>5160.2800000000007</v>
      </c>
      <c r="AH46" s="57">
        <f t="shared" si="14"/>
        <v>10195.190000000001</v>
      </c>
      <c r="AI46" s="59">
        <f t="shared" si="15"/>
        <v>80.150000000000006</v>
      </c>
      <c r="AJ46" s="59">
        <f t="shared" si="16"/>
        <v>616.51999999999998</v>
      </c>
      <c r="AK46" s="59">
        <f t="shared" si="17"/>
        <v>10891.860000000001</v>
      </c>
      <c r="AL46" s="60"/>
      <c r="AM46" s="57" t="s">
        <v>242</v>
      </c>
      <c r="AN46" s="57" t="s">
        <v>243</v>
      </c>
      <c r="AO46" s="57" t="s">
        <v>244</v>
      </c>
      <c r="AP46" s="57">
        <f t="shared" si="18"/>
        <v>695.04999999999995</v>
      </c>
      <c r="AQ46" s="57">
        <f t="shared" si="19"/>
        <v>182.44999999999999</v>
      </c>
      <c r="AR46" s="57">
        <f t="shared" si="20"/>
        <v>43.439999999999998</v>
      </c>
      <c r="AS46" s="57">
        <f t="shared" si="21"/>
        <v>603.96000000000004</v>
      </c>
    </row>
    <row r="47" spans="1:45" s="57" customFormat="1" ht="16.15" customHeight="1">
      <c r="A47" s="57">
        <v>39</v>
      </c>
      <c r="B47" s="58" t="s">
        <v>245</v>
      </c>
      <c r="C47" s="58" t="s">
        <v>171</v>
      </c>
      <c r="D47" s="58">
        <v>202606</v>
      </c>
      <c r="E47" s="57">
        <v>44013</v>
      </c>
      <c r="F47" s="58"/>
      <c r="G47" s="57">
        <v>595</v>
      </c>
      <c r="H47" s="58">
        <v>12147.33</v>
      </c>
      <c r="I47" s="58">
        <v>11901</v>
      </c>
      <c r="J47" s="58">
        <f t="shared" si="60"/>
        <v>1943.5699999999999</v>
      </c>
      <c r="K47" s="58">
        <f>ROUND($H47*9%,2)</f>
        <v>1093.26</v>
      </c>
      <c r="L47" s="58">
        <f>ROUND(H47*0.5%,2)</f>
        <v>60.740000000000002</v>
      </c>
      <c r="M47" s="58">
        <f>ROUND(H47*0.9%,2)</f>
        <v>109.33</v>
      </c>
      <c r="N47" s="58"/>
      <c r="O47" s="58">
        <f>ROUND(H47*0.2%,2)</f>
        <v>24.289999999999999</v>
      </c>
      <c r="P47" s="58"/>
      <c r="Q47" s="58">
        <v>102.23</v>
      </c>
      <c r="R47" s="58"/>
      <c r="S47" s="58">
        <f>ROUND(I47*7%,2)</f>
        <v>833.07000000000005</v>
      </c>
      <c r="T47" s="57">
        <f>ROUND(SUM(J47:S47),2)</f>
        <v>4166.4899999999998</v>
      </c>
      <c r="U47" s="58">
        <f>ROUND(H47*8%,2)</f>
        <v>971.78999999999996</v>
      </c>
      <c r="V47" s="58">
        <f t="shared" si="61"/>
        <v>242.94999999999999</v>
      </c>
      <c r="W47" s="58">
        <f>ROUND(H47*0.5%,2)</f>
        <v>60.740000000000002</v>
      </c>
      <c r="X47" s="58"/>
      <c r="Y47" s="58"/>
      <c r="Z47" s="58">
        <f>ROUND(H47*0.1%,2)</f>
        <v>12.15</v>
      </c>
      <c r="AA47" s="58">
        <f t="shared" si="62"/>
        <v>833.07000000000005</v>
      </c>
      <c r="AB47" s="58">
        <f t="shared" si="53"/>
        <v>2120.6999999999998</v>
      </c>
      <c r="AC47" s="58">
        <f>VLOOKUP(AM:AM,工资明细!E:AP,38,0)</f>
        <v>10270.780000000001</v>
      </c>
      <c r="AD47" s="57">
        <f>VLOOKUP(AM:AM,工资明细!E:AH,30,0)</f>
        <v>10499.389999999999</v>
      </c>
      <c r="AH47" s="57">
        <f t="shared" si="14"/>
        <v>17381.580000000002</v>
      </c>
      <c r="AI47" s="59">
        <f t="shared" si="15"/>
        <v>136.63999999999999</v>
      </c>
      <c r="AJ47" s="59">
        <f t="shared" si="16"/>
        <v>1051.0899999999999</v>
      </c>
      <c r="AK47" s="59">
        <f t="shared" si="17"/>
        <v>18569.310000000001</v>
      </c>
      <c r="AL47" s="60"/>
      <c r="AM47" s="57" t="s">
        <v>169</v>
      </c>
      <c r="AN47" s="57" t="s">
        <v>243</v>
      </c>
      <c r="AO47" s="57" t="s">
        <v>244</v>
      </c>
      <c r="AP47" s="57">
        <f t="shared" si="18"/>
        <v>971.78999999999996</v>
      </c>
      <c r="AQ47" s="57">
        <f t="shared" si="19"/>
        <v>255.09999999999999</v>
      </c>
      <c r="AR47" s="57">
        <f t="shared" si="20"/>
        <v>60.740000000000002</v>
      </c>
      <c r="AS47" s="57">
        <f t="shared" si="21"/>
        <v>833.07000000000005</v>
      </c>
    </row>
    <row r="48" spans="1:45" s="57" customFormat="1" ht="16.15" customHeight="1">
      <c r="A48" s="57">
        <v>40</v>
      </c>
      <c r="B48" s="58" t="s">
        <v>246</v>
      </c>
      <c r="C48" s="58" t="s">
        <v>247</v>
      </c>
      <c r="D48" s="58">
        <v>202606</v>
      </c>
      <c r="E48" s="57">
        <v>44130</v>
      </c>
      <c r="F48" s="58"/>
      <c r="G48" s="57">
        <v>595</v>
      </c>
      <c r="H48" s="58">
        <v>8181</v>
      </c>
      <c r="I48" s="58">
        <v>8803</v>
      </c>
      <c r="J48" s="58">
        <f t="shared" si="60"/>
        <v>1308.96</v>
      </c>
      <c r="K48" s="58">
        <f>ROUND($H48*8.5%,2)</f>
        <v>695.38999999999999</v>
      </c>
      <c r="L48" s="58">
        <f>ROUND($H48*0.5%,2)</f>
        <v>40.909999999999997</v>
      </c>
      <c r="M48" s="58">
        <f>ROUND($H48*0.6%,2)</f>
        <v>49.090000000000003</v>
      </c>
      <c r="N48" s="58"/>
      <c r="O48" s="58">
        <f>ROUND(H48*1.5%,2)</f>
        <v>122.72</v>
      </c>
      <c r="P48" s="58">
        <f t="shared" si="63" ref="P48:P51">ROUND(H48*1.5%,2)</f>
        <v>122.72</v>
      </c>
      <c r="Q48" s="58"/>
      <c r="R48" s="58"/>
      <c r="S48" s="58">
        <f>ROUND(I48*5%,0)</f>
        <v>440</v>
      </c>
      <c r="T48" s="57">
        <f>ROUND(SUM(J48:S48),2)</f>
        <v>2779.79</v>
      </c>
      <c r="U48" s="58">
        <f>ROUND($H48*8%,2)</f>
        <v>654.48000000000002</v>
      </c>
      <c r="V48" s="58">
        <f t="shared" si="61"/>
        <v>163.62</v>
      </c>
      <c r="W48" s="58">
        <f>ROUND($H48*0.5%,2)</f>
        <v>40.909999999999997</v>
      </c>
      <c r="X48" s="58"/>
      <c r="Y48" s="58"/>
      <c r="Z48" s="58">
        <v>5</v>
      </c>
      <c r="AA48" s="58">
        <f t="shared" si="62"/>
        <v>440</v>
      </c>
      <c r="AB48" s="58">
        <f>ROUND(SUM(U48:AA48),2)</f>
        <v>1304.01</v>
      </c>
      <c r="AC48" s="58">
        <f>VLOOKUP(AM:AM,工资明细!E:AP,38,0)</f>
        <v>3576.6300000000001</v>
      </c>
      <c r="AD48" s="57">
        <f>VLOOKUP(AM:AM,工资明细!E:AH,30,0)</f>
        <v>3576.6300000000001</v>
      </c>
      <c r="AH48" s="57">
        <f t="shared" si="14"/>
        <v>8255.4300000000003</v>
      </c>
      <c r="AI48" s="59">
        <f t="shared" si="15"/>
        <v>64.900000000000006</v>
      </c>
      <c r="AJ48" s="59">
        <f t="shared" si="16"/>
        <v>499.22000000000003</v>
      </c>
      <c r="AK48" s="59">
        <f t="shared" si="17"/>
        <v>8819.5499999999993</v>
      </c>
      <c r="AL48" s="63"/>
      <c r="AM48" s="57" t="s">
        <v>248</v>
      </c>
      <c r="AN48" s="57" t="s">
        <v>107</v>
      </c>
      <c r="AO48" s="57" t="s">
        <v>227</v>
      </c>
      <c r="AP48" s="57">
        <f t="shared" si="18"/>
        <v>654.48000000000002</v>
      </c>
      <c r="AQ48" s="57">
        <f t="shared" si="19"/>
        <v>168.62</v>
      </c>
      <c r="AR48" s="57">
        <f t="shared" si="20"/>
        <v>40.909999999999997</v>
      </c>
      <c r="AS48" s="57">
        <f t="shared" si="21"/>
        <v>440</v>
      </c>
    </row>
    <row r="49" spans="1:45" s="57" customFormat="1" ht="16.15" customHeight="1">
      <c r="A49" s="57">
        <v>41</v>
      </c>
      <c r="B49" s="58" t="s">
        <v>249</v>
      </c>
      <c r="C49" s="58" t="s">
        <v>250</v>
      </c>
      <c r="D49" s="58">
        <v>202606</v>
      </c>
      <c r="E49" s="57">
        <v>44130</v>
      </c>
      <c r="F49" s="58"/>
      <c r="G49" s="57">
        <v>595</v>
      </c>
      <c r="H49" s="58">
        <v>9812</v>
      </c>
      <c r="I49" s="58">
        <v>11224</v>
      </c>
      <c r="J49" s="58">
        <f t="shared" si="60"/>
        <v>1569.9200000000001</v>
      </c>
      <c r="K49" s="58">
        <f>ROUND($H49*8.5%,2)</f>
        <v>834.01999999999998</v>
      </c>
      <c r="L49" s="58">
        <f>ROUND($H49*0.5%,2)</f>
        <v>49.060000000000002</v>
      </c>
      <c r="M49" s="58">
        <f>ROUND($H49*0.6%,2)</f>
        <v>58.869999999999997</v>
      </c>
      <c r="N49" s="58"/>
      <c r="O49" s="58">
        <f>ROUND(H49*1.5%,2)</f>
        <v>147.18000000000001</v>
      </c>
      <c r="P49" s="58">
        <f t="shared" si="63"/>
        <v>147.18000000000001</v>
      </c>
      <c r="Q49" s="58"/>
      <c r="R49" s="58"/>
      <c r="S49" s="58">
        <f>ROUND(I49*5%,0)</f>
        <v>561</v>
      </c>
      <c r="T49" s="57">
        <f>ROUND(SUM(J49:S49),2)</f>
        <v>3367.23</v>
      </c>
      <c r="U49" s="58">
        <f>ROUND($H49*8%,2)</f>
        <v>784.96000000000004</v>
      </c>
      <c r="V49" s="58">
        <f t="shared" si="61"/>
        <v>196.24000000000001</v>
      </c>
      <c r="W49" s="58">
        <f>ROUND($H49*0.5%,2)</f>
        <v>49.060000000000002</v>
      </c>
      <c r="X49" s="58"/>
      <c r="Y49" s="58"/>
      <c r="Z49" s="58">
        <v>5</v>
      </c>
      <c r="AA49" s="58">
        <f t="shared" si="62"/>
        <v>561</v>
      </c>
      <c r="AB49" s="58">
        <f>ROUND(SUM(U49:AA49),2)</f>
        <v>1596.26</v>
      </c>
      <c r="AC49" s="58">
        <f>VLOOKUP(AM:AM,工资明细!E:AP,38,0)</f>
        <v>4618.2700000000004</v>
      </c>
      <c r="AD49" s="57">
        <f>VLOOKUP(AM:AM,工资明细!E:AH,30,0)</f>
        <v>4655.8299999999999</v>
      </c>
      <c r="AH49" s="57">
        <f t="shared" si="14"/>
        <v>10214.32</v>
      </c>
      <c r="AI49" s="59">
        <f t="shared" si="15"/>
        <v>80.299999999999997</v>
      </c>
      <c r="AJ49" s="59">
        <f t="shared" si="16"/>
        <v>617.67999999999995</v>
      </c>
      <c r="AK49" s="59">
        <f t="shared" si="17"/>
        <v>10912.299999999999</v>
      </c>
      <c r="AL49" s="63"/>
      <c r="AM49" s="57" t="s">
        <v>251</v>
      </c>
      <c r="AN49" s="57" t="s">
        <v>107</v>
      </c>
      <c r="AO49" s="57" t="s">
        <v>227</v>
      </c>
      <c r="AP49" s="57">
        <f t="shared" si="18"/>
        <v>784.96000000000004</v>
      </c>
      <c r="AQ49" s="57">
        <f t="shared" si="19"/>
        <v>201.24000000000001</v>
      </c>
      <c r="AR49" s="57">
        <f t="shared" si="20"/>
        <v>49.060000000000002</v>
      </c>
      <c r="AS49" s="57">
        <f t="shared" si="21"/>
        <v>561</v>
      </c>
    </row>
    <row r="50" spans="1:45" s="57" customFormat="1" ht="16.15" customHeight="1">
      <c r="A50" s="57">
        <v>42</v>
      </c>
      <c r="B50" s="58" t="s">
        <v>252</v>
      </c>
      <c r="C50" s="58" t="s">
        <v>253</v>
      </c>
      <c r="D50" s="58">
        <v>202606</v>
      </c>
      <c r="E50" s="57">
        <v>44197</v>
      </c>
      <c r="F50" s="58"/>
      <c r="G50" s="57">
        <v>595</v>
      </c>
      <c r="H50" s="58">
        <v>5899</v>
      </c>
      <c r="I50" s="58">
        <v>6149</v>
      </c>
      <c r="J50" s="58">
        <f t="shared" si="60"/>
        <v>943.84000000000003</v>
      </c>
      <c r="K50" s="58">
        <f>ROUND($H50*8.5%,2)</f>
        <v>501.42000000000002</v>
      </c>
      <c r="L50" s="58">
        <f>ROUND($H50*0.5%,2)</f>
        <v>29.5</v>
      </c>
      <c r="M50" s="58">
        <f>ROUND($H50*0.6%,2)</f>
        <v>35.390000000000001</v>
      </c>
      <c r="N50" s="58"/>
      <c r="O50" s="58">
        <f>ROUND(H50*1.5%,2)</f>
        <v>88.489999999999995</v>
      </c>
      <c r="P50" s="58">
        <f t="shared" si="63"/>
        <v>88.489999999999995</v>
      </c>
      <c r="Q50" s="58"/>
      <c r="R50" s="58"/>
      <c r="S50" s="58">
        <f>ROUND(I50*5%,0)</f>
        <v>307</v>
      </c>
      <c r="T50" s="57">
        <f>ROUND(SUM(J50:S50),2)</f>
        <v>1994.1300000000001</v>
      </c>
      <c r="U50" s="58">
        <f>ROUND($H50*8%,2)</f>
        <v>471.92000000000002</v>
      </c>
      <c r="V50" s="58">
        <f t="shared" si="61"/>
        <v>117.98</v>
      </c>
      <c r="W50" s="58">
        <f>ROUND($H50*0.5%,2)</f>
        <v>29.5</v>
      </c>
      <c r="X50" s="58"/>
      <c r="Y50" s="58"/>
      <c r="Z50" s="58">
        <v>5</v>
      </c>
      <c r="AA50" s="58">
        <f t="shared" si="62"/>
        <v>307</v>
      </c>
      <c r="AB50" s="58">
        <f>ROUND(SUM(U50:AA50),2)</f>
        <v>931.39999999999998</v>
      </c>
      <c r="AC50" s="58">
        <f>VLOOKUP(AM:AM,工资明细!E:AP,38,0)</f>
        <v>5133.9300000000003</v>
      </c>
      <c r="AD50" s="57">
        <f>VLOOKUP(AM:AM,工资明细!E:AH,30,0)</f>
        <v>5133.9300000000003</v>
      </c>
      <c r="AH50" s="57">
        <f t="shared" si="14"/>
        <v>8654.4599999999991</v>
      </c>
      <c r="AI50" s="59">
        <f t="shared" si="15"/>
        <v>68.040000000000006</v>
      </c>
      <c r="AJ50" s="59">
        <f t="shared" si="16"/>
        <v>523.35000000000002</v>
      </c>
      <c r="AK50" s="59">
        <f t="shared" si="17"/>
        <v>9245.8500000000004</v>
      </c>
      <c r="AL50" s="63"/>
      <c r="AM50" s="57" t="s">
        <v>254</v>
      </c>
      <c r="AN50" s="57" t="s">
        <v>107</v>
      </c>
      <c r="AO50" s="57" t="s">
        <v>227</v>
      </c>
      <c r="AP50" s="57">
        <f t="shared" si="18"/>
        <v>471.92000000000002</v>
      </c>
      <c r="AQ50" s="57">
        <f t="shared" si="19"/>
        <v>122.98</v>
      </c>
      <c r="AR50" s="57">
        <f t="shared" si="20"/>
        <v>29.5</v>
      </c>
      <c r="AS50" s="57">
        <f t="shared" si="21"/>
        <v>307</v>
      </c>
    </row>
    <row r="51" spans="1:45" s="57" customFormat="1" ht="16.15" customHeight="1">
      <c r="A51" s="57">
        <v>43</v>
      </c>
      <c r="B51" s="58" t="s">
        <v>255</v>
      </c>
      <c r="C51" s="58" t="s">
        <v>256</v>
      </c>
      <c r="D51" s="58">
        <v>202606</v>
      </c>
      <c r="E51" s="57">
        <v>44197</v>
      </c>
      <c r="F51" s="58"/>
      <c r="G51" s="57">
        <v>595</v>
      </c>
      <c r="H51" s="58">
        <v>5963</v>
      </c>
      <c r="I51" s="58">
        <v>7610</v>
      </c>
      <c r="J51" s="58">
        <f t="shared" si="60"/>
        <v>954.08000000000004</v>
      </c>
      <c r="K51" s="58">
        <f>ROUND($H51*8.5%,2)</f>
        <v>506.86000000000001</v>
      </c>
      <c r="L51" s="58">
        <f>ROUND($H51*0.5%,2)</f>
        <v>29.82</v>
      </c>
      <c r="M51" s="58">
        <f>ROUND($H51*0.6%,2)</f>
        <v>35.780000000000001</v>
      </c>
      <c r="N51" s="58"/>
      <c r="O51" s="58">
        <f>ROUND(H51*1.5%,2)</f>
        <v>89.450000000000003</v>
      </c>
      <c r="P51" s="58">
        <f t="shared" si="63"/>
        <v>89.450000000000003</v>
      </c>
      <c r="Q51" s="58"/>
      <c r="R51" s="58"/>
      <c r="S51" s="58">
        <f>ROUND(I51*5%,0)</f>
        <v>381</v>
      </c>
      <c r="T51" s="57">
        <f>ROUND(SUM(J51:S51),2)</f>
        <v>2086.4400000000001</v>
      </c>
      <c r="U51" s="58">
        <f>ROUND($H51*8%,2)</f>
        <v>477.04000000000002</v>
      </c>
      <c r="V51" s="58">
        <f t="shared" si="61"/>
        <v>119.26000000000001</v>
      </c>
      <c r="W51" s="58">
        <f>ROUND($H51*0.5%,2)</f>
        <v>29.82</v>
      </c>
      <c r="X51" s="58"/>
      <c r="Y51" s="58"/>
      <c r="Z51" s="58">
        <v>5</v>
      </c>
      <c r="AA51" s="58">
        <f t="shared" si="62"/>
        <v>381</v>
      </c>
      <c r="AB51" s="58">
        <f>ROUND(SUM(U51:AA51),2)</f>
        <v>1012.12</v>
      </c>
      <c r="AC51" s="58">
        <f>VLOOKUP(AM:AM,工资明细!E:AP,38,0)</f>
        <v>4070.79</v>
      </c>
      <c r="AD51" s="57">
        <f>VLOOKUP(AM:AM,工资明细!E:AH,30,0)</f>
        <v>4070.79</v>
      </c>
      <c r="AH51" s="57">
        <f t="shared" si="14"/>
        <v>7764.3500000000004</v>
      </c>
      <c r="AI51" s="59">
        <f t="shared" si="15"/>
        <v>61.039999999999999</v>
      </c>
      <c r="AJ51" s="59">
        <f t="shared" si="16"/>
        <v>469.51999999999998</v>
      </c>
      <c r="AK51" s="59">
        <f t="shared" si="17"/>
        <v>8294.9099999999999</v>
      </c>
      <c r="AL51" s="63"/>
      <c r="AM51" s="57" t="s">
        <v>257</v>
      </c>
      <c r="AN51" s="57" t="s">
        <v>258</v>
      </c>
      <c r="AO51" s="57" t="s">
        <v>227</v>
      </c>
      <c r="AP51" s="57">
        <f t="shared" si="18"/>
        <v>477.04000000000002</v>
      </c>
      <c r="AQ51" s="57">
        <f t="shared" si="19"/>
        <v>124.26000000000001</v>
      </c>
      <c r="AR51" s="57">
        <f t="shared" si="20"/>
        <v>29.82</v>
      </c>
      <c r="AS51" s="57">
        <f t="shared" si="21"/>
        <v>381</v>
      </c>
    </row>
    <row r="52" spans="1:45" s="57" customFormat="1" ht="16.15" customHeight="1">
      <c r="A52" s="57">
        <v>44</v>
      </c>
      <c r="B52" s="58" t="s">
        <v>259</v>
      </c>
      <c r="C52" s="58" t="s">
        <v>260</v>
      </c>
      <c r="D52" s="58">
        <v>202606</v>
      </c>
      <c r="E52" s="57">
        <v>44262</v>
      </c>
      <c r="F52" s="58"/>
      <c r="G52" s="57">
        <v>595</v>
      </c>
      <c r="H52" s="58">
        <v>7776.49</v>
      </c>
      <c r="I52" s="58">
        <v>7602</v>
      </c>
      <c r="J52" s="58">
        <f t="shared" si="60"/>
        <v>1244.24</v>
      </c>
      <c r="K52" s="58">
        <f>ROUND($H52*9%,2)</f>
        <v>699.88</v>
      </c>
      <c r="L52" s="58">
        <f>ROUND(H52*0.5%,2)</f>
        <v>38.880000000000003</v>
      </c>
      <c r="M52" s="58">
        <f>ROUND(H52*0.9%,2)</f>
        <v>69.989999999999995</v>
      </c>
      <c r="N52" s="58"/>
      <c r="O52" s="58">
        <f>ROUND(H52*0.2%,2)</f>
        <v>15.550000000000001</v>
      </c>
      <c r="P52" s="58"/>
      <c r="Q52" s="58"/>
      <c r="R52" s="58"/>
      <c r="S52" s="58">
        <f>ROUND(I52*7%,2)</f>
        <v>532.13999999999999</v>
      </c>
      <c r="T52" s="57">
        <f t="shared" si="64" ref="T52:T66">ROUND(SUM(J52:S52),2)</f>
        <v>2600.6799999999998</v>
      </c>
      <c r="U52" s="58">
        <f t="shared" si="65" ref="U52:U56">ROUND(H52*8%,2)</f>
        <v>622.12</v>
      </c>
      <c r="V52" s="58">
        <f t="shared" si="61"/>
        <v>155.53</v>
      </c>
      <c r="W52" s="58">
        <f>ROUND(H52*0.5%,2)</f>
        <v>38.880000000000003</v>
      </c>
      <c r="X52" s="58"/>
      <c r="Y52" s="58"/>
      <c r="Z52" s="58">
        <f>ROUND(H52*0.1%,2)</f>
        <v>7.7800000000000002</v>
      </c>
      <c r="AA52" s="58">
        <f t="shared" si="62"/>
        <v>532.13999999999999</v>
      </c>
      <c r="AB52" s="57">
        <f t="shared" si="66" ref="AB52:AB64">ROUND(SUM(U52:AA52),2)</f>
        <v>1356.45</v>
      </c>
      <c r="AC52" s="58">
        <f>VLOOKUP(AM:AM,工资明细!E:AP,38,0)</f>
        <v>6152.75</v>
      </c>
      <c r="AD52" s="57">
        <f>VLOOKUP(AM:AM,工资明细!E:AH,30,0)</f>
        <v>6152.7499999999991</v>
      </c>
      <c r="AH52" s="57">
        <f t="shared" si="14"/>
        <v>10704.879999999999</v>
      </c>
      <c r="AI52" s="59">
        <f t="shared" si="15"/>
        <v>84.150000000000006</v>
      </c>
      <c r="AJ52" s="59">
        <f t="shared" si="16"/>
        <v>647.34000000000003</v>
      </c>
      <c r="AK52" s="59">
        <f t="shared" si="17"/>
        <v>11436.370000000001</v>
      </c>
      <c r="AL52" s="60"/>
      <c r="AM52" s="57" t="s">
        <v>261</v>
      </c>
      <c r="AN52" s="57" t="s">
        <v>262</v>
      </c>
      <c r="AO52" s="57" t="s">
        <v>209</v>
      </c>
      <c r="AP52" s="57">
        <f t="shared" si="18"/>
        <v>622.12</v>
      </c>
      <c r="AQ52" s="57">
        <f t="shared" si="19"/>
        <v>163.31</v>
      </c>
      <c r="AR52" s="57">
        <f t="shared" si="20"/>
        <v>38.880000000000003</v>
      </c>
      <c r="AS52" s="57">
        <f t="shared" si="21"/>
        <v>532.13999999999999</v>
      </c>
    </row>
    <row r="53" spans="1:45" s="57" customFormat="1" ht="16.15" customHeight="1">
      <c r="A53" s="57">
        <v>45</v>
      </c>
      <c r="B53" s="58" t="s">
        <v>263</v>
      </c>
      <c r="C53" s="58" t="s">
        <v>264</v>
      </c>
      <c r="D53" s="58">
        <v>202606</v>
      </c>
      <c r="E53" s="57">
        <v>44333</v>
      </c>
      <c r="F53" s="58"/>
      <c r="G53" s="57">
        <v>595</v>
      </c>
      <c r="H53" s="58">
        <v>17696.40</v>
      </c>
      <c r="I53" s="58">
        <v>17696.40</v>
      </c>
      <c r="J53" s="58">
        <f t="shared" si="60"/>
        <v>2831.4200000000001</v>
      </c>
      <c r="K53" s="58">
        <f>ROUNDDOWN(H53*9%,2)</f>
        <v>1592.6700000000001</v>
      </c>
      <c r="L53" s="58">
        <f>ROUND(H53*0.5%,2)</f>
        <v>88.480000000000004</v>
      </c>
      <c r="M53" s="58">
        <f>ROUND(H53*0.32%,2)</f>
        <v>56.630000000000003</v>
      </c>
      <c r="N53" s="58"/>
      <c r="O53" s="58"/>
      <c r="P53" s="58">
        <f>ROUND(H53*(1.5%*0.9),2)</f>
        <v>238.90000000000001</v>
      </c>
      <c r="Q53" s="58"/>
      <c r="R53" s="58"/>
      <c r="S53" s="58">
        <f>ROUND(I53*7%,0)</f>
        <v>1239</v>
      </c>
      <c r="T53" s="57">
        <f t="shared" si="64"/>
        <v>6047.1000000000004</v>
      </c>
      <c r="U53" s="58">
        <f t="shared" si="65"/>
        <v>1415.71</v>
      </c>
      <c r="V53" s="58">
        <f>ROUND(H53*2%,2)</f>
        <v>353.93000000000001</v>
      </c>
      <c r="W53" s="58">
        <f>ROUND(H53*0.5%,2)</f>
        <v>88.480000000000004</v>
      </c>
      <c r="X53" s="58"/>
      <c r="Y53" s="58"/>
      <c r="Z53" s="58"/>
      <c r="AA53" s="58">
        <f>ROUND(I53*7%,0)</f>
        <v>1239</v>
      </c>
      <c r="AB53" s="58">
        <f t="shared" si="66"/>
        <v>3097.1199999999999</v>
      </c>
      <c r="AC53" s="58">
        <f>VLOOKUP(AM:AM,工资明细!E:AP,38,0)</f>
        <v>5052.8800000000001</v>
      </c>
      <c r="AD53" s="57">
        <f>VLOOKUP(AM:AM,工资明细!E:AH,30,0)</f>
        <v>5402.8800000000001</v>
      </c>
      <c r="AH53" s="57">
        <f t="shared" si="14"/>
        <v>15142.1</v>
      </c>
      <c r="AI53" s="59">
        <f t="shared" si="15"/>
        <v>119.04000000000001</v>
      </c>
      <c r="AJ53" s="59">
        <f t="shared" si="16"/>
        <v>915.66999999999996</v>
      </c>
      <c r="AK53" s="59">
        <f t="shared" si="17"/>
        <v>16176.809999999999</v>
      </c>
      <c r="AL53" s="60"/>
      <c r="AM53" s="57" t="s">
        <v>265</v>
      </c>
      <c r="AN53" s="57" t="s">
        <v>50</v>
      </c>
      <c r="AO53" s="57" t="s">
        <v>209</v>
      </c>
      <c r="AP53" s="57">
        <f t="shared" si="18"/>
        <v>1415.71</v>
      </c>
      <c r="AQ53" s="57">
        <f t="shared" si="19"/>
        <v>353.93000000000001</v>
      </c>
      <c r="AR53" s="57">
        <f t="shared" si="20"/>
        <v>88.480000000000004</v>
      </c>
      <c r="AS53" s="57">
        <f t="shared" si="21"/>
        <v>1239</v>
      </c>
    </row>
    <row r="54" spans="1:45" s="57" customFormat="1" ht="16.15" customHeight="1">
      <c r="A54" s="57">
        <v>46</v>
      </c>
      <c r="B54" s="58" t="s">
        <v>266</v>
      </c>
      <c r="C54" s="58" t="s">
        <v>267</v>
      </c>
      <c r="D54" s="58">
        <v>202606</v>
      </c>
      <c r="E54" s="57">
        <v>44351</v>
      </c>
      <c r="F54" s="58"/>
      <c r="G54" s="57">
        <v>595</v>
      </c>
      <c r="H54" s="58">
        <v>9418.60</v>
      </c>
      <c r="I54" s="58">
        <v>9418.60</v>
      </c>
      <c r="J54" s="58">
        <f t="shared" si="67" ref="J54:J60">ROUND($H54*16%,2)</f>
        <v>1506.98</v>
      </c>
      <c r="K54" s="58">
        <f>ROUND(H54*9%,2)</f>
        <v>847.66999999999996</v>
      </c>
      <c r="L54" s="58">
        <f t="shared" si="68" ref="L54:L59">ROUND(H54*0.5%,2)</f>
        <v>47.090000000000003</v>
      </c>
      <c r="M54" s="58">
        <f>ROUND(H54*0.32%,2)</f>
        <v>30.140000000000001</v>
      </c>
      <c r="N54" s="58"/>
      <c r="O54" s="58"/>
      <c r="P54" s="58">
        <f>ROUND(H54*(1.5%*0.9),2)</f>
        <v>127.15000000000001</v>
      </c>
      <c r="Q54" s="58"/>
      <c r="R54" s="58"/>
      <c r="S54" s="58">
        <f>ROUND(I54*7%,0)</f>
        <v>659</v>
      </c>
      <c r="T54" s="57">
        <f t="shared" si="64"/>
        <v>3218.0300000000002</v>
      </c>
      <c r="U54" s="58">
        <f t="shared" si="65"/>
        <v>753.49000000000001</v>
      </c>
      <c r="V54" s="58">
        <f>ROUND(H54*2%,2)</f>
        <v>188.37</v>
      </c>
      <c r="W54" s="58">
        <f>ROUND(H54*0.5%,2)</f>
        <v>47.090000000000003</v>
      </c>
      <c r="X54" s="58"/>
      <c r="Y54" s="58"/>
      <c r="Z54" s="58"/>
      <c r="AA54" s="58">
        <f>ROUND(I54*7%,0)</f>
        <v>659</v>
      </c>
      <c r="AB54" s="58">
        <f t="shared" si="66"/>
        <v>1647.95</v>
      </c>
      <c r="AC54" s="58">
        <f>VLOOKUP(AM:AM,工资明细!E:AP,38,0)</f>
        <v>4094.8600000000001</v>
      </c>
      <c r="AD54" s="57">
        <f>VLOOKUP(AM:AM,工资明细!E:AH,30,0)</f>
        <v>4094.8600000000006</v>
      </c>
      <c r="AH54" s="57">
        <f t="shared" si="14"/>
        <v>9555.8400000000001</v>
      </c>
      <c r="AI54" s="59">
        <f t="shared" si="15"/>
        <v>75.120000000000005</v>
      </c>
      <c r="AJ54" s="59">
        <f t="shared" si="16"/>
        <v>577.86000000000001</v>
      </c>
      <c r="AK54" s="59">
        <f t="shared" si="17"/>
        <v>10208.82</v>
      </c>
      <c r="AL54" s="60"/>
      <c r="AM54" s="57" t="s">
        <v>268</v>
      </c>
      <c r="AN54" s="57" t="s">
        <v>50</v>
      </c>
      <c r="AO54" s="57" t="s">
        <v>209</v>
      </c>
      <c r="AP54" s="57">
        <f t="shared" si="18"/>
        <v>753.49000000000001</v>
      </c>
      <c r="AQ54" s="57">
        <f t="shared" si="19"/>
        <v>188.37</v>
      </c>
      <c r="AR54" s="57">
        <f t="shared" si="20"/>
        <v>47.090000000000003</v>
      </c>
      <c r="AS54" s="57">
        <f t="shared" si="21"/>
        <v>659</v>
      </c>
    </row>
    <row r="55" spans="1:45" s="57" customFormat="1" ht="16.15" customHeight="1">
      <c r="A55" s="57">
        <v>47</v>
      </c>
      <c r="B55" s="58" t="s">
        <v>269</v>
      </c>
      <c r="C55" s="58" t="s">
        <v>270</v>
      </c>
      <c r="D55" s="58">
        <v>202606</v>
      </c>
      <c r="E55" s="57">
        <v>44350</v>
      </c>
      <c r="F55" s="58"/>
      <c r="G55" s="57">
        <v>595</v>
      </c>
      <c r="H55" s="58">
        <v>9714.90</v>
      </c>
      <c r="I55" s="58">
        <v>9714.90</v>
      </c>
      <c r="J55" s="58">
        <f t="shared" si="67"/>
        <v>1554.3800000000001</v>
      </c>
      <c r="K55" s="58">
        <f>ROUND(H55*9%,2)</f>
        <v>874.34000000000003</v>
      </c>
      <c r="L55" s="58">
        <f t="shared" si="68"/>
        <v>48.57</v>
      </c>
      <c r="M55" s="58">
        <f>ROUND(H55*0.32%,2)</f>
        <v>31.09</v>
      </c>
      <c r="N55" s="58"/>
      <c r="O55" s="58"/>
      <c r="P55" s="58">
        <f>ROUND(H55*(1.5%*0.9),2)</f>
        <v>131.15000000000001</v>
      </c>
      <c r="Q55" s="58"/>
      <c r="R55" s="58"/>
      <c r="S55" s="58">
        <f>ROUND(I55*7%,0)</f>
        <v>680</v>
      </c>
      <c r="T55" s="57">
        <f t="shared" si="64"/>
        <v>3319.5300000000002</v>
      </c>
      <c r="U55" s="58">
        <f t="shared" si="65"/>
        <v>777.19000000000005</v>
      </c>
      <c r="V55" s="58">
        <f>ROUND(H55*2%,2)</f>
        <v>194.30000000000001</v>
      </c>
      <c r="W55" s="58">
        <f>ROUND(H55*0.5%,2)</f>
        <v>48.57</v>
      </c>
      <c r="X55" s="58"/>
      <c r="Y55" s="58"/>
      <c r="Z55" s="58"/>
      <c r="AA55" s="58">
        <f>ROUND(I55*7%,0)</f>
        <v>680</v>
      </c>
      <c r="AB55" s="58">
        <f t="shared" si="66"/>
        <v>1700.0599999999999</v>
      </c>
      <c r="AC55" s="58">
        <f>VLOOKUP(AM:AM,工资明细!E:AP,38,0)</f>
        <v>5359.0500000000002</v>
      </c>
      <c r="AD55" s="57">
        <f>VLOOKUP(AM:AM,工资明细!E:AH,30,0)</f>
        <v>5359.0500000000002</v>
      </c>
      <c r="AH55" s="57">
        <f t="shared" si="14"/>
        <v>10973.639999999999</v>
      </c>
      <c r="AI55" s="59">
        <f t="shared" si="15"/>
        <v>86.269999999999996</v>
      </c>
      <c r="AJ55" s="59">
        <f t="shared" si="16"/>
        <v>663.59000000000003</v>
      </c>
      <c r="AK55" s="59">
        <f t="shared" si="17"/>
        <v>11723.5</v>
      </c>
      <c r="AL55" s="60"/>
      <c r="AM55" s="57" t="s">
        <v>271</v>
      </c>
      <c r="AN55" s="57" t="s">
        <v>50</v>
      </c>
      <c r="AO55" s="57" t="s">
        <v>209</v>
      </c>
      <c r="AP55" s="57">
        <f t="shared" si="18"/>
        <v>777.19000000000005</v>
      </c>
      <c r="AQ55" s="57">
        <f t="shared" si="19"/>
        <v>194.30000000000001</v>
      </c>
      <c r="AR55" s="57">
        <f t="shared" si="20"/>
        <v>48.57</v>
      </c>
      <c r="AS55" s="57">
        <f t="shared" si="21"/>
        <v>680</v>
      </c>
    </row>
    <row r="56" spans="1:45" s="57" customFormat="1" ht="16.15" customHeight="1">
      <c r="A56" s="57">
        <v>48</v>
      </c>
      <c r="B56" s="58" t="s">
        <v>272</v>
      </c>
      <c r="C56" s="58" t="s">
        <v>175</v>
      </c>
      <c r="D56" s="58">
        <v>202606</v>
      </c>
      <c r="E56" s="57">
        <v>44378</v>
      </c>
      <c r="F56" s="58"/>
      <c r="G56" s="57">
        <v>595</v>
      </c>
      <c r="H56" s="58">
        <v>7812.20</v>
      </c>
      <c r="I56" s="58">
        <v>7812.20</v>
      </c>
      <c r="J56" s="58">
        <f t="shared" si="67"/>
        <v>1249.95</v>
      </c>
      <c r="K56" s="58">
        <f>ROUND(H56*9%,2)</f>
        <v>703.10000000000002</v>
      </c>
      <c r="L56" s="58">
        <f t="shared" si="68"/>
        <v>39.060000000000002</v>
      </c>
      <c r="M56" s="58">
        <f>ROUND(H56*0.32%,2)</f>
        <v>25</v>
      </c>
      <c r="N56" s="58"/>
      <c r="O56" s="58"/>
      <c r="P56" s="58">
        <f>ROUND(H56*(1.5%*0.9),2)</f>
        <v>105.45999999999999</v>
      </c>
      <c r="Q56" s="58"/>
      <c r="R56" s="58"/>
      <c r="S56" s="58">
        <f>ROUND(I56*7%,0)</f>
        <v>547</v>
      </c>
      <c r="T56" s="57">
        <f t="shared" si="64"/>
        <v>2669.5700000000002</v>
      </c>
      <c r="U56" s="58">
        <f t="shared" si="65"/>
        <v>624.98000000000002</v>
      </c>
      <c r="V56" s="58">
        <f>ROUND(H56*2%,2)</f>
        <v>156.24000000000001</v>
      </c>
      <c r="W56" s="58">
        <f>ROUND(H56*0.5%,2)</f>
        <v>39.060000000000002</v>
      </c>
      <c r="X56" s="58"/>
      <c r="Y56" s="58"/>
      <c r="Z56" s="58"/>
      <c r="AA56" s="58">
        <f>ROUND(I56*7%,0)</f>
        <v>547</v>
      </c>
      <c r="AB56" s="58">
        <f t="shared" si="66"/>
        <v>1367.28</v>
      </c>
      <c r="AC56" s="58">
        <f>VLOOKUP(AM:AM,工资明细!E:AP,38,0)</f>
        <v>7103.0100000000002</v>
      </c>
      <c r="AD56" s="57">
        <f>VLOOKUP(AM:AM,工资明细!E:AH,30,0)</f>
        <v>7137.0299999999997</v>
      </c>
      <c r="AH56" s="57">
        <f t="shared" si="14"/>
        <v>11768.879999999999</v>
      </c>
      <c r="AI56" s="59">
        <f t="shared" si="15"/>
        <v>92.519999999999996</v>
      </c>
      <c r="AJ56" s="59">
        <f t="shared" si="16"/>
        <v>711.67999999999995</v>
      </c>
      <c r="AK56" s="59">
        <f t="shared" si="17"/>
        <v>12573.08</v>
      </c>
      <c r="AL56" s="60"/>
      <c r="AM56" s="57" t="s">
        <v>172</v>
      </c>
      <c r="AN56" s="57" t="s">
        <v>50</v>
      </c>
      <c r="AO56" s="57" t="s">
        <v>209</v>
      </c>
      <c r="AP56" s="57">
        <f t="shared" si="18"/>
        <v>624.98000000000002</v>
      </c>
      <c r="AQ56" s="57">
        <f t="shared" si="19"/>
        <v>156.24000000000001</v>
      </c>
      <c r="AR56" s="57">
        <f t="shared" si="20"/>
        <v>39.060000000000002</v>
      </c>
      <c r="AS56" s="57">
        <f t="shared" si="21"/>
        <v>547</v>
      </c>
    </row>
    <row r="57" spans="1:45" s="57" customFormat="1" ht="16.15" customHeight="1">
      <c r="A57" s="57">
        <v>49</v>
      </c>
      <c r="B57" s="58" t="s">
        <v>273</v>
      </c>
      <c r="C57" s="58" t="s">
        <v>176</v>
      </c>
      <c r="D57" s="58">
        <v>202606</v>
      </c>
      <c r="E57" s="57">
        <v>44383</v>
      </c>
      <c r="F57" s="58"/>
      <c r="G57" s="57">
        <v>595</v>
      </c>
      <c r="H57" s="58">
        <v>13599.14</v>
      </c>
      <c r="I57" s="58">
        <v>12462.84</v>
      </c>
      <c r="J57" s="58">
        <f t="shared" si="67"/>
        <v>2175.8600000000001</v>
      </c>
      <c r="K57" s="58">
        <f>ROUND($H57*9.5%,2)</f>
        <v>1291.9200000000001</v>
      </c>
      <c r="L57" s="58">
        <f t="shared" si="68"/>
        <v>68</v>
      </c>
      <c r="M57" s="58">
        <f>ROUND(H57*0.2%,2)</f>
        <v>27.199999999999999</v>
      </c>
      <c r="N57" s="58"/>
      <c r="O57" s="58"/>
      <c r="P57" s="58">
        <f t="shared" si="69" ref="P57:P58">ROUND(H57*1.5%,2)</f>
        <v>203.99000000000001</v>
      </c>
      <c r="Q57" s="58"/>
      <c r="R57" s="58"/>
      <c r="S57" s="58">
        <v>1496</v>
      </c>
      <c r="T57" s="57">
        <f>ROUND(SUM(J57:S57),2)</f>
        <v>5262.9700000000003</v>
      </c>
      <c r="U57" s="58">
        <f>ROUND($H57*8%,2)</f>
        <v>1087.9300000000001</v>
      </c>
      <c r="V57" s="58">
        <f>ROUND($H57*2%,2)</f>
        <v>271.98000000000002</v>
      </c>
      <c r="W57" s="58">
        <f>ROUND($H57*0.5%,2)</f>
        <v>68</v>
      </c>
      <c r="X57" s="58"/>
      <c r="Y57" s="58"/>
      <c r="Z57" s="58"/>
      <c r="AA57" s="58">
        <f>S57</f>
        <v>1496</v>
      </c>
      <c r="AB57" s="58">
        <f>ROUND(SUM(U57:AA57),2)</f>
        <v>2923.9099999999999</v>
      </c>
      <c r="AC57" s="58">
        <f>VLOOKUP(AM:AM,工资明细!E:AP,38,0)</f>
        <v>7902.3999999999996</v>
      </c>
      <c r="AD57" s="57">
        <f>VLOOKUP(AM:AM,工资明细!E:AH,30,0)</f>
        <v>8549.7700000000004</v>
      </c>
      <c r="AH57" s="57">
        <f t="shared" si="14"/>
        <v>17331.650000000001</v>
      </c>
      <c r="AI57" s="59">
        <f t="shared" si="15"/>
        <v>136.25</v>
      </c>
      <c r="AJ57" s="59">
        <f t="shared" si="16"/>
        <v>1048.0699999999999</v>
      </c>
      <c r="AK57" s="59">
        <f t="shared" si="17"/>
        <v>18515.970000000001</v>
      </c>
      <c r="AL57" s="60"/>
      <c r="AM57" s="57" t="s">
        <v>173</v>
      </c>
      <c r="AN57" s="57" t="s">
        <v>274</v>
      </c>
      <c r="AO57" s="57" t="s">
        <v>227</v>
      </c>
      <c r="AP57" s="57">
        <f t="shared" si="18"/>
        <v>1087.9300000000001</v>
      </c>
      <c r="AQ57" s="57">
        <f t="shared" si="19"/>
        <v>271.98000000000002</v>
      </c>
      <c r="AR57" s="57">
        <f t="shared" si="20"/>
        <v>68</v>
      </c>
      <c r="AS57" s="57">
        <f t="shared" si="21"/>
        <v>1496</v>
      </c>
    </row>
    <row r="58" spans="1:45" s="57" customFormat="1" ht="16.15" customHeight="1">
      <c r="A58" s="57">
        <v>50</v>
      </c>
      <c r="B58" s="58" t="s">
        <v>275</v>
      </c>
      <c r="C58" s="58" t="s">
        <v>177</v>
      </c>
      <c r="D58" s="58">
        <v>202606</v>
      </c>
      <c r="E58" s="57">
        <v>44383</v>
      </c>
      <c r="F58" s="58"/>
      <c r="G58" s="57">
        <v>595</v>
      </c>
      <c r="H58" s="58">
        <v>13849.46</v>
      </c>
      <c r="I58" s="58">
        <v>11488.18</v>
      </c>
      <c r="J58" s="58">
        <f t="shared" si="67"/>
        <v>2215.9099999999999</v>
      </c>
      <c r="K58" s="58">
        <f>ROUND($H58*9.5%,2)</f>
        <v>1315.7</v>
      </c>
      <c r="L58" s="58">
        <f t="shared" si="68"/>
        <v>69.25</v>
      </c>
      <c r="M58" s="58">
        <f>ROUND(H58*0.2%,2)</f>
        <v>27.699999999999999</v>
      </c>
      <c r="N58" s="58"/>
      <c r="O58" s="58"/>
      <c r="P58" s="58">
        <f t="shared" si="69"/>
        <v>207.74000000000001</v>
      </c>
      <c r="Q58" s="58"/>
      <c r="R58" s="58"/>
      <c r="S58" s="58">
        <v>1379</v>
      </c>
      <c r="T58" s="57">
        <f>ROUND(SUM(J58:S58),2)</f>
        <v>5215.3000000000002</v>
      </c>
      <c r="U58" s="58">
        <f>ROUND($H58*8%,2)</f>
        <v>1107.96</v>
      </c>
      <c r="V58" s="58">
        <f>ROUND($H58*2%,2)</f>
        <v>276.99000000000001</v>
      </c>
      <c r="W58" s="58">
        <f>ROUND($H58*0.5%,2)</f>
        <v>69.25</v>
      </c>
      <c r="X58" s="58"/>
      <c r="Y58" s="58"/>
      <c r="Z58" s="58"/>
      <c r="AA58" s="58">
        <f>S58</f>
        <v>1379</v>
      </c>
      <c r="AB58" s="58">
        <f>ROUND(SUM(U58:AA58),2)</f>
        <v>2833.1999999999998</v>
      </c>
      <c r="AC58" s="58">
        <f>VLOOKUP(AM:AM,工资明细!E:AP,38,0)</f>
        <v>5403.1999999999998</v>
      </c>
      <c r="AD58" s="57">
        <f>VLOOKUP(AM:AM,工资明细!E:AH,30,0)</f>
        <v>5698.1600000000008</v>
      </c>
      <c r="AH58" s="57">
        <f t="shared" si="14"/>
        <v>14341.66</v>
      </c>
      <c r="AI58" s="59">
        <f t="shared" si="15"/>
        <v>112.73999999999999</v>
      </c>
      <c r="AJ58" s="59">
        <f t="shared" si="16"/>
        <v>867.25999999999999</v>
      </c>
      <c r="AK58" s="59">
        <f t="shared" si="17"/>
        <v>15321.66</v>
      </c>
      <c r="AL58" s="60"/>
      <c r="AM58" s="57" t="s">
        <v>174</v>
      </c>
      <c r="AN58" s="57" t="s">
        <v>274</v>
      </c>
      <c r="AO58" s="57" t="s">
        <v>227</v>
      </c>
      <c r="AP58" s="57">
        <f t="shared" si="18"/>
        <v>1107.96</v>
      </c>
      <c r="AQ58" s="57">
        <f t="shared" si="19"/>
        <v>276.99000000000001</v>
      </c>
      <c r="AR58" s="57">
        <f t="shared" si="20"/>
        <v>69.25</v>
      </c>
      <c r="AS58" s="57">
        <f t="shared" si="21"/>
        <v>1379</v>
      </c>
    </row>
    <row r="59" spans="1:45" s="57" customFormat="1" ht="16.15" customHeight="1">
      <c r="A59" s="57">
        <v>51</v>
      </c>
      <c r="B59" s="58" t="s">
        <v>276</v>
      </c>
      <c r="C59" s="58" t="s">
        <v>178</v>
      </c>
      <c r="D59" s="58">
        <v>202606</v>
      </c>
      <c r="E59" s="57">
        <v>44397</v>
      </c>
      <c r="F59" s="58"/>
      <c r="G59" s="57">
        <v>595</v>
      </c>
      <c r="H59" s="58">
        <v>15630.40</v>
      </c>
      <c r="I59" s="58">
        <v>15630.40</v>
      </c>
      <c r="J59" s="58">
        <f t="shared" si="67"/>
        <v>2500.8600000000001</v>
      </c>
      <c r="K59" s="58">
        <f>ROUNDDOWN(H59*9%,2)</f>
        <v>1406.73</v>
      </c>
      <c r="L59" s="58">
        <f t="shared" si="68"/>
        <v>78.150000000000006</v>
      </c>
      <c r="M59" s="58">
        <f>ROUND(H59*0.32%,2)</f>
        <v>50.020000000000003</v>
      </c>
      <c r="N59" s="58"/>
      <c r="O59" s="58"/>
      <c r="P59" s="58">
        <f>ROUND(H59*(1.5%*0.9),2)</f>
        <v>211.00999999999999</v>
      </c>
      <c r="Q59" s="58"/>
      <c r="R59" s="58"/>
      <c r="S59" s="58">
        <f>ROUND(I59*7%,0)</f>
        <v>1094</v>
      </c>
      <c r="T59" s="57">
        <f t="shared" si="64"/>
        <v>5340.7700000000004</v>
      </c>
      <c r="U59" s="58">
        <f>ROUND(H59*8%,2)</f>
        <v>1250.4300000000001</v>
      </c>
      <c r="V59" s="58">
        <f>ROUND(H59*2%,2)</f>
        <v>312.61000000000001</v>
      </c>
      <c r="W59" s="58">
        <f>ROUND(H59*0.5%,2)</f>
        <v>78.150000000000006</v>
      </c>
      <c r="X59" s="58"/>
      <c r="Y59" s="58"/>
      <c r="Z59" s="58"/>
      <c r="AA59" s="58">
        <f>ROUND(I59*7%,0)</f>
        <v>1094</v>
      </c>
      <c r="AB59" s="58">
        <f t="shared" si="66"/>
        <v>2735.1900000000001</v>
      </c>
      <c r="AC59" s="58">
        <f>VLOOKUP(AM:AM,工资明细!E:AP,38,0)</f>
        <v>5585.5</v>
      </c>
      <c r="AD59" s="57">
        <f>VLOOKUP(AM:AM,工资明细!E:AH,30,0)</f>
        <v>5954.4700000000003</v>
      </c>
      <c r="AH59" s="57">
        <f t="shared" si="14"/>
        <v>14625.43</v>
      </c>
      <c r="AI59" s="59">
        <f t="shared" si="15"/>
        <v>114.98</v>
      </c>
      <c r="AJ59" s="59">
        <f t="shared" si="16"/>
        <v>884.41999999999996</v>
      </c>
      <c r="AK59" s="59">
        <f t="shared" si="17"/>
        <v>15624.83</v>
      </c>
      <c r="AL59" s="60"/>
      <c r="AM59" s="57" t="s">
        <v>277</v>
      </c>
      <c r="AN59" s="57" t="s">
        <v>50</v>
      </c>
      <c r="AO59" s="57" t="s">
        <v>209</v>
      </c>
      <c r="AP59" s="57">
        <f t="shared" si="18"/>
        <v>1250.4300000000001</v>
      </c>
      <c r="AQ59" s="57">
        <f t="shared" si="19"/>
        <v>312.61000000000001</v>
      </c>
      <c r="AR59" s="57">
        <f t="shared" si="20"/>
        <v>78.150000000000006</v>
      </c>
      <c r="AS59" s="57">
        <f t="shared" si="21"/>
        <v>1094</v>
      </c>
    </row>
    <row r="60" spans="1:45" s="57" customFormat="1" ht="16.15" customHeight="1">
      <c r="A60" s="57">
        <v>52</v>
      </c>
      <c r="B60" s="58" t="s">
        <v>182</v>
      </c>
      <c r="C60" s="57" t="s">
        <v>278</v>
      </c>
      <c r="D60" s="58">
        <v>202606</v>
      </c>
      <c r="E60" s="57">
        <v>44441</v>
      </c>
      <c r="F60" s="58"/>
      <c r="G60" s="57">
        <v>595</v>
      </c>
      <c r="H60" s="58">
        <v>8964.85</v>
      </c>
      <c r="I60" s="58">
        <v>8965</v>
      </c>
      <c r="J60" s="58">
        <f t="shared" si="67"/>
        <v>1434.3800000000001</v>
      </c>
      <c r="K60" s="58">
        <f>ROUND($H60*6.4%,2)</f>
        <v>573.75</v>
      </c>
      <c r="L60" s="58">
        <f t="shared" si="70" ref="L60:L64">ROUND(H60*0.5%,2)</f>
        <v>44.82</v>
      </c>
      <c r="M60" s="58">
        <f>ROUND(H60*0.4%,2)</f>
        <v>35.859999999999999</v>
      </c>
      <c r="N60" s="58"/>
      <c r="O60" s="58"/>
      <c r="P60" s="58">
        <f t="shared" si="71" ref="P60">ROUND(H60*1.5%,2)</f>
        <v>134.47</v>
      </c>
      <c r="Q60" s="58"/>
      <c r="R60" s="58"/>
      <c r="S60" s="58">
        <f>ROUND(I60*5%,0)</f>
        <v>448</v>
      </c>
      <c r="T60" s="57">
        <f>ROUND(SUM(J60:S60),2)</f>
        <v>2671.2800000000002</v>
      </c>
      <c r="U60" s="58">
        <f t="shared" si="72" ref="U60:U64">ROUND(H60*8%,2)</f>
        <v>717.19000000000005</v>
      </c>
      <c r="V60" s="58">
        <f t="shared" si="73" ref="V60:V64">ROUND(H60*2%,2)</f>
        <v>179.30000000000001</v>
      </c>
      <c r="W60" s="58">
        <f t="shared" si="74" ref="W60:W64">ROUND(H60*0.5%,2)</f>
        <v>44.82</v>
      </c>
      <c r="X60" s="58"/>
      <c r="Y60" s="58"/>
      <c r="Z60" s="58"/>
      <c r="AA60" s="58">
        <f>S60</f>
        <v>448</v>
      </c>
      <c r="AB60" s="58">
        <f>ROUND(SUM(U60:AA60),2)</f>
        <v>1389.3099999999999</v>
      </c>
      <c r="AC60" s="58">
        <f>VLOOKUP(AM:AM,工资明细!E:AP,38,0)</f>
        <v>7228.4799999999996</v>
      </c>
      <c r="AD60" s="57">
        <f>VLOOKUP(AM:AM,工资明细!E:AH,30,0)</f>
        <v>7340.3699999999999</v>
      </c>
      <c r="AH60" s="57">
        <f t="shared" si="14"/>
        <v>11995.959999999999</v>
      </c>
      <c r="AI60" s="59">
        <f t="shared" si="15"/>
        <v>94.299999999999997</v>
      </c>
      <c r="AJ60" s="59">
        <f t="shared" si="16"/>
        <v>725.41999999999996</v>
      </c>
      <c r="AK60" s="59">
        <f t="shared" si="17"/>
        <v>12815.68</v>
      </c>
      <c r="AL60" s="60"/>
      <c r="AM60" s="61" t="s">
        <v>279</v>
      </c>
      <c r="AN60" s="57" t="s">
        <v>280</v>
      </c>
      <c r="AO60" s="57" t="s">
        <v>281</v>
      </c>
      <c r="AP60" s="57">
        <f t="shared" si="18"/>
        <v>717.19000000000005</v>
      </c>
      <c r="AQ60" s="57">
        <f t="shared" si="19"/>
        <v>179.30000000000001</v>
      </c>
      <c r="AR60" s="57">
        <f t="shared" si="20"/>
        <v>44.82</v>
      </c>
      <c r="AS60" s="57">
        <f t="shared" si="21"/>
        <v>448</v>
      </c>
    </row>
    <row r="61" spans="1:45" s="57" customFormat="1" ht="16.15" customHeight="1">
      <c r="A61" s="57">
        <v>53</v>
      </c>
      <c r="B61" s="58" t="s">
        <v>181</v>
      </c>
      <c r="C61" s="57" t="s">
        <v>282</v>
      </c>
      <c r="D61" s="58">
        <v>202606</v>
      </c>
      <c r="E61" s="57">
        <v>44453</v>
      </c>
      <c r="F61" s="58"/>
      <c r="G61" s="57">
        <v>595</v>
      </c>
      <c r="H61" s="58">
        <v>14729.30</v>
      </c>
      <c r="I61" s="58">
        <v>14729.30</v>
      </c>
      <c r="J61" s="58">
        <f>ROUND($H61*16%,2)</f>
        <v>2356.6900000000001</v>
      </c>
      <c r="K61" s="58">
        <f>ROUND(H61*9%,2)</f>
        <v>1325.6400000000001</v>
      </c>
      <c r="L61" s="58">
        <f t="shared" si="70"/>
        <v>73.650000000000006</v>
      </c>
      <c r="M61" s="58">
        <f t="shared" si="75" ref="M61:M64">ROUND(H61*0.32%,2)</f>
        <v>47.130000000000003</v>
      </c>
      <c r="N61" s="58"/>
      <c r="O61" s="58"/>
      <c r="P61" s="58">
        <f>ROUND(H61*(1.5%*0.9),2)</f>
        <v>198.84999999999999</v>
      </c>
      <c r="Q61" s="58"/>
      <c r="R61" s="58"/>
      <c r="S61" s="58">
        <f>ROUND(I61*7%,0)</f>
        <v>1031</v>
      </c>
      <c r="T61" s="57">
        <f t="shared" si="64"/>
        <v>5032.96</v>
      </c>
      <c r="U61" s="58">
        <f t="shared" si="72"/>
        <v>1178.3399999999999</v>
      </c>
      <c r="V61" s="58">
        <f t="shared" si="73"/>
        <v>294.58999999999997</v>
      </c>
      <c r="W61" s="58">
        <f t="shared" si="74"/>
        <v>73.650000000000006</v>
      </c>
      <c r="X61" s="58"/>
      <c r="Y61" s="58"/>
      <c r="Z61" s="58"/>
      <c r="AA61" s="58">
        <f>ROUND(I61*7%,0)</f>
        <v>1031</v>
      </c>
      <c r="AB61" s="58">
        <f t="shared" si="66"/>
        <v>2577.5799999999999</v>
      </c>
      <c r="AC61" s="58">
        <f>VLOOKUP(AM:AM,工资明细!E:AP,38,0)</f>
        <v>6822.3400000000001</v>
      </c>
      <c r="AD61" s="57">
        <f>VLOOKUP(AM:AM,工资明细!E:AH,30,0)</f>
        <v>6822.3400000000001</v>
      </c>
      <c r="AH61" s="57">
        <f t="shared" si="14"/>
        <v>15027.879999999999</v>
      </c>
      <c r="AI61" s="59">
        <f t="shared" si="15"/>
        <v>118.14</v>
      </c>
      <c r="AJ61" s="59">
        <f t="shared" si="16"/>
        <v>908.75999999999999</v>
      </c>
      <c r="AK61" s="59">
        <f t="shared" si="17"/>
        <v>16054.780000000001</v>
      </c>
      <c r="AL61" s="60"/>
      <c r="AM61" s="61" t="s">
        <v>283</v>
      </c>
      <c r="AN61" s="57" t="s">
        <v>50</v>
      </c>
      <c r="AO61" s="57" t="s">
        <v>209</v>
      </c>
      <c r="AP61" s="57">
        <f t="shared" si="18"/>
        <v>1178.3399999999999</v>
      </c>
      <c r="AQ61" s="57">
        <f t="shared" si="19"/>
        <v>294.58999999999997</v>
      </c>
      <c r="AR61" s="57">
        <f t="shared" si="20"/>
        <v>73.650000000000006</v>
      </c>
      <c r="AS61" s="57">
        <f t="shared" si="21"/>
        <v>1031</v>
      </c>
    </row>
    <row r="62" spans="1:45" s="57" customFormat="1" ht="16.15" customHeight="1">
      <c r="A62" s="57">
        <v>54</v>
      </c>
      <c r="B62" s="58" t="s">
        <v>284</v>
      </c>
      <c r="C62" s="57" t="s">
        <v>285</v>
      </c>
      <c r="D62" s="58">
        <v>202606</v>
      </c>
      <c r="E62" s="57">
        <v>44501</v>
      </c>
      <c r="F62" s="58"/>
      <c r="G62" s="57">
        <v>595</v>
      </c>
      <c r="H62" s="58">
        <v>22320.50</v>
      </c>
      <c r="I62" s="58">
        <v>22320.50</v>
      </c>
      <c r="J62" s="58">
        <f>ROUND($H62*16%,2)</f>
        <v>3571.2800000000002</v>
      </c>
      <c r="K62" s="58">
        <f>ROUNDDOWN(H62*9%,2)</f>
        <v>2008.8399999999999</v>
      </c>
      <c r="L62" s="58">
        <f t="shared" si="70"/>
        <v>111.59999999999999</v>
      </c>
      <c r="M62" s="58">
        <f t="shared" si="75"/>
        <v>71.430000000000007</v>
      </c>
      <c r="N62" s="58"/>
      <c r="O62" s="58"/>
      <c r="P62" s="58">
        <f>ROUND(H62*(1.5%*0.9),2)</f>
        <v>301.32999999999998</v>
      </c>
      <c r="Q62" s="58"/>
      <c r="R62" s="58"/>
      <c r="S62" s="58">
        <f>ROUND(I62*7%,0)</f>
        <v>1562</v>
      </c>
      <c r="T62" s="57">
        <f t="shared" si="64"/>
        <v>7626.4799999999996</v>
      </c>
      <c r="U62" s="58">
        <f t="shared" si="72"/>
        <v>1785.6400000000001</v>
      </c>
      <c r="V62" s="58">
        <f t="shared" si="73"/>
        <v>446.41000000000003</v>
      </c>
      <c r="W62" s="58">
        <f t="shared" si="74"/>
        <v>111.59999999999999</v>
      </c>
      <c r="X62" s="58"/>
      <c r="Y62" s="58"/>
      <c r="Z62" s="58"/>
      <c r="AA62" s="58">
        <f>ROUND(I62*7%,0)</f>
        <v>1562</v>
      </c>
      <c r="AB62" s="58">
        <f t="shared" si="66"/>
        <v>3905.6500000000001</v>
      </c>
      <c r="AC62" s="58">
        <f>VLOOKUP(AM:AM,工资明细!E:AP,38,0)</f>
        <v>10723.51</v>
      </c>
      <c r="AD62" s="57">
        <f>VLOOKUP(AM:AM,工资明细!E:AH,30,0)</f>
        <v>11793.41</v>
      </c>
      <c r="AH62" s="57">
        <f t="shared" si="14"/>
        <v>23920.540000000001</v>
      </c>
      <c r="AI62" s="59">
        <f t="shared" si="15"/>
        <v>188.05000000000001</v>
      </c>
      <c r="AJ62" s="59">
        <f t="shared" si="16"/>
        <v>1446.52</v>
      </c>
      <c r="AK62" s="59">
        <f t="shared" si="17"/>
        <v>25555.110000000001</v>
      </c>
      <c r="AL62" s="60"/>
      <c r="AM62" s="61" t="s">
        <v>286</v>
      </c>
      <c r="AN62" s="57" t="s">
        <v>50</v>
      </c>
      <c r="AO62" s="57" t="s">
        <v>209</v>
      </c>
      <c r="AP62" s="57">
        <f t="shared" si="18"/>
        <v>1785.6400000000001</v>
      </c>
      <c r="AQ62" s="57">
        <f t="shared" si="19"/>
        <v>446.41000000000003</v>
      </c>
      <c r="AR62" s="57">
        <f t="shared" si="20"/>
        <v>111.59999999999999</v>
      </c>
      <c r="AS62" s="57">
        <f t="shared" si="21"/>
        <v>1562</v>
      </c>
    </row>
    <row r="63" spans="1:45" s="57" customFormat="1" ht="16.15" customHeight="1">
      <c r="A63" s="57">
        <v>55</v>
      </c>
      <c r="B63" s="58" t="s">
        <v>287</v>
      </c>
      <c r="C63" s="57" t="s">
        <v>183</v>
      </c>
      <c r="D63" s="58">
        <v>202606</v>
      </c>
      <c r="E63" s="57">
        <v>44504</v>
      </c>
      <c r="F63" s="58"/>
      <c r="G63" s="57">
        <v>595</v>
      </c>
      <c r="H63" s="58">
        <v>14740.10</v>
      </c>
      <c r="I63" s="58">
        <v>14740.10</v>
      </c>
      <c r="J63" s="58">
        <f>ROUND($H63*16%,2)</f>
        <v>2358.4200000000001</v>
      </c>
      <c r="K63" s="58">
        <f>ROUND(H63*9%,2)</f>
        <v>1326.6099999999999</v>
      </c>
      <c r="L63" s="58">
        <f t="shared" si="70"/>
        <v>73.700000000000003</v>
      </c>
      <c r="M63" s="58">
        <f t="shared" si="75"/>
        <v>47.170000000000002</v>
      </c>
      <c r="N63" s="58"/>
      <c r="O63" s="58"/>
      <c r="P63" s="58">
        <f>ROUND(H63*(1.5%*0.9),2)</f>
        <v>198.99000000000001</v>
      </c>
      <c r="Q63" s="58"/>
      <c r="R63" s="58"/>
      <c r="S63" s="58">
        <f>ROUND(I63*7%,0)</f>
        <v>1032</v>
      </c>
      <c r="T63" s="57">
        <f t="shared" si="64"/>
        <v>5036.8900000000003</v>
      </c>
      <c r="U63" s="58">
        <f t="shared" si="72"/>
        <v>1179.21</v>
      </c>
      <c r="V63" s="58">
        <f t="shared" si="73"/>
        <v>294.80000000000001</v>
      </c>
      <c r="W63" s="58">
        <f t="shared" si="74"/>
        <v>73.700000000000003</v>
      </c>
      <c r="X63" s="58"/>
      <c r="Y63" s="58"/>
      <c r="Z63" s="58"/>
      <c r="AA63" s="58">
        <f>ROUND(I63*7%,0)</f>
        <v>1032</v>
      </c>
      <c r="AB63" s="58">
        <f t="shared" si="66"/>
        <v>2579.71</v>
      </c>
      <c r="AC63" s="58">
        <f>VLOOKUP(AM:AM,工资明细!E:AP,38,0)</f>
        <v>7245.0900000000001</v>
      </c>
      <c r="AD63" s="57">
        <f>VLOOKUP(AM:AM,工资明细!E:AH,30,0)</f>
        <v>7245.0900000000001</v>
      </c>
      <c r="AH63" s="57">
        <f t="shared" si="14"/>
        <v>15456.690000000001</v>
      </c>
      <c r="AI63" s="59">
        <f t="shared" si="15"/>
        <v>121.51000000000001</v>
      </c>
      <c r="AJ63" s="59">
        <f t="shared" si="16"/>
        <v>934.69000000000005</v>
      </c>
      <c r="AK63" s="59">
        <f t="shared" si="17"/>
        <v>16512.889999999999</v>
      </c>
      <c r="AL63" s="60"/>
      <c r="AM63" s="61" t="s">
        <v>288</v>
      </c>
      <c r="AN63" s="57" t="s">
        <v>50</v>
      </c>
      <c r="AO63" s="57" t="s">
        <v>209</v>
      </c>
      <c r="AP63" s="57">
        <f t="shared" si="18"/>
        <v>1179.21</v>
      </c>
      <c r="AQ63" s="57">
        <f t="shared" si="19"/>
        <v>294.80000000000001</v>
      </c>
      <c r="AR63" s="57">
        <f t="shared" si="20"/>
        <v>73.700000000000003</v>
      </c>
      <c r="AS63" s="57">
        <f t="shared" si="21"/>
        <v>1032</v>
      </c>
    </row>
    <row r="64" spans="1:45" s="57" customFormat="1" ht="16.15" customHeight="1">
      <c r="A64" s="57">
        <v>56</v>
      </c>
      <c r="B64" s="58" t="s">
        <v>291</v>
      </c>
      <c r="C64" s="57" t="s">
        <v>184</v>
      </c>
      <c r="D64" s="58">
        <v>202606</v>
      </c>
      <c r="E64" s="57">
        <v>44629</v>
      </c>
      <c r="F64" s="58"/>
      <c r="G64" s="57">
        <v>595</v>
      </c>
      <c r="H64" s="58">
        <v>8842.60</v>
      </c>
      <c r="I64" s="58">
        <v>8842.60</v>
      </c>
      <c r="J64" s="58">
        <f>ROUND($H64*16%,2)</f>
        <v>1414.8199999999999</v>
      </c>
      <c r="K64" s="58">
        <f>ROUND(H64*9%,2)</f>
        <v>795.83000000000004</v>
      </c>
      <c r="L64" s="58">
        <f t="shared" si="70"/>
        <v>44.210000000000001</v>
      </c>
      <c r="M64" s="58">
        <f t="shared" si="75"/>
        <v>28.300000000000001</v>
      </c>
      <c r="N64" s="58"/>
      <c r="O64" s="58"/>
      <c r="P64" s="58">
        <f>ROUND(H64*(1.5%*0.9),2)</f>
        <v>119.38</v>
      </c>
      <c r="Q64" s="58"/>
      <c r="R64" s="58"/>
      <c r="S64" s="58">
        <f>ROUND(I64*7%,0)</f>
        <v>619</v>
      </c>
      <c r="T64" s="57">
        <f t="shared" si="64"/>
        <v>3021.54</v>
      </c>
      <c r="U64" s="58">
        <f t="shared" si="72"/>
        <v>707.40999999999997</v>
      </c>
      <c r="V64" s="58">
        <f t="shared" si="73"/>
        <v>176.84999999999999</v>
      </c>
      <c r="W64" s="58">
        <f t="shared" si="74"/>
        <v>44.210000000000001</v>
      </c>
      <c r="X64" s="58"/>
      <c r="Y64" s="58"/>
      <c r="Z64" s="58"/>
      <c r="AA64" s="58">
        <f>ROUND(I64*7%,0)</f>
        <v>619</v>
      </c>
      <c r="AB64" s="58">
        <f t="shared" si="66"/>
        <v>1547.47</v>
      </c>
      <c r="AC64" s="58">
        <f>VLOOKUP(AM:AM,工资明细!E:AP,38,0)</f>
        <v>9609.4699999999993</v>
      </c>
      <c r="AD64" s="57">
        <f>VLOOKUP(AM:AM,工资明细!E:AH,30,0)</f>
        <v>10261.960000000001</v>
      </c>
      <c r="AH64" s="57">
        <f t="shared" si="14"/>
        <v>15425.969999999999</v>
      </c>
      <c r="AI64" s="59">
        <f t="shared" si="15"/>
        <v>121.27</v>
      </c>
      <c r="AJ64" s="59">
        <f t="shared" si="16"/>
        <v>932.83000000000004</v>
      </c>
      <c r="AK64" s="59">
        <f t="shared" si="17"/>
        <v>16480.07</v>
      </c>
      <c r="AL64" s="60"/>
      <c r="AM64" s="61" t="s">
        <v>292</v>
      </c>
      <c r="AN64" s="57" t="s">
        <v>50</v>
      </c>
      <c r="AO64" s="57" t="s">
        <v>209</v>
      </c>
      <c r="AP64" s="57">
        <f t="shared" si="18"/>
        <v>707.40999999999997</v>
      </c>
      <c r="AQ64" s="57">
        <f t="shared" si="19"/>
        <v>176.84999999999999</v>
      </c>
      <c r="AR64" s="57">
        <f t="shared" si="20"/>
        <v>44.210000000000001</v>
      </c>
      <c r="AS64" s="57">
        <f t="shared" si="21"/>
        <v>619</v>
      </c>
    </row>
    <row r="65" spans="1:45" s="57" customFormat="1" ht="16.15" customHeight="1">
      <c r="A65" s="57">
        <v>57</v>
      </c>
      <c r="B65" s="58" t="s">
        <v>185</v>
      </c>
      <c r="C65" s="57" t="s">
        <v>293</v>
      </c>
      <c r="D65" s="58">
        <v>202606</v>
      </c>
      <c r="E65" s="57">
        <v>44676</v>
      </c>
      <c r="F65" s="58"/>
      <c r="G65" s="57">
        <v>595</v>
      </c>
      <c r="H65" s="58">
        <v>10609</v>
      </c>
      <c r="I65" s="58">
        <v>10609.21</v>
      </c>
      <c r="J65" s="58">
        <f>ROUND($H65*16%,2)</f>
        <v>1697.4400000000001</v>
      </c>
      <c r="K65" s="58">
        <f>ROUND($H65*8.7%,2)</f>
        <v>922.98000000000002</v>
      </c>
      <c r="L65" s="58">
        <f>ROUND($H65*0.7%,2)</f>
        <v>74.260000000000005</v>
      </c>
      <c r="M65" s="58">
        <f>ROUND($H65*0.2%,2)</f>
        <v>21.219999999999999</v>
      </c>
      <c r="N65" s="58"/>
      <c r="O65" s="58"/>
      <c r="P65" s="58">
        <f t="shared" si="76" ref="P65">ROUND(H65*1.5%,2)</f>
        <v>159.13999999999999</v>
      </c>
      <c r="Q65" s="58"/>
      <c r="R65" s="58"/>
      <c r="S65" s="58">
        <f>ROUND(I65*8%,2)</f>
        <v>848.74000000000001</v>
      </c>
      <c r="T65" s="57">
        <f>ROUND(SUM(J65:S65),2)</f>
        <v>3723.7800000000002</v>
      </c>
      <c r="U65" s="58">
        <f>ROUND($H65*8%,2)</f>
        <v>848.72000000000003</v>
      </c>
      <c r="V65" s="58">
        <f>ROUND($H65*2%,2)</f>
        <v>212.18000000000001</v>
      </c>
      <c r="W65" s="58">
        <f>ROUND($H65*0.3%,2)</f>
        <v>31.829999999999998</v>
      </c>
      <c r="X65" s="58"/>
      <c r="Y65" s="58"/>
      <c r="Z65" s="58">
        <v>7</v>
      </c>
      <c r="AA65" s="58">
        <f t="shared" si="77" ref="AA65:AA66">S65</f>
        <v>848.74000000000001</v>
      </c>
      <c r="AB65" s="58">
        <f>ROUND(SUM(U65:AA65),2)</f>
        <v>1948.47</v>
      </c>
      <c r="AC65" s="58">
        <f>VLOOKUP(AM:AM,工资明细!E:AP,38,0)</f>
        <v>4474.6300000000001</v>
      </c>
      <c r="AD65" s="57">
        <f>VLOOKUP(AM:AM,工资明细!E:AH,30,0)</f>
        <v>4474.6300000000001</v>
      </c>
      <c r="AH65" s="57">
        <f t="shared" si="14"/>
        <v>10741.879999999999</v>
      </c>
      <c r="AI65" s="59">
        <f t="shared" si="15"/>
        <v>84.450000000000003</v>
      </c>
      <c r="AJ65" s="59">
        <f t="shared" si="16"/>
        <v>649.58000000000004</v>
      </c>
      <c r="AK65" s="59">
        <f t="shared" si="17"/>
        <v>11475.91</v>
      </c>
      <c r="AL65" s="60"/>
      <c r="AM65" s="61" t="s">
        <v>186</v>
      </c>
      <c r="AN65" s="58" t="s">
        <v>294</v>
      </c>
      <c r="AO65" s="57" t="s">
        <v>227</v>
      </c>
      <c r="AP65" s="57">
        <f t="shared" si="18"/>
        <v>848.72000000000003</v>
      </c>
      <c r="AQ65" s="57">
        <f t="shared" si="19"/>
        <v>219.18000000000001</v>
      </c>
      <c r="AR65" s="57">
        <f t="shared" si="20"/>
        <v>31.829999999999998</v>
      </c>
      <c r="AS65" s="57">
        <f t="shared" si="21"/>
        <v>848.74000000000001</v>
      </c>
    </row>
    <row r="66" spans="1:45" s="57" customFormat="1" ht="16.15" customHeight="1">
      <c r="A66" s="57">
        <v>58</v>
      </c>
      <c r="B66" s="58" t="s">
        <v>295</v>
      </c>
      <c r="C66" s="57" t="s">
        <v>188</v>
      </c>
      <c r="D66" s="58">
        <v>202606</v>
      </c>
      <c r="E66" s="57">
        <v>44783</v>
      </c>
      <c r="F66" s="58"/>
      <c r="G66" s="57">
        <v>595</v>
      </c>
      <c r="H66" s="58">
        <v>7684</v>
      </c>
      <c r="I66" s="58">
        <v>7684</v>
      </c>
      <c r="J66" s="58">
        <f>ROUND(H66*16%,2)</f>
        <v>1229.4400000000001</v>
      </c>
      <c r="K66" s="58">
        <f>ROUND(H66*6.85%,2)</f>
        <v>526.35000000000002</v>
      </c>
      <c r="L66" s="58">
        <f>ROUND(H66*0.8%,2)</f>
        <v>61.469999999999999</v>
      </c>
      <c r="M66" s="58">
        <f>ROUND(H66*0.4%,2)</f>
        <v>30.739999999999998</v>
      </c>
      <c r="N66" s="58"/>
      <c r="O66" s="58"/>
      <c r="P66" s="58">
        <f>ROUND(H66*1.5%,2)</f>
        <v>115.26000000000001</v>
      </c>
      <c r="Q66" s="58"/>
      <c r="R66" s="58"/>
      <c r="S66" s="58">
        <f>ROUND(I66*7%,0)</f>
        <v>538</v>
      </c>
      <c r="T66" s="57">
        <f t="shared" si="64"/>
        <v>2501.2600000000002</v>
      </c>
      <c r="U66" s="58">
        <f>ROUND(H66*8%,2)</f>
        <v>614.72000000000003</v>
      </c>
      <c r="V66" s="58">
        <f>ROUND(H66*2%,2)</f>
        <v>153.68000000000001</v>
      </c>
      <c r="W66" s="58">
        <f>ROUND(H66*0.2%,2)</f>
        <v>15.369999999999999</v>
      </c>
      <c r="X66" s="58"/>
      <c r="Y66" s="58"/>
      <c r="Z66" s="58"/>
      <c r="AA66" s="58">
        <f t="shared" si="77"/>
        <v>538</v>
      </c>
      <c r="AB66" s="58">
        <f>SUM(U66:AA66)</f>
        <v>1321.77</v>
      </c>
      <c r="AC66" s="58">
        <f>VLOOKUP(AM:AM,工资明细!E:AP,38,0)</f>
        <v>6293.8199999999997</v>
      </c>
      <c r="AD66" s="57">
        <f>VLOOKUP(AM:AM,工资明细!E:AH,30,0)</f>
        <v>6374.7099999999991</v>
      </c>
      <c r="AH66" s="57">
        <f t="shared" si="14"/>
        <v>10792.74</v>
      </c>
      <c r="AI66" s="59">
        <f t="shared" si="15"/>
        <v>84.849999999999994</v>
      </c>
      <c r="AJ66" s="59">
        <f t="shared" si="16"/>
        <v>652.65999999999997</v>
      </c>
      <c r="AK66" s="59">
        <f t="shared" si="17"/>
        <v>11530.25</v>
      </c>
      <c r="AL66" s="63"/>
      <c r="AM66" s="61" t="s">
        <v>187</v>
      </c>
      <c r="AN66" s="57" t="s">
        <v>103</v>
      </c>
      <c r="AO66" s="57" t="s">
        <v>227</v>
      </c>
      <c r="AP66" s="57">
        <f t="shared" si="18"/>
        <v>614.72000000000003</v>
      </c>
      <c r="AQ66" s="57">
        <f t="shared" si="19"/>
        <v>153.68000000000001</v>
      </c>
      <c r="AR66" s="57">
        <f t="shared" si="20"/>
        <v>15.369999999999999</v>
      </c>
      <c r="AS66" s="57">
        <f t="shared" si="21"/>
        <v>538</v>
      </c>
    </row>
    <row r="67" spans="2:45" s="57" customFormat="1" ht="16.15" customHeight="1">
      <c r="B67" s="58" t="s">
        <v>204</v>
      </c>
      <c r="D67" s="58">
        <v>202605</v>
      </c>
      <c r="E67" s="57">
        <v>44823</v>
      </c>
      <c r="F67" s="58"/>
      <c r="G67" s="57">
        <v>595</v>
      </c>
      <c r="H67" s="62">
        <v>-411</v>
      </c>
      <c r="I67" s="58">
        <v>8212</v>
      </c>
      <c r="J67" s="58">
        <f t="shared" si="78" ref="J67">ROUND(H67*16%,2)</f>
        <v>-65.760000000000005</v>
      </c>
      <c r="K67" s="58">
        <f>ROUND(H67*7.55%,2)</f>
        <v>-31.030000000000001</v>
      </c>
      <c r="L67" s="58">
        <f>ROUND(H67*0.6%,2)</f>
        <v>-2.4700000000000002</v>
      </c>
      <c r="M67" s="58">
        <f>ROUND(H67*0.4%,2)</f>
        <v>-1.6399999999999999</v>
      </c>
      <c r="N67" s="58"/>
      <c r="O67" s="58">
        <f>ROUND(H67*0.75%,2)</f>
        <v>-3.0800000000000001</v>
      </c>
      <c r="P67" s="58">
        <f>ROUND(H67*1.5%,2)</f>
        <v>-6.1699999999999999</v>
      </c>
      <c r="Q67" s="58"/>
      <c r="R67" s="58"/>
      <c r="S67" s="58"/>
      <c r="T67" s="57">
        <f>ROUND(SUM(J67:S67),2)</f>
        <v>-110.15000000000001</v>
      </c>
      <c r="U67" s="58">
        <f>ROUND(H67*8%,2)</f>
        <v>-32.880000000000003</v>
      </c>
      <c r="V67" s="58">
        <f>ROUND(H67*2%,2)</f>
        <v>-8.2200000000000006</v>
      </c>
      <c r="W67" s="58">
        <f>ROUND(H67*0.4%,2)</f>
        <v>-1.6399999999999999</v>
      </c>
      <c r="X67" s="58"/>
      <c r="Y67" s="58"/>
      <c r="Z67" s="58"/>
      <c r="AA67" s="58">
        <f>S67</f>
        <v>0</v>
      </c>
      <c r="AB67" s="58">
        <f>ROUND(SUM(U67:AA67),2)</f>
        <v>-42.740000000000002</v>
      </c>
      <c r="AC67" s="58"/>
      <c r="AH67" s="57">
        <f t="shared" si="79" ref="AH67">ROUND(G67+T67+AB67+AD67+AF67+AG67+AE67,2)</f>
        <v>442.11000000000001</v>
      </c>
      <c r="AI67" s="59">
        <f t="shared" si="80" ref="AI67">ROUND(AH67*(1/(1-0.78%)-1),2)</f>
        <v>3.48</v>
      </c>
      <c r="AJ67" s="59">
        <f t="shared" si="81" ref="AJ67">ROUND(SUM(AH67:AI67)*6%,2)</f>
        <v>26.739999999999998</v>
      </c>
      <c r="AK67" s="59">
        <f t="shared" si="82" ref="AK67">ROUND(SUM(AH67:AJ67),2)</f>
        <v>472.32999999999998</v>
      </c>
      <c r="AL67" s="60" t="s">
        <v>375</v>
      </c>
      <c r="AM67" s="61" t="s">
        <v>297</v>
      </c>
      <c r="AN67" s="57" t="s">
        <v>298</v>
      </c>
      <c r="AO67" s="57" t="s">
        <v>226</v>
      </c>
      <c r="AP67" s="57">
        <f t="shared" si="18"/>
        <v>-32.880000000000003</v>
      </c>
      <c r="AQ67" s="57">
        <f t="shared" si="19"/>
        <v>-8.2200000000000006</v>
      </c>
      <c r="AR67" s="57">
        <f t="shared" si="20"/>
        <v>-1.6399999999999999</v>
      </c>
      <c r="AS67" s="57">
        <f t="shared" si="21"/>
        <v>0</v>
      </c>
    </row>
    <row r="68" spans="1:45" s="57" customFormat="1" ht="16.15" customHeight="1">
      <c r="A68" s="57">
        <v>59</v>
      </c>
      <c r="B68" s="58" t="s">
        <v>296</v>
      </c>
      <c r="C68" s="57" t="s">
        <v>189</v>
      </c>
      <c r="D68" s="58">
        <v>202606</v>
      </c>
      <c r="E68" s="57">
        <v>44823</v>
      </c>
      <c r="F68" s="58"/>
      <c r="G68" s="57">
        <v>595</v>
      </c>
      <c r="H68" s="62">
        <v>9468</v>
      </c>
      <c r="I68" s="58">
        <v>8212</v>
      </c>
      <c r="J68" s="58">
        <f t="shared" si="83" ref="J68">ROUND(H68*16%,2)</f>
        <v>1514.8800000000001</v>
      </c>
      <c r="K68" s="58">
        <f>ROUND(H68*7.55%,2)</f>
        <v>714.83000000000004</v>
      </c>
      <c r="L68" s="58">
        <f>ROUND(H68*0.6%,2)</f>
        <v>56.810000000000002</v>
      </c>
      <c r="M68" s="58">
        <f>ROUND(H68*0.4%,2)</f>
        <v>37.869999999999997</v>
      </c>
      <c r="N68" s="58"/>
      <c r="O68" s="58">
        <f>ROUND(H68*0.75%,2)</f>
        <v>71.010000000000005</v>
      </c>
      <c r="P68" s="58">
        <f>ROUND(H68*1.5%,2)</f>
        <v>142.02000000000001</v>
      </c>
      <c r="Q68" s="58"/>
      <c r="R68" s="58"/>
      <c r="S68" s="58">
        <f>ROUNDUP(I68*6%,0)</f>
        <v>493</v>
      </c>
      <c r="T68" s="57">
        <f>ROUND(SUM(J68:S68),2)</f>
        <v>3030.4200000000001</v>
      </c>
      <c r="U68" s="58">
        <f>ROUND(H68*8%,2)</f>
        <v>757.44000000000005</v>
      </c>
      <c r="V68" s="58">
        <f>ROUND(H68*2%,2)</f>
        <v>189.36000000000001</v>
      </c>
      <c r="W68" s="58">
        <f>ROUND(H68*0.4%,2)</f>
        <v>37.869999999999997</v>
      </c>
      <c r="X68" s="58"/>
      <c r="Y68" s="58"/>
      <c r="Z68" s="58"/>
      <c r="AA68" s="58">
        <f>S68</f>
        <v>493</v>
      </c>
      <c r="AB68" s="58">
        <f>ROUND(SUM(U68:AA68),2)</f>
        <v>1477.6700000000001</v>
      </c>
      <c r="AC68" s="58">
        <f>VLOOKUP(AM:AM,工资明细!E:AP,38,0)</f>
        <v>4300.4099999999999</v>
      </c>
      <c r="AD68" s="57">
        <f>VLOOKUP(AM:AM,工资明细!E:AH,30,0)</f>
        <v>4319.2200000000003</v>
      </c>
      <c r="AH68" s="57">
        <f t="shared" si="14"/>
        <v>9422.3099999999995</v>
      </c>
      <c r="AI68" s="59">
        <f t="shared" si="15"/>
        <v>74.069999999999993</v>
      </c>
      <c r="AJ68" s="59">
        <f t="shared" si="16"/>
        <v>569.77999999999997</v>
      </c>
      <c r="AK68" s="59">
        <f t="shared" si="17"/>
        <v>10066.16</v>
      </c>
      <c r="AL68" s="60"/>
      <c r="AM68" s="61" t="s">
        <v>297</v>
      </c>
      <c r="AN68" s="57" t="s">
        <v>298</v>
      </c>
      <c r="AO68" s="57" t="s">
        <v>299</v>
      </c>
      <c r="AP68" s="57">
        <f t="shared" si="18"/>
        <v>757.44000000000005</v>
      </c>
      <c r="AQ68" s="57">
        <f t="shared" si="19"/>
        <v>189.36000000000001</v>
      </c>
      <c r="AR68" s="57">
        <f t="shared" si="20"/>
        <v>37.869999999999997</v>
      </c>
      <c r="AS68" s="57">
        <f t="shared" si="21"/>
        <v>493</v>
      </c>
    </row>
    <row r="69" spans="1:45" s="57" customFormat="1" ht="16.15" customHeight="1">
      <c r="A69" s="57">
        <v>60</v>
      </c>
      <c r="B69" s="58" t="s">
        <v>300</v>
      </c>
      <c r="C69" s="58" t="s">
        <v>190</v>
      </c>
      <c r="D69" s="58">
        <v>202606</v>
      </c>
      <c r="E69" s="57">
        <v>44833</v>
      </c>
      <c r="F69" s="58"/>
      <c r="G69" s="57">
        <v>595</v>
      </c>
      <c r="H69" s="58">
        <v>8941.6299999999992</v>
      </c>
      <c r="I69" s="58">
        <v>8942</v>
      </c>
      <c r="J69" s="58">
        <f>ROUND(H69*16%,2)</f>
        <v>1430.6600000000001</v>
      </c>
      <c r="K69" s="58">
        <f>ROUND(H69*6.8%,2)</f>
        <v>608.02999999999997</v>
      </c>
      <c r="L69" s="58">
        <f>ROUND(H69*0.5%,2)</f>
        <v>44.710000000000001</v>
      </c>
      <c r="M69" s="58">
        <f>ROUND(H69*0.2%,2)</f>
        <v>17.879999999999999</v>
      </c>
      <c r="N69" s="58"/>
      <c r="O69" s="58">
        <v>23.74</v>
      </c>
      <c r="P69" s="58">
        <f t="shared" si="84" ref="P69:P70">ROUND(H69*1.5%,2)</f>
        <v>134.12</v>
      </c>
      <c r="Q69" s="58"/>
      <c r="R69" s="58">
        <v>10.73</v>
      </c>
      <c r="S69" s="58">
        <f>ROUND(I69*12%,0)</f>
        <v>1073</v>
      </c>
      <c r="T69" s="57">
        <f>ROUND(SUM(J69:S69),2)</f>
        <v>3342.8699999999999</v>
      </c>
      <c r="U69" s="58">
        <f>ROUND(H69*8%,2)</f>
        <v>715.33000000000004</v>
      </c>
      <c r="V69" s="58">
        <f>ROUND(H69*2%,2)</f>
        <v>178.83000000000001</v>
      </c>
      <c r="W69" s="58">
        <f>ROUND(H69*0.5%,2)</f>
        <v>44.710000000000001</v>
      </c>
      <c r="X69" s="58"/>
      <c r="Y69" s="58"/>
      <c r="Z69" s="58">
        <v>15.82</v>
      </c>
      <c r="AA69" s="58">
        <f>S69</f>
        <v>1073</v>
      </c>
      <c r="AB69" s="58">
        <f>ROUND(SUM(U69:AA69),2)</f>
        <v>2027.6900000000001</v>
      </c>
      <c r="AC69" s="58">
        <f>VLOOKUP(AM:AM,工资明细!E:AP,38,0)</f>
        <v>4551.4300000000003</v>
      </c>
      <c r="AD69" s="57">
        <f>VLOOKUP(AM:AM,工资明细!E:AH,30,0)</f>
        <v>4592.1000000000004</v>
      </c>
      <c r="AH69" s="57">
        <f t="shared" si="14"/>
        <v>10557.66</v>
      </c>
      <c r="AI69" s="59">
        <f t="shared" si="15"/>
        <v>83</v>
      </c>
      <c r="AJ69" s="59">
        <f t="shared" si="16"/>
        <v>638.44000000000005</v>
      </c>
      <c r="AK69" s="59">
        <f t="shared" si="17"/>
        <v>11279.1</v>
      </c>
      <c r="AL69" s="60"/>
      <c r="AM69" s="58" t="s">
        <v>301</v>
      </c>
      <c r="AN69" s="57" t="s">
        <v>302</v>
      </c>
      <c r="AO69" s="57" t="s">
        <v>227</v>
      </c>
      <c r="AP69" s="57">
        <f t="shared" si="18"/>
        <v>715.33000000000004</v>
      </c>
      <c r="AQ69" s="57">
        <f t="shared" si="19"/>
        <v>194.65000000000001</v>
      </c>
      <c r="AR69" s="57">
        <f t="shared" si="20"/>
        <v>44.710000000000001</v>
      </c>
      <c r="AS69" s="57">
        <f t="shared" si="21"/>
        <v>1073</v>
      </c>
    </row>
    <row r="70" spans="1:45" s="57" customFormat="1" ht="16.15" customHeight="1">
      <c r="A70" s="57">
        <v>61</v>
      </c>
      <c r="B70" s="58" t="s">
        <v>303</v>
      </c>
      <c r="C70" s="58" t="s">
        <v>191</v>
      </c>
      <c r="D70" s="58">
        <v>202606</v>
      </c>
      <c r="E70" s="57">
        <v>44845</v>
      </c>
      <c r="F70" s="58"/>
      <c r="G70" s="57">
        <v>595</v>
      </c>
      <c r="H70" s="58">
        <v>7703.29</v>
      </c>
      <c r="I70" s="58">
        <v>7703</v>
      </c>
      <c r="J70" s="58">
        <f>ROUND(H70*16%,2)</f>
        <v>1232.53</v>
      </c>
      <c r="K70" s="58">
        <f>ROUND(H70*6.8%,2)</f>
        <v>523.82000000000005</v>
      </c>
      <c r="L70" s="58">
        <f>ROUND(H70*0.5%,2)</f>
        <v>38.520000000000003</v>
      </c>
      <c r="M70" s="58">
        <f>ROUND(H70*0.2%,2)</f>
        <v>15.41</v>
      </c>
      <c r="N70" s="58"/>
      <c r="O70" s="58">
        <v>23.74</v>
      </c>
      <c r="P70" s="58">
        <f t="shared" si="84"/>
        <v>115.55</v>
      </c>
      <c r="Q70" s="58"/>
      <c r="R70" s="58">
        <v>9.24</v>
      </c>
      <c r="S70" s="58">
        <f>ROUND(I70*12%,0)</f>
        <v>924</v>
      </c>
      <c r="T70" s="57">
        <f>ROUND(SUM(J70:S70),2)</f>
        <v>2882.8099999999999</v>
      </c>
      <c r="U70" s="58">
        <f>ROUND(H70*8%,2)</f>
        <v>616.25999999999999</v>
      </c>
      <c r="V70" s="58">
        <f>ROUND(H70*2%,2)</f>
        <v>154.06999999999999</v>
      </c>
      <c r="W70" s="58">
        <f>ROUND(H70*0.5%,2)</f>
        <v>38.520000000000003</v>
      </c>
      <c r="X70" s="58"/>
      <c r="Y70" s="58"/>
      <c r="Z70" s="58">
        <v>15.82</v>
      </c>
      <c r="AA70" s="58">
        <f t="shared" si="85" ref="AA70">S70</f>
        <v>924</v>
      </c>
      <c r="AB70" s="58">
        <f>ROUND(SUM(U70:AA70),2)</f>
        <v>1748.6700000000001</v>
      </c>
      <c r="AC70" s="58">
        <f>VLOOKUP(AM:AM,工资明细!E:AP,38,0)</f>
        <v>7924.25</v>
      </c>
      <c r="AD70" s="57">
        <f>VLOOKUP(AM:AM,工资明细!E:AH,30,0)</f>
        <v>7924.25</v>
      </c>
      <c r="AH70" s="57">
        <f t="shared" si="14"/>
        <v>13150.73</v>
      </c>
      <c r="AI70" s="59">
        <f t="shared" si="15"/>
        <v>103.38</v>
      </c>
      <c r="AJ70" s="59">
        <f t="shared" si="16"/>
        <v>795.25</v>
      </c>
      <c r="AK70" s="59">
        <f t="shared" si="17"/>
        <v>14049.360000000001</v>
      </c>
      <c r="AL70" s="60"/>
      <c r="AM70" s="58" t="s">
        <v>304</v>
      </c>
      <c r="AN70" s="57" t="s">
        <v>302</v>
      </c>
      <c r="AO70" s="57" t="s">
        <v>227</v>
      </c>
      <c r="AP70" s="57">
        <f t="shared" si="18"/>
        <v>616.25999999999999</v>
      </c>
      <c r="AQ70" s="57">
        <f t="shared" si="19"/>
        <v>169.88999999999999</v>
      </c>
      <c r="AR70" s="57">
        <f t="shared" si="20"/>
        <v>38.520000000000003</v>
      </c>
      <c r="AS70" s="57">
        <f t="shared" si="21"/>
        <v>924</v>
      </c>
    </row>
    <row r="71" spans="1:45" s="57" customFormat="1" ht="16.15" customHeight="1">
      <c r="A71" s="57">
        <v>62</v>
      </c>
      <c r="B71" s="58" t="s">
        <v>305</v>
      </c>
      <c r="C71" s="58" t="s">
        <v>306</v>
      </c>
      <c r="D71" s="58">
        <v>202606</v>
      </c>
      <c r="E71" s="57">
        <v>44878</v>
      </c>
      <c r="F71" s="58"/>
      <c r="G71" s="57">
        <v>595</v>
      </c>
      <c r="H71" s="58">
        <v>8217</v>
      </c>
      <c r="I71" s="58">
        <v>8217.41</v>
      </c>
      <c r="J71" s="58">
        <f>ROUND($H71*16%,2)</f>
        <v>1314.72</v>
      </c>
      <c r="K71" s="58">
        <f>ROUND($H71*8.7%,2)</f>
        <v>714.88</v>
      </c>
      <c r="L71" s="58">
        <f>ROUND($H71*0.7%,2)</f>
        <v>57.520000000000003</v>
      </c>
      <c r="M71" s="58">
        <f t="shared" si="86" ref="M71">ROUND($H71*0.2%,2)</f>
        <v>16.43</v>
      </c>
      <c r="N71" s="58"/>
      <c r="O71" s="58"/>
      <c r="P71" s="58">
        <f t="shared" si="87" ref="P71:P74">ROUND(H71*1.5%,2)</f>
        <v>123.26000000000001</v>
      </c>
      <c r="Q71" s="58"/>
      <c r="R71" s="58"/>
      <c r="S71" s="58">
        <f>ROUND($I71*8%,2)</f>
        <v>657.38999999999999</v>
      </c>
      <c r="T71" s="57">
        <f t="shared" si="88" ref="T71:T76">ROUND(SUM(J71:S71),2)</f>
        <v>2884.1999999999998</v>
      </c>
      <c r="U71" s="58">
        <f>ROUND($H71*8%,2)</f>
        <v>657.36000000000001</v>
      </c>
      <c r="V71" s="58">
        <f>ROUND($H71*2%,2)</f>
        <v>164.34</v>
      </c>
      <c r="W71" s="58">
        <f>ROUND($H71*0.3%,2)</f>
        <v>24.649999999999999</v>
      </c>
      <c r="X71" s="58"/>
      <c r="Y71" s="58"/>
      <c r="Z71" s="58">
        <v>7</v>
      </c>
      <c r="AA71" s="58">
        <f>S71</f>
        <v>657.38999999999999</v>
      </c>
      <c r="AB71" s="58">
        <f t="shared" si="89" ref="AB71:AB81">ROUND(SUM(U71:AA71),2)</f>
        <v>1510.74</v>
      </c>
      <c r="AC71" s="58">
        <f>VLOOKUP(AM:AM,工资明细!E:AP,38,0)</f>
        <v>3408.27</v>
      </c>
      <c r="AD71" s="57">
        <f>VLOOKUP(AM:AM,工资明细!E:AH,30,0)</f>
        <v>3408.2700000000004</v>
      </c>
      <c r="AH71" s="57">
        <f t="shared" si="14"/>
        <v>8398.2099999999991</v>
      </c>
      <c r="AI71" s="59">
        <f t="shared" si="15"/>
        <v>66.019999999999996</v>
      </c>
      <c r="AJ71" s="59">
        <f t="shared" si="16"/>
        <v>507.85000000000002</v>
      </c>
      <c r="AK71" s="59">
        <f t="shared" si="17"/>
        <v>8972.0799999999999</v>
      </c>
      <c r="AL71" s="60"/>
      <c r="AM71" s="58" t="s">
        <v>307</v>
      </c>
      <c r="AN71" s="58" t="s">
        <v>294</v>
      </c>
      <c r="AO71" s="57" t="s">
        <v>227</v>
      </c>
      <c r="AP71" s="57">
        <f t="shared" si="18"/>
        <v>657.36000000000001</v>
      </c>
      <c r="AQ71" s="57">
        <f t="shared" si="19"/>
        <v>171.34</v>
      </c>
      <c r="AR71" s="57">
        <f t="shared" si="20"/>
        <v>24.649999999999999</v>
      </c>
      <c r="AS71" s="57">
        <f t="shared" si="21"/>
        <v>657.38999999999999</v>
      </c>
    </row>
    <row r="72" spans="2:45" s="57" customFormat="1" ht="16.15" customHeight="1">
      <c r="B72" s="58" t="s">
        <v>205</v>
      </c>
      <c r="C72" s="58"/>
      <c r="D72" s="58">
        <v>202605</v>
      </c>
      <c r="E72" s="57">
        <v>44879</v>
      </c>
      <c r="F72" s="58"/>
      <c r="G72" s="57">
        <v>595</v>
      </c>
      <c r="H72" s="62">
        <v>-9534</v>
      </c>
      <c r="I72" s="58">
        <v>10502</v>
      </c>
      <c r="J72" s="58">
        <f t="shared" si="90" ref="J72">ROUND(H72*16%,2)</f>
        <v>-1525.4400000000001</v>
      </c>
      <c r="K72" s="58">
        <f>ROUND(H72*7.55%,2)</f>
        <v>-719.82000000000005</v>
      </c>
      <c r="L72" s="58">
        <f>ROUND(H72*0.6%,2)</f>
        <v>-57.200000000000003</v>
      </c>
      <c r="M72" s="58">
        <f>ROUND(H72*0.4%,2)</f>
        <v>-38.140000000000001</v>
      </c>
      <c r="N72" s="58"/>
      <c r="O72" s="58">
        <f>ROUND(H72*0.75%,2)</f>
        <v>-71.510000000000005</v>
      </c>
      <c r="P72" s="58">
        <f t="shared" si="91" ref="P72">ROUND(H72*1.5%,2)</f>
        <v>-143.00999999999999</v>
      </c>
      <c r="Q72" s="58"/>
      <c r="R72" s="58"/>
      <c r="S72" s="58"/>
      <c r="T72" s="57">
        <f>ROUND(SUM(J72:S72),2)</f>
        <v>-2555.1199999999999</v>
      </c>
      <c r="U72" s="58">
        <f>ROUND(H72*8%,2)</f>
        <v>-762.72000000000003</v>
      </c>
      <c r="V72" s="58">
        <f>ROUND(H72*2%,2)</f>
        <v>-190.68000000000001</v>
      </c>
      <c r="W72" s="58">
        <f>ROUND(H72*0.4%,2)</f>
        <v>-38.140000000000001</v>
      </c>
      <c r="X72" s="58"/>
      <c r="Y72" s="58"/>
      <c r="Z72" s="58"/>
      <c r="AA72" s="58">
        <f>S72</f>
        <v>0</v>
      </c>
      <c r="AB72" s="58">
        <f>ROUND(SUM(U72:AA72),2)</f>
        <v>-991.53999999999996</v>
      </c>
      <c r="AC72" s="58"/>
      <c r="AH72" s="57">
        <f t="shared" si="14"/>
        <v>-2951.6599999999999</v>
      </c>
      <c r="AI72" s="59">
        <f t="shared" si="15"/>
        <v>-23.199999999999999</v>
      </c>
      <c r="AJ72" s="59">
        <f t="shared" si="16"/>
        <v>-178.49000000000001</v>
      </c>
      <c r="AK72" s="59">
        <f t="shared" si="17"/>
        <v>-3153.3499999999999</v>
      </c>
      <c r="AL72" s="60" t="s">
        <v>375</v>
      </c>
      <c r="AM72" s="58" t="s">
        <v>309</v>
      </c>
      <c r="AN72" s="57" t="s">
        <v>298</v>
      </c>
      <c r="AO72" s="57" t="s">
        <v>226</v>
      </c>
      <c r="AP72" s="57">
        <f t="shared" si="18"/>
        <v>-762.72000000000003</v>
      </c>
      <c r="AQ72" s="57">
        <f t="shared" si="19"/>
        <v>-190.68000000000001</v>
      </c>
      <c r="AR72" s="57">
        <f t="shared" si="20"/>
        <v>-38.140000000000001</v>
      </c>
      <c r="AS72" s="57">
        <f t="shared" si="21"/>
        <v>0</v>
      </c>
    </row>
    <row r="73" spans="1:45" s="57" customFormat="1" ht="16.15" customHeight="1">
      <c r="A73" s="57">
        <v>63</v>
      </c>
      <c r="B73" s="58" t="s">
        <v>308</v>
      </c>
      <c r="C73" s="58" t="s">
        <v>192</v>
      </c>
      <c r="D73" s="58">
        <v>202606</v>
      </c>
      <c r="E73" s="57">
        <v>44879</v>
      </c>
      <c r="F73" s="58"/>
      <c r="G73" s="57">
        <v>595</v>
      </c>
      <c r="H73" s="62">
        <v>12664</v>
      </c>
      <c r="I73" s="58">
        <v>10502</v>
      </c>
      <c r="J73" s="58">
        <f t="shared" si="92" ref="J73">ROUND(H73*16%,2)</f>
        <v>2026.24</v>
      </c>
      <c r="K73" s="58">
        <f>ROUND(H73*7.55%,2)</f>
        <v>956.13</v>
      </c>
      <c r="L73" s="58">
        <f>ROUND(H73*0.6%,2)</f>
        <v>75.980000000000004</v>
      </c>
      <c r="M73" s="58">
        <f>ROUND(H73*0.4%,2)</f>
        <v>50.659999999999997</v>
      </c>
      <c r="N73" s="58"/>
      <c r="O73" s="58">
        <f>ROUND(H73*0.75%,2)</f>
        <v>94.980000000000004</v>
      </c>
      <c r="P73" s="58">
        <f t="shared" si="87"/>
        <v>189.96000000000001</v>
      </c>
      <c r="Q73" s="58"/>
      <c r="R73" s="58"/>
      <c r="S73" s="58">
        <f>ROUNDUP(I73*6%,0)</f>
        <v>631</v>
      </c>
      <c r="T73" s="57">
        <f>ROUND(SUM(J73:S73),2)</f>
        <v>4024.9499999999998</v>
      </c>
      <c r="U73" s="58">
        <f>ROUND(H73*8%,2)</f>
        <v>1013.12</v>
      </c>
      <c r="V73" s="58">
        <f>ROUND(H73*2%,2)</f>
        <v>253.28</v>
      </c>
      <c r="W73" s="58">
        <f>ROUND(H73*0.4%,2)</f>
        <v>50.659999999999997</v>
      </c>
      <c r="X73" s="58"/>
      <c r="Y73" s="58"/>
      <c r="Z73" s="58"/>
      <c r="AA73" s="58">
        <f>S73</f>
        <v>631</v>
      </c>
      <c r="AB73" s="58">
        <f>ROUND(SUM(U73:AA73),2)</f>
        <v>1948.0599999999999</v>
      </c>
      <c r="AC73" s="58">
        <f>VLOOKUP(AM:AM,工资明细!E:AP,38,0)</f>
        <v>6113.1400000000003</v>
      </c>
      <c r="AD73" s="57">
        <f>VLOOKUP(AM:AM,工资明细!E:AH,30,0)</f>
        <v>6222.4099999999999</v>
      </c>
      <c r="AH73" s="57">
        <f t="shared" si="93" ref="AH73:AH93">ROUND(G73+T73+AB73+AD73+AF73+AG73+AE73,2)</f>
        <v>12790.42</v>
      </c>
      <c r="AI73" s="59">
        <f t="shared" si="94" ref="AI73:AI93">ROUND(AH73*(1/(1-0.78%)-1),2)</f>
        <v>100.55</v>
      </c>
      <c r="AJ73" s="59">
        <f t="shared" si="95" ref="AJ73:AJ93">ROUND(SUM(AH73:AI73)*6%,2)</f>
        <v>773.46000000000004</v>
      </c>
      <c r="AK73" s="59">
        <f t="shared" si="96" ref="AK73:AK93">ROUND(SUM(AH73:AJ73),2)</f>
        <v>13664.43</v>
      </c>
      <c r="AL73" s="60"/>
      <c r="AM73" s="58" t="s">
        <v>309</v>
      </c>
      <c r="AN73" s="57" t="s">
        <v>298</v>
      </c>
      <c r="AO73" s="57" t="s">
        <v>299</v>
      </c>
      <c r="AP73" s="57">
        <f t="shared" si="97" ref="AP73:AP93">U73</f>
        <v>1013.12</v>
      </c>
      <c r="AQ73" s="57">
        <f t="shared" si="98" ref="AQ73:AQ93">V73+Z73</f>
        <v>253.28</v>
      </c>
      <c r="AR73" s="57">
        <f t="shared" si="99" ref="AR73:AR93">W73</f>
        <v>50.659999999999997</v>
      </c>
      <c r="AS73" s="57">
        <f t="shared" si="100" ref="AS73:AS93">AA73</f>
        <v>631</v>
      </c>
    </row>
    <row r="74" spans="1:45" s="57" customFormat="1" ht="16.15" customHeight="1">
      <c r="A74" s="57">
        <v>64</v>
      </c>
      <c r="B74" s="58" t="s">
        <v>310</v>
      </c>
      <c r="C74" s="58" t="s">
        <v>311</v>
      </c>
      <c r="D74" s="58">
        <v>202606</v>
      </c>
      <c r="E74" s="57">
        <v>44922</v>
      </c>
      <c r="F74" s="58"/>
      <c r="G74" s="57">
        <v>595</v>
      </c>
      <c r="H74" s="58">
        <v>7299</v>
      </c>
      <c r="I74" s="58">
        <v>8421</v>
      </c>
      <c r="J74" s="58">
        <f>ROUND($H74*16%,2)</f>
        <v>1167.8399999999999</v>
      </c>
      <c r="K74" s="58">
        <f>ROUND($H74*8.5%,2)</f>
        <v>620.41999999999996</v>
      </c>
      <c r="L74" s="58">
        <f>ROUND($H74*0.5%,2)</f>
        <v>36.5</v>
      </c>
      <c r="M74" s="58">
        <f>ROUND($H74*0.6%,2)</f>
        <v>43.789999999999999</v>
      </c>
      <c r="N74" s="58"/>
      <c r="O74" s="58">
        <f>ROUND(H74*1.5%,2)</f>
        <v>109.48999999999999</v>
      </c>
      <c r="P74" s="58">
        <f t="shared" si="87"/>
        <v>109.48999999999999</v>
      </c>
      <c r="Q74" s="58"/>
      <c r="R74" s="58"/>
      <c r="S74" s="58">
        <f>ROUND(I74*5%,0)</f>
        <v>421</v>
      </c>
      <c r="T74" s="57">
        <f>ROUND(SUM(J74:S74),2)</f>
        <v>2508.5300000000002</v>
      </c>
      <c r="U74" s="58">
        <f>ROUND($H74*8%,2)</f>
        <v>583.91999999999996</v>
      </c>
      <c r="V74" s="58">
        <f>ROUND($H74*2%,2)</f>
        <v>145.97999999999999</v>
      </c>
      <c r="W74" s="58">
        <f>ROUND($H74*0.5%,2)</f>
        <v>36.5</v>
      </c>
      <c r="X74" s="58"/>
      <c r="Y74" s="58"/>
      <c r="Z74" s="58">
        <v>5</v>
      </c>
      <c r="AA74" s="58">
        <f>S74</f>
        <v>421</v>
      </c>
      <c r="AB74" s="58">
        <f>ROUND(SUM(U74:AA74),2)</f>
        <v>1192.4000000000001</v>
      </c>
      <c r="AC74" s="58">
        <f>VLOOKUP(AM:AM,工资明细!E:AP,38,0)</f>
        <v>4073.1199999999999</v>
      </c>
      <c r="AD74" s="57">
        <f>VLOOKUP(AM:AM,工资明细!E:AH,30,0)</f>
        <v>4073.1200000000008</v>
      </c>
      <c r="AH74" s="57">
        <f t="shared" si="93"/>
        <v>8369.0499999999993</v>
      </c>
      <c r="AI74" s="59">
        <f t="shared" si="94"/>
        <v>65.790000000000006</v>
      </c>
      <c r="AJ74" s="59">
        <f t="shared" si="95"/>
        <v>506.08999999999997</v>
      </c>
      <c r="AK74" s="59">
        <f t="shared" si="96"/>
        <v>8940.9300000000003</v>
      </c>
      <c r="AL74" s="63"/>
      <c r="AM74" s="58" t="s">
        <v>312</v>
      </c>
      <c r="AN74" s="57" t="s">
        <v>258</v>
      </c>
      <c r="AO74" s="57" t="s">
        <v>227</v>
      </c>
      <c r="AP74" s="57">
        <f t="shared" si="97"/>
        <v>583.91999999999996</v>
      </c>
      <c r="AQ74" s="57">
        <f t="shared" si="98"/>
        <v>150.97999999999999</v>
      </c>
      <c r="AR74" s="57">
        <f t="shared" si="99"/>
        <v>36.5</v>
      </c>
      <c r="AS74" s="57">
        <f t="shared" si="100"/>
        <v>421</v>
      </c>
    </row>
    <row r="75" spans="1:45" s="57" customFormat="1" ht="16.15" customHeight="1">
      <c r="A75" s="57">
        <v>65</v>
      </c>
      <c r="B75" s="58" t="s">
        <v>313</v>
      </c>
      <c r="C75" s="58" t="s">
        <v>193</v>
      </c>
      <c r="D75" s="58">
        <v>202606</v>
      </c>
      <c r="E75" s="57">
        <v>44986</v>
      </c>
      <c r="F75" s="58"/>
      <c r="G75" s="57">
        <v>595</v>
      </c>
      <c r="H75" s="58">
        <v>8520</v>
      </c>
      <c r="I75" s="58">
        <v>8520</v>
      </c>
      <c r="J75" s="58">
        <f>ROUND(H75*16%,2)</f>
        <v>1363.2</v>
      </c>
      <c r="K75" s="58">
        <f>ROUND(H75*9.8%,2)</f>
        <v>834.96000000000004</v>
      </c>
      <c r="L75" s="58">
        <f>ROUND(H75*0.5%,2)</f>
        <v>42.600000000000001</v>
      </c>
      <c r="M75" s="58">
        <f>ROUND(H75*0.32%,2)</f>
        <v>27.260000000000002</v>
      </c>
      <c r="N75" s="58"/>
      <c r="O75" s="58"/>
      <c r="P75" s="58">
        <f>ROUND(H75*1.5%,2)</f>
        <v>127.8</v>
      </c>
      <c r="Q75" s="58"/>
      <c r="R75" s="58"/>
      <c r="S75" s="58">
        <f>ROUND(I75*12%,0)</f>
        <v>1022</v>
      </c>
      <c r="T75" s="57">
        <f>ROUND(SUM(J75:S75),2)</f>
        <v>3417.8200000000002</v>
      </c>
      <c r="U75" s="58">
        <f>ROUND(H75*8%,2)</f>
        <v>681.60000000000002</v>
      </c>
      <c r="V75" s="58">
        <f>ROUND(H75*2%,2)</f>
        <v>170.40000000000001</v>
      </c>
      <c r="W75" s="58">
        <f>ROUND(H75*0.5%,2)</f>
        <v>42.600000000000001</v>
      </c>
      <c r="X75" s="58"/>
      <c r="Y75" s="58"/>
      <c r="Z75" s="58">
        <v>3</v>
      </c>
      <c r="AA75" s="58">
        <f>S75</f>
        <v>1022</v>
      </c>
      <c r="AB75" s="58">
        <f t="shared" si="89"/>
        <v>1919.5999999999999</v>
      </c>
      <c r="AC75" s="58">
        <f>VLOOKUP(AM:AM,工资明细!E:AP,38,0)</f>
        <v>3932.1199999999999</v>
      </c>
      <c r="AD75" s="57">
        <f>VLOOKUP(AM:AM,工资明细!E:AH,30,0)</f>
        <v>3932.1199999999999</v>
      </c>
      <c r="AH75" s="57">
        <f t="shared" si="93"/>
        <v>9864.5400000000009</v>
      </c>
      <c r="AI75" s="59">
        <f t="shared" si="94"/>
        <v>77.549999999999997</v>
      </c>
      <c r="AJ75" s="59">
        <f t="shared" si="95"/>
        <v>596.52999999999997</v>
      </c>
      <c r="AK75" s="59">
        <f t="shared" si="96"/>
        <v>10538.620000000001</v>
      </c>
      <c r="AL75" s="60"/>
      <c r="AM75" s="58" t="s">
        <v>314</v>
      </c>
      <c r="AN75" s="58" t="s">
        <v>289</v>
      </c>
      <c r="AO75" s="57" t="s">
        <v>290</v>
      </c>
      <c r="AP75" s="57">
        <f t="shared" si="97"/>
        <v>681.60000000000002</v>
      </c>
      <c r="AQ75" s="57">
        <f t="shared" si="98"/>
        <v>173.40000000000001</v>
      </c>
      <c r="AR75" s="57">
        <f t="shared" si="99"/>
        <v>42.600000000000001</v>
      </c>
      <c r="AS75" s="57">
        <f t="shared" si="100"/>
        <v>1022</v>
      </c>
    </row>
    <row r="76" spans="1:45" s="57" customFormat="1" ht="16.15" customHeight="1">
      <c r="A76" s="57">
        <v>66</v>
      </c>
      <c r="B76" s="58" t="s">
        <v>315</v>
      </c>
      <c r="C76" s="58" t="s">
        <v>194</v>
      </c>
      <c r="D76" s="58">
        <v>202606</v>
      </c>
      <c r="E76" s="57">
        <v>44999</v>
      </c>
      <c r="F76" s="58"/>
      <c r="G76" s="57">
        <v>595</v>
      </c>
      <c r="H76" s="58">
        <v>16322.50</v>
      </c>
      <c r="I76" s="58">
        <v>16322.50</v>
      </c>
      <c r="J76" s="58">
        <f>ROUND($H76*16%,2)</f>
        <v>2611.5999999999999</v>
      </c>
      <c r="K76" s="58">
        <f>ROUNDDOWN(H76*9%,2)</f>
        <v>1469.02</v>
      </c>
      <c r="L76" s="58">
        <f>ROUND(H76*0.5%,2)</f>
        <v>81.609999999999999</v>
      </c>
      <c r="M76" s="58">
        <f>ROUND(H76*0.32%,2)</f>
        <v>52.229999999999997</v>
      </c>
      <c r="N76" s="58"/>
      <c r="O76" s="58"/>
      <c r="P76" s="58">
        <f>ROUND(H76*(1.5%*0.9),2)</f>
        <v>220.34999999999999</v>
      </c>
      <c r="Q76" s="58"/>
      <c r="R76" s="58"/>
      <c r="S76" s="58">
        <f>ROUND(I76*7%,0)</f>
        <v>1143</v>
      </c>
      <c r="T76" s="57">
        <f t="shared" si="88"/>
        <v>5577.8100000000004</v>
      </c>
      <c r="U76" s="58">
        <f>ROUND(H76*8%,2)</f>
        <v>1305.8</v>
      </c>
      <c r="V76" s="58">
        <f>ROUND(H76*2%,2)</f>
        <v>326.44999999999999</v>
      </c>
      <c r="W76" s="58">
        <f>ROUND(H76*0.5%,2)</f>
        <v>81.609999999999999</v>
      </c>
      <c r="X76" s="58"/>
      <c r="Y76" s="58"/>
      <c r="Z76" s="58"/>
      <c r="AA76" s="58">
        <f>ROUND(I76*7%,0)</f>
        <v>1143</v>
      </c>
      <c r="AB76" s="58">
        <f t="shared" si="89"/>
        <v>2856.8600000000001</v>
      </c>
      <c r="AC76" s="58">
        <f>VLOOKUP(AM:AM,工资明细!E:AP,38,0)</f>
        <v>5293.1400000000003</v>
      </c>
      <c r="AD76" s="57">
        <f>VLOOKUP(AM:AM,工资明细!E:AH,30,0)</f>
        <v>5643.1400000000003</v>
      </c>
      <c r="AH76" s="57">
        <f t="shared" si="93"/>
        <v>14672.809999999999</v>
      </c>
      <c r="AI76" s="59">
        <f t="shared" si="94"/>
        <v>115.34999999999999</v>
      </c>
      <c r="AJ76" s="59">
        <f t="shared" si="95"/>
        <v>887.28999999999996</v>
      </c>
      <c r="AK76" s="59">
        <f t="shared" si="96"/>
        <v>15675.450000000001</v>
      </c>
      <c r="AL76" s="60"/>
      <c r="AM76" s="58" t="s">
        <v>316</v>
      </c>
      <c r="AN76" s="57" t="s">
        <v>50</v>
      </c>
      <c r="AO76" s="57" t="s">
        <v>209</v>
      </c>
      <c r="AP76" s="57">
        <f t="shared" si="97"/>
        <v>1305.8</v>
      </c>
      <c r="AQ76" s="57">
        <f t="shared" si="98"/>
        <v>326.44999999999999</v>
      </c>
      <c r="AR76" s="57">
        <f t="shared" si="99"/>
        <v>81.609999999999999</v>
      </c>
      <c r="AS76" s="57">
        <f t="shared" si="100"/>
        <v>1143</v>
      </c>
    </row>
    <row r="77" spans="1:45" s="57" customFormat="1" ht="16.15" customHeight="1">
      <c r="A77" s="57">
        <v>67</v>
      </c>
      <c r="B77" s="58" t="s">
        <v>317</v>
      </c>
      <c r="C77" s="58" t="s">
        <v>195</v>
      </c>
      <c r="D77" s="58">
        <v>202606</v>
      </c>
      <c r="E77" s="57">
        <v>45017</v>
      </c>
      <c r="F77" s="58"/>
      <c r="G77" s="57">
        <v>595</v>
      </c>
      <c r="H77" s="58">
        <v>8181</v>
      </c>
      <c r="I77" s="58">
        <v>8180.51</v>
      </c>
      <c r="J77" s="58">
        <f>ROUND($H77*16%,2)</f>
        <v>1308.96</v>
      </c>
      <c r="K77" s="58">
        <f>ROUND($H77*8.7%,2)</f>
        <v>711.75</v>
      </c>
      <c r="L77" s="58">
        <f>ROUND($H77*0.7%,2)</f>
        <v>57.270000000000003</v>
      </c>
      <c r="M77" s="58">
        <f>ROUND($H77*0.2%,2)</f>
        <v>16.359999999999999</v>
      </c>
      <c r="N77" s="58"/>
      <c r="O77" s="58"/>
      <c r="P77" s="58">
        <f>ROUND(H77*1.5%,2)</f>
        <v>122.72</v>
      </c>
      <c r="Q77" s="58"/>
      <c r="R77" s="58"/>
      <c r="S77" s="58">
        <f>ROUND($I77*8%,2)</f>
        <v>654.44000000000005</v>
      </c>
      <c r="T77" s="57">
        <f>ROUND(SUM(J77:S77),2)</f>
        <v>2871.5</v>
      </c>
      <c r="U77" s="58">
        <f>ROUND($H77*8%,2)</f>
        <v>654.48000000000002</v>
      </c>
      <c r="V77" s="58">
        <f>ROUND($H77*2%,2)</f>
        <v>163.62</v>
      </c>
      <c r="W77" s="58">
        <f>ROUND($H77*0.3%,2)</f>
        <v>24.539999999999999</v>
      </c>
      <c r="X77" s="58"/>
      <c r="Y77" s="58"/>
      <c r="Z77" s="58">
        <v>7</v>
      </c>
      <c r="AA77" s="58">
        <f>S77</f>
        <v>654.44000000000005</v>
      </c>
      <c r="AB77" s="58">
        <f>ROUND(SUM(U77:AA77),2)</f>
        <v>1504.0799999999999</v>
      </c>
      <c r="AC77" s="58">
        <f>VLOOKUP(AM:AM,工资明细!E:AP,38,0)</f>
        <v>6882.1300000000001</v>
      </c>
      <c r="AD77" s="57">
        <f>VLOOKUP(AM:AM,工资明细!E:AH,30,0)</f>
        <v>6882.1299999999992</v>
      </c>
      <c r="AH77" s="57">
        <f t="shared" si="93"/>
        <v>11852.709999999999</v>
      </c>
      <c r="AI77" s="59">
        <f t="shared" si="94"/>
        <v>93.180000000000007</v>
      </c>
      <c r="AJ77" s="59">
        <f t="shared" si="95"/>
        <v>716.75</v>
      </c>
      <c r="AK77" s="59">
        <f t="shared" si="96"/>
        <v>12662.639999999999</v>
      </c>
      <c r="AL77" s="60"/>
      <c r="AM77" s="58" t="s">
        <v>318</v>
      </c>
      <c r="AN77" s="58" t="s">
        <v>294</v>
      </c>
      <c r="AO77" s="57" t="s">
        <v>227</v>
      </c>
      <c r="AP77" s="57">
        <f t="shared" si="97"/>
        <v>654.48000000000002</v>
      </c>
      <c r="AQ77" s="57">
        <f t="shared" si="98"/>
        <v>170.62</v>
      </c>
      <c r="AR77" s="57">
        <f t="shared" si="99"/>
        <v>24.539999999999999</v>
      </c>
      <c r="AS77" s="57">
        <f t="shared" si="100"/>
        <v>654.44000000000005</v>
      </c>
    </row>
    <row r="78" spans="2:45" s="57" customFormat="1" ht="16.15" customHeight="1">
      <c r="B78" s="58" t="s">
        <v>319</v>
      </c>
      <c r="C78" s="58"/>
      <c r="D78" s="58">
        <v>202605</v>
      </c>
      <c r="E78" s="57">
        <v>45231</v>
      </c>
      <c r="F78" s="58"/>
      <c r="G78" s="57">
        <v>595</v>
      </c>
      <c r="H78" s="62">
        <v>-1256</v>
      </c>
      <c r="I78" s="58">
        <v>12272</v>
      </c>
      <c r="J78" s="58">
        <f t="shared" si="101" ref="J78">ROUND(H78*16%,2)</f>
        <v>-200.96000000000001</v>
      </c>
      <c r="K78" s="58">
        <f>ROUND(H78*7.55%,2)</f>
        <v>-94.829999999999998</v>
      </c>
      <c r="L78" s="58">
        <f>ROUND(H78*0.6%,2)</f>
        <v>-7.54</v>
      </c>
      <c r="M78" s="58">
        <f>ROUND(H78*0.4%,2)</f>
        <v>-5.0199999999999996</v>
      </c>
      <c r="N78" s="58"/>
      <c r="O78" s="58">
        <f>ROUND(H78*0.75%,2)</f>
        <v>-9.4199999999999999</v>
      </c>
      <c r="P78" s="58">
        <f t="shared" si="102" ref="P78">ROUND(H78*1.5%,2)</f>
        <v>-18.84</v>
      </c>
      <c r="Q78" s="58"/>
      <c r="R78" s="58"/>
      <c r="S78" s="58"/>
      <c r="T78" s="57">
        <f t="shared" si="103" ref="T78">ROUND(SUM(J78:S78),2)</f>
        <v>-336.61000000000001</v>
      </c>
      <c r="U78" s="58">
        <f t="shared" si="104" ref="U78">ROUND(H78*8%,2)</f>
        <v>-100.48</v>
      </c>
      <c r="V78" s="58">
        <f t="shared" si="105" ref="V78">ROUND(H78*2%,2)</f>
        <v>-25.120000000000001</v>
      </c>
      <c r="W78" s="58">
        <f>ROUND(H78*0.4%,2)</f>
        <v>-5.0199999999999996</v>
      </c>
      <c r="X78" s="58"/>
      <c r="Y78" s="58"/>
      <c r="Z78" s="58"/>
      <c r="AA78" s="58">
        <f t="shared" si="106" ref="AA78">S78</f>
        <v>0</v>
      </c>
      <c r="AB78" s="58">
        <f>ROUND(SUM(U78:AA78),2)</f>
        <v>-130.62</v>
      </c>
      <c r="AC78" s="58"/>
      <c r="AH78" s="57">
        <f t="shared" si="107" ref="AH78">ROUND(G78+T78+AB78+AD78+AF78+AG78+AE78,2)</f>
        <v>127.77</v>
      </c>
      <c r="AI78" s="59">
        <f t="shared" si="108" ref="AI78">ROUND(AH78*(1/(1-0.78%)-1),2)</f>
        <v>1</v>
      </c>
      <c r="AJ78" s="59">
        <f t="shared" si="109" ref="AJ78">ROUND(SUM(AH78:AI78)*6%,2)</f>
        <v>7.7300000000000004</v>
      </c>
      <c r="AK78" s="59">
        <f t="shared" si="110" ref="AK78">ROUND(SUM(AH78:AJ78),2)</f>
        <v>136.5</v>
      </c>
      <c r="AL78" s="60" t="s">
        <v>375</v>
      </c>
      <c r="AM78" s="58" t="s">
        <v>206</v>
      </c>
      <c r="AN78" s="57" t="s">
        <v>298</v>
      </c>
      <c r="AO78" s="57" t="s">
        <v>226</v>
      </c>
      <c r="AP78" s="57">
        <f t="shared" si="97"/>
        <v>-100.48</v>
      </c>
      <c r="AQ78" s="57">
        <f t="shared" si="98"/>
        <v>-25.120000000000001</v>
      </c>
      <c r="AR78" s="57">
        <f t="shared" si="99"/>
        <v>-5.0199999999999996</v>
      </c>
      <c r="AS78" s="57">
        <f t="shared" si="100"/>
        <v>0</v>
      </c>
    </row>
    <row r="79" spans="1:45" s="57" customFormat="1" ht="16.15" customHeight="1">
      <c r="A79" s="57">
        <v>68</v>
      </c>
      <c r="B79" s="58" t="s">
        <v>319</v>
      </c>
      <c r="C79" s="58" t="s">
        <v>320</v>
      </c>
      <c r="D79" s="58">
        <v>202606</v>
      </c>
      <c r="E79" s="57">
        <v>45231</v>
      </c>
      <c r="F79" s="58"/>
      <c r="G79" s="57">
        <v>595</v>
      </c>
      <c r="H79" s="62">
        <v>10907</v>
      </c>
      <c r="I79" s="58">
        <v>12272</v>
      </c>
      <c r="J79" s="58">
        <f t="shared" si="111" ref="J79">ROUND(H79*16%,2)</f>
        <v>1745.1199999999999</v>
      </c>
      <c r="K79" s="58">
        <f>ROUND(H79*7.55%,2)</f>
        <v>823.48000000000002</v>
      </c>
      <c r="L79" s="58">
        <f>ROUND(H79*0.6%,2)</f>
        <v>65.439999999999998</v>
      </c>
      <c r="M79" s="58">
        <f>ROUND(H79*0.4%,2)</f>
        <v>43.630000000000003</v>
      </c>
      <c r="N79" s="58"/>
      <c r="O79" s="58">
        <f>ROUND(H79*0.75%,2)</f>
        <v>81.799999999999997</v>
      </c>
      <c r="P79" s="58">
        <f t="shared" si="112" ref="P79">ROUND(H79*1.5%,2)</f>
        <v>163.61000000000001</v>
      </c>
      <c r="Q79" s="58"/>
      <c r="R79" s="58"/>
      <c r="S79" s="58">
        <f>ROUNDUP(I79*6%,0)</f>
        <v>737</v>
      </c>
      <c r="T79" s="57">
        <f t="shared" si="113" ref="T79:T83">ROUND(SUM(J79:S79),2)</f>
        <v>3660.0799999999999</v>
      </c>
      <c r="U79" s="58">
        <f t="shared" si="114" ref="U79:U81">ROUND(H79*8%,2)</f>
        <v>872.55999999999995</v>
      </c>
      <c r="V79" s="58">
        <f t="shared" si="115" ref="V79:V83">ROUND(H79*2%,2)</f>
        <v>218.13999999999999</v>
      </c>
      <c r="W79" s="58">
        <f>ROUND(H79*0.4%,2)</f>
        <v>43.630000000000003</v>
      </c>
      <c r="X79" s="58"/>
      <c r="Y79" s="58"/>
      <c r="Z79" s="58"/>
      <c r="AA79" s="58">
        <f t="shared" si="116" ref="AA79:AA81">S79</f>
        <v>737</v>
      </c>
      <c r="AB79" s="58">
        <f>ROUND(SUM(U79:AA79),2)</f>
        <v>1871.3299999999999</v>
      </c>
      <c r="AC79" s="58">
        <f>VLOOKUP(AM:AM,工资明细!E:AP,38,0)</f>
        <v>10315.27</v>
      </c>
      <c r="AD79" s="57">
        <f>VLOOKUP(AM:AM,工资明细!E:AH,30,0)</f>
        <v>10693.259999999998</v>
      </c>
      <c r="AH79" s="57">
        <f t="shared" si="93"/>
        <v>16819.669999999998</v>
      </c>
      <c r="AI79" s="59">
        <f t="shared" si="94"/>
        <v>132.22</v>
      </c>
      <c r="AJ79" s="59">
        <f t="shared" si="95"/>
        <v>1017.11</v>
      </c>
      <c r="AK79" s="59">
        <f t="shared" si="96"/>
        <v>17969</v>
      </c>
      <c r="AL79" s="60"/>
      <c r="AM79" s="58" t="s">
        <v>321</v>
      </c>
      <c r="AN79" s="57" t="s">
        <v>298</v>
      </c>
      <c r="AO79" s="57" t="s">
        <v>299</v>
      </c>
      <c r="AP79" s="57">
        <f t="shared" si="97"/>
        <v>872.55999999999995</v>
      </c>
      <c r="AQ79" s="57">
        <f t="shared" si="98"/>
        <v>218.13999999999999</v>
      </c>
      <c r="AR79" s="57">
        <f t="shared" si="99"/>
        <v>43.630000000000003</v>
      </c>
      <c r="AS79" s="57">
        <f t="shared" si="100"/>
        <v>737</v>
      </c>
    </row>
    <row r="80" spans="1:45" s="57" customFormat="1" ht="16.15" customHeight="1">
      <c r="A80" s="57">
        <v>69</v>
      </c>
      <c r="B80" s="58" t="s">
        <v>322</v>
      </c>
      <c r="C80" s="58" t="s">
        <v>323</v>
      </c>
      <c r="D80" s="58">
        <v>202606</v>
      </c>
      <c r="E80" s="57">
        <v>45231</v>
      </c>
      <c r="F80" s="58"/>
      <c r="G80" s="57">
        <v>595</v>
      </c>
      <c r="H80" s="58">
        <v>9020.56</v>
      </c>
      <c r="I80" s="58">
        <v>9020.56</v>
      </c>
      <c r="J80" s="58">
        <f>ROUND(H80*17%,2)</f>
        <v>1533.5</v>
      </c>
      <c r="K80" s="58">
        <f>ROUND(H80*6%,2)</f>
        <v>541.23000000000002</v>
      </c>
      <c r="L80" s="58">
        <f>ROUND(H80*0.8%,2)</f>
        <v>72.159999999999997</v>
      </c>
      <c r="M80" s="58">
        <f>ROUND(H80*0.4%,2)</f>
        <v>36.079999999999998</v>
      </c>
      <c r="N80" s="58">
        <f>ROUND(9020.56*0.5%,2)</f>
        <v>45.100000000000001</v>
      </c>
      <c r="O80" s="58"/>
      <c r="P80" s="58">
        <v>41.19</v>
      </c>
      <c r="Q80" s="58"/>
      <c r="R80" s="58"/>
      <c r="S80" s="58">
        <f>ROUNDUP(I80*7%,2)</f>
        <v>631.44000000000005</v>
      </c>
      <c r="T80" s="57">
        <f t="shared" si="113"/>
        <v>2900.6999999999998</v>
      </c>
      <c r="U80" s="58">
        <f t="shared" si="114"/>
        <v>721.63999999999999</v>
      </c>
      <c r="V80" s="58">
        <f t="shared" si="115"/>
        <v>180.41</v>
      </c>
      <c r="W80" s="58">
        <f>ROUND(H80*0.2%,2)</f>
        <v>18.039999999999999</v>
      </c>
      <c r="AA80" s="58">
        <f t="shared" si="116"/>
        <v>631.44000000000005</v>
      </c>
      <c r="AB80" s="58">
        <f>ROUND(SUM(U80:AA80),2)</f>
        <v>1551.53</v>
      </c>
      <c r="AC80" s="58">
        <f>VLOOKUP(AM:AM,工资明细!E:AP,38,0)</f>
        <v>9685.7999999999993</v>
      </c>
      <c r="AD80" s="57">
        <f>VLOOKUP(AM:AM,工资明细!E:AH,30,0)</f>
        <v>9775.0900000000001</v>
      </c>
      <c r="AH80" s="57">
        <f t="shared" si="93"/>
        <v>14822.32</v>
      </c>
      <c r="AI80" s="59">
        <f t="shared" si="94"/>
        <v>116.52</v>
      </c>
      <c r="AJ80" s="59">
        <f t="shared" si="95"/>
        <v>896.33000000000004</v>
      </c>
      <c r="AK80" s="59">
        <f t="shared" si="96"/>
        <v>15835.17</v>
      </c>
      <c r="AL80" s="60"/>
      <c r="AM80" s="58" t="s">
        <v>324</v>
      </c>
      <c r="AN80" s="58" t="s">
        <v>325</v>
      </c>
      <c r="AO80" s="57" t="s">
        <v>326</v>
      </c>
      <c r="AP80" s="57">
        <f t="shared" si="97"/>
        <v>721.63999999999999</v>
      </c>
      <c r="AQ80" s="57">
        <f t="shared" si="98"/>
        <v>180.41</v>
      </c>
      <c r="AR80" s="57">
        <f t="shared" si="99"/>
        <v>18.039999999999999</v>
      </c>
      <c r="AS80" s="57">
        <f t="shared" si="100"/>
        <v>631.44000000000005</v>
      </c>
    </row>
    <row r="81" spans="1:45" s="57" customFormat="1" ht="16.15" customHeight="1">
      <c r="A81" s="57">
        <v>70</v>
      </c>
      <c r="B81" s="58" t="s">
        <v>327</v>
      </c>
      <c r="C81" s="58" t="s">
        <v>198</v>
      </c>
      <c r="D81" s="58">
        <v>202606</v>
      </c>
      <c r="E81" s="57">
        <v>45274</v>
      </c>
      <c r="F81" s="58"/>
      <c r="G81" s="57">
        <v>595</v>
      </c>
      <c r="H81" s="58">
        <v>9927</v>
      </c>
      <c r="I81" s="58">
        <v>9927</v>
      </c>
      <c r="J81" s="58">
        <f>ROUND(H81*16%,2)</f>
        <v>1588.3199999999999</v>
      </c>
      <c r="K81" s="58">
        <f>ROUND(H81*9.8%,2)</f>
        <v>972.85000000000002</v>
      </c>
      <c r="L81" s="58">
        <f>ROUND(H81*0.5%,2)</f>
        <v>49.640000000000001</v>
      </c>
      <c r="M81" s="58">
        <f t="shared" si="117" ref="M81">ROUND(H81*0.32%,2)</f>
        <v>31.77</v>
      </c>
      <c r="N81" s="58"/>
      <c r="O81" s="58"/>
      <c r="P81" s="58">
        <f>ROUND(H81*1.5%,2)</f>
        <v>148.91</v>
      </c>
      <c r="Q81" s="58"/>
      <c r="R81" s="58"/>
      <c r="S81" s="58">
        <f>ROUND(I81*12%,0)</f>
        <v>1191</v>
      </c>
      <c r="T81" s="57">
        <f t="shared" si="113"/>
        <v>3982.4899999999998</v>
      </c>
      <c r="U81" s="58">
        <f t="shared" si="114"/>
        <v>794.15999999999997</v>
      </c>
      <c r="V81" s="58">
        <f t="shared" si="115"/>
        <v>198.53999999999999</v>
      </c>
      <c r="W81" s="58">
        <f>ROUND(H81*0.5%,2)</f>
        <v>49.640000000000001</v>
      </c>
      <c r="X81" s="58"/>
      <c r="Y81" s="58"/>
      <c r="Z81" s="58">
        <v>3</v>
      </c>
      <c r="AA81" s="58">
        <f t="shared" si="116"/>
        <v>1191</v>
      </c>
      <c r="AB81" s="58">
        <f t="shared" si="89"/>
        <v>2236.3400000000001</v>
      </c>
      <c r="AC81" s="58">
        <f>VLOOKUP(AM:AM,工资明细!E:AP,38,0)</f>
        <v>8179.4300000000003</v>
      </c>
      <c r="AD81" s="57">
        <f>VLOOKUP(AM:AM,工资明细!E:AH,30,0)</f>
        <v>8346.9300000000003</v>
      </c>
      <c r="AH81" s="57">
        <f t="shared" si="93"/>
        <v>15160.76</v>
      </c>
      <c r="AI81" s="59">
        <f t="shared" si="94"/>
        <v>119.18000000000001</v>
      </c>
      <c r="AJ81" s="59">
        <f t="shared" si="95"/>
        <v>916.79999999999995</v>
      </c>
      <c r="AK81" s="59">
        <f t="shared" si="96"/>
        <v>16196.74</v>
      </c>
      <c r="AL81" s="60"/>
      <c r="AM81" s="58" t="s">
        <v>197</v>
      </c>
      <c r="AN81" s="58" t="s">
        <v>289</v>
      </c>
      <c r="AO81" s="57" t="s">
        <v>290</v>
      </c>
      <c r="AP81" s="57">
        <f t="shared" si="97"/>
        <v>794.15999999999997</v>
      </c>
      <c r="AQ81" s="57">
        <f t="shared" si="98"/>
        <v>201.53999999999999</v>
      </c>
      <c r="AR81" s="57">
        <f t="shared" si="99"/>
        <v>49.640000000000001</v>
      </c>
      <c r="AS81" s="57">
        <f t="shared" si="100"/>
        <v>1191</v>
      </c>
    </row>
    <row r="82" spans="1:45" s="57" customFormat="1" ht="16.15" customHeight="1">
      <c r="A82" s="57">
        <v>71</v>
      </c>
      <c r="B82" s="58" t="s">
        <v>328</v>
      </c>
      <c r="C82" s="58" t="s">
        <v>329</v>
      </c>
      <c r="D82" s="58">
        <v>202606</v>
      </c>
      <c r="E82" s="57">
        <v>45397</v>
      </c>
      <c r="F82" s="58"/>
      <c r="G82" s="57">
        <v>595</v>
      </c>
      <c r="H82" s="58">
        <v>6596.18</v>
      </c>
      <c r="I82" s="58">
        <v>6596</v>
      </c>
      <c r="J82" s="58">
        <f>ROUND(H82*16%,2)</f>
        <v>1055.3900000000001</v>
      </c>
      <c r="K82" s="58">
        <f>ROUND(H82*6.8%,2)</f>
        <v>448.54000000000002</v>
      </c>
      <c r="L82" s="58">
        <f>ROUND(H82*0.5%,2)</f>
        <v>32.979999999999997</v>
      </c>
      <c r="M82" s="58">
        <f>ROUND(H82*0.2%,2)</f>
        <v>13.19</v>
      </c>
      <c r="N82" s="58"/>
      <c r="O82" s="58">
        <v>23.74</v>
      </c>
      <c r="P82" s="58">
        <f t="shared" si="118" ref="P82:P84">ROUND(H82*1.5%,2)</f>
        <v>98.939999999999998</v>
      </c>
      <c r="Q82" s="58"/>
      <c r="R82" s="58">
        <v>7.92</v>
      </c>
      <c r="S82" s="58">
        <f>ROUND(I82*12%,0)</f>
        <v>792</v>
      </c>
      <c r="T82" s="57">
        <f>ROUND(SUM(J82:S82),2)</f>
        <v>2472.6999999999998</v>
      </c>
      <c r="U82" s="58">
        <f>ROUND(H82*8%,2)</f>
        <v>527.69000000000005</v>
      </c>
      <c r="V82" s="58">
        <f t="shared" si="115"/>
        <v>131.91999999999999</v>
      </c>
      <c r="W82" s="58">
        <f>ROUND(H82*0.5%,2)</f>
        <v>32.979999999999997</v>
      </c>
      <c r="X82" s="58"/>
      <c r="Y82" s="58"/>
      <c r="Z82" s="58">
        <v>15.82</v>
      </c>
      <c r="AA82" s="58">
        <f t="shared" si="119" ref="AA82">S82</f>
        <v>792</v>
      </c>
      <c r="AB82" s="58">
        <f>ROUND(SUM(U82:AA82),2)</f>
        <v>1500.4100000000001</v>
      </c>
      <c r="AC82" s="58">
        <f>VLOOKUP(AM:AM,工资明细!E:AP,38,0)</f>
        <v>20248.810000000001</v>
      </c>
      <c r="AD82" s="57">
        <f>VLOOKUP(AM:AM,工资明细!E:AH,30,0)</f>
        <v>20614.75</v>
      </c>
      <c r="AH82" s="57">
        <f t="shared" si="93"/>
        <v>25182.860000000001</v>
      </c>
      <c r="AI82" s="59">
        <f t="shared" si="94"/>
        <v>197.97</v>
      </c>
      <c r="AJ82" s="59">
        <f t="shared" si="95"/>
        <v>1522.8499999999999</v>
      </c>
      <c r="AK82" s="59">
        <f t="shared" si="96"/>
        <v>26903.68</v>
      </c>
      <c r="AL82" s="60"/>
      <c r="AM82" s="58" t="s">
        <v>330</v>
      </c>
      <c r="AN82" s="57" t="s">
        <v>302</v>
      </c>
      <c r="AO82" s="57" t="s">
        <v>227</v>
      </c>
      <c r="AP82" s="57">
        <f t="shared" si="97"/>
        <v>527.69000000000005</v>
      </c>
      <c r="AQ82" s="57">
        <f t="shared" si="98"/>
        <v>147.73999999999998</v>
      </c>
      <c r="AR82" s="57">
        <f t="shared" si="99"/>
        <v>32.979999999999997</v>
      </c>
      <c r="AS82" s="57">
        <f t="shared" si="100"/>
        <v>792</v>
      </c>
    </row>
    <row r="83" spans="1:45" s="57" customFormat="1" ht="16.15" customHeight="1">
      <c r="A83" s="57">
        <v>72</v>
      </c>
      <c r="B83" s="58" t="s">
        <v>331</v>
      </c>
      <c r="C83" s="58" t="s">
        <v>332</v>
      </c>
      <c r="D83" s="58">
        <v>202606</v>
      </c>
      <c r="E83" s="57">
        <v>45434</v>
      </c>
      <c r="F83" s="58"/>
      <c r="G83" s="57">
        <v>595</v>
      </c>
      <c r="H83" s="58">
        <v>6792</v>
      </c>
      <c r="I83" s="58">
        <v>6791.82</v>
      </c>
      <c r="J83" s="58">
        <f>ROUND($H83*16%,2)</f>
        <v>1086.72</v>
      </c>
      <c r="K83" s="58">
        <f>ROUND(H83*8.7%,2)</f>
        <v>590.89999999999998</v>
      </c>
      <c r="L83" s="58">
        <f>ROUND($H83*0.7%,2)</f>
        <v>47.539999999999999</v>
      </c>
      <c r="M83" s="58">
        <f>ROUND($H83*0.2%,2)</f>
        <v>13.58</v>
      </c>
      <c r="N83" s="58"/>
      <c r="O83" s="58"/>
      <c r="P83" s="58">
        <f t="shared" si="118"/>
        <v>101.88</v>
      </c>
      <c r="Q83" s="58"/>
      <c r="R83" s="58"/>
      <c r="S83" s="58">
        <f>ROUND($I83*8%,2)</f>
        <v>543.35000000000002</v>
      </c>
      <c r="T83" s="57">
        <f t="shared" si="113"/>
        <v>2383.9699999999998</v>
      </c>
      <c r="U83" s="58">
        <f>ROUND($H83*8%,2)</f>
        <v>543.36000000000001</v>
      </c>
      <c r="V83" s="58">
        <f t="shared" si="115"/>
        <v>135.84</v>
      </c>
      <c r="W83" s="58">
        <f>ROUND($H83*0.3%,2)</f>
        <v>20.379999999999999</v>
      </c>
      <c r="X83" s="58"/>
      <c r="Y83" s="58"/>
      <c r="Z83" s="58">
        <v>7</v>
      </c>
      <c r="AA83" s="58">
        <f t="shared" si="120" ref="AA83:AA85">S83</f>
        <v>543.35000000000002</v>
      </c>
      <c r="AB83" s="58">
        <f t="shared" si="121" ref="AB83:AB86">ROUND(SUM(U83:AA83),2)</f>
        <v>1249.9300000000001</v>
      </c>
      <c r="AC83" s="58">
        <f>VLOOKUP(AM:AM,工资明细!E:AP,38,0)</f>
        <v>6456.5</v>
      </c>
      <c r="AD83" s="57">
        <f>VLOOKUP(AM:AM,工资明细!E:AH,30,0)</f>
        <v>6540.1999999999998</v>
      </c>
      <c r="AH83" s="57">
        <f t="shared" si="93"/>
        <v>10769.1</v>
      </c>
      <c r="AI83" s="59">
        <f t="shared" si="94"/>
        <v>84.659999999999997</v>
      </c>
      <c r="AJ83" s="59">
        <f t="shared" si="95"/>
        <v>651.23000000000002</v>
      </c>
      <c r="AK83" s="59">
        <f t="shared" si="96"/>
        <v>11504.99</v>
      </c>
      <c r="AL83" s="60"/>
      <c r="AM83" s="58" t="s">
        <v>333</v>
      </c>
      <c r="AN83" s="58" t="s">
        <v>294</v>
      </c>
      <c r="AO83" s="57" t="s">
        <v>227</v>
      </c>
      <c r="AP83" s="57">
        <f t="shared" si="97"/>
        <v>543.36000000000001</v>
      </c>
      <c r="AQ83" s="57">
        <f t="shared" si="98"/>
        <v>142.84</v>
      </c>
      <c r="AR83" s="57">
        <f t="shared" si="99"/>
        <v>20.379999999999999</v>
      </c>
      <c r="AS83" s="57">
        <f t="shared" si="100"/>
        <v>543.35000000000002</v>
      </c>
    </row>
    <row r="84" spans="1:45" s="57" customFormat="1" ht="16.15" customHeight="1">
      <c r="A84" s="57">
        <v>73</v>
      </c>
      <c r="B84" s="58" t="s">
        <v>334</v>
      </c>
      <c r="C84" s="58" t="s">
        <v>335</v>
      </c>
      <c r="D84" s="58">
        <v>202606</v>
      </c>
      <c r="E84" s="57">
        <v>45761</v>
      </c>
      <c r="F84" s="58"/>
      <c r="G84" s="57">
        <v>595</v>
      </c>
      <c r="H84" s="58">
        <v>4498</v>
      </c>
      <c r="I84" s="58">
        <v>3600</v>
      </c>
      <c r="J84" s="58">
        <f>ROUND($H84*16%,2)</f>
        <v>719.67999999999995</v>
      </c>
      <c r="K84" s="58">
        <f>ROUND(4498*8.7%,2)</f>
        <v>391.32999999999998</v>
      </c>
      <c r="L84" s="58">
        <f>ROUND($H84*0.7%,2)</f>
        <v>31.489999999999998</v>
      </c>
      <c r="M84" s="58">
        <f t="shared" si="122" ref="M84">ROUND($H84*0.2%,2)</f>
        <v>9</v>
      </c>
      <c r="N84" s="58"/>
      <c r="O84" s="58"/>
      <c r="P84" s="58">
        <f t="shared" si="118"/>
        <v>67.469999999999999</v>
      </c>
      <c r="Q84" s="58"/>
      <c r="R84" s="58"/>
      <c r="S84" s="58">
        <f>ROUND(I84*8%,2)</f>
        <v>288</v>
      </c>
      <c r="T84" s="57">
        <f>ROUND(SUM(J84:S84),2)</f>
        <v>1506.97</v>
      </c>
      <c r="U84" s="58">
        <f>ROUND($H84*8%,2)</f>
        <v>359.83999999999997</v>
      </c>
      <c r="V84" s="58">
        <f>ROUND(4498*2%,2)</f>
        <v>89.959999999999994</v>
      </c>
      <c r="W84" s="58">
        <f>ROUND($H84*0.3%,2)</f>
        <v>13.49</v>
      </c>
      <c r="X84" s="58"/>
      <c r="Y84" s="58"/>
      <c r="Z84" s="58">
        <v>7</v>
      </c>
      <c r="AA84" s="58">
        <f t="shared" si="120"/>
        <v>288</v>
      </c>
      <c r="AB84" s="58">
        <f>ROUND(SUM(U84:AA84),2)</f>
        <v>758.28999999999996</v>
      </c>
      <c r="AC84" s="58">
        <f>VLOOKUP(AM:AM,工资明细!E:AP,38,0)</f>
        <v>3874.02</v>
      </c>
      <c r="AD84" s="57">
        <f>VLOOKUP(AM:AM,工资明细!E:AH,30,0)</f>
        <v>3874.0200000000004</v>
      </c>
      <c r="AH84" s="57">
        <f t="shared" si="93"/>
        <v>6734.2799999999997</v>
      </c>
      <c r="AI84" s="59">
        <f t="shared" si="94"/>
        <v>52.939999999999998</v>
      </c>
      <c r="AJ84" s="59">
        <f t="shared" si="95"/>
        <v>407.23000000000002</v>
      </c>
      <c r="AK84" s="59">
        <f t="shared" si="96"/>
        <v>7194.4499999999998</v>
      </c>
      <c r="AL84" s="60"/>
      <c r="AM84" s="61" t="s">
        <v>336</v>
      </c>
      <c r="AN84" s="58" t="s">
        <v>294</v>
      </c>
      <c r="AO84" s="57" t="s">
        <v>227</v>
      </c>
      <c r="AP84" s="57">
        <f t="shared" si="97"/>
        <v>359.83999999999997</v>
      </c>
      <c r="AQ84" s="57">
        <f t="shared" si="98"/>
        <v>96.959999999999994</v>
      </c>
      <c r="AR84" s="57">
        <f t="shared" si="99"/>
        <v>13.49</v>
      </c>
      <c r="AS84" s="57">
        <f t="shared" si="100"/>
        <v>288</v>
      </c>
    </row>
    <row r="85" spans="1:45" s="57" customFormat="1" ht="16.15" customHeight="1">
      <c r="A85" s="57">
        <v>74</v>
      </c>
      <c r="B85" s="58" t="s">
        <v>337</v>
      </c>
      <c r="C85" s="58" t="s">
        <v>338</v>
      </c>
      <c r="D85" s="58">
        <v>202606</v>
      </c>
      <c r="E85" s="57">
        <v>45826</v>
      </c>
      <c r="F85" s="58"/>
      <c r="G85" s="57">
        <v>595</v>
      </c>
      <c r="H85" s="58">
        <v>4775</v>
      </c>
      <c r="I85" s="58">
        <v>4600</v>
      </c>
      <c r="J85" s="58">
        <f>ROUND(H85*16%,2)</f>
        <v>764</v>
      </c>
      <c r="K85" s="58">
        <f>ROUND(6727*6%,2)</f>
        <v>403.62</v>
      </c>
      <c r="L85" s="58">
        <f>ROUND(4600*0.8%,2)</f>
        <v>36.799999999999997</v>
      </c>
      <c r="M85" s="58">
        <f>ROUND(I85*0.4%,2)</f>
        <v>18.399999999999999</v>
      </c>
      <c r="N85" s="58">
        <f>ROUND(6727*0.5%,2)</f>
        <v>33.640000000000001</v>
      </c>
      <c r="O85" s="58"/>
      <c r="P85" s="58">
        <v>41.19</v>
      </c>
      <c r="Q85" s="58"/>
      <c r="R85" s="58"/>
      <c r="S85" s="58">
        <f>ROUNDUP(I85*7%,2)</f>
        <v>322</v>
      </c>
      <c r="T85" s="57">
        <f>ROUND(SUM(J85:S85),2)</f>
        <v>1619.6500000000001</v>
      </c>
      <c r="U85" s="58">
        <f>ROUND(H85*8%,2)</f>
        <v>382</v>
      </c>
      <c r="V85" s="58">
        <f>ROUND(6727*2%,2)</f>
        <v>134.53999999999999</v>
      </c>
      <c r="W85" s="58">
        <f>ROUND(I85*0.2%,2)</f>
        <v>9.1999999999999993</v>
      </c>
      <c r="X85" s="58"/>
      <c r="Y85" s="58"/>
      <c r="Z85" s="58"/>
      <c r="AA85" s="58">
        <f t="shared" si="120"/>
        <v>322</v>
      </c>
      <c r="AB85" s="58">
        <f>ROUND(SUM(U85:AA85),2)</f>
        <v>847.74000000000001</v>
      </c>
      <c r="AC85" s="58">
        <f>VLOOKUP(AM:AM,工资明细!E:AP,38,0)</f>
        <v>11941</v>
      </c>
      <c r="AD85" s="57">
        <f>VLOOKUP(AM:AM,工资明细!E:AH,30,0)</f>
        <v>11940.999999999998</v>
      </c>
      <c r="AH85" s="57">
        <f t="shared" si="93"/>
        <v>15003.389999999999</v>
      </c>
      <c r="AI85" s="59">
        <f t="shared" si="94"/>
        <v>117.95</v>
      </c>
      <c r="AJ85" s="59">
        <f t="shared" si="95"/>
        <v>907.27999999999997</v>
      </c>
      <c r="AK85" s="59">
        <f t="shared" si="96"/>
        <v>16028.620000000001</v>
      </c>
      <c r="AL85" s="60"/>
      <c r="AM85" s="65" t="s">
        <v>339</v>
      </c>
      <c r="AN85" s="58" t="s">
        <v>325</v>
      </c>
      <c r="AO85" s="57" t="s">
        <v>326</v>
      </c>
      <c r="AP85" s="57">
        <f t="shared" si="97"/>
        <v>382</v>
      </c>
      <c r="AQ85" s="57">
        <f t="shared" si="98"/>
        <v>134.53999999999999</v>
      </c>
      <c r="AR85" s="57">
        <f t="shared" si="99"/>
        <v>9.1999999999999993</v>
      </c>
      <c r="AS85" s="57">
        <f t="shared" si="100"/>
        <v>322</v>
      </c>
    </row>
    <row r="86" spans="1:45" s="57" customFormat="1" ht="16.15" customHeight="1">
      <c r="A86" s="57">
        <v>75</v>
      </c>
      <c r="B86" s="58" t="s">
        <v>340</v>
      </c>
      <c r="C86" s="58" t="s">
        <v>341</v>
      </c>
      <c r="D86" s="58">
        <v>202606</v>
      </c>
      <c r="E86" s="57">
        <v>45875</v>
      </c>
      <c r="F86" s="58"/>
      <c r="G86" s="57">
        <v>595</v>
      </c>
      <c r="H86" s="58">
        <v>7162</v>
      </c>
      <c r="I86" s="58">
        <v>4600</v>
      </c>
      <c r="J86" s="58">
        <f>ROUND(H86*16%,2)</f>
        <v>1145.9200000000001</v>
      </c>
      <c r="K86" s="58">
        <f>ROUND(H86*9.8%,2)</f>
        <v>701.88</v>
      </c>
      <c r="L86" s="58">
        <f>ROUND(H86*0.5%,2)</f>
        <v>35.810000000000002</v>
      </c>
      <c r="M86" s="58">
        <f>ROUND(H86*0.32%,2)</f>
        <v>22.920000000000002</v>
      </c>
      <c r="N86" s="58"/>
      <c r="O86" s="58"/>
      <c r="P86" s="58">
        <f>ROUND(H86*1.5%,2)</f>
        <v>107.43000000000001</v>
      </c>
      <c r="Q86" s="58"/>
      <c r="R86" s="58"/>
      <c r="S86" s="58">
        <f>ROUND(I86*12%,0)</f>
        <v>552</v>
      </c>
      <c r="T86" s="57">
        <f t="shared" si="123" ref="T86">ROUND(SUM(J86:S86),2)</f>
        <v>2565.96</v>
      </c>
      <c r="U86" s="58">
        <f>ROUND(H86*8%,2)</f>
        <v>572.96000000000004</v>
      </c>
      <c r="V86" s="58">
        <f>ROUND(H86*2%,2)</f>
        <v>143.24000000000001</v>
      </c>
      <c r="W86" s="58">
        <f>ROUND(H86*0.5%,2)</f>
        <v>35.810000000000002</v>
      </c>
      <c r="X86" s="58"/>
      <c r="Y86" s="58"/>
      <c r="Z86" s="58">
        <v>3</v>
      </c>
      <c r="AA86" s="58">
        <f t="shared" si="124" ref="AA86">S86</f>
        <v>552</v>
      </c>
      <c r="AB86" s="58">
        <f t="shared" si="121"/>
        <v>1307.01</v>
      </c>
      <c r="AC86" s="58">
        <f>VLOOKUP(AM:AM,工资明细!E:AP,38,0)</f>
        <v>5891.96</v>
      </c>
      <c r="AD86" s="57">
        <f>VLOOKUP(AM:AM,工资明细!E:AH,30,0)</f>
        <v>5891.96</v>
      </c>
      <c r="AH86" s="57">
        <f t="shared" si="93"/>
        <v>10359.93</v>
      </c>
      <c r="AI86" s="59">
        <f t="shared" si="94"/>
        <v>81.439999999999998</v>
      </c>
      <c r="AJ86" s="59">
        <f t="shared" si="95"/>
        <v>626.48000000000002</v>
      </c>
      <c r="AK86" s="59">
        <f t="shared" si="96"/>
        <v>11067.85</v>
      </c>
      <c r="AL86" s="60"/>
      <c r="AM86" s="65" t="s">
        <v>342</v>
      </c>
      <c r="AN86" s="58" t="s">
        <v>289</v>
      </c>
      <c r="AO86" s="57" t="s">
        <v>290</v>
      </c>
      <c r="AP86" s="57">
        <f t="shared" si="97"/>
        <v>572.96000000000004</v>
      </c>
      <c r="AQ86" s="57">
        <f t="shared" si="98"/>
        <v>146.24000000000001</v>
      </c>
      <c r="AR86" s="57">
        <f t="shared" si="99"/>
        <v>35.810000000000002</v>
      </c>
      <c r="AS86" s="57">
        <f t="shared" si="100"/>
        <v>552</v>
      </c>
    </row>
    <row r="87" spans="1:45" s="57" customFormat="1" ht="16.15" customHeight="1">
      <c r="A87" s="57">
        <v>76</v>
      </c>
      <c r="B87" s="58" t="s">
        <v>343</v>
      </c>
      <c r="C87" s="58" t="s">
        <v>344</v>
      </c>
      <c r="D87" s="58">
        <v>202606</v>
      </c>
      <c r="E87" s="57">
        <v>45930</v>
      </c>
      <c r="F87" s="58"/>
      <c r="G87" s="57">
        <v>595</v>
      </c>
      <c r="H87" s="58">
        <v>6620</v>
      </c>
      <c r="I87" s="58">
        <v>4952</v>
      </c>
      <c r="J87" s="58">
        <f>ROUND($H87*16%,2)</f>
        <v>1059.2</v>
      </c>
      <c r="K87" s="58">
        <f>ROUND($H87*7%,2)</f>
        <v>463.39999999999998</v>
      </c>
      <c r="L87" s="58">
        <f>ROUND($H87*0.5%,2)</f>
        <v>33.100000000000001</v>
      </c>
      <c r="M87" s="58">
        <f>ROUND($H87*1.1%,2)</f>
        <v>72.819999999999993</v>
      </c>
      <c r="N87" s="58">
        <f>ROUND($H87*0.8%,2)</f>
        <v>52.960000000000001</v>
      </c>
      <c r="O87" s="58"/>
      <c r="P87" s="58"/>
      <c r="Q87" s="58"/>
      <c r="R87" s="58"/>
      <c r="S87" s="58">
        <f>ROUNDUP(I87*8%,0)</f>
        <v>397</v>
      </c>
      <c r="T87" s="57">
        <f>ROUND(SUM(J87:S87),2)</f>
        <v>2078.48</v>
      </c>
      <c r="U87" s="58">
        <f>ROUND($H87*8%,2)</f>
        <v>529.60000000000002</v>
      </c>
      <c r="V87" s="58">
        <f>ROUND($H87*2%,2)</f>
        <v>132.40000000000001</v>
      </c>
      <c r="W87" s="58">
        <f>ROUND($H87*0.5%,2)</f>
        <v>33.100000000000001</v>
      </c>
      <c r="X87" s="58"/>
      <c r="Y87" s="58"/>
      <c r="Z87" s="58">
        <v>5</v>
      </c>
      <c r="AA87" s="58">
        <f>S87</f>
        <v>397</v>
      </c>
      <c r="AB87" s="58">
        <f t="shared" si="125" ref="AB87:AB89">ROUND(SUM(U87:AA87),2)</f>
        <v>1097.0999999999999</v>
      </c>
      <c r="AC87" s="58">
        <f>VLOOKUP(AM:AM,工资明细!E:AP,38,0)</f>
        <v>6200.8000000000002</v>
      </c>
      <c r="AD87" s="57">
        <f>VLOOKUP(AM:AM,工资明细!E:AH,30,0)</f>
        <v>6271.8699999999999</v>
      </c>
      <c r="AH87" s="57">
        <f t="shared" si="93"/>
        <v>10042.450000000001</v>
      </c>
      <c r="AI87" s="59">
        <f t="shared" si="94"/>
        <v>78.950000000000003</v>
      </c>
      <c r="AJ87" s="59">
        <f t="shared" si="95"/>
        <v>607.27999999999997</v>
      </c>
      <c r="AK87" s="59">
        <f t="shared" si="96"/>
        <v>10728.68</v>
      </c>
      <c r="AL87" s="60"/>
      <c r="AM87" s="65" t="s">
        <v>345</v>
      </c>
      <c r="AN87" s="58" t="s">
        <v>346</v>
      </c>
      <c r="AO87" s="57" t="s">
        <v>209</v>
      </c>
      <c r="AP87" s="57">
        <f t="shared" si="97"/>
        <v>529.60000000000002</v>
      </c>
      <c r="AQ87" s="57">
        <f t="shared" si="98"/>
        <v>137.40000000000001</v>
      </c>
      <c r="AR87" s="57">
        <f t="shared" si="99"/>
        <v>33.100000000000001</v>
      </c>
      <c r="AS87" s="57">
        <f t="shared" si="100"/>
        <v>397</v>
      </c>
    </row>
    <row r="88" spans="1:45" s="57" customFormat="1" ht="16.15" customHeight="1">
      <c r="A88" s="57">
        <v>77</v>
      </c>
      <c r="B88" s="58" t="s">
        <v>347</v>
      </c>
      <c r="C88" s="58" t="s">
        <v>348</v>
      </c>
      <c r="D88" s="58">
        <v>202606</v>
      </c>
      <c r="E88" s="57">
        <v>45992</v>
      </c>
      <c r="F88" s="58"/>
      <c r="G88" s="57">
        <v>595</v>
      </c>
      <c r="H88" s="58">
        <v>5124</v>
      </c>
      <c r="I88" s="58">
        <v>3600</v>
      </c>
      <c r="J88" s="58">
        <f t="shared" si="126" ref="J88">ROUND($H88*16%,2)</f>
        <v>819.84000000000003</v>
      </c>
      <c r="K88" s="58">
        <f>ROUND(H88*10.5%,2)</f>
        <v>538.01999999999998</v>
      </c>
      <c r="L88" s="58">
        <f>ROUND(H88*0.5%,2)</f>
        <v>25.620000000000001</v>
      </c>
      <c r="M88" s="58">
        <f>ROUND(H88*0.4%,2)</f>
        <v>20.5</v>
      </c>
      <c r="N88" s="58"/>
      <c r="O88" s="58"/>
      <c r="P88" s="58">
        <f>ROUND(H88*1.5%,2)</f>
        <v>76.859999999999999</v>
      </c>
      <c r="Q88" s="58"/>
      <c r="R88" s="58"/>
      <c r="S88" s="58">
        <f>ROUND(I88*11%,0)</f>
        <v>396</v>
      </c>
      <c r="T88" s="57">
        <f>ROUND(SUM(J88:S88),2)</f>
        <v>1876.8399999999999</v>
      </c>
      <c r="U88" s="58">
        <f>ROUND(H88*8%,2)</f>
        <v>409.92000000000002</v>
      </c>
      <c r="V88" s="58">
        <f>ROUND(H88*2%,2)</f>
        <v>102.48</v>
      </c>
      <c r="W88" s="58">
        <f>ROUND(H88*0.5%,2)</f>
        <v>25.620000000000001</v>
      </c>
      <c r="X88" s="58"/>
      <c r="Y88" s="58"/>
      <c r="Z88" s="58">
        <v>21</v>
      </c>
      <c r="AA88" s="58">
        <f t="shared" si="127" ref="AA88">S88</f>
        <v>396</v>
      </c>
      <c r="AB88" s="58">
        <f t="shared" si="125"/>
        <v>955.01999999999998</v>
      </c>
      <c r="AC88" s="58">
        <f>VLOOKUP(AM:AM,工资明细!E:AP,38,0)</f>
        <v>7279.4300000000003</v>
      </c>
      <c r="AD88" s="57">
        <f>VLOOKUP(AM:AM,工资明细!E:AH,30,0)</f>
        <v>7379.46</v>
      </c>
      <c r="AH88" s="57">
        <f t="shared" si="93"/>
        <v>10806.32</v>
      </c>
      <c r="AI88" s="59">
        <f t="shared" si="94"/>
        <v>84.950000000000003</v>
      </c>
      <c r="AJ88" s="59">
        <f t="shared" si="95"/>
        <v>653.48000000000002</v>
      </c>
      <c r="AK88" s="59">
        <f t="shared" si="96"/>
        <v>11544.75</v>
      </c>
      <c r="AL88" s="60"/>
      <c r="AM88" s="65" t="s">
        <v>349</v>
      </c>
      <c r="AN88" s="58" t="s">
        <v>350</v>
      </c>
      <c r="AO88" s="57" t="s">
        <v>227</v>
      </c>
      <c r="AP88" s="57">
        <f t="shared" si="97"/>
        <v>409.92000000000002</v>
      </c>
      <c r="AQ88" s="57">
        <f t="shared" si="98"/>
        <v>123.48</v>
      </c>
      <c r="AR88" s="57">
        <f t="shared" si="99"/>
        <v>25.620000000000001</v>
      </c>
      <c r="AS88" s="57">
        <f t="shared" si="100"/>
        <v>396</v>
      </c>
    </row>
    <row r="89" spans="1:45" s="57" customFormat="1" ht="16.15" customHeight="1">
      <c r="A89" s="57">
        <v>78</v>
      </c>
      <c r="B89" s="58" t="s">
        <v>351</v>
      </c>
      <c r="C89" s="58" t="s">
        <v>352</v>
      </c>
      <c r="D89" s="58">
        <v>202606</v>
      </c>
      <c r="E89" s="57">
        <v>46113</v>
      </c>
      <c r="F89" s="58"/>
      <c r="G89" s="57">
        <v>595</v>
      </c>
      <c r="H89" s="58">
        <v>7460</v>
      </c>
      <c r="I89" s="58">
        <v>3800</v>
      </c>
      <c r="J89" s="58">
        <f t="shared" si="128" ref="J89">ROUND($H89*16%,2)</f>
        <v>1193.5999999999999</v>
      </c>
      <c r="K89" s="58">
        <f t="shared" si="129" ref="K89">ROUND(H89*9%,2)</f>
        <v>671.39999999999998</v>
      </c>
      <c r="L89" s="58">
        <f t="shared" si="130" ref="L89">ROUND(H89*0.5%,2)</f>
        <v>37.299999999999997</v>
      </c>
      <c r="M89" s="58">
        <f t="shared" si="131" ref="M89">ROUND(H89*0.32%,2)</f>
        <v>23.870000000000001</v>
      </c>
      <c r="N89" s="58"/>
      <c r="O89" s="58"/>
      <c r="P89" s="58">
        <f t="shared" si="132" ref="P89">ROUND(H89*(1.5%*0.9),2)</f>
        <v>100.70999999999999</v>
      </c>
      <c r="Q89" s="58"/>
      <c r="R89" s="58"/>
      <c r="S89" s="58">
        <f t="shared" si="133" ref="S89">ROUND(I89*7%,0)</f>
        <v>266</v>
      </c>
      <c r="T89" s="57">
        <f t="shared" si="134" ref="T89:T90">ROUND(SUM(J89:S89),2)</f>
        <v>2292.8800000000001</v>
      </c>
      <c r="U89" s="58">
        <f>ROUND(H89*8%,2)</f>
        <v>596.79999999999995</v>
      </c>
      <c r="V89" s="58">
        <f t="shared" si="135" ref="V89">ROUND(H89*2%,2)</f>
        <v>149.19999999999999</v>
      </c>
      <c r="W89" s="58">
        <f>ROUND(H89*0.5%,2)</f>
        <v>37.299999999999997</v>
      </c>
      <c r="X89" s="58"/>
      <c r="Y89" s="58"/>
      <c r="Z89" s="58"/>
      <c r="AA89" s="58">
        <f>S89</f>
        <v>266</v>
      </c>
      <c r="AB89" s="58">
        <f t="shared" si="125"/>
        <v>1049.3</v>
      </c>
      <c r="AC89" s="58">
        <f>VLOOKUP(AM:AM,工资明细!E:AP,38,0)</f>
        <v>6268.8000000000002</v>
      </c>
      <c r="AD89" s="57">
        <f>VLOOKUP(AM:AM,工资明细!E:AH,30,0)</f>
        <v>6268.8000000000002</v>
      </c>
      <c r="AH89" s="57">
        <f t="shared" si="93"/>
        <v>10205.98</v>
      </c>
      <c r="AI89" s="59">
        <f t="shared" si="94"/>
        <v>80.230000000000004</v>
      </c>
      <c r="AJ89" s="59">
        <f t="shared" si="95"/>
        <v>617.16999999999996</v>
      </c>
      <c r="AK89" s="59">
        <f t="shared" si="96"/>
        <v>10903.379999999999</v>
      </c>
      <c r="AL89" s="60"/>
      <c r="AM89" s="65" t="s">
        <v>353</v>
      </c>
      <c r="AN89" s="58" t="s">
        <v>354</v>
      </c>
      <c r="AO89" s="57" t="s">
        <v>209</v>
      </c>
      <c r="AP89" s="57">
        <f t="shared" si="97"/>
        <v>596.79999999999995</v>
      </c>
      <c r="AQ89" s="57">
        <f t="shared" si="98"/>
        <v>149.19999999999999</v>
      </c>
      <c r="AR89" s="57">
        <f t="shared" si="99"/>
        <v>37.299999999999997</v>
      </c>
      <c r="AS89" s="57">
        <f t="shared" si="100"/>
        <v>266</v>
      </c>
    </row>
    <row r="90" spans="1:45" s="57" customFormat="1" ht="16.15" customHeight="1">
      <c r="A90" s="57">
        <v>79</v>
      </c>
      <c r="B90" s="58" t="s">
        <v>355</v>
      </c>
      <c r="C90" s="58" t="s">
        <v>356</v>
      </c>
      <c r="D90" s="58">
        <v>202606</v>
      </c>
      <c r="E90" s="57">
        <v>46129</v>
      </c>
      <c r="F90" s="58"/>
      <c r="G90" s="57">
        <v>595</v>
      </c>
      <c r="H90" s="58">
        <v>4498</v>
      </c>
      <c r="I90" s="58">
        <v>3600</v>
      </c>
      <c r="J90" s="58">
        <f>ROUND($H90*16%,2)</f>
        <v>719.67999999999995</v>
      </c>
      <c r="K90" s="58">
        <f>ROUND(4498*8.7%,2)</f>
        <v>391.32999999999998</v>
      </c>
      <c r="L90" s="58">
        <f>ROUND($H90*0.7%,2)</f>
        <v>31.489999999999998</v>
      </c>
      <c r="M90" s="58">
        <f t="shared" si="136" ref="M90">ROUND($H90*0.2%,2)</f>
        <v>9</v>
      </c>
      <c r="N90" s="58"/>
      <c r="O90" s="58"/>
      <c r="P90" s="58">
        <f t="shared" si="137" ref="P90:P92">ROUND(H90*1.5%,2)</f>
        <v>67.469999999999999</v>
      </c>
      <c r="Q90" s="58"/>
      <c r="R90" s="58"/>
      <c r="S90" s="58">
        <f>ROUND(I90*8%,2)</f>
        <v>288</v>
      </c>
      <c r="T90" s="57">
        <f t="shared" si="134"/>
        <v>1506.97</v>
      </c>
      <c r="U90" s="58">
        <f t="shared" si="138" ref="U90:U92">ROUND($H90*8%,2)</f>
        <v>359.83999999999997</v>
      </c>
      <c r="V90" s="58">
        <f t="shared" si="139" ref="V90">ROUND(4498*2%,2)</f>
        <v>89.959999999999994</v>
      </c>
      <c r="W90" s="58">
        <f t="shared" si="140" ref="W90">ROUND($H90*0.3%,2)</f>
        <v>13.49</v>
      </c>
      <c r="X90" s="58"/>
      <c r="Y90" s="58"/>
      <c r="Z90" s="58">
        <v>7</v>
      </c>
      <c r="AA90" s="58">
        <f t="shared" si="141" ref="AA90:AA93">S90</f>
        <v>288</v>
      </c>
      <c r="AB90" s="58">
        <f t="shared" si="142" ref="AB90:AB91">ROUND(SUM(U90:AA90),2)</f>
        <v>758.28999999999996</v>
      </c>
      <c r="AC90" s="58">
        <f>VLOOKUP(AM:AM,工资明细!E:AP,38,0)</f>
        <v>5555.5</v>
      </c>
      <c r="AD90" s="57">
        <f>VLOOKUP(AM:AM,工资明细!E:AH,30,0)</f>
        <v>5555.5</v>
      </c>
      <c r="AH90" s="57">
        <f t="shared" si="93"/>
        <v>8415.7600000000002</v>
      </c>
      <c r="AI90" s="59">
        <f t="shared" si="94"/>
        <v>66.159999999999997</v>
      </c>
      <c r="AJ90" s="59">
        <f t="shared" si="95"/>
        <v>508.92000000000002</v>
      </c>
      <c r="AK90" s="59">
        <f t="shared" si="96"/>
        <v>8990.8400000000001</v>
      </c>
      <c r="AL90" s="60"/>
      <c r="AM90" s="65" t="s">
        <v>357</v>
      </c>
      <c r="AN90" s="58" t="s">
        <v>294</v>
      </c>
      <c r="AO90" s="57" t="s">
        <v>227</v>
      </c>
      <c r="AP90" s="57">
        <f t="shared" si="97"/>
        <v>359.83999999999997</v>
      </c>
      <c r="AQ90" s="57">
        <f t="shared" si="98"/>
        <v>96.959999999999994</v>
      </c>
      <c r="AR90" s="57">
        <f t="shared" si="99"/>
        <v>13.49</v>
      </c>
      <c r="AS90" s="57">
        <f t="shared" si="100"/>
        <v>288</v>
      </c>
    </row>
    <row r="91" spans="1:45" s="57" customFormat="1" ht="16.15" customHeight="1">
      <c r="A91" s="57">
        <v>80</v>
      </c>
      <c r="B91" s="58" t="s">
        <v>358</v>
      </c>
      <c r="C91" s="58" t="s">
        <v>359</v>
      </c>
      <c r="D91" s="58">
        <v>202606</v>
      </c>
      <c r="E91" s="57">
        <v>46131</v>
      </c>
      <c r="F91" s="58">
        <v>46181</v>
      </c>
      <c r="G91" s="57">
        <f>ROUND(595/31*8,2)</f>
        <v>153.55000000000001</v>
      </c>
      <c r="H91" s="58">
        <v>4498</v>
      </c>
      <c r="I91" s="58">
        <v>3600</v>
      </c>
      <c r="J91" s="58">
        <f>-ROUND($H91*16%,2)*2</f>
        <v>-1439.3599999999999</v>
      </c>
      <c r="K91" s="58">
        <f>-ROUND(4498*8.7%,2)*2</f>
        <v>-782.65999999999997</v>
      </c>
      <c r="L91" s="58">
        <f>-ROUND($H91*0.7%,2)*2</f>
        <v>-62.979999999999997</v>
      </c>
      <c r="M91" s="58">
        <f>-ROUND($H91*0.2%,2)*2</f>
        <v>-18</v>
      </c>
      <c r="N91" s="58"/>
      <c r="O91" s="58"/>
      <c r="P91" s="58">
        <f>-ROUND(H91*1.5%,2)*2</f>
        <v>-134.94</v>
      </c>
      <c r="Q91" s="58"/>
      <c r="R91" s="58"/>
      <c r="S91" s="58">
        <f>ROUND(I91*8%,2)</f>
        <v>288</v>
      </c>
      <c r="T91" s="57">
        <f>ROUND(SUM(J91:S91),2)</f>
        <v>-2149.9400000000001</v>
      </c>
      <c r="U91" s="58">
        <f>-ROUND($H91*8%,2)*2</f>
        <v>-719.67999999999995</v>
      </c>
      <c r="V91" s="58">
        <f>-ROUND(4498*2%,2)*2</f>
        <v>-179.91999999999999</v>
      </c>
      <c r="W91" s="58">
        <f>-ROUND($H91*0.3%,2)*2</f>
        <v>-26.98</v>
      </c>
      <c r="X91" s="58"/>
      <c r="Y91" s="58"/>
      <c r="Z91" s="58">
        <v>-14</v>
      </c>
      <c r="AA91" s="58">
        <f t="shared" si="141"/>
        <v>288</v>
      </c>
      <c r="AB91" s="58">
        <f t="shared" si="142"/>
        <v>-652.58000000000004</v>
      </c>
      <c r="AC91" s="58">
        <f>VLOOKUP(AM:AM,工资明细!E:AP,38,0)</f>
        <v>4400.8500000000004</v>
      </c>
      <c r="AD91" s="57">
        <f>VLOOKUP(AM:AM,工资明细!E:AH,30,0)</f>
        <v>4400.8499999999995</v>
      </c>
      <c r="AH91" s="57">
        <f t="shared" si="93"/>
        <v>1751.8800000000001</v>
      </c>
      <c r="AI91" s="59">
        <f t="shared" si="94"/>
        <v>13.77</v>
      </c>
      <c r="AJ91" s="59">
        <f t="shared" si="95"/>
        <v>105.94</v>
      </c>
      <c r="AK91" s="59">
        <f t="shared" si="96"/>
        <v>1871.5899999999999</v>
      </c>
      <c r="AL91" s="60" t="s">
        <v>372</v>
      </c>
      <c r="AM91" s="65" t="s">
        <v>360</v>
      </c>
      <c r="AN91" s="58" t="s">
        <v>294</v>
      </c>
      <c r="AO91" s="57" t="s">
        <v>227</v>
      </c>
      <c r="AP91" s="57">
        <f t="shared" si="97"/>
        <v>-719.67999999999995</v>
      </c>
      <c r="AQ91" s="57">
        <f t="shared" si="98"/>
        <v>-193.91999999999999</v>
      </c>
      <c r="AR91" s="57">
        <f t="shared" si="99"/>
        <v>-26.98</v>
      </c>
      <c r="AS91" s="57">
        <f t="shared" si="100"/>
        <v>288</v>
      </c>
    </row>
    <row r="92" spans="1:45" s="57" customFormat="1" ht="16.15" customHeight="1">
      <c r="A92" s="57">
        <v>81</v>
      </c>
      <c r="B92" s="58" t="s">
        <v>361</v>
      </c>
      <c r="C92" s="58" t="s">
        <v>362</v>
      </c>
      <c r="D92" s="58">
        <v>202606</v>
      </c>
      <c r="E92" s="57">
        <v>46132</v>
      </c>
      <c r="F92" s="58"/>
      <c r="G92" s="57">
        <v>595</v>
      </c>
      <c r="H92" s="58">
        <v>4359</v>
      </c>
      <c r="I92" s="58">
        <v>3600</v>
      </c>
      <c r="J92" s="58">
        <f>ROUND($H92*16%,2)</f>
        <v>697.44000000000005</v>
      </c>
      <c r="K92" s="58">
        <f>ROUND(4846*8.45%,2)</f>
        <v>409.49000000000001</v>
      </c>
      <c r="L92" s="58">
        <f>ROUND($H92*0.5%,2)</f>
        <v>21.800000000000001</v>
      </c>
      <c r="M92" s="58">
        <f>ROUND($H92*0.4%,2)</f>
        <v>17.440000000000001</v>
      </c>
      <c r="N92" s="58"/>
      <c r="O92" s="58"/>
      <c r="P92" s="58">
        <f t="shared" si="137"/>
        <v>65.390000000000001</v>
      </c>
      <c r="Q92" s="58"/>
      <c r="R92" s="58">
        <f>ROUND(4846*0.15%,2)</f>
        <v>7.2699999999999996</v>
      </c>
      <c r="S92" s="58">
        <f>ROUND(I92*12%,0)</f>
        <v>432</v>
      </c>
      <c r="T92" s="57">
        <f t="shared" si="143" ref="T92">ROUND(SUM(J92:S92),2)</f>
        <v>1650.8299999999999</v>
      </c>
      <c r="U92" s="58">
        <f t="shared" si="138"/>
        <v>348.72000000000003</v>
      </c>
      <c r="V92" s="58">
        <f>ROUND(4846*2%,2)</f>
        <v>96.920000000000002</v>
      </c>
      <c r="W92" s="58">
        <f>ROUND($H92*0.5%,2)</f>
        <v>21.800000000000001</v>
      </c>
      <c r="X92" s="58"/>
      <c r="Y92" s="58"/>
      <c r="Z92" s="58"/>
      <c r="AA92" s="58">
        <f t="shared" si="141"/>
        <v>432</v>
      </c>
      <c r="AB92" s="58">
        <f t="shared" si="144" ref="AB92:AB93">ROUND(SUM(U92:AA92),2)</f>
        <v>899.44000000000005</v>
      </c>
      <c r="AC92" s="58">
        <f>VLOOKUP(AM:AM,工资明细!E:AP,38,0)</f>
        <v>5100.5600000000004</v>
      </c>
      <c r="AD92" s="57">
        <f>VLOOKUP(AM:AM,工资明细!E:AH,30,0)</f>
        <v>5100.5599999999995</v>
      </c>
      <c r="AH92" s="57">
        <f t="shared" si="93"/>
        <v>8245.8299999999999</v>
      </c>
      <c r="AI92" s="59">
        <f t="shared" si="94"/>
        <v>64.819999999999993</v>
      </c>
      <c r="AJ92" s="59">
        <f t="shared" si="95"/>
        <v>498.63999999999999</v>
      </c>
      <c r="AK92" s="59">
        <f t="shared" si="96"/>
        <v>8809.2900000000009</v>
      </c>
      <c r="AL92" s="60"/>
      <c r="AM92" s="65" t="s">
        <v>363</v>
      </c>
      <c r="AN92" s="58" t="s">
        <v>364</v>
      </c>
      <c r="AO92" s="57" t="s">
        <v>227</v>
      </c>
      <c r="AP92" s="57">
        <f t="shared" si="97"/>
        <v>348.72000000000003</v>
      </c>
      <c r="AQ92" s="57">
        <f t="shared" si="98"/>
        <v>96.920000000000002</v>
      </c>
      <c r="AR92" s="57">
        <f t="shared" si="99"/>
        <v>21.800000000000001</v>
      </c>
      <c r="AS92" s="57">
        <f t="shared" si="100"/>
        <v>432</v>
      </c>
    </row>
    <row r="93" spans="1:45" s="57" customFormat="1" ht="16.15" customHeight="1">
      <c r="A93" s="57">
        <v>82</v>
      </c>
      <c r="B93" s="58" t="s">
        <v>365</v>
      </c>
      <c r="C93" s="58" t="s">
        <v>366</v>
      </c>
      <c r="D93" s="58">
        <v>202606</v>
      </c>
      <c r="E93" s="57">
        <v>46133</v>
      </c>
      <c r="F93" s="58"/>
      <c r="G93" s="57">
        <v>595</v>
      </c>
      <c r="H93" s="58">
        <v>5124</v>
      </c>
      <c r="I93" s="58">
        <v>3600</v>
      </c>
      <c r="J93" s="58">
        <f t="shared" si="145" ref="J93">ROUND($H93*16%,2)</f>
        <v>819.84000000000003</v>
      </c>
      <c r="K93" s="58">
        <f>ROUND(H93*10.5%,2)</f>
        <v>538.01999999999998</v>
      </c>
      <c r="L93" s="58">
        <f>ROUND(H93*0.5%,2)</f>
        <v>25.620000000000001</v>
      </c>
      <c r="M93" s="58">
        <f>ROUND(H93*0.4%,2)</f>
        <v>20.5</v>
      </c>
      <c r="N93" s="58"/>
      <c r="O93" s="58"/>
      <c r="P93" s="58">
        <f>ROUND(H93*1.5%,2)</f>
        <v>76.859999999999999</v>
      </c>
      <c r="Q93" s="58"/>
      <c r="R93" s="58"/>
      <c r="S93" s="58">
        <f>ROUND(I93*11%,0)</f>
        <v>396</v>
      </c>
      <c r="T93" s="57">
        <f t="shared" si="146" ref="T93">ROUND(SUM(J93:S93),2)</f>
        <v>1876.8399999999999</v>
      </c>
      <c r="U93" s="58">
        <f>ROUND(H93*8%,2)</f>
        <v>409.92000000000002</v>
      </c>
      <c r="V93" s="58">
        <f>ROUND(H93*2%,2)</f>
        <v>102.48</v>
      </c>
      <c r="W93" s="58">
        <f>ROUND(H93*0.5%,2)</f>
        <v>25.620000000000001</v>
      </c>
      <c r="X93" s="58"/>
      <c r="Y93" s="58"/>
      <c r="Z93" s="58">
        <v>21</v>
      </c>
      <c r="AA93" s="58">
        <f t="shared" si="141"/>
        <v>396</v>
      </c>
      <c r="AB93" s="58">
        <f t="shared" si="144"/>
        <v>955.01999999999998</v>
      </c>
      <c r="AC93" s="58">
        <f>VLOOKUP(AM:AM,工资明细!E:AP,38,0)</f>
        <v>6138.0799999999999</v>
      </c>
      <c r="AD93" s="57">
        <f>VLOOKUP(AM:AM,工资明细!E:AH,30,0)</f>
        <v>6138.0800000000008</v>
      </c>
      <c r="AH93" s="57">
        <f t="shared" si="93"/>
        <v>9564.9400000000005</v>
      </c>
      <c r="AI93" s="59">
        <f t="shared" si="94"/>
        <v>75.189999999999998</v>
      </c>
      <c r="AJ93" s="59">
        <f t="shared" si="95"/>
        <v>578.40999999999997</v>
      </c>
      <c r="AK93" s="59">
        <f t="shared" si="96"/>
        <v>10218.540000000001</v>
      </c>
      <c r="AL93" s="60"/>
      <c r="AM93" s="65" t="s">
        <v>367</v>
      </c>
      <c r="AN93" s="58" t="s">
        <v>350</v>
      </c>
      <c r="AO93" s="57" t="s">
        <v>227</v>
      </c>
      <c r="AP93" s="57">
        <f t="shared" si="97"/>
        <v>409.92000000000002</v>
      </c>
      <c r="AQ93" s="57">
        <f t="shared" si="98"/>
        <v>123.48</v>
      </c>
      <c r="AR93" s="57">
        <f t="shared" si="99"/>
        <v>25.620000000000001</v>
      </c>
      <c r="AS93" s="57">
        <f t="shared" si="100"/>
        <v>396</v>
      </c>
    </row>
    <row r="94" spans="1:264" s="66" customFormat="1" ht="16.15" customHeight="1">
      <c r="A94" s="57">
        <v>83</v>
      </c>
      <c r="B94" s="62" t="s">
        <v>373</v>
      </c>
      <c r="C94" s="58"/>
      <c r="D94" s="58">
        <v>202606</v>
      </c>
      <c r="E94" s="57">
        <v>46174</v>
      </c>
      <c r="F94" s="58"/>
      <c r="G94" s="57">
        <v>207</v>
      </c>
      <c r="H94" s="58">
        <v>17000</v>
      </c>
      <c r="I94" s="58">
        <v>17000</v>
      </c>
      <c r="J94" s="58">
        <f>ROUND($H94*16%,2)</f>
        <v>2720</v>
      </c>
      <c r="K94" s="58">
        <f t="shared" si="147" ref="K94">ROUND(H94*9%,2)</f>
        <v>1530</v>
      </c>
      <c r="L94" s="58">
        <f t="shared" si="148" ref="L94">ROUND(H94*0.5%,2)</f>
        <v>85</v>
      </c>
      <c r="M94" s="58">
        <f t="shared" si="149" ref="M94">ROUND(H94*0.32%,2)</f>
        <v>54.399999999999999</v>
      </c>
      <c r="N94" s="58"/>
      <c r="O94" s="58"/>
      <c r="P94" s="58">
        <f t="shared" si="150" ref="P94">ROUND(H94*(1.5%*0.9),2)</f>
        <v>229.5</v>
      </c>
      <c r="Q94" s="58"/>
      <c r="R94" s="58"/>
      <c r="S94" s="58">
        <f t="shared" si="151" ref="S94">ROUND(I94*7%,0)</f>
        <v>1190</v>
      </c>
      <c r="T94" s="57">
        <f t="shared" si="152" ref="T94">ROUND(SUM(J94:S94),2)</f>
        <v>5808.8999999999996</v>
      </c>
      <c r="U94" s="58">
        <f>ROUND(H94*8%,2)</f>
        <v>1360</v>
      </c>
      <c r="V94" s="58">
        <f t="shared" si="153" ref="V94">ROUND(H94*2%,2)</f>
        <v>340</v>
      </c>
      <c r="W94" s="58">
        <f>ROUND(H94*0.5%,2)</f>
        <v>85</v>
      </c>
      <c r="X94" s="58"/>
      <c r="Y94" s="58"/>
      <c r="Z94" s="58"/>
      <c r="AA94" s="58">
        <f>S94</f>
        <v>1190</v>
      </c>
      <c r="AB94" s="58">
        <f t="shared" si="154" ref="AB94">ROUND(SUM(U94:AA94),2)</f>
        <v>2975</v>
      </c>
      <c r="AC94" s="58">
        <f>VLOOKUP(AM:AM,工资明细!E:AP,38,0)</f>
        <v>13754.25</v>
      </c>
      <c r="AD94" s="57">
        <f>VLOOKUP(AM:AM,工资明细!E:AH,30,0)</f>
        <v>14025</v>
      </c>
      <c r="AE94" s="57"/>
      <c r="AF94" s="57"/>
      <c r="AG94" s="57"/>
      <c r="AH94" s="57">
        <f t="shared" si="155" ref="AH94">ROUND(G94+T94+AB94+AD94+AF94+AG94+AE94,2)</f>
        <v>23015.900000000001</v>
      </c>
      <c r="AI94" s="59">
        <f t="shared" si="156" ref="AI94">ROUND(AH94*(1/(1-0.78%)-1),2)</f>
        <v>180.94</v>
      </c>
      <c r="AJ94" s="59">
        <f t="shared" si="157" ref="AJ94">ROUND(SUM(AH94:AI94)*6%,2)</f>
        <v>1391.8099999999999</v>
      </c>
      <c r="AK94" s="59">
        <f t="shared" si="158" ref="AK94">ROUND(SUM(AH94:AJ94),2)</f>
        <v>24588.650000000001</v>
      </c>
      <c r="AL94" s="60"/>
      <c r="AM94" s="62" t="s">
        <v>374</v>
      </c>
      <c r="AN94" s="57" t="s">
        <v>50</v>
      </c>
      <c r="AO94" s="57" t="s">
        <v>371</v>
      </c>
      <c r="AP94" s="57">
        <f>U94</f>
        <v>1360</v>
      </c>
      <c r="AQ94" s="57">
        <f>V94+Z94</f>
        <v>340</v>
      </c>
      <c r="AR94" s="57">
        <f>W94</f>
        <v>85</v>
      </c>
      <c r="AS94" s="57">
        <f>AA94</f>
        <v>1190</v>
      </c>
      <c r="AT94" s="57"/>
      <c r="AU94" s="57"/>
      <c r="AV94" s="57"/>
      <c r="AW94" s="57"/>
      <c r="AX94" s="57"/>
      <c r="AY94" s="57"/>
      <c r="AZ94" s="57"/>
      <c r="BA94" s="57"/>
      <c r="BB94" s="57"/>
      <c r="BC94" s="57"/>
      <c r="BD94" s="57"/>
      <c r="BE94" s="57"/>
      <c r="BF94" s="57"/>
      <c r="BG94" s="57"/>
      <c r="BH94" s="57"/>
      <c r="BI94" s="57"/>
      <c r="BJ94" s="57"/>
      <c r="BK94" s="57"/>
      <c r="BL94" s="57"/>
      <c r="BM94" s="57"/>
      <c r="BN94" s="57"/>
      <c r="BO94" s="57"/>
      <c r="BP94" s="57"/>
      <c r="BQ94" s="57"/>
      <c r="BR94" s="57"/>
      <c r="BS94" s="57"/>
      <c r="BT94" s="57"/>
      <c r="BU94" s="57"/>
      <c r="BV94" s="57"/>
      <c r="BW94" s="57"/>
      <c r="BX94" s="57"/>
      <c r="BY94" s="57"/>
      <c r="BZ94" s="57"/>
      <c r="CA94" s="57"/>
      <c r="CB94" s="57"/>
      <c r="CC94" s="57"/>
      <c r="CD94" s="57"/>
      <c r="CE94" s="57"/>
      <c r="CF94" s="57"/>
      <c r="CG94" s="57"/>
      <c r="CH94" s="57"/>
      <c r="CI94" s="57"/>
      <c r="CJ94" s="57"/>
      <c r="CK94" s="57"/>
      <c r="CL94" s="57"/>
      <c r="CM94" s="57"/>
      <c r="CN94" s="57"/>
      <c r="CO94" s="57"/>
      <c r="CP94" s="57"/>
      <c r="CQ94" s="57"/>
      <c r="CR94" s="57"/>
      <c r="CS94" s="57"/>
      <c r="CT94" s="57"/>
      <c r="CU94" s="57"/>
      <c r="CV94" s="57"/>
      <c r="CW94" s="57"/>
      <c r="CX94" s="57"/>
      <c r="CY94" s="57"/>
      <c r="CZ94" s="57"/>
      <c r="DA94" s="57"/>
      <c r="DB94" s="57"/>
      <c r="DC94" s="57"/>
      <c r="DD94" s="57"/>
      <c r="DE94" s="57"/>
      <c r="DF94" s="57"/>
      <c r="DG94" s="57"/>
      <c r="DH94" s="57"/>
      <c r="DI94" s="57"/>
      <c r="DJ94" s="57"/>
      <c r="DK94" s="57"/>
      <c r="DL94" s="57"/>
      <c r="DM94" s="57"/>
      <c r="DN94" s="57"/>
      <c r="DO94" s="57"/>
      <c r="DP94" s="57"/>
      <c r="DQ94" s="57"/>
      <c r="DR94" s="57"/>
      <c r="DS94" s="57"/>
      <c r="DT94" s="57"/>
      <c r="DU94" s="57"/>
      <c r="DV94" s="57"/>
      <c r="DW94" s="57"/>
      <c r="DX94" s="57"/>
      <c r="DY94" s="57"/>
      <c r="DZ94" s="57"/>
      <c r="EA94" s="57"/>
      <c r="EB94" s="57"/>
      <c r="EC94" s="57"/>
      <c r="ED94" s="57"/>
      <c r="EE94" s="57"/>
      <c r="EF94" s="57"/>
      <c r="EG94" s="57"/>
      <c r="EH94" s="57"/>
      <c r="EI94" s="57"/>
      <c r="EJ94" s="57"/>
      <c r="EK94" s="57"/>
      <c r="EL94" s="57"/>
      <c r="EM94" s="57"/>
      <c r="EN94" s="57"/>
      <c r="EO94" s="57"/>
      <c r="EP94" s="57"/>
      <c r="EQ94" s="57"/>
      <c r="ER94" s="57"/>
      <c r="ES94" s="57"/>
      <c r="ET94" s="57"/>
      <c r="EU94" s="57"/>
      <c r="EV94" s="57"/>
      <c r="EW94" s="57"/>
      <c r="EX94" s="57"/>
      <c r="EY94" s="57"/>
      <c r="EZ94" s="57"/>
      <c r="FA94" s="57"/>
      <c r="FB94" s="57"/>
      <c r="FC94" s="57"/>
      <c r="FD94" s="57"/>
      <c r="FE94" s="57"/>
      <c r="FF94" s="57"/>
      <c r="FG94" s="57"/>
      <c r="FH94" s="57"/>
      <c r="FI94" s="57"/>
      <c r="FJ94" s="57"/>
      <c r="FK94" s="57"/>
      <c r="FL94" s="57"/>
      <c r="FM94" s="57"/>
      <c r="FN94" s="57"/>
      <c r="FO94" s="57"/>
      <c r="FP94" s="57"/>
      <c r="FQ94" s="57"/>
      <c r="FR94" s="57"/>
      <c r="FS94" s="57"/>
      <c r="FT94" s="57"/>
      <c r="FU94" s="57"/>
      <c r="FV94" s="57"/>
      <c r="FW94" s="57"/>
      <c r="FX94" s="57"/>
      <c r="FY94" s="57"/>
      <c r="FZ94" s="57"/>
      <c r="GA94" s="57"/>
      <c r="GB94" s="57"/>
      <c r="GC94" s="57"/>
      <c r="GD94" s="57"/>
      <c r="GE94" s="57"/>
      <c r="GF94" s="57"/>
      <c r="GG94" s="57"/>
      <c r="GH94" s="57"/>
      <c r="GI94" s="57"/>
      <c r="GJ94" s="57"/>
      <c r="GK94" s="57"/>
      <c r="GL94" s="57"/>
      <c r="GM94" s="57"/>
      <c r="GN94" s="57"/>
      <c r="GO94" s="57"/>
      <c r="GP94" s="57"/>
      <c r="GQ94" s="57"/>
      <c r="GR94" s="57"/>
      <c r="GS94" s="57"/>
      <c r="GT94" s="57"/>
      <c r="GU94" s="57"/>
      <c r="GV94" s="57"/>
      <c r="GW94" s="57"/>
      <c r="GX94" s="57"/>
      <c r="GY94" s="57"/>
      <c r="GZ94" s="57"/>
      <c r="HA94" s="57"/>
      <c r="HB94" s="57"/>
      <c r="HC94" s="57"/>
      <c r="HD94" s="57"/>
      <c r="HE94" s="57"/>
      <c r="HF94" s="57"/>
      <c r="HG94" s="57"/>
      <c r="HH94" s="57"/>
      <c r="HI94" s="57"/>
      <c r="HJ94" s="57"/>
      <c r="HK94" s="57"/>
      <c r="HL94" s="57"/>
      <c r="HM94" s="57"/>
      <c r="HN94" s="57"/>
      <c r="HO94" s="57"/>
      <c r="HP94" s="57"/>
      <c r="HQ94" s="57"/>
      <c r="HR94" s="57"/>
      <c r="HS94" s="57"/>
      <c r="HT94" s="57"/>
      <c r="HU94" s="57"/>
      <c r="HV94" s="57"/>
      <c r="HW94" s="57"/>
      <c r="HX94" s="57"/>
      <c r="HY94" s="57"/>
      <c r="HZ94" s="57"/>
      <c r="IA94" s="57"/>
      <c r="IB94" s="57"/>
      <c r="IC94" s="57"/>
      <c r="ID94" s="57"/>
      <c r="IE94" s="57"/>
      <c r="IF94" s="57"/>
      <c r="IG94" s="57"/>
      <c r="IH94" s="57"/>
      <c r="II94" s="57"/>
      <c r="IJ94" s="57"/>
      <c r="IK94" s="57"/>
      <c r="IL94" s="57"/>
      <c r="IM94" s="57"/>
      <c r="IN94" s="57"/>
      <c r="IO94" s="57"/>
      <c r="IP94" s="57"/>
      <c r="IQ94" s="57"/>
      <c r="IR94" s="57"/>
      <c r="IS94" s="57"/>
      <c r="IT94" s="57"/>
      <c r="IU94" s="57"/>
      <c r="IV94" s="57"/>
      <c r="IW94" s="57"/>
      <c r="IX94" s="57"/>
      <c r="IY94" s="57"/>
      <c r="IZ94" s="57"/>
      <c r="JA94" s="57"/>
      <c r="JB94" s="57"/>
      <c r="JC94" s="57"/>
      <c r="JD94" s="57"/>
    </row>
    <row r="95" spans="1:264" s="66" customFormat="1" ht="16.15" customHeight="1">
      <c r="A95" s="57">
        <v>84</v>
      </c>
      <c r="B95" s="57" t="s">
        <v>368</v>
      </c>
      <c r="C95" s="57"/>
      <c r="D95" s="58">
        <v>202606</v>
      </c>
      <c r="E95" s="57">
        <v>46160</v>
      </c>
      <c r="F95" s="58"/>
      <c r="G95" s="57">
        <f>ROUND((207+40),2)</f>
        <v>247</v>
      </c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7"/>
      <c r="U95" s="58"/>
      <c r="V95" s="58"/>
      <c r="W95" s="58"/>
      <c r="X95" s="58"/>
      <c r="Y95" s="58"/>
      <c r="Z95" s="58"/>
      <c r="AA95" s="58"/>
      <c r="AB95" s="58">
        <f>ROUND(SUM(U95:AA95),2)</f>
        <v>0</v>
      </c>
      <c r="AC95" s="58">
        <f>VLOOKUP(AM:AM,工资明细!E:AP,38,0)</f>
        <v>3030</v>
      </c>
      <c r="AD95" s="57">
        <f>VLOOKUP(AM:AM,工资明细!E:AH,30,0)</f>
        <v>3030</v>
      </c>
      <c r="AE95" s="57"/>
      <c r="AF95" s="57"/>
      <c r="AG95" s="57"/>
      <c r="AH95" s="57">
        <f t="shared" si="159" ref="AH95">ROUND(G95+T95+AB95+AD95+AF95+AG95+AE95,2)</f>
        <v>3277</v>
      </c>
      <c r="AI95" s="59">
        <f t="shared" si="160" ref="AI95">ROUND(AH95*(1/(1-0.78%)-1),2)</f>
        <v>25.760000000000002</v>
      </c>
      <c r="AJ95" s="59">
        <f t="shared" si="161" ref="AJ95">ROUND(SUM(AH95:AI95)*6%,2)</f>
        <v>198.16999999999999</v>
      </c>
      <c r="AK95" s="59">
        <f t="shared" si="162" ref="AK95">ROUND(SUM(AH95:AJ95),2)</f>
        <v>3500.9299999999998</v>
      </c>
      <c r="AL95" s="60"/>
      <c r="AM95" s="61" t="s">
        <v>369</v>
      </c>
      <c r="AN95" s="57" t="s">
        <v>50</v>
      </c>
      <c r="AO95" s="57" t="s">
        <v>209</v>
      </c>
      <c r="AP95" s="57">
        <f>U95</f>
        <v>0</v>
      </c>
      <c r="AQ95" s="57">
        <f>V95+Z95</f>
        <v>0</v>
      </c>
      <c r="AR95" s="57">
        <f>W95</f>
        <v>0</v>
      </c>
      <c r="AS95" s="57">
        <f>AA95</f>
        <v>0</v>
      </c>
      <c r="AT95" s="57"/>
      <c r="AU95" s="57"/>
      <c r="AV95" s="57"/>
      <c r="AW95" s="57"/>
      <c r="AX95" s="57"/>
      <c r="AY95" s="57"/>
      <c r="AZ95" s="57"/>
      <c r="BA95" s="57"/>
      <c r="BB95" s="57"/>
      <c r="BC95" s="57"/>
      <c r="BD95" s="57"/>
      <c r="BE95" s="57"/>
      <c r="BF95" s="57"/>
      <c r="BG95" s="57"/>
      <c r="BH95" s="57"/>
      <c r="BI95" s="57"/>
      <c r="BJ95" s="57"/>
      <c r="BK95" s="57"/>
      <c r="BL95" s="57"/>
      <c r="BM95" s="57"/>
      <c r="BN95" s="57"/>
      <c r="BO95" s="57"/>
      <c r="BP95" s="57"/>
      <c r="BQ95" s="57"/>
      <c r="BR95" s="57"/>
      <c r="BS95" s="57"/>
      <c r="BT95" s="57"/>
      <c r="BU95" s="57"/>
      <c r="BV95" s="57"/>
      <c r="BW95" s="57"/>
      <c r="BX95" s="57"/>
      <c r="BY95" s="57"/>
      <c r="BZ95" s="57"/>
      <c r="CA95" s="57"/>
      <c r="CB95" s="57"/>
      <c r="CC95" s="57"/>
      <c r="CD95" s="57"/>
      <c r="CE95" s="57"/>
      <c r="CF95" s="57"/>
      <c r="CG95" s="57"/>
      <c r="CH95" s="57"/>
      <c r="CI95" s="57"/>
      <c r="CJ95" s="57"/>
      <c r="CK95" s="57"/>
      <c r="CL95" s="57"/>
      <c r="CM95" s="57"/>
      <c r="CN95" s="57"/>
      <c r="CO95" s="57"/>
      <c r="CP95" s="57"/>
      <c r="CQ95" s="57"/>
      <c r="CR95" s="57"/>
      <c r="CS95" s="57"/>
      <c r="CT95" s="57"/>
      <c r="CU95" s="57"/>
      <c r="CV95" s="57"/>
      <c r="CW95" s="57"/>
      <c r="CX95" s="57"/>
      <c r="CY95" s="57"/>
      <c r="CZ95" s="57"/>
      <c r="DA95" s="57"/>
      <c r="DB95" s="57"/>
      <c r="DC95" s="57"/>
      <c r="DD95" s="57"/>
      <c r="DE95" s="57"/>
      <c r="DF95" s="57"/>
      <c r="DG95" s="57"/>
      <c r="DH95" s="57"/>
      <c r="DI95" s="57"/>
      <c r="DJ95" s="57"/>
      <c r="DK95" s="57"/>
      <c r="DL95" s="57"/>
      <c r="DM95" s="57"/>
      <c r="DN95" s="57"/>
      <c r="DO95" s="57"/>
      <c r="DP95" s="57"/>
      <c r="DQ95" s="57"/>
      <c r="DR95" s="57"/>
      <c r="DS95" s="57"/>
      <c r="DT95" s="57"/>
      <c r="DU95" s="57"/>
      <c r="DV95" s="57"/>
      <c r="DW95" s="57"/>
      <c r="DX95" s="57"/>
      <c r="DY95" s="57"/>
      <c r="DZ95" s="57"/>
      <c r="EA95" s="57"/>
      <c r="EB95" s="57"/>
      <c r="EC95" s="57"/>
      <c r="ED95" s="57"/>
      <c r="EE95" s="57"/>
      <c r="EF95" s="57"/>
      <c r="EG95" s="57"/>
      <c r="EH95" s="57"/>
      <c r="EI95" s="57"/>
      <c r="EJ95" s="57"/>
      <c r="EK95" s="57"/>
      <c r="EL95" s="57"/>
      <c r="EM95" s="57"/>
      <c r="EN95" s="57"/>
      <c r="EO95" s="57"/>
      <c r="EP95" s="57"/>
      <c r="EQ95" s="57"/>
      <c r="ER95" s="57"/>
      <c r="ES95" s="57"/>
      <c r="ET95" s="57"/>
      <c r="EU95" s="57"/>
      <c r="EV95" s="57"/>
      <c r="EW95" s="57"/>
      <c r="EX95" s="57"/>
      <c r="EY95" s="57"/>
      <c r="EZ95" s="57"/>
      <c r="FA95" s="57"/>
      <c r="FB95" s="57"/>
      <c r="FC95" s="57"/>
      <c r="FD95" s="57"/>
      <c r="FE95" s="57"/>
      <c r="FF95" s="57"/>
      <c r="FG95" s="57"/>
      <c r="FH95" s="57"/>
      <c r="FI95" s="57"/>
      <c r="FJ95" s="57"/>
      <c r="FK95" s="57"/>
      <c r="FL95" s="57"/>
      <c r="FM95" s="57"/>
      <c r="FN95" s="57"/>
      <c r="FO95" s="57"/>
      <c r="FP95" s="57"/>
      <c r="FQ95" s="57"/>
      <c r="FR95" s="57"/>
      <c r="FS95" s="57"/>
      <c r="FT95" s="57"/>
      <c r="FU95" s="57"/>
      <c r="FV95" s="57"/>
      <c r="FW95" s="57"/>
      <c r="FX95" s="57"/>
      <c r="FY95" s="57"/>
      <c r="FZ95" s="57"/>
      <c r="GA95" s="57"/>
      <c r="GB95" s="57"/>
      <c r="GC95" s="57"/>
      <c r="GD95" s="57"/>
      <c r="GE95" s="57"/>
      <c r="GF95" s="57"/>
      <c r="GG95" s="57"/>
      <c r="GH95" s="57"/>
      <c r="GI95" s="57"/>
      <c r="GJ95" s="57"/>
      <c r="GK95" s="57"/>
      <c r="GL95" s="57"/>
      <c r="GM95" s="57"/>
      <c r="GN95" s="57"/>
      <c r="GO95" s="57"/>
      <c r="GP95" s="57"/>
      <c r="GQ95" s="57"/>
      <c r="GR95" s="57"/>
      <c r="GS95" s="57"/>
      <c r="GT95" s="57"/>
      <c r="GU95" s="57"/>
      <c r="GV95" s="57"/>
      <c r="GW95" s="57"/>
      <c r="GX95" s="57"/>
      <c r="GY95" s="57"/>
      <c r="GZ95" s="57"/>
      <c r="HA95" s="57"/>
      <c r="HB95" s="57"/>
      <c r="HC95" s="57"/>
      <c r="HD95" s="57"/>
      <c r="HE95" s="57"/>
      <c r="HF95" s="57"/>
      <c r="HG95" s="57"/>
      <c r="HH95" s="57"/>
      <c r="HI95" s="57"/>
      <c r="HJ95" s="57"/>
      <c r="HK95" s="57"/>
      <c r="HL95" s="57"/>
      <c r="HM95" s="57"/>
      <c r="HN95" s="57"/>
      <c r="HO95" s="57"/>
      <c r="HP95" s="57"/>
      <c r="HQ95" s="57"/>
      <c r="HR95" s="57"/>
      <c r="HS95" s="57"/>
      <c r="HT95" s="57"/>
      <c r="HU95" s="57"/>
      <c r="HV95" s="57"/>
      <c r="HW95" s="57"/>
      <c r="HX95" s="57"/>
      <c r="HY95" s="57"/>
      <c r="HZ95" s="57"/>
      <c r="IA95" s="57"/>
      <c r="IB95" s="57"/>
      <c r="IC95" s="57"/>
      <c r="ID95" s="57"/>
      <c r="IE95" s="57"/>
      <c r="IF95" s="57"/>
      <c r="IG95" s="57"/>
      <c r="IH95" s="57"/>
      <c r="II95" s="57"/>
      <c r="IJ95" s="57"/>
      <c r="IK95" s="57"/>
      <c r="IL95" s="57"/>
      <c r="IM95" s="57"/>
      <c r="IN95" s="57"/>
      <c r="IO95" s="57"/>
      <c r="IP95" s="57"/>
      <c r="IQ95" s="57"/>
      <c r="IR95" s="57"/>
      <c r="IS95" s="57"/>
      <c r="IT95" s="57"/>
      <c r="IU95" s="57"/>
      <c r="IV95" s="57"/>
      <c r="IW95" s="57"/>
      <c r="IX95" s="57"/>
      <c r="IY95" s="57"/>
      <c r="IZ95" s="57"/>
      <c r="JA95" s="57"/>
      <c r="JB95" s="57"/>
      <c r="JC95" s="57"/>
      <c r="JD95" s="57"/>
    </row>
    <row r="96" spans="1:264" s="66" customFormat="1" ht="16.15" customHeight="1">
      <c r="A96" s="67">
        <v>85</v>
      </c>
      <c r="B96" s="68" t="s">
        <v>480</v>
      </c>
      <c r="C96" s="68" t="s">
        <v>479</v>
      </c>
      <c r="D96" s="58">
        <v>202606</v>
      </c>
      <c r="E96" s="68">
        <v>44453</v>
      </c>
      <c r="F96" s="68">
        <v>46155</v>
      </c>
      <c r="G96" s="67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7"/>
      <c r="U96" s="69"/>
      <c r="V96" s="69"/>
      <c r="W96" s="69"/>
      <c r="X96" s="69"/>
      <c r="Y96" s="69"/>
      <c r="Z96" s="69"/>
      <c r="AA96" s="69"/>
      <c r="AB96" s="69"/>
      <c r="AC96" s="58">
        <f>VLOOKUP(AM:AM,工资明细!E:AP,38,0)</f>
        <v>3092.4899999999998</v>
      </c>
      <c r="AD96" s="57">
        <f>VLOOKUP(AM:AM,工资明细!E:AH,30,0)</f>
        <v>3092.4899999999998</v>
      </c>
      <c r="AE96" s="67"/>
      <c r="AF96" s="67"/>
      <c r="AG96" s="67"/>
      <c r="AH96" s="57">
        <f t="shared" si="163" ref="AH96:AH102">ROUND(G96+T96+AB96+AD96+AF96+AG96+AE96,2)</f>
        <v>3092.4899999999998</v>
      </c>
      <c r="AI96" s="59">
        <f t="shared" si="164" ref="AI96:AI102">ROUND(AH96*(1/(1-0.78%)-1),2)</f>
        <v>24.309999999999999</v>
      </c>
      <c r="AJ96" s="59">
        <f t="shared" si="165" ref="AJ96:AJ102">ROUND(SUM(AH96:AI96)*6%,2)</f>
        <v>187.00999999999999</v>
      </c>
      <c r="AK96" s="59">
        <f t="shared" si="166" ref="AK96:AK102">ROUND(SUM(AH96:AJ96),2)</f>
        <v>3303.8099999999999</v>
      </c>
      <c r="AL96" s="70"/>
      <c r="AM96" s="71" t="s">
        <v>481</v>
      </c>
      <c r="AN96" s="68" t="s">
        <v>210</v>
      </c>
      <c r="AO96" s="68" t="s">
        <v>211</v>
      </c>
      <c r="AP96" s="67"/>
      <c r="AQ96" s="67"/>
      <c r="AR96" s="67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67"/>
      <c r="BP96" s="67"/>
      <c r="BQ96" s="67"/>
      <c r="BR96" s="67"/>
      <c r="BS96" s="67"/>
      <c r="BT96" s="67"/>
      <c r="BU96" s="67"/>
      <c r="BV96" s="67"/>
      <c r="BW96" s="67"/>
      <c r="BX96" s="67"/>
      <c r="BY96" s="67"/>
      <c r="BZ96" s="67"/>
      <c r="CA96" s="67"/>
      <c r="CB96" s="67"/>
      <c r="CC96" s="67"/>
      <c r="CD96" s="67"/>
      <c r="CE96" s="67"/>
      <c r="CF96" s="67"/>
      <c r="CG96" s="67"/>
      <c r="CH96" s="67"/>
      <c r="CI96" s="67"/>
      <c r="CJ96" s="67"/>
      <c r="CK96" s="67"/>
      <c r="CL96" s="67"/>
      <c r="CM96" s="67"/>
      <c r="CN96" s="67"/>
      <c r="CO96" s="67"/>
      <c r="CP96" s="67"/>
      <c r="CQ96" s="67"/>
      <c r="CR96" s="67"/>
      <c r="CS96" s="67"/>
      <c r="CT96" s="67"/>
      <c r="CU96" s="67"/>
      <c r="CV96" s="67"/>
      <c r="CW96" s="67"/>
      <c r="CX96" s="67"/>
      <c r="CY96" s="67"/>
      <c r="CZ96" s="67"/>
      <c r="DA96" s="67"/>
      <c r="DB96" s="67"/>
      <c r="DC96" s="67"/>
      <c r="DD96" s="67"/>
      <c r="DE96" s="67"/>
      <c r="DF96" s="67"/>
      <c r="DG96" s="67"/>
      <c r="DH96" s="67"/>
      <c r="DI96" s="67"/>
      <c r="DJ96" s="67"/>
      <c r="DK96" s="67"/>
      <c r="DL96" s="67"/>
      <c r="DM96" s="67"/>
      <c r="DN96" s="67"/>
      <c r="DO96" s="67"/>
      <c r="DP96" s="67"/>
      <c r="DQ96" s="67"/>
      <c r="DR96" s="67"/>
      <c r="DS96" s="67"/>
      <c r="DT96" s="67"/>
      <c r="DU96" s="67"/>
      <c r="DV96" s="67"/>
      <c r="DW96" s="67"/>
      <c r="DX96" s="67"/>
      <c r="DY96" s="67"/>
      <c r="DZ96" s="67"/>
      <c r="EA96" s="67"/>
      <c r="EB96" s="67"/>
      <c r="EC96" s="67"/>
      <c r="ED96" s="67"/>
      <c r="EE96" s="67"/>
      <c r="EF96" s="67"/>
      <c r="EG96" s="67"/>
      <c r="EH96" s="67"/>
      <c r="EI96" s="67"/>
      <c r="EJ96" s="67"/>
      <c r="EK96" s="67"/>
      <c r="EL96" s="67"/>
      <c r="EM96" s="67"/>
      <c r="EN96" s="67"/>
      <c r="EO96" s="67"/>
      <c r="EP96" s="67"/>
      <c r="EQ96" s="67"/>
      <c r="ER96" s="67"/>
      <c r="ES96" s="67"/>
      <c r="ET96" s="67"/>
      <c r="EU96" s="67"/>
      <c r="EV96" s="67"/>
      <c r="EW96" s="67"/>
      <c r="EX96" s="67"/>
      <c r="EY96" s="67"/>
      <c r="EZ96" s="67"/>
      <c r="FA96" s="67"/>
      <c r="FB96" s="67"/>
      <c r="FC96" s="67"/>
      <c r="FD96" s="67"/>
      <c r="FE96" s="67"/>
      <c r="FF96" s="67"/>
      <c r="FG96" s="67"/>
      <c r="FH96" s="67"/>
      <c r="FI96" s="67"/>
      <c r="FJ96" s="67"/>
      <c r="FK96" s="67"/>
      <c r="FL96" s="67"/>
      <c r="FM96" s="67"/>
      <c r="FN96" s="67"/>
      <c r="FO96" s="67"/>
      <c r="FP96" s="67"/>
      <c r="FQ96" s="67"/>
      <c r="FR96" s="67"/>
      <c r="FS96" s="67"/>
      <c r="FT96" s="67"/>
      <c r="FU96" s="67"/>
      <c r="FV96" s="67"/>
      <c r="FW96" s="67"/>
      <c r="FX96" s="67"/>
      <c r="FY96" s="67"/>
      <c r="FZ96" s="67"/>
      <c r="GA96" s="67"/>
      <c r="GB96" s="67"/>
      <c r="GC96" s="67"/>
      <c r="GD96" s="67"/>
      <c r="GE96" s="67"/>
      <c r="GF96" s="67"/>
      <c r="GG96" s="67"/>
      <c r="GH96" s="67"/>
      <c r="GI96" s="67"/>
      <c r="GJ96" s="67"/>
      <c r="GK96" s="67"/>
      <c r="GL96" s="67"/>
      <c r="GM96" s="67"/>
      <c r="GN96" s="67"/>
      <c r="GO96" s="67"/>
      <c r="GP96" s="67"/>
      <c r="GQ96" s="67"/>
      <c r="GR96" s="67"/>
      <c r="GS96" s="67"/>
      <c r="GT96" s="67"/>
      <c r="GU96" s="67"/>
      <c r="GV96" s="67"/>
      <c r="GW96" s="67"/>
      <c r="GX96" s="67"/>
      <c r="GY96" s="67"/>
      <c r="GZ96" s="67"/>
      <c r="HA96" s="67"/>
      <c r="HB96" s="67"/>
      <c r="HC96" s="67"/>
      <c r="HD96" s="67"/>
      <c r="HE96" s="67"/>
      <c r="HF96" s="67"/>
      <c r="HG96" s="67"/>
      <c r="HH96" s="67"/>
      <c r="HI96" s="67"/>
      <c r="HJ96" s="67"/>
      <c r="HK96" s="67"/>
      <c r="HL96" s="67"/>
      <c r="HM96" s="67"/>
      <c r="HN96" s="67"/>
      <c r="HO96" s="67"/>
      <c r="HP96" s="67"/>
      <c r="HQ96" s="67"/>
      <c r="HR96" s="67"/>
      <c r="HS96" s="67"/>
      <c r="HT96" s="67"/>
      <c r="HU96" s="67"/>
      <c r="HV96" s="67"/>
      <c r="HW96" s="67"/>
      <c r="HX96" s="67"/>
      <c r="HY96" s="67"/>
      <c r="HZ96" s="67"/>
      <c r="IA96" s="67"/>
      <c r="IB96" s="67"/>
      <c r="IC96" s="67"/>
      <c r="ID96" s="67"/>
      <c r="IE96" s="67"/>
      <c r="IF96" s="67"/>
      <c r="IG96" s="67"/>
      <c r="IH96" s="67"/>
      <c r="II96" s="67"/>
      <c r="IJ96" s="67"/>
      <c r="IK96" s="67"/>
      <c r="IL96" s="67"/>
      <c r="IM96" s="67"/>
      <c r="IN96" s="67"/>
      <c r="IO96" s="67"/>
      <c r="IP96" s="67"/>
      <c r="IQ96" s="67"/>
      <c r="IR96" s="67"/>
      <c r="IS96" s="67"/>
      <c r="IT96" s="67"/>
      <c r="IU96" s="67"/>
      <c r="IV96" s="67"/>
      <c r="IW96" s="67"/>
      <c r="IX96" s="67"/>
      <c r="IY96" s="67"/>
      <c r="IZ96" s="67"/>
      <c r="JA96" s="67"/>
      <c r="JB96" s="67"/>
      <c r="JC96" s="67"/>
      <c r="JD96" s="67"/>
    </row>
    <row r="97" spans="1:264" s="66" customFormat="1" ht="16.15" customHeight="1">
      <c r="A97" s="67">
        <v>86</v>
      </c>
      <c r="B97" s="68" t="s">
        <v>486</v>
      </c>
      <c r="C97" s="68" t="s">
        <v>485</v>
      </c>
      <c r="D97" s="58">
        <v>202606</v>
      </c>
      <c r="E97" s="68">
        <v>44557</v>
      </c>
      <c r="F97" s="68">
        <v>46155</v>
      </c>
      <c r="G97" s="67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7"/>
      <c r="U97" s="69"/>
      <c r="V97" s="69"/>
      <c r="W97" s="69"/>
      <c r="X97" s="69"/>
      <c r="Y97" s="69"/>
      <c r="Z97" s="69"/>
      <c r="AA97" s="69"/>
      <c r="AB97" s="69"/>
      <c r="AC97" s="58">
        <f>VLOOKUP(AM:AM,工资明细!E:AP,38,0)</f>
        <v>15024.549999999999</v>
      </c>
      <c r="AD97" s="57">
        <f>VLOOKUP(AM:AM,工资明细!E:AH,30,0)</f>
        <v>15418.84</v>
      </c>
      <c r="AE97" s="67"/>
      <c r="AF97" s="67"/>
      <c r="AG97" s="67"/>
      <c r="AH97" s="57">
        <f t="shared" si="163"/>
        <v>15418.84</v>
      </c>
      <c r="AI97" s="59">
        <f t="shared" si="164"/>
        <v>121.20999999999999</v>
      </c>
      <c r="AJ97" s="59">
        <f t="shared" si="165"/>
        <v>932.39999999999998</v>
      </c>
      <c r="AK97" s="59">
        <f t="shared" si="166"/>
        <v>16472.450000000001</v>
      </c>
      <c r="AL97" s="70"/>
      <c r="AM97" s="71" t="s">
        <v>487</v>
      </c>
      <c r="AN97" s="68" t="s">
        <v>210</v>
      </c>
      <c r="AO97" s="68" t="s">
        <v>211</v>
      </c>
      <c r="AP97" s="67"/>
      <c r="AQ97" s="67"/>
      <c r="AR97" s="67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67"/>
      <c r="BP97" s="67"/>
      <c r="BQ97" s="67"/>
      <c r="BR97" s="67"/>
      <c r="BS97" s="67"/>
      <c r="BT97" s="67"/>
      <c r="BU97" s="67"/>
      <c r="BV97" s="67"/>
      <c r="BW97" s="67"/>
      <c r="BX97" s="67"/>
      <c r="BY97" s="67"/>
      <c r="BZ97" s="67"/>
      <c r="CA97" s="67"/>
      <c r="CB97" s="67"/>
      <c r="CC97" s="67"/>
      <c r="CD97" s="67"/>
      <c r="CE97" s="67"/>
      <c r="CF97" s="67"/>
      <c r="CG97" s="67"/>
      <c r="CH97" s="67"/>
      <c r="CI97" s="67"/>
      <c r="CJ97" s="67"/>
      <c r="CK97" s="67"/>
      <c r="CL97" s="67"/>
      <c r="CM97" s="67"/>
      <c r="CN97" s="67"/>
      <c r="CO97" s="67"/>
      <c r="CP97" s="67"/>
      <c r="CQ97" s="67"/>
      <c r="CR97" s="67"/>
      <c r="CS97" s="67"/>
      <c r="CT97" s="67"/>
      <c r="CU97" s="67"/>
      <c r="CV97" s="67"/>
      <c r="CW97" s="67"/>
      <c r="CX97" s="67"/>
      <c r="CY97" s="67"/>
      <c r="CZ97" s="67"/>
      <c r="DA97" s="67"/>
      <c r="DB97" s="67"/>
      <c r="DC97" s="67"/>
      <c r="DD97" s="67"/>
      <c r="DE97" s="67"/>
      <c r="DF97" s="67"/>
      <c r="DG97" s="67"/>
      <c r="DH97" s="67"/>
      <c r="DI97" s="67"/>
      <c r="DJ97" s="67"/>
      <c r="DK97" s="67"/>
      <c r="DL97" s="67"/>
      <c r="DM97" s="67"/>
      <c r="DN97" s="67"/>
      <c r="DO97" s="67"/>
      <c r="DP97" s="67"/>
      <c r="DQ97" s="67"/>
      <c r="DR97" s="67"/>
      <c r="DS97" s="67"/>
      <c r="DT97" s="67"/>
      <c r="DU97" s="67"/>
      <c r="DV97" s="67"/>
      <c r="DW97" s="67"/>
      <c r="DX97" s="67"/>
      <c r="DY97" s="67"/>
      <c r="DZ97" s="67"/>
      <c r="EA97" s="67"/>
      <c r="EB97" s="67"/>
      <c r="EC97" s="67"/>
      <c r="ED97" s="67"/>
      <c r="EE97" s="67"/>
      <c r="EF97" s="67"/>
      <c r="EG97" s="67"/>
      <c r="EH97" s="67"/>
      <c r="EI97" s="67"/>
      <c r="EJ97" s="67"/>
      <c r="EK97" s="67"/>
      <c r="EL97" s="67"/>
      <c r="EM97" s="67"/>
      <c r="EN97" s="67"/>
      <c r="EO97" s="67"/>
      <c r="EP97" s="67"/>
      <c r="EQ97" s="67"/>
      <c r="ER97" s="67"/>
      <c r="ES97" s="67"/>
      <c r="ET97" s="67"/>
      <c r="EU97" s="67"/>
      <c r="EV97" s="67"/>
      <c r="EW97" s="67"/>
      <c r="EX97" s="67"/>
      <c r="EY97" s="67"/>
      <c r="EZ97" s="67"/>
      <c r="FA97" s="67"/>
      <c r="FB97" s="67"/>
      <c r="FC97" s="67"/>
      <c r="FD97" s="67"/>
      <c r="FE97" s="67"/>
      <c r="FF97" s="67"/>
      <c r="FG97" s="67"/>
      <c r="FH97" s="67"/>
      <c r="FI97" s="67"/>
      <c r="FJ97" s="67"/>
      <c r="FK97" s="67"/>
      <c r="FL97" s="67"/>
      <c r="FM97" s="67"/>
      <c r="FN97" s="67"/>
      <c r="FO97" s="67"/>
      <c r="FP97" s="67"/>
      <c r="FQ97" s="67"/>
      <c r="FR97" s="67"/>
      <c r="FS97" s="67"/>
      <c r="FT97" s="67"/>
      <c r="FU97" s="67"/>
      <c r="FV97" s="67"/>
      <c r="FW97" s="67"/>
      <c r="FX97" s="67"/>
      <c r="FY97" s="67"/>
      <c r="FZ97" s="67"/>
      <c r="GA97" s="67"/>
      <c r="GB97" s="67"/>
      <c r="GC97" s="67"/>
      <c r="GD97" s="67"/>
      <c r="GE97" s="67"/>
      <c r="GF97" s="67"/>
      <c r="GG97" s="67"/>
      <c r="GH97" s="67"/>
      <c r="GI97" s="67"/>
      <c r="GJ97" s="67"/>
      <c r="GK97" s="67"/>
      <c r="GL97" s="67"/>
      <c r="GM97" s="67"/>
      <c r="GN97" s="67"/>
      <c r="GO97" s="67"/>
      <c r="GP97" s="67"/>
      <c r="GQ97" s="67"/>
      <c r="GR97" s="67"/>
      <c r="GS97" s="67"/>
      <c r="GT97" s="67"/>
      <c r="GU97" s="67"/>
      <c r="GV97" s="67"/>
      <c r="GW97" s="67"/>
      <c r="GX97" s="67"/>
      <c r="GY97" s="67"/>
      <c r="GZ97" s="67"/>
      <c r="HA97" s="67"/>
      <c r="HB97" s="67"/>
      <c r="HC97" s="67"/>
      <c r="HD97" s="67"/>
      <c r="HE97" s="67"/>
      <c r="HF97" s="67"/>
      <c r="HG97" s="67"/>
      <c r="HH97" s="67"/>
      <c r="HI97" s="67"/>
      <c r="HJ97" s="67"/>
      <c r="HK97" s="67"/>
      <c r="HL97" s="67"/>
      <c r="HM97" s="67"/>
      <c r="HN97" s="67"/>
      <c r="HO97" s="67"/>
      <c r="HP97" s="67"/>
      <c r="HQ97" s="67"/>
      <c r="HR97" s="67"/>
      <c r="HS97" s="67"/>
      <c r="HT97" s="67"/>
      <c r="HU97" s="67"/>
      <c r="HV97" s="67"/>
      <c r="HW97" s="67"/>
      <c r="HX97" s="67"/>
      <c r="HY97" s="67"/>
      <c r="HZ97" s="67"/>
      <c r="IA97" s="67"/>
      <c r="IB97" s="67"/>
      <c r="IC97" s="67"/>
      <c r="ID97" s="67"/>
      <c r="IE97" s="67"/>
      <c r="IF97" s="67"/>
      <c r="IG97" s="67"/>
      <c r="IH97" s="67"/>
      <c r="II97" s="67"/>
      <c r="IJ97" s="67"/>
      <c r="IK97" s="67"/>
      <c r="IL97" s="67"/>
      <c r="IM97" s="67"/>
      <c r="IN97" s="67"/>
      <c r="IO97" s="67"/>
      <c r="IP97" s="67"/>
      <c r="IQ97" s="67"/>
      <c r="IR97" s="67"/>
      <c r="IS97" s="67"/>
      <c r="IT97" s="67"/>
      <c r="IU97" s="67"/>
      <c r="IV97" s="67"/>
      <c r="IW97" s="67"/>
      <c r="IX97" s="67"/>
      <c r="IY97" s="67"/>
      <c r="IZ97" s="67"/>
      <c r="JA97" s="67"/>
      <c r="JB97" s="67"/>
      <c r="JC97" s="67"/>
      <c r="JD97" s="67"/>
    </row>
    <row r="98" spans="1:264" s="66" customFormat="1" ht="16.15" customHeight="1">
      <c r="A98" s="67">
        <v>87</v>
      </c>
      <c r="B98" s="68" t="s">
        <v>490</v>
      </c>
      <c r="C98" s="68" t="s">
        <v>489</v>
      </c>
      <c r="D98" s="58">
        <v>202606</v>
      </c>
      <c r="E98" s="68">
        <v>44630</v>
      </c>
      <c r="F98" s="68">
        <v>46155</v>
      </c>
      <c r="G98" s="67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7"/>
      <c r="U98" s="69"/>
      <c r="V98" s="69"/>
      <c r="W98" s="69"/>
      <c r="X98" s="69"/>
      <c r="Y98" s="69"/>
      <c r="Z98" s="69"/>
      <c r="AA98" s="69"/>
      <c r="AB98" s="69"/>
      <c r="AC98" s="58">
        <f>VLOOKUP(AM:AM,工资明细!E:AP,38,0)</f>
        <v>3092.4899999999998</v>
      </c>
      <c r="AD98" s="57">
        <f>VLOOKUP(AM:AM,工资明细!E:AH,30,0)</f>
        <v>3092.4899999999998</v>
      </c>
      <c r="AE98" s="67"/>
      <c r="AF98" s="67"/>
      <c r="AG98" s="67"/>
      <c r="AH98" s="57">
        <f t="shared" si="163"/>
        <v>3092.4899999999998</v>
      </c>
      <c r="AI98" s="59">
        <f t="shared" si="164"/>
        <v>24.309999999999999</v>
      </c>
      <c r="AJ98" s="59">
        <f t="shared" si="165"/>
        <v>187.00999999999999</v>
      </c>
      <c r="AK98" s="59">
        <f t="shared" si="166"/>
        <v>3303.8099999999999</v>
      </c>
      <c r="AL98" s="70"/>
      <c r="AM98" s="71" t="s">
        <v>491</v>
      </c>
      <c r="AN98" s="68" t="s">
        <v>210</v>
      </c>
      <c r="AO98" s="68" t="s">
        <v>211</v>
      </c>
      <c r="AP98" s="67"/>
      <c r="AQ98" s="67"/>
      <c r="AR98" s="67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67"/>
      <c r="BP98" s="67"/>
      <c r="BQ98" s="67"/>
      <c r="BR98" s="67"/>
      <c r="BS98" s="67"/>
      <c r="BT98" s="67"/>
      <c r="BU98" s="67"/>
      <c r="BV98" s="67"/>
      <c r="BW98" s="67"/>
      <c r="BX98" s="67"/>
      <c r="BY98" s="67"/>
      <c r="BZ98" s="67"/>
      <c r="CA98" s="67"/>
      <c r="CB98" s="67"/>
      <c r="CC98" s="67"/>
      <c r="CD98" s="67"/>
      <c r="CE98" s="67"/>
      <c r="CF98" s="67"/>
      <c r="CG98" s="67"/>
      <c r="CH98" s="67"/>
      <c r="CI98" s="67"/>
      <c r="CJ98" s="67"/>
      <c r="CK98" s="67"/>
      <c r="CL98" s="67"/>
      <c r="CM98" s="67"/>
      <c r="CN98" s="67"/>
      <c r="CO98" s="67"/>
      <c r="CP98" s="67"/>
      <c r="CQ98" s="67"/>
      <c r="CR98" s="67"/>
      <c r="CS98" s="67"/>
      <c r="CT98" s="67"/>
      <c r="CU98" s="67"/>
      <c r="CV98" s="67"/>
      <c r="CW98" s="67"/>
      <c r="CX98" s="67"/>
      <c r="CY98" s="67"/>
      <c r="CZ98" s="67"/>
      <c r="DA98" s="67"/>
      <c r="DB98" s="67"/>
      <c r="DC98" s="67"/>
      <c r="DD98" s="67"/>
      <c r="DE98" s="67"/>
      <c r="DF98" s="67"/>
      <c r="DG98" s="67"/>
      <c r="DH98" s="67"/>
      <c r="DI98" s="67"/>
      <c r="DJ98" s="67"/>
      <c r="DK98" s="67"/>
      <c r="DL98" s="67"/>
      <c r="DM98" s="67"/>
      <c r="DN98" s="67"/>
      <c r="DO98" s="67"/>
      <c r="DP98" s="67"/>
      <c r="DQ98" s="67"/>
      <c r="DR98" s="67"/>
      <c r="DS98" s="67"/>
      <c r="DT98" s="67"/>
      <c r="DU98" s="67"/>
      <c r="DV98" s="67"/>
      <c r="DW98" s="67"/>
      <c r="DX98" s="67"/>
      <c r="DY98" s="67"/>
      <c r="DZ98" s="67"/>
      <c r="EA98" s="67"/>
      <c r="EB98" s="67"/>
      <c r="EC98" s="67"/>
      <c r="ED98" s="67"/>
      <c r="EE98" s="67"/>
      <c r="EF98" s="67"/>
      <c r="EG98" s="67"/>
      <c r="EH98" s="67"/>
      <c r="EI98" s="67"/>
      <c r="EJ98" s="67"/>
      <c r="EK98" s="67"/>
      <c r="EL98" s="67"/>
      <c r="EM98" s="67"/>
      <c r="EN98" s="67"/>
      <c r="EO98" s="67"/>
      <c r="EP98" s="67"/>
      <c r="EQ98" s="67"/>
      <c r="ER98" s="67"/>
      <c r="ES98" s="67"/>
      <c r="ET98" s="67"/>
      <c r="EU98" s="67"/>
      <c r="EV98" s="67"/>
      <c r="EW98" s="67"/>
      <c r="EX98" s="67"/>
      <c r="EY98" s="67"/>
      <c r="EZ98" s="67"/>
      <c r="FA98" s="67"/>
      <c r="FB98" s="67"/>
      <c r="FC98" s="67"/>
      <c r="FD98" s="67"/>
      <c r="FE98" s="67"/>
      <c r="FF98" s="67"/>
      <c r="FG98" s="67"/>
      <c r="FH98" s="67"/>
      <c r="FI98" s="67"/>
      <c r="FJ98" s="67"/>
      <c r="FK98" s="67"/>
      <c r="FL98" s="67"/>
      <c r="FM98" s="67"/>
      <c r="FN98" s="67"/>
      <c r="FO98" s="67"/>
      <c r="FP98" s="67"/>
      <c r="FQ98" s="67"/>
      <c r="FR98" s="67"/>
      <c r="FS98" s="67"/>
      <c r="FT98" s="67"/>
      <c r="FU98" s="67"/>
      <c r="FV98" s="67"/>
      <c r="FW98" s="67"/>
      <c r="FX98" s="67"/>
      <c r="FY98" s="67"/>
      <c r="FZ98" s="67"/>
      <c r="GA98" s="67"/>
      <c r="GB98" s="67"/>
      <c r="GC98" s="67"/>
      <c r="GD98" s="67"/>
      <c r="GE98" s="67"/>
      <c r="GF98" s="67"/>
      <c r="GG98" s="67"/>
      <c r="GH98" s="67"/>
      <c r="GI98" s="67"/>
      <c r="GJ98" s="67"/>
      <c r="GK98" s="67"/>
      <c r="GL98" s="67"/>
      <c r="GM98" s="67"/>
      <c r="GN98" s="67"/>
      <c r="GO98" s="67"/>
      <c r="GP98" s="67"/>
      <c r="GQ98" s="67"/>
      <c r="GR98" s="67"/>
      <c r="GS98" s="67"/>
      <c r="GT98" s="67"/>
      <c r="GU98" s="67"/>
      <c r="GV98" s="67"/>
      <c r="GW98" s="67"/>
      <c r="GX98" s="67"/>
      <c r="GY98" s="67"/>
      <c r="GZ98" s="67"/>
      <c r="HA98" s="67"/>
      <c r="HB98" s="67"/>
      <c r="HC98" s="67"/>
      <c r="HD98" s="67"/>
      <c r="HE98" s="67"/>
      <c r="HF98" s="67"/>
      <c r="HG98" s="67"/>
      <c r="HH98" s="67"/>
      <c r="HI98" s="67"/>
      <c r="HJ98" s="67"/>
      <c r="HK98" s="67"/>
      <c r="HL98" s="67"/>
      <c r="HM98" s="67"/>
      <c r="HN98" s="67"/>
      <c r="HO98" s="67"/>
      <c r="HP98" s="67"/>
      <c r="HQ98" s="67"/>
      <c r="HR98" s="67"/>
      <c r="HS98" s="67"/>
      <c r="HT98" s="67"/>
      <c r="HU98" s="67"/>
      <c r="HV98" s="67"/>
      <c r="HW98" s="67"/>
      <c r="HX98" s="67"/>
      <c r="HY98" s="67"/>
      <c r="HZ98" s="67"/>
      <c r="IA98" s="67"/>
      <c r="IB98" s="67"/>
      <c r="IC98" s="67"/>
      <c r="ID98" s="67"/>
      <c r="IE98" s="67"/>
      <c r="IF98" s="67"/>
      <c r="IG98" s="67"/>
      <c r="IH98" s="67"/>
      <c r="II98" s="67"/>
      <c r="IJ98" s="67"/>
      <c r="IK98" s="67"/>
      <c r="IL98" s="67"/>
      <c r="IM98" s="67"/>
      <c r="IN98" s="67"/>
      <c r="IO98" s="67"/>
      <c r="IP98" s="67"/>
      <c r="IQ98" s="67"/>
      <c r="IR98" s="67"/>
      <c r="IS98" s="67"/>
      <c r="IT98" s="67"/>
      <c r="IU98" s="67"/>
      <c r="IV98" s="67"/>
      <c r="IW98" s="67"/>
      <c r="IX98" s="67"/>
      <c r="IY98" s="67"/>
      <c r="IZ98" s="67"/>
      <c r="JA98" s="67"/>
      <c r="JB98" s="67"/>
      <c r="JC98" s="67"/>
      <c r="JD98" s="67"/>
    </row>
    <row r="99" spans="1:264" s="66" customFormat="1" ht="16.15" customHeight="1">
      <c r="A99" s="67">
        <v>88</v>
      </c>
      <c r="B99" s="68" t="s">
        <v>507</v>
      </c>
      <c r="C99" s="68" t="s">
        <v>506</v>
      </c>
      <c r="D99" s="58">
        <v>202606</v>
      </c>
      <c r="E99" s="68">
        <v>45108</v>
      </c>
      <c r="F99" s="68">
        <v>46173</v>
      </c>
      <c r="G99" s="67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7"/>
      <c r="U99" s="69"/>
      <c r="V99" s="69"/>
      <c r="W99" s="69"/>
      <c r="X99" s="69"/>
      <c r="Y99" s="69"/>
      <c r="Z99" s="69"/>
      <c r="AA99" s="69"/>
      <c r="AB99" s="69"/>
      <c r="AC99" s="58">
        <f>VLOOKUP(AM:AM,工资明细!E:AP,38,0)</f>
        <v>1474.6500000000001</v>
      </c>
      <c r="AD99" s="57">
        <f>VLOOKUP(AM:AM,工资明细!E:AH,30,0)</f>
        <v>1474.6500000000001</v>
      </c>
      <c r="AE99" s="67"/>
      <c r="AF99" s="67"/>
      <c r="AG99" s="67"/>
      <c r="AH99" s="57">
        <f t="shared" si="163"/>
        <v>1474.6500000000001</v>
      </c>
      <c r="AI99" s="59">
        <f t="shared" si="164"/>
        <v>11.59</v>
      </c>
      <c r="AJ99" s="59">
        <f t="shared" si="165"/>
        <v>89.170000000000002</v>
      </c>
      <c r="AK99" s="59">
        <f t="shared" si="166"/>
        <v>1575.4100000000001</v>
      </c>
      <c r="AL99" s="70"/>
      <c r="AM99" s="71" t="s">
        <v>508</v>
      </c>
      <c r="AN99" s="68" t="s">
        <v>551</v>
      </c>
      <c r="AO99" s="68" t="s">
        <v>424</v>
      </c>
      <c r="AP99" s="67"/>
      <c r="AQ99" s="67"/>
      <c r="AR99" s="67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67"/>
      <c r="BP99" s="67"/>
      <c r="BQ99" s="67"/>
      <c r="BR99" s="67"/>
      <c r="BS99" s="67"/>
      <c r="BT99" s="67"/>
      <c r="BU99" s="67"/>
      <c r="BV99" s="67"/>
      <c r="BW99" s="67"/>
      <c r="BX99" s="67"/>
      <c r="BY99" s="67"/>
      <c r="BZ99" s="67"/>
      <c r="CA99" s="67"/>
      <c r="CB99" s="67"/>
      <c r="CC99" s="67"/>
      <c r="CD99" s="67"/>
      <c r="CE99" s="67"/>
      <c r="CF99" s="67"/>
      <c r="CG99" s="67"/>
      <c r="CH99" s="67"/>
      <c r="CI99" s="67"/>
      <c r="CJ99" s="67"/>
      <c r="CK99" s="67"/>
      <c r="CL99" s="67"/>
      <c r="CM99" s="67"/>
      <c r="CN99" s="67"/>
      <c r="CO99" s="67"/>
      <c r="CP99" s="67"/>
      <c r="CQ99" s="67"/>
      <c r="CR99" s="67"/>
      <c r="CS99" s="67"/>
      <c r="CT99" s="67"/>
      <c r="CU99" s="67"/>
      <c r="CV99" s="67"/>
      <c r="CW99" s="67"/>
      <c r="CX99" s="67"/>
      <c r="CY99" s="67"/>
      <c r="CZ99" s="67"/>
      <c r="DA99" s="67"/>
      <c r="DB99" s="67"/>
      <c r="DC99" s="67"/>
      <c r="DD99" s="67"/>
      <c r="DE99" s="67"/>
      <c r="DF99" s="67"/>
      <c r="DG99" s="67"/>
      <c r="DH99" s="67"/>
      <c r="DI99" s="67"/>
      <c r="DJ99" s="67"/>
      <c r="DK99" s="67"/>
      <c r="DL99" s="67"/>
      <c r="DM99" s="67"/>
      <c r="DN99" s="67"/>
      <c r="DO99" s="67"/>
      <c r="DP99" s="67"/>
      <c r="DQ99" s="67"/>
      <c r="DR99" s="67"/>
      <c r="DS99" s="67"/>
      <c r="DT99" s="67"/>
      <c r="DU99" s="67"/>
      <c r="DV99" s="67"/>
      <c r="DW99" s="67"/>
      <c r="DX99" s="67"/>
      <c r="DY99" s="67"/>
      <c r="DZ99" s="67"/>
      <c r="EA99" s="67"/>
      <c r="EB99" s="67"/>
      <c r="EC99" s="67"/>
      <c r="ED99" s="67"/>
      <c r="EE99" s="67"/>
      <c r="EF99" s="67"/>
      <c r="EG99" s="67"/>
      <c r="EH99" s="67"/>
      <c r="EI99" s="67"/>
      <c r="EJ99" s="67"/>
      <c r="EK99" s="67"/>
      <c r="EL99" s="67"/>
      <c r="EM99" s="67"/>
      <c r="EN99" s="67"/>
      <c r="EO99" s="67"/>
      <c r="EP99" s="67"/>
      <c r="EQ99" s="67"/>
      <c r="ER99" s="67"/>
      <c r="ES99" s="67"/>
      <c r="ET99" s="67"/>
      <c r="EU99" s="67"/>
      <c r="EV99" s="67"/>
      <c r="EW99" s="67"/>
      <c r="EX99" s="67"/>
      <c r="EY99" s="67"/>
      <c r="EZ99" s="67"/>
      <c r="FA99" s="67"/>
      <c r="FB99" s="67"/>
      <c r="FC99" s="67"/>
      <c r="FD99" s="67"/>
      <c r="FE99" s="67"/>
      <c r="FF99" s="67"/>
      <c r="FG99" s="67"/>
      <c r="FH99" s="67"/>
      <c r="FI99" s="67"/>
      <c r="FJ99" s="67"/>
      <c r="FK99" s="67"/>
      <c r="FL99" s="67"/>
      <c r="FM99" s="67"/>
      <c r="FN99" s="67"/>
      <c r="FO99" s="67"/>
      <c r="FP99" s="67"/>
      <c r="FQ99" s="67"/>
      <c r="FR99" s="67"/>
      <c r="FS99" s="67"/>
      <c r="FT99" s="67"/>
      <c r="FU99" s="67"/>
      <c r="FV99" s="67"/>
      <c r="FW99" s="67"/>
      <c r="FX99" s="67"/>
      <c r="FY99" s="67"/>
      <c r="FZ99" s="67"/>
      <c r="GA99" s="67"/>
      <c r="GB99" s="67"/>
      <c r="GC99" s="67"/>
      <c r="GD99" s="67"/>
      <c r="GE99" s="67"/>
      <c r="GF99" s="67"/>
      <c r="GG99" s="67"/>
      <c r="GH99" s="67"/>
      <c r="GI99" s="67"/>
      <c r="GJ99" s="67"/>
      <c r="GK99" s="67"/>
      <c r="GL99" s="67"/>
      <c r="GM99" s="67"/>
      <c r="GN99" s="67"/>
      <c r="GO99" s="67"/>
      <c r="GP99" s="67"/>
      <c r="GQ99" s="67"/>
      <c r="GR99" s="67"/>
      <c r="GS99" s="67"/>
      <c r="GT99" s="67"/>
      <c r="GU99" s="67"/>
      <c r="GV99" s="67"/>
      <c r="GW99" s="67"/>
      <c r="GX99" s="67"/>
      <c r="GY99" s="67"/>
      <c r="GZ99" s="67"/>
      <c r="HA99" s="67"/>
      <c r="HB99" s="67"/>
      <c r="HC99" s="67"/>
      <c r="HD99" s="67"/>
      <c r="HE99" s="67"/>
      <c r="HF99" s="67"/>
      <c r="HG99" s="67"/>
      <c r="HH99" s="67"/>
      <c r="HI99" s="67"/>
      <c r="HJ99" s="67"/>
      <c r="HK99" s="67"/>
      <c r="HL99" s="67"/>
      <c r="HM99" s="67"/>
      <c r="HN99" s="67"/>
      <c r="HO99" s="67"/>
      <c r="HP99" s="67"/>
      <c r="HQ99" s="67"/>
      <c r="HR99" s="67"/>
      <c r="HS99" s="67"/>
      <c r="HT99" s="67"/>
      <c r="HU99" s="67"/>
      <c r="HV99" s="67"/>
      <c r="HW99" s="67"/>
      <c r="HX99" s="67"/>
      <c r="HY99" s="67"/>
      <c r="HZ99" s="67"/>
      <c r="IA99" s="67"/>
      <c r="IB99" s="67"/>
      <c r="IC99" s="67"/>
      <c r="ID99" s="67"/>
      <c r="IE99" s="67"/>
      <c r="IF99" s="67"/>
      <c r="IG99" s="67"/>
      <c r="IH99" s="67"/>
      <c r="II99" s="67"/>
      <c r="IJ99" s="67"/>
      <c r="IK99" s="67"/>
      <c r="IL99" s="67"/>
      <c r="IM99" s="67"/>
      <c r="IN99" s="67"/>
      <c r="IO99" s="67"/>
      <c r="IP99" s="67"/>
      <c r="IQ99" s="67"/>
      <c r="IR99" s="67"/>
      <c r="IS99" s="67"/>
      <c r="IT99" s="67"/>
      <c r="IU99" s="67"/>
      <c r="IV99" s="67"/>
      <c r="IW99" s="67"/>
      <c r="IX99" s="67"/>
      <c r="IY99" s="67"/>
      <c r="IZ99" s="67"/>
      <c r="JA99" s="67"/>
      <c r="JB99" s="67"/>
      <c r="JC99" s="67"/>
      <c r="JD99" s="67"/>
    </row>
    <row r="100" spans="1:264" s="66" customFormat="1" ht="16.15" customHeight="1">
      <c r="A100" s="67">
        <v>89</v>
      </c>
      <c r="B100" s="68" t="s">
        <v>516</v>
      </c>
      <c r="C100" s="68" t="s">
        <v>515</v>
      </c>
      <c r="D100" s="58">
        <v>202606</v>
      </c>
      <c r="E100" s="68">
        <v>45384</v>
      </c>
      <c r="F100" s="68">
        <v>46155</v>
      </c>
      <c r="G100" s="67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7"/>
      <c r="U100" s="69"/>
      <c r="V100" s="69"/>
      <c r="W100" s="69"/>
      <c r="X100" s="69"/>
      <c r="Y100" s="69"/>
      <c r="Z100" s="69"/>
      <c r="AA100" s="69"/>
      <c r="AB100" s="69"/>
      <c r="AC100" s="58">
        <f>VLOOKUP(AM:AM,工资明细!E:AP,38,0)</f>
        <v>3092.4899999999998</v>
      </c>
      <c r="AD100" s="57">
        <f>VLOOKUP(AM:AM,工资明细!E:AH,30,0)</f>
        <v>3092.4899999999998</v>
      </c>
      <c r="AE100" s="67"/>
      <c r="AF100" s="67"/>
      <c r="AG100" s="67"/>
      <c r="AH100" s="57">
        <f t="shared" si="163"/>
        <v>3092.4899999999998</v>
      </c>
      <c r="AI100" s="59">
        <f t="shared" si="164"/>
        <v>24.309999999999999</v>
      </c>
      <c r="AJ100" s="59">
        <f t="shared" si="165"/>
        <v>187.00999999999999</v>
      </c>
      <c r="AK100" s="59">
        <f t="shared" si="166"/>
        <v>3303.8099999999999</v>
      </c>
      <c r="AL100" s="70"/>
      <c r="AM100" s="71" t="s">
        <v>517</v>
      </c>
      <c r="AN100" s="68" t="s">
        <v>210</v>
      </c>
      <c r="AO100" s="68" t="s">
        <v>211</v>
      </c>
      <c r="AP100" s="67"/>
      <c r="AQ100" s="67"/>
      <c r="AR100" s="67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67"/>
      <c r="BP100" s="67"/>
      <c r="BQ100" s="67"/>
      <c r="BR100" s="67"/>
      <c r="BS100" s="67"/>
      <c r="BT100" s="67"/>
      <c r="BU100" s="67"/>
      <c r="BV100" s="67"/>
      <c r="BW100" s="67"/>
      <c r="BX100" s="67"/>
      <c r="BY100" s="67"/>
      <c r="BZ100" s="67"/>
      <c r="CA100" s="67"/>
      <c r="CB100" s="67"/>
      <c r="CC100" s="67"/>
      <c r="CD100" s="67"/>
      <c r="CE100" s="67"/>
      <c r="CF100" s="67"/>
      <c r="CG100" s="67"/>
      <c r="CH100" s="67"/>
      <c r="CI100" s="67"/>
      <c r="CJ100" s="67"/>
      <c r="CK100" s="67"/>
      <c r="CL100" s="67"/>
      <c r="CM100" s="67"/>
      <c r="CN100" s="67"/>
      <c r="CO100" s="67"/>
      <c r="CP100" s="67"/>
      <c r="CQ100" s="67"/>
      <c r="CR100" s="67"/>
      <c r="CS100" s="67"/>
      <c r="CT100" s="67"/>
      <c r="CU100" s="67"/>
      <c r="CV100" s="67"/>
      <c r="CW100" s="67"/>
      <c r="CX100" s="67"/>
      <c r="CY100" s="67"/>
      <c r="CZ100" s="67"/>
      <c r="DA100" s="67"/>
      <c r="DB100" s="67"/>
      <c r="DC100" s="67"/>
      <c r="DD100" s="67"/>
      <c r="DE100" s="67"/>
      <c r="DF100" s="67"/>
      <c r="DG100" s="67"/>
      <c r="DH100" s="67"/>
      <c r="DI100" s="67"/>
      <c r="DJ100" s="67"/>
      <c r="DK100" s="67"/>
      <c r="DL100" s="67"/>
      <c r="DM100" s="67"/>
      <c r="DN100" s="67"/>
      <c r="DO100" s="67"/>
      <c r="DP100" s="67"/>
      <c r="DQ100" s="67"/>
      <c r="DR100" s="67"/>
      <c r="DS100" s="67"/>
      <c r="DT100" s="67"/>
      <c r="DU100" s="67"/>
      <c r="DV100" s="67"/>
      <c r="DW100" s="67"/>
      <c r="DX100" s="67"/>
      <c r="DY100" s="67"/>
      <c r="DZ100" s="67"/>
      <c r="EA100" s="67"/>
      <c r="EB100" s="67"/>
      <c r="EC100" s="67"/>
      <c r="ED100" s="67"/>
      <c r="EE100" s="67"/>
      <c r="EF100" s="67"/>
      <c r="EG100" s="67"/>
      <c r="EH100" s="67"/>
      <c r="EI100" s="67"/>
      <c r="EJ100" s="67"/>
      <c r="EK100" s="67"/>
      <c r="EL100" s="67"/>
      <c r="EM100" s="67"/>
      <c r="EN100" s="67"/>
      <c r="EO100" s="67"/>
      <c r="EP100" s="67"/>
      <c r="EQ100" s="67"/>
      <c r="ER100" s="67"/>
      <c r="ES100" s="67"/>
      <c r="ET100" s="67"/>
      <c r="EU100" s="67"/>
      <c r="EV100" s="67"/>
      <c r="EW100" s="67"/>
      <c r="EX100" s="67"/>
      <c r="EY100" s="67"/>
      <c r="EZ100" s="67"/>
      <c r="FA100" s="67"/>
      <c r="FB100" s="67"/>
      <c r="FC100" s="67"/>
      <c r="FD100" s="67"/>
      <c r="FE100" s="67"/>
      <c r="FF100" s="67"/>
      <c r="FG100" s="67"/>
      <c r="FH100" s="67"/>
      <c r="FI100" s="67"/>
      <c r="FJ100" s="67"/>
      <c r="FK100" s="67"/>
      <c r="FL100" s="67"/>
      <c r="FM100" s="67"/>
      <c r="FN100" s="67"/>
      <c r="FO100" s="67"/>
      <c r="FP100" s="67"/>
      <c r="FQ100" s="67"/>
      <c r="FR100" s="67"/>
      <c r="FS100" s="67"/>
      <c r="FT100" s="67"/>
      <c r="FU100" s="67"/>
      <c r="FV100" s="67"/>
      <c r="FW100" s="67"/>
      <c r="FX100" s="67"/>
      <c r="FY100" s="67"/>
      <c r="FZ100" s="67"/>
      <c r="GA100" s="67"/>
      <c r="GB100" s="67"/>
      <c r="GC100" s="67"/>
      <c r="GD100" s="67"/>
      <c r="GE100" s="67"/>
      <c r="GF100" s="67"/>
      <c r="GG100" s="67"/>
      <c r="GH100" s="67"/>
      <c r="GI100" s="67"/>
      <c r="GJ100" s="67"/>
      <c r="GK100" s="67"/>
      <c r="GL100" s="67"/>
      <c r="GM100" s="67"/>
      <c r="GN100" s="67"/>
      <c r="GO100" s="67"/>
      <c r="GP100" s="67"/>
      <c r="GQ100" s="67"/>
      <c r="GR100" s="67"/>
      <c r="GS100" s="67"/>
      <c r="GT100" s="67"/>
      <c r="GU100" s="67"/>
      <c r="GV100" s="67"/>
      <c r="GW100" s="67"/>
      <c r="GX100" s="67"/>
      <c r="GY100" s="67"/>
      <c r="GZ100" s="67"/>
      <c r="HA100" s="67"/>
      <c r="HB100" s="67"/>
      <c r="HC100" s="67"/>
      <c r="HD100" s="67"/>
      <c r="HE100" s="67"/>
      <c r="HF100" s="67"/>
      <c r="HG100" s="67"/>
      <c r="HH100" s="67"/>
      <c r="HI100" s="67"/>
      <c r="HJ100" s="67"/>
      <c r="HK100" s="67"/>
      <c r="HL100" s="67"/>
      <c r="HM100" s="67"/>
      <c r="HN100" s="67"/>
      <c r="HO100" s="67"/>
      <c r="HP100" s="67"/>
      <c r="HQ100" s="67"/>
      <c r="HR100" s="67"/>
      <c r="HS100" s="67"/>
      <c r="HT100" s="67"/>
      <c r="HU100" s="67"/>
      <c r="HV100" s="67"/>
      <c r="HW100" s="67"/>
      <c r="HX100" s="67"/>
      <c r="HY100" s="67"/>
      <c r="HZ100" s="67"/>
      <c r="IA100" s="67"/>
      <c r="IB100" s="67"/>
      <c r="IC100" s="67"/>
      <c r="ID100" s="67"/>
      <c r="IE100" s="67"/>
      <c r="IF100" s="67"/>
      <c r="IG100" s="67"/>
      <c r="IH100" s="67"/>
      <c r="II100" s="67"/>
      <c r="IJ100" s="67"/>
      <c r="IK100" s="67"/>
      <c r="IL100" s="67"/>
      <c r="IM100" s="67"/>
      <c r="IN100" s="67"/>
      <c r="IO100" s="67"/>
      <c r="IP100" s="67"/>
      <c r="IQ100" s="67"/>
      <c r="IR100" s="67"/>
      <c r="IS100" s="67"/>
      <c r="IT100" s="67"/>
      <c r="IU100" s="67"/>
      <c r="IV100" s="67"/>
      <c r="IW100" s="67"/>
      <c r="IX100" s="67"/>
      <c r="IY100" s="67"/>
      <c r="IZ100" s="67"/>
      <c r="JA100" s="67"/>
      <c r="JB100" s="67"/>
      <c r="JC100" s="67"/>
      <c r="JD100" s="67"/>
    </row>
    <row r="101" spans="1:264" s="66" customFormat="1" ht="16.15" customHeight="1">
      <c r="A101" s="67">
        <v>90</v>
      </c>
      <c r="B101" s="68" t="s">
        <v>521</v>
      </c>
      <c r="C101" s="68" t="s">
        <v>520</v>
      </c>
      <c r="D101" s="58">
        <v>202606</v>
      </c>
      <c r="E101" s="68">
        <v>45734</v>
      </c>
      <c r="F101" s="68">
        <v>46173</v>
      </c>
      <c r="G101" s="67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7"/>
      <c r="U101" s="69"/>
      <c r="V101" s="69"/>
      <c r="W101" s="69"/>
      <c r="X101" s="69"/>
      <c r="Y101" s="69"/>
      <c r="Z101" s="69"/>
      <c r="AA101" s="69"/>
      <c r="AB101" s="69"/>
      <c r="AC101" s="58">
        <f>VLOOKUP(AM:AM,工资明细!E:AP,38,0)</f>
        <v>1521.2</v>
      </c>
      <c r="AD101" s="57">
        <f>VLOOKUP(AM:AM,工资明细!E:AH,30,0)</f>
        <v>1521.2</v>
      </c>
      <c r="AE101" s="67"/>
      <c r="AF101" s="67"/>
      <c r="AG101" s="67"/>
      <c r="AH101" s="57">
        <f t="shared" si="163"/>
        <v>1521.2</v>
      </c>
      <c r="AI101" s="59">
        <f t="shared" si="164"/>
        <v>11.960000000000001</v>
      </c>
      <c r="AJ101" s="59">
        <f t="shared" si="165"/>
        <v>91.989999999999995</v>
      </c>
      <c r="AK101" s="59">
        <f t="shared" si="166"/>
        <v>1625.1500000000001</v>
      </c>
      <c r="AL101" s="70"/>
      <c r="AM101" s="71" t="s">
        <v>522</v>
      </c>
      <c r="AN101" s="68" t="s">
        <v>551</v>
      </c>
      <c r="AO101" s="68" t="s">
        <v>424</v>
      </c>
      <c r="AP101" s="67"/>
      <c r="AQ101" s="67"/>
      <c r="AR101" s="67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67"/>
      <c r="BP101" s="67"/>
      <c r="BQ101" s="67"/>
      <c r="BR101" s="67"/>
      <c r="BS101" s="67"/>
      <c r="BT101" s="67"/>
      <c r="BU101" s="67"/>
      <c r="BV101" s="67"/>
      <c r="BW101" s="67"/>
      <c r="BX101" s="67"/>
      <c r="BY101" s="67"/>
      <c r="BZ101" s="67"/>
      <c r="CA101" s="67"/>
      <c r="CB101" s="67"/>
      <c r="CC101" s="67"/>
      <c r="CD101" s="67"/>
      <c r="CE101" s="67"/>
      <c r="CF101" s="67"/>
      <c r="CG101" s="67"/>
      <c r="CH101" s="67"/>
      <c r="CI101" s="67"/>
      <c r="CJ101" s="67"/>
      <c r="CK101" s="67"/>
      <c r="CL101" s="67"/>
      <c r="CM101" s="67"/>
      <c r="CN101" s="67"/>
      <c r="CO101" s="67"/>
      <c r="CP101" s="67"/>
      <c r="CQ101" s="67"/>
      <c r="CR101" s="67"/>
      <c r="CS101" s="67"/>
      <c r="CT101" s="67"/>
      <c r="CU101" s="67"/>
      <c r="CV101" s="67"/>
      <c r="CW101" s="67"/>
      <c r="CX101" s="67"/>
      <c r="CY101" s="67"/>
      <c r="CZ101" s="67"/>
      <c r="DA101" s="67"/>
      <c r="DB101" s="67"/>
      <c r="DC101" s="67"/>
      <c r="DD101" s="67"/>
      <c r="DE101" s="67"/>
      <c r="DF101" s="67"/>
      <c r="DG101" s="67"/>
      <c r="DH101" s="67"/>
      <c r="DI101" s="67"/>
      <c r="DJ101" s="67"/>
      <c r="DK101" s="67"/>
      <c r="DL101" s="67"/>
      <c r="DM101" s="67"/>
      <c r="DN101" s="67"/>
      <c r="DO101" s="67"/>
      <c r="DP101" s="67"/>
      <c r="DQ101" s="67"/>
      <c r="DR101" s="67"/>
      <c r="DS101" s="67"/>
      <c r="DT101" s="67"/>
      <c r="DU101" s="67"/>
      <c r="DV101" s="67"/>
      <c r="DW101" s="67"/>
      <c r="DX101" s="67"/>
      <c r="DY101" s="67"/>
      <c r="DZ101" s="67"/>
      <c r="EA101" s="67"/>
      <c r="EB101" s="67"/>
      <c r="EC101" s="67"/>
      <c r="ED101" s="67"/>
      <c r="EE101" s="67"/>
      <c r="EF101" s="67"/>
      <c r="EG101" s="67"/>
      <c r="EH101" s="67"/>
      <c r="EI101" s="67"/>
      <c r="EJ101" s="67"/>
      <c r="EK101" s="67"/>
      <c r="EL101" s="67"/>
      <c r="EM101" s="67"/>
      <c r="EN101" s="67"/>
      <c r="EO101" s="67"/>
      <c r="EP101" s="67"/>
      <c r="EQ101" s="67"/>
      <c r="ER101" s="67"/>
      <c r="ES101" s="67"/>
      <c r="ET101" s="67"/>
      <c r="EU101" s="67"/>
      <c r="EV101" s="67"/>
      <c r="EW101" s="67"/>
      <c r="EX101" s="67"/>
      <c r="EY101" s="67"/>
      <c r="EZ101" s="67"/>
      <c r="FA101" s="67"/>
      <c r="FB101" s="67"/>
      <c r="FC101" s="67"/>
      <c r="FD101" s="67"/>
      <c r="FE101" s="67"/>
      <c r="FF101" s="67"/>
      <c r="FG101" s="67"/>
      <c r="FH101" s="67"/>
      <c r="FI101" s="67"/>
      <c r="FJ101" s="67"/>
      <c r="FK101" s="67"/>
      <c r="FL101" s="67"/>
      <c r="FM101" s="67"/>
      <c r="FN101" s="67"/>
      <c r="FO101" s="67"/>
      <c r="FP101" s="67"/>
      <c r="FQ101" s="67"/>
      <c r="FR101" s="67"/>
      <c r="FS101" s="67"/>
      <c r="FT101" s="67"/>
      <c r="FU101" s="67"/>
      <c r="FV101" s="67"/>
      <c r="FW101" s="67"/>
      <c r="FX101" s="67"/>
      <c r="FY101" s="67"/>
      <c r="FZ101" s="67"/>
      <c r="GA101" s="67"/>
      <c r="GB101" s="67"/>
      <c r="GC101" s="67"/>
      <c r="GD101" s="67"/>
      <c r="GE101" s="67"/>
      <c r="GF101" s="67"/>
      <c r="GG101" s="67"/>
      <c r="GH101" s="67"/>
      <c r="GI101" s="67"/>
      <c r="GJ101" s="67"/>
      <c r="GK101" s="67"/>
      <c r="GL101" s="67"/>
      <c r="GM101" s="67"/>
      <c r="GN101" s="67"/>
      <c r="GO101" s="67"/>
      <c r="GP101" s="67"/>
      <c r="GQ101" s="67"/>
      <c r="GR101" s="67"/>
      <c r="GS101" s="67"/>
      <c r="GT101" s="67"/>
      <c r="GU101" s="67"/>
      <c r="GV101" s="67"/>
      <c r="GW101" s="67"/>
      <c r="GX101" s="67"/>
      <c r="GY101" s="67"/>
      <c r="GZ101" s="67"/>
      <c r="HA101" s="67"/>
      <c r="HB101" s="67"/>
      <c r="HC101" s="67"/>
      <c r="HD101" s="67"/>
      <c r="HE101" s="67"/>
      <c r="HF101" s="67"/>
      <c r="HG101" s="67"/>
      <c r="HH101" s="67"/>
      <c r="HI101" s="67"/>
      <c r="HJ101" s="67"/>
      <c r="HK101" s="67"/>
      <c r="HL101" s="67"/>
      <c r="HM101" s="67"/>
      <c r="HN101" s="67"/>
      <c r="HO101" s="67"/>
      <c r="HP101" s="67"/>
      <c r="HQ101" s="67"/>
      <c r="HR101" s="67"/>
      <c r="HS101" s="67"/>
      <c r="HT101" s="67"/>
      <c r="HU101" s="67"/>
      <c r="HV101" s="67"/>
      <c r="HW101" s="67"/>
      <c r="HX101" s="67"/>
      <c r="HY101" s="67"/>
      <c r="HZ101" s="67"/>
      <c r="IA101" s="67"/>
      <c r="IB101" s="67"/>
      <c r="IC101" s="67"/>
      <c r="ID101" s="67"/>
      <c r="IE101" s="67"/>
      <c r="IF101" s="67"/>
      <c r="IG101" s="67"/>
      <c r="IH101" s="67"/>
      <c r="II101" s="67"/>
      <c r="IJ101" s="67"/>
      <c r="IK101" s="67"/>
      <c r="IL101" s="67"/>
      <c r="IM101" s="67"/>
      <c r="IN101" s="67"/>
      <c r="IO101" s="67"/>
      <c r="IP101" s="67"/>
      <c r="IQ101" s="67"/>
      <c r="IR101" s="67"/>
      <c r="IS101" s="67"/>
      <c r="IT101" s="67"/>
      <c r="IU101" s="67"/>
      <c r="IV101" s="67"/>
      <c r="IW101" s="67"/>
      <c r="IX101" s="67"/>
      <c r="IY101" s="67"/>
      <c r="IZ101" s="67"/>
      <c r="JA101" s="67"/>
      <c r="JB101" s="67"/>
      <c r="JC101" s="67"/>
      <c r="JD101" s="67"/>
    </row>
    <row r="102" spans="1:264" s="66" customFormat="1" ht="16.15" customHeight="1">
      <c r="A102" s="67">
        <v>91</v>
      </c>
      <c r="B102" s="68" t="s">
        <v>533</v>
      </c>
      <c r="C102" s="68" t="s">
        <v>532</v>
      </c>
      <c r="D102" s="58">
        <v>202606</v>
      </c>
      <c r="E102" s="68">
        <v>46015</v>
      </c>
      <c r="F102" s="68">
        <v>46157</v>
      </c>
      <c r="G102" s="67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7"/>
      <c r="U102" s="69"/>
      <c r="V102" s="69"/>
      <c r="W102" s="69"/>
      <c r="X102" s="69"/>
      <c r="Y102" s="69"/>
      <c r="Z102" s="69"/>
      <c r="AA102" s="69"/>
      <c r="AB102" s="69"/>
      <c r="AC102" s="58">
        <f>VLOOKUP(AM:AM,工资明细!E:AP,38,0)</f>
        <v>1137.98</v>
      </c>
      <c r="AD102" s="57">
        <f>VLOOKUP(AM:AM,工资明细!E:AH,30,0)</f>
        <v>1137.98</v>
      </c>
      <c r="AE102" s="67"/>
      <c r="AF102" s="67"/>
      <c r="AG102" s="67"/>
      <c r="AH102" s="57">
        <f t="shared" si="163"/>
        <v>1137.98</v>
      </c>
      <c r="AI102" s="59">
        <f t="shared" si="164"/>
        <v>8.9499999999999993</v>
      </c>
      <c r="AJ102" s="59">
        <f t="shared" si="165"/>
        <v>68.819999999999993</v>
      </c>
      <c r="AK102" s="59">
        <f t="shared" si="166"/>
        <v>1215.75</v>
      </c>
      <c r="AL102" s="70"/>
      <c r="AM102" s="71" t="s">
        <v>534</v>
      </c>
      <c r="AN102" s="68" t="s">
        <v>325</v>
      </c>
      <c r="AO102" s="68" t="s">
        <v>326</v>
      </c>
      <c r="AP102" s="67"/>
      <c r="AQ102" s="67"/>
      <c r="AR102" s="67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67"/>
      <c r="BP102" s="67"/>
      <c r="BQ102" s="67"/>
      <c r="BR102" s="67"/>
      <c r="BS102" s="67"/>
      <c r="BT102" s="67"/>
      <c r="BU102" s="67"/>
      <c r="BV102" s="67"/>
      <c r="BW102" s="67"/>
      <c r="BX102" s="67"/>
      <c r="BY102" s="67"/>
      <c r="BZ102" s="67"/>
      <c r="CA102" s="67"/>
      <c r="CB102" s="67"/>
      <c r="CC102" s="67"/>
      <c r="CD102" s="67"/>
      <c r="CE102" s="67"/>
      <c r="CF102" s="67"/>
      <c r="CG102" s="67"/>
      <c r="CH102" s="67"/>
      <c r="CI102" s="67"/>
      <c r="CJ102" s="67"/>
      <c r="CK102" s="67"/>
      <c r="CL102" s="67"/>
      <c r="CM102" s="67"/>
      <c r="CN102" s="67"/>
      <c r="CO102" s="67"/>
      <c r="CP102" s="67"/>
      <c r="CQ102" s="67"/>
      <c r="CR102" s="67"/>
      <c r="CS102" s="67"/>
      <c r="CT102" s="67"/>
      <c r="CU102" s="67"/>
      <c r="CV102" s="67"/>
      <c r="CW102" s="67"/>
      <c r="CX102" s="67"/>
      <c r="CY102" s="67"/>
      <c r="CZ102" s="67"/>
      <c r="DA102" s="67"/>
      <c r="DB102" s="67"/>
      <c r="DC102" s="67"/>
      <c r="DD102" s="67"/>
      <c r="DE102" s="67"/>
      <c r="DF102" s="67"/>
      <c r="DG102" s="67"/>
      <c r="DH102" s="67"/>
      <c r="DI102" s="67"/>
      <c r="DJ102" s="67"/>
      <c r="DK102" s="67"/>
      <c r="DL102" s="67"/>
      <c r="DM102" s="67"/>
      <c r="DN102" s="67"/>
      <c r="DO102" s="67"/>
      <c r="DP102" s="67"/>
      <c r="DQ102" s="67"/>
      <c r="DR102" s="67"/>
      <c r="DS102" s="67"/>
      <c r="DT102" s="67"/>
      <c r="DU102" s="67"/>
      <c r="DV102" s="67"/>
      <c r="DW102" s="67"/>
      <c r="DX102" s="67"/>
      <c r="DY102" s="67"/>
      <c r="DZ102" s="67"/>
      <c r="EA102" s="67"/>
      <c r="EB102" s="67"/>
      <c r="EC102" s="67"/>
      <c r="ED102" s="67"/>
      <c r="EE102" s="67"/>
      <c r="EF102" s="67"/>
      <c r="EG102" s="67"/>
      <c r="EH102" s="67"/>
      <c r="EI102" s="67"/>
      <c r="EJ102" s="67"/>
      <c r="EK102" s="67"/>
      <c r="EL102" s="67"/>
      <c r="EM102" s="67"/>
      <c r="EN102" s="67"/>
      <c r="EO102" s="67"/>
      <c r="EP102" s="67"/>
      <c r="EQ102" s="67"/>
      <c r="ER102" s="67"/>
      <c r="ES102" s="67"/>
      <c r="ET102" s="67"/>
      <c r="EU102" s="67"/>
      <c r="EV102" s="67"/>
      <c r="EW102" s="67"/>
      <c r="EX102" s="67"/>
      <c r="EY102" s="67"/>
      <c r="EZ102" s="67"/>
      <c r="FA102" s="67"/>
      <c r="FB102" s="67"/>
      <c r="FC102" s="67"/>
      <c r="FD102" s="67"/>
      <c r="FE102" s="67"/>
      <c r="FF102" s="67"/>
      <c r="FG102" s="67"/>
      <c r="FH102" s="67"/>
      <c r="FI102" s="67"/>
      <c r="FJ102" s="67"/>
      <c r="FK102" s="67"/>
      <c r="FL102" s="67"/>
      <c r="FM102" s="67"/>
      <c r="FN102" s="67"/>
      <c r="FO102" s="67"/>
      <c r="FP102" s="67"/>
      <c r="FQ102" s="67"/>
      <c r="FR102" s="67"/>
      <c r="FS102" s="67"/>
      <c r="FT102" s="67"/>
      <c r="FU102" s="67"/>
      <c r="FV102" s="67"/>
      <c r="FW102" s="67"/>
      <c r="FX102" s="67"/>
      <c r="FY102" s="67"/>
      <c r="FZ102" s="67"/>
      <c r="GA102" s="67"/>
      <c r="GB102" s="67"/>
      <c r="GC102" s="67"/>
      <c r="GD102" s="67"/>
      <c r="GE102" s="67"/>
      <c r="GF102" s="67"/>
      <c r="GG102" s="67"/>
      <c r="GH102" s="67"/>
      <c r="GI102" s="67"/>
      <c r="GJ102" s="67"/>
      <c r="GK102" s="67"/>
      <c r="GL102" s="67"/>
      <c r="GM102" s="67"/>
      <c r="GN102" s="67"/>
      <c r="GO102" s="67"/>
      <c r="GP102" s="67"/>
      <c r="GQ102" s="67"/>
      <c r="GR102" s="67"/>
      <c r="GS102" s="67"/>
      <c r="GT102" s="67"/>
      <c r="GU102" s="67"/>
      <c r="GV102" s="67"/>
      <c r="GW102" s="67"/>
      <c r="GX102" s="67"/>
      <c r="GY102" s="67"/>
      <c r="GZ102" s="67"/>
      <c r="HA102" s="67"/>
      <c r="HB102" s="67"/>
      <c r="HC102" s="67"/>
      <c r="HD102" s="67"/>
      <c r="HE102" s="67"/>
      <c r="HF102" s="67"/>
      <c r="HG102" s="67"/>
      <c r="HH102" s="67"/>
      <c r="HI102" s="67"/>
      <c r="HJ102" s="67"/>
      <c r="HK102" s="67"/>
      <c r="HL102" s="67"/>
      <c r="HM102" s="67"/>
      <c r="HN102" s="67"/>
      <c r="HO102" s="67"/>
      <c r="HP102" s="67"/>
      <c r="HQ102" s="67"/>
      <c r="HR102" s="67"/>
      <c r="HS102" s="67"/>
      <c r="HT102" s="67"/>
      <c r="HU102" s="67"/>
      <c r="HV102" s="67"/>
      <c r="HW102" s="67"/>
      <c r="HX102" s="67"/>
      <c r="HY102" s="67"/>
      <c r="HZ102" s="67"/>
      <c r="IA102" s="67"/>
      <c r="IB102" s="67"/>
      <c r="IC102" s="67"/>
      <c r="ID102" s="67"/>
      <c r="IE102" s="67"/>
      <c r="IF102" s="67"/>
      <c r="IG102" s="67"/>
      <c r="IH102" s="67"/>
      <c r="II102" s="67"/>
      <c r="IJ102" s="67"/>
      <c r="IK102" s="67"/>
      <c r="IL102" s="67"/>
      <c r="IM102" s="67"/>
      <c r="IN102" s="67"/>
      <c r="IO102" s="67"/>
      <c r="IP102" s="67"/>
      <c r="IQ102" s="67"/>
      <c r="IR102" s="67"/>
      <c r="IS102" s="67"/>
      <c r="IT102" s="67"/>
      <c r="IU102" s="67"/>
      <c r="IV102" s="67"/>
      <c r="IW102" s="67"/>
      <c r="IX102" s="67"/>
      <c r="IY102" s="67"/>
      <c r="IZ102" s="67"/>
      <c r="JA102" s="67"/>
      <c r="JB102" s="67"/>
      <c r="JC102" s="67"/>
      <c r="JD102" s="67"/>
    </row>
    <row r="103" spans="1:264" s="72" customFormat="1" ht="16.15" customHeight="1">
      <c r="A103" s="57"/>
      <c r="B103" s="57"/>
      <c r="C103" s="57"/>
      <c r="D103" s="57"/>
      <c r="E103" s="57"/>
      <c r="F103" s="57"/>
      <c r="G103" s="57">
        <f>SUBTOTAL(9,G8:G102)</f>
        <v>51182.550000000003</v>
      </c>
      <c r="H103" s="57"/>
      <c r="I103" s="57"/>
      <c r="J103" s="57">
        <f t="shared" si="167" ref="J103:AK103">SUBTOTAL(9,J8:J102)</f>
        <v>146903.5500000001</v>
      </c>
      <c r="K103" s="57">
        <f t="shared" si="167"/>
        <v>77757.279999999984</v>
      </c>
      <c r="L103" s="57">
        <f t="shared" si="167"/>
        <v>4991.2100000000019</v>
      </c>
      <c r="M103" s="57">
        <f t="shared" si="167"/>
        <v>3651.3600000000001</v>
      </c>
      <c r="N103" s="57">
        <f t="shared" si="167"/>
        <v>1004.1800000000001</v>
      </c>
      <c r="O103" s="57">
        <f t="shared" si="167"/>
        <v>1420.8800000000001</v>
      </c>
      <c r="P103" s="57">
        <f t="shared" si="167"/>
        <v>10816.679999999997</v>
      </c>
      <c r="Q103" s="57">
        <f t="shared" si="167"/>
        <v>102.23</v>
      </c>
      <c r="R103" s="57">
        <f t="shared" si="167"/>
        <v>35.159999999999997</v>
      </c>
      <c r="S103" s="57">
        <f t="shared" si="167"/>
        <v>75388.110000000015</v>
      </c>
      <c r="T103" s="57">
        <f t="shared" si="167"/>
        <v>322070.64000000025</v>
      </c>
      <c r="U103" s="57">
        <f t="shared" si="167"/>
        <v>73406.650000000038</v>
      </c>
      <c r="V103" s="57">
        <f t="shared" si="167"/>
        <v>18400.450000000004</v>
      </c>
      <c r="W103" s="57">
        <f t="shared" si="167"/>
        <v>4182.9399999999996</v>
      </c>
      <c r="X103" s="57">
        <f t="shared" si="167"/>
        <v>0</v>
      </c>
      <c r="Y103" s="57">
        <f t="shared" si="167"/>
        <v>0</v>
      </c>
      <c r="Z103" s="57">
        <f t="shared" si="167"/>
        <v>292.88</v>
      </c>
      <c r="AA103" s="57">
        <f t="shared" si="167"/>
        <v>75388.110000000015</v>
      </c>
      <c r="AB103" s="57">
        <f t="shared" si="167"/>
        <v>171671.02999999997</v>
      </c>
      <c r="AC103" s="57">
        <f t="shared" si="167"/>
        <v>614115.03000000014</v>
      </c>
      <c r="AD103" s="57">
        <f t="shared" si="167"/>
        <v>625798.19999999995</v>
      </c>
      <c r="AE103" s="57">
        <f t="shared" si="167"/>
        <v>0</v>
      </c>
      <c r="AF103" s="57">
        <f t="shared" si="167"/>
        <v>0</v>
      </c>
      <c r="AG103" s="57">
        <f t="shared" si="167"/>
        <v>0</v>
      </c>
      <c r="AH103" s="57">
        <f t="shared" si="167"/>
        <v>1170722.4199999997</v>
      </c>
      <c r="AI103" s="57">
        <f t="shared" si="167"/>
        <v>9203.4400000000041</v>
      </c>
      <c r="AJ103" s="57">
        <f t="shared" si="167"/>
        <v>70795.539999999994</v>
      </c>
      <c r="AK103" s="57">
        <f t="shared" si="167"/>
        <v>1250721.4000000004</v>
      </c>
      <c r="AL103" s="60"/>
      <c r="AM103" s="58"/>
      <c r="AN103" s="57"/>
      <c r="AO103" s="57"/>
      <c r="AP103" s="57"/>
      <c r="AQ103" s="57"/>
      <c r="AR103" s="57"/>
      <c r="AS103" s="57"/>
      <c r="AT103" s="57"/>
      <c r="AU103" s="57"/>
      <c r="AV103" s="57"/>
      <c r="AW103" s="57"/>
      <c r="AX103" s="57"/>
      <c r="AY103" s="57"/>
      <c r="AZ103" s="57"/>
      <c r="BA103" s="57"/>
      <c r="BB103" s="57"/>
      <c r="BC103" s="57"/>
      <c r="BD103" s="57"/>
      <c r="BE103" s="57"/>
      <c r="BF103" s="57"/>
      <c r="BG103" s="57"/>
      <c r="BH103" s="57"/>
      <c r="BI103" s="57"/>
      <c r="BJ103" s="57"/>
      <c r="BK103" s="57"/>
      <c r="BL103" s="57"/>
      <c r="BM103" s="57"/>
      <c r="BN103" s="57"/>
      <c r="BO103" s="57"/>
      <c r="BP103" s="57"/>
      <c r="BQ103" s="57"/>
      <c r="BR103" s="57"/>
      <c r="BS103" s="57"/>
      <c r="BT103" s="57"/>
      <c r="BU103" s="57"/>
      <c r="BV103" s="57"/>
      <c r="BW103" s="57"/>
      <c r="BX103" s="57"/>
      <c r="BY103" s="57"/>
      <c r="BZ103" s="57"/>
      <c r="CA103" s="57"/>
      <c r="CB103" s="57"/>
      <c r="CC103" s="57"/>
      <c r="CD103" s="57"/>
      <c r="CE103" s="57"/>
      <c r="CF103" s="57"/>
      <c r="CG103" s="57"/>
      <c r="CH103" s="57"/>
      <c r="CI103" s="57"/>
      <c r="CJ103" s="57"/>
      <c r="CK103" s="57"/>
      <c r="CL103" s="57"/>
      <c r="CM103" s="57"/>
      <c r="CN103" s="57"/>
      <c r="CO103" s="57"/>
      <c r="CP103" s="57"/>
      <c r="CQ103" s="57"/>
      <c r="CR103" s="57"/>
      <c r="CS103" s="57"/>
      <c r="CT103" s="57"/>
      <c r="CU103" s="57"/>
      <c r="CV103" s="57"/>
      <c r="CW103" s="57"/>
      <c r="CX103" s="57"/>
      <c r="CY103" s="57"/>
      <c r="CZ103" s="57"/>
      <c r="DA103" s="57"/>
      <c r="DB103" s="57"/>
      <c r="DC103" s="57"/>
      <c r="DD103" s="57"/>
      <c r="DE103" s="57"/>
      <c r="DF103" s="57"/>
      <c r="DG103" s="57"/>
      <c r="DH103" s="57"/>
      <c r="DI103" s="57"/>
      <c r="DJ103" s="57"/>
      <c r="DK103" s="57"/>
      <c r="DL103" s="57"/>
      <c r="DM103" s="57"/>
      <c r="DN103" s="57"/>
      <c r="DO103" s="57"/>
      <c r="DP103" s="57"/>
      <c r="DQ103" s="57"/>
      <c r="DR103" s="57"/>
      <c r="DS103" s="57"/>
      <c r="DT103" s="57"/>
      <c r="DU103" s="57"/>
      <c r="DV103" s="57"/>
      <c r="DW103" s="57"/>
      <c r="DX103" s="57"/>
      <c r="DY103" s="57"/>
      <c r="DZ103" s="57"/>
      <c r="EA103" s="57"/>
      <c r="EB103" s="57"/>
      <c r="EC103" s="57"/>
      <c r="ED103" s="57"/>
      <c r="EE103" s="57"/>
      <c r="EF103" s="57"/>
      <c r="EG103" s="57"/>
      <c r="EH103" s="57"/>
      <c r="EI103" s="57"/>
      <c r="EJ103" s="57"/>
      <c r="EK103" s="57"/>
      <c r="EL103" s="57"/>
      <c r="EM103" s="57"/>
      <c r="EN103" s="57"/>
      <c r="EO103" s="57"/>
      <c r="EP103" s="57"/>
      <c r="EQ103" s="57"/>
      <c r="ER103" s="57"/>
      <c r="ES103" s="57"/>
      <c r="ET103" s="57"/>
      <c r="EU103" s="57"/>
      <c r="EV103" s="57"/>
      <c r="EW103" s="57"/>
      <c r="EX103" s="57"/>
      <c r="EY103" s="57"/>
      <c r="EZ103" s="57"/>
      <c r="FA103" s="57"/>
      <c r="FB103" s="57"/>
      <c r="FC103" s="57"/>
      <c r="FD103" s="57"/>
      <c r="FE103" s="57"/>
      <c r="FF103" s="57"/>
      <c r="FG103" s="57"/>
      <c r="FH103" s="57"/>
      <c r="FI103" s="57"/>
      <c r="FJ103" s="57"/>
      <c r="FK103" s="57"/>
      <c r="FL103" s="57"/>
      <c r="FM103" s="57"/>
      <c r="FN103" s="57"/>
      <c r="FO103" s="57"/>
      <c r="FP103" s="57"/>
      <c r="FQ103" s="57"/>
      <c r="FR103" s="57"/>
      <c r="FS103" s="57"/>
      <c r="FT103" s="57"/>
      <c r="FU103" s="57"/>
      <c r="FV103" s="57"/>
      <c r="FW103" s="57"/>
      <c r="FX103" s="57"/>
      <c r="FY103" s="57"/>
      <c r="FZ103" s="57"/>
      <c r="GA103" s="57"/>
      <c r="GB103" s="57"/>
      <c r="GC103" s="57"/>
      <c r="GD103" s="57"/>
      <c r="GE103" s="57"/>
      <c r="GF103" s="57"/>
      <c r="GG103" s="57"/>
      <c r="GH103" s="57"/>
      <c r="GI103" s="57"/>
      <c r="GJ103" s="57"/>
      <c r="GK103" s="57"/>
      <c r="GL103" s="57"/>
      <c r="GM103" s="57"/>
      <c r="GN103" s="57"/>
      <c r="GO103" s="57"/>
      <c r="GP103" s="57"/>
      <c r="GQ103" s="57"/>
      <c r="GR103" s="57"/>
      <c r="GS103" s="57"/>
      <c r="GT103" s="57"/>
      <c r="GU103" s="57"/>
      <c r="GV103" s="57"/>
      <c r="GW103" s="57"/>
      <c r="GX103" s="57"/>
      <c r="GY103" s="57"/>
      <c r="GZ103" s="57"/>
      <c r="HA103" s="57"/>
      <c r="HB103" s="57"/>
      <c r="HC103" s="57"/>
      <c r="HD103" s="57"/>
      <c r="HE103" s="57"/>
      <c r="HF103" s="57"/>
      <c r="HG103" s="57"/>
      <c r="HH103" s="57"/>
      <c r="HI103" s="57"/>
      <c r="HJ103" s="57"/>
      <c r="HK103" s="57"/>
      <c r="HL103" s="57"/>
      <c r="HM103" s="57"/>
      <c r="HN103" s="57"/>
      <c r="HO103" s="57"/>
      <c r="HP103" s="57"/>
      <c r="HQ103" s="57"/>
      <c r="HR103" s="57"/>
      <c r="HS103" s="57"/>
      <c r="HT103" s="57"/>
      <c r="HU103" s="57"/>
      <c r="HV103" s="57"/>
      <c r="HW103" s="57"/>
      <c r="HX103" s="57"/>
      <c r="HY103" s="57"/>
      <c r="HZ103" s="57"/>
      <c r="IA103" s="57"/>
      <c r="IB103" s="57"/>
      <c r="IC103" s="57"/>
      <c r="ID103" s="57"/>
      <c r="IE103" s="57"/>
      <c r="IF103" s="57"/>
      <c r="IG103" s="57"/>
      <c r="IH103" s="57"/>
      <c r="II103" s="57"/>
      <c r="IJ103" s="57"/>
      <c r="IK103" s="57"/>
      <c r="IL103" s="57"/>
      <c r="IM103" s="57"/>
      <c r="IN103" s="57"/>
      <c r="IO103" s="57"/>
      <c r="IP103" s="57"/>
      <c r="IQ103" s="57"/>
      <c r="IR103" s="57"/>
      <c r="IS103" s="57"/>
      <c r="IT103" s="57"/>
      <c r="IU103" s="57"/>
      <c r="IV103" s="57"/>
      <c r="IW103" s="57"/>
      <c r="IX103" s="57"/>
      <c r="IY103" s="57"/>
      <c r="IZ103" s="57"/>
      <c r="JA103" s="57"/>
      <c r="JB103" s="57"/>
      <c r="JC103" s="57"/>
      <c r="JD103" s="57"/>
    </row>
    <row r="104" spans="1:264" s="72" customFormat="1" ht="16.15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9">
        <f>AK103</f>
        <v>1250721.4000000004</v>
      </c>
      <c r="AL104" s="57"/>
      <c r="AM104" s="57"/>
      <c r="AN104" s="57"/>
      <c r="AO104" s="57"/>
      <c r="AP104" s="57"/>
      <c r="AQ104" s="57"/>
      <c r="AR104" s="57"/>
      <c r="AS104" s="57"/>
      <c r="AT104" s="57"/>
      <c r="AU104" s="57"/>
      <c r="AV104" s="57"/>
      <c r="AW104" s="57"/>
      <c r="AX104" s="57"/>
      <c r="AY104" s="57"/>
      <c r="AZ104" s="57"/>
      <c r="BA104" s="57"/>
      <c r="BB104" s="57"/>
      <c r="BC104" s="57"/>
      <c r="BD104" s="57"/>
      <c r="BE104" s="57"/>
      <c r="BF104" s="57"/>
      <c r="BG104" s="57"/>
      <c r="BH104" s="57"/>
      <c r="BI104" s="57"/>
      <c r="BJ104" s="57"/>
      <c r="BK104" s="57"/>
      <c r="BL104" s="57"/>
      <c r="BM104" s="57"/>
      <c r="BN104" s="57"/>
      <c r="BO104" s="57"/>
      <c r="BP104" s="57"/>
      <c r="BQ104" s="57"/>
      <c r="BR104" s="57"/>
      <c r="BS104" s="57"/>
      <c r="BT104" s="57"/>
      <c r="BU104" s="57"/>
      <c r="BV104" s="57"/>
      <c r="BW104" s="57"/>
      <c r="BX104" s="57"/>
      <c r="BY104" s="57"/>
      <c r="BZ104" s="57"/>
      <c r="CA104" s="57"/>
      <c r="CB104" s="57"/>
      <c r="CC104" s="57"/>
      <c r="CD104" s="57"/>
      <c r="CE104" s="57"/>
      <c r="CF104" s="57"/>
      <c r="CG104" s="57"/>
      <c r="CH104" s="57"/>
      <c r="CI104" s="57"/>
      <c r="CJ104" s="57"/>
      <c r="CK104" s="57"/>
      <c r="CL104" s="57"/>
      <c r="CM104" s="57"/>
      <c r="CN104" s="57"/>
      <c r="CO104" s="57"/>
      <c r="CP104" s="57"/>
      <c r="CQ104" s="57"/>
      <c r="CR104" s="57"/>
      <c r="CS104" s="57"/>
      <c r="CT104" s="57"/>
      <c r="CU104" s="57"/>
      <c r="CV104" s="57"/>
      <c r="CW104" s="57"/>
      <c r="CX104" s="57"/>
      <c r="CY104" s="57"/>
      <c r="CZ104" s="57"/>
      <c r="DA104" s="57"/>
      <c r="DB104" s="57"/>
      <c r="DC104" s="57"/>
      <c r="DD104" s="57"/>
      <c r="DE104" s="57"/>
      <c r="DF104" s="57"/>
      <c r="DG104" s="57"/>
      <c r="DH104" s="57"/>
      <c r="DI104" s="57"/>
      <c r="DJ104" s="57"/>
      <c r="DK104" s="57"/>
      <c r="DL104" s="57"/>
      <c r="DM104" s="57"/>
      <c r="DN104" s="57"/>
      <c r="DO104" s="57"/>
      <c r="DP104" s="57"/>
      <c r="DQ104" s="57"/>
      <c r="DR104" s="57"/>
      <c r="DS104" s="57"/>
      <c r="DT104" s="57"/>
      <c r="DU104" s="57"/>
      <c r="DV104" s="57"/>
      <c r="DW104" s="57"/>
      <c r="DX104" s="57"/>
      <c r="DY104" s="57"/>
      <c r="DZ104" s="57"/>
      <c r="EA104" s="57"/>
      <c r="EB104" s="57"/>
      <c r="EC104" s="57"/>
      <c r="ED104" s="57"/>
      <c r="EE104" s="57"/>
      <c r="EF104" s="57"/>
      <c r="EG104" s="57"/>
      <c r="EH104" s="57"/>
      <c r="EI104" s="57"/>
      <c r="EJ104" s="57"/>
      <c r="EK104" s="57"/>
      <c r="EL104" s="57"/>
      <c r="EM104" s="57"/>
      <c r="EN104" s="57"/>
      <c r="EO104" s="57"/>
      <c r="EP104" s="57"/>
      <c r="EQ104" s="57"/>
      <c r="ER104" s="57"/>
      <c r="ES104" s="57"/>
      <c r="ET104" s="57"/>
      <c r="EU104" s="57"/>
      <c r="EV104" s="57"/>
      <c r="EW104" s="57"/>
      <c r="EX104" s="57"/>
      <c r="EY104" s="57"/>
      <c r="EZ104" s="57"/>
      <c r="FA104" s="57"/>
      <c r="FB104" s="57"/>
      <c r="FC104" s="57"/>
      <c r="FD104" s="57"/>
      <c r="FE104" s="57"/>
      <c r="FF104" s="57"/>
      <c r="FG104" s="57"/>
      <c r="FH104" s="57"/>
      <c r="FI104" s="57"/>
      <c r="FJ104" s="57"/>
      <c r="FK104" s="57"/>
      <c r="FL104" s="57"/>
      <c r="FM104" s="57"/>
      <c r="FN104" s="57"/>
      <c r="FO104" s="57"/>
      <c r="FP104" s="57"/>
      <c r="FQ104" s="57"/>
      <c r="FR104" s="57"/>
      <c r="FS104" s="57"/>
      <c r="FT104" s="57"/>
      <c r="FU104" s="57"/>
      <c r="FV104" s="57"/>
      <c r="FW104" s="57"/>
      <c r="FX104" s="57"/>
      <c r="FY104" s="57"/>
      <c r="FZ104" s="57"/>
      <c r="GA104" s="57"/>
      <c r="GB104" s="57"/>
      <c r="GC104" s="57"/>
      <c r="GD104" s="57"/>
      <c r="GE104" s="57"/>
      <c r="GF104" s="57"/>
      <c r="GG104" s="57"/>
      <c r="GH104" s="57"/>
      <c r="GI104" s="57"/>
      <c r="GJ104" s="57"/>
      <c r="GK104" s="57"/>
      <c r="GL104" s="57"/>
      <c r="GM104" s="57"/>
      <c r="GN104" s="57"/>
      <c r="GO104" s="57"/>
      <c r="GP104" s="57"/>
      <c r="GQ104" s="57"/>
      <c r="GR104" s="57"/>
      <c r="GS104" s="57"/>
      <c r="GT104" s="57"/>
      <c r="GU104" s="57"/>
      <c r="GV104" s="57"/>
      <c r="GW104" s="57"/>
      <c r="GX104" s="57"/>
      <c r="GY104" s="57"/>
      <c r="GZ104" s="57"/>
      <c r="HA104" s="57"/>
      <c r="HB104" s="57"/>
      <c r="HC104" s="57"/>
      <c r="HD104" s="57"/>
      <c r="HE104" s="57"/>
      <c r="HF104" s="57"/>
      <c r="HG104" s="57"/>
      <c r="HH104" s="57"/>
      <c r="HI104" s="57"/>
      <c r="HJ104" s="57"/>
      <c r="HK104" s="57"/>
      <c r="HL104" s="57"/>
      <c r="HM104" s="57"/>
      <c r="HN104" s="57"/>
      <c r="HO104" s="57"/>
      <c r="HP104" s="57"/>
      <c r="HQ104" s="57"/>
      <c r="HR104" s="57"/>
      <c r="HS104" s="57"/>
      <c r="HT104" s="57"/>
      <c r="HU104" s="57"/>
      <c r="HV104" s="57"/>
      <c r="HW104" s="57"/>
      <c r="HX104" s="57"/>
      <c r="HY104" s="57"/>
      <c r="HZ104" s="57"/>
      <c r="IA104" s="57"/>
      <c r="IB104" s="57"/>
      <c r="IC104" s="57"/>
      <c r="ID104" s="57"/>
      <c r="IE104" s="57"/>
      <c r="IF104" s="57"/>
      <c r="IG104" s="57"/>
      <c r="IH104" s="57"/>
      <c r="II104" s="57"/>
      <c r="IJ104" s="57"/>
      <c r="IK104" s="57"/>
      <c r="IL104" s="57"/>
      <c r="IM104" s="57"/>
      <c r="IN104" s="57"/>
      <c r="IO104" s="57"/>
      <c r="IP104" s="57"/>
      <c r="IQ104" s="57"/>
      <c r="IR104" s="57"/>
      <c r="IS104" s="57"/>
      <c r="IT104" s="57"/>
      <c r="IU104" s="57"/>
      <c r="IV104" s="57"/>
      <c r="IW104" s="57"/>
      <c r="IX104" s="57"/>
      <c r="IY104" s="57"/>
      <c r="IZ104" s="57"/>
      <c r="JA104" s="57"/>
      <c r="JB104" s="57"/>
      <c r="JC104" s="57"/>
      <c r="JD104" s="57"/>
    </row>
    <row r="105" s="72" customFormat="1" ht="16.15" customHeight="1"/>
    <row r="106" spans="7:37" ht="16.15" customHeight="1"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T106" s="74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4"/>
      <c r="AI106" s="74"/>
      <c r="AJ106" s="74"/>
      <c r="AK106" s="74"/>
    </row>
    <row r="107" spans="7:37" ht="16.15" customHeight="1"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4"/>
      <c r="AI107" s="74"/>
      <c r="AJ107" s="74"/>
      <c r="AK107" s="74"/>
    </row>
    <row r="108" spans="1:38" ht="16.15" customHeight="1">
      <c r="A108" s="75" t="s">
        <v>196</v>
      </c>
      <c r="B108" s="75"/>
      <c r="C108" s="76"/>
      <c r="D108" s="77"/>
      <c r="E108" s="78" t="str">
        <f>IF(K108&lt;=0,,IF(INT(K108)=0,,TEXT(INT(K108),"[dbnum2]")&amp;"圆")&amp;IF(INT(K108*10)-INT(K108)*10=0,IF(INT(K108)*(INT(K108*100)-INT(K108*10)*10)=0,"","零"),TEXT(INT(K108*10)-INT(K108)*10,"[dbnum2]")&amp;"角")&amp;IF((INT(K108*100)-INT(K108*10)*10)=0,"整",TEXT((INT(K108*100)-INT(K108*10)*10),"[dbnum2]")&amp;"分"))</f>
        <v>壹佰贰拾伍万零柒佰贰拾壹圆肆角整</v>
      </c>
      <c r="F108" s="78"/>
      <c r="G108" s="78"/>
      <c r="H108" s="78"/>
      <c r="I108" s="78"/>
      <c r="J108" s="78"/>
      <c r="K108" s="79">
        <f>AK104</f>
        <v>1250721.4000000004</v>
      </c>
      <c r="L108" s="79"/>
      <c r="M108" s="79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4"/>
      <c r="AI108" s="74"/>
      <c r="AJ108" s="74"/>
      <c r="AK108" s="74"/>
      <c r="AL108" s="43"/>
    </row>
    <row r="109" spans="7:37" ht="16.15" customHeight="1"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4"/>
      <c r="AI109" s="74"/>
      <c r="AJ109" s="74"/>
      <c r="AK109" s="74"/>
    </row>
    <row r="110" spans="7:37" ht="13.5"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4"/>
      <c r="AI110" s="74"/>
      <c r="AJ110" s="74"/>
      <c r="AK110" s="74"/>
    </row>
    <row r="111" spans="1:37" ht="13.5">
      <c r="A111" s="80" t="s">
        <v>203</v>
      </c>
      <c r="G111" s="73"/>
      <c r="I111" s="73"/>
      <c r="J111" s="73"/>
      <c r="K111" s="73"/>
      <c r="L111" s="73"/>
      <c r="M111" s="73"/>
      <c r="N111" s="73"/>
      <c r="O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4"/>
      <c r="AI111" s="74"/>
      <c r="AJ111" s="74"/>
      <c r="AK111" s="74"/>
    </row>
    <row r="112" spans="1:37" ht="13.5">
      <c r="A112" s="80" t="s">
        <v>160</v>
      </c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4"/>
      <c r="AI112" s="74"/>
      <c r="AJ112" s="74"/>
      <c r="AK112" s="74"/>
    </row>
    <row r="113" spans="1:37" ht="13.5">
      <c r="A113" s="80" t="s">
        <v>161</v>
      </c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4"/>
      <c r="AI113" s="74"/>
      <c r="AJ113" s="74"/>
      <c r="AK113" s="74"/>
    </row>
    <row r="114" spans="1:37" s="76" customFormat="1" ht="18.75">
      <c r="A114" s="80" t="s">
        <v>162</v>
      </c>
      <c r="B114" s="41"/>
      <c r="C114" s="41"/>
      <c r="D114" s="41"/>
      <c r="E114" s="41"/>
      <c r="F114" s="41"/>
      <c r="AH114" s="81"/>
      <c r="AI114" s="81"/>
      <c r="AJ114" s="81"/>
      <c r="AK114" s="81"/>
    </row>
    <row r="116" spans="17:18" ht="14.25">
      <c r="Q116" s="82"/>
      <c r="R116" s="82"/>
    </row>
  </sheetData>
  <mergeCells count="6">
    <mergeCell ref="AP6:AP7"/>
    <mergeCell ref="K108:M108"/>
    <mergeCell ref="E108:J108"/>
    <mergeCell ref="G3:J3"/>
    <mergeCell ref="J6:R6"/>
    <mergeCell ref="U6:Z6"/>
  </mergeCells>
  <conditionalFormatting sqref="B96:B102">
    <cfRule type="duplicateValues" priority="25" dxfId="61"/>
  </conditionalFormatting>
  <conditionalFormatting sqref="AM96:AM98">
    <cfRule type="duplicateValues" priority="22" dxfId="61"/>
  </conditionalFormatting>
  <conditionalFormatting sqref="AM96:AM100">
    <cfRule type="duplicateValues" priority="21" dxfId="61"/>
    <cfRule type="duplicateValues" priority="23" dxfId="58"/>
  </conditionalFormatting>
  <conditionalFormatting sqref="AM96:AM101">
    <cfRule type="duplicateValues" priority="24" dxfId="58"/>
  </conditionalFormatting>
  <conditionalFormatting sqref="AM97:AM98">
    <cfRule type="duplicateValues" priority="18" dxfId="61"/>
    <cfRule type="duplicateValues" priority="19" dxfId="55"/>
    <cfRule type="duplicateValues" priority="20"/>
  </conditionalFormatting>
  <conditionalFormatting sqref="AM98">
    <cfRule type="duplicateValues" priority="11" dxfId="61"/>
    <cfRule type="duplicateValues" priority="12" dxfId="55"/>
    <cfRule type="duplicateValues" priority="13"/>
    <cfRule type="duplicateValues" priority="14" dxfId="61"/>
    <cfRule type="duplicateValues" priority="15" dxfId="61"/>
    <cfRule type="duplicateValues" priority="16" dxfId="55"/>
    <cfRule type="duplicateValues" priority="17"/>
  </conditionalFormatting>
  <conditionalFormatting sqref="AM100">
    <cfRule type="duplicateValues" priority="1" dxfId="61"/>
    <cfRule type="duplicateValues" priority="2" dxfId="55"/>
    <cfRule type="duplicateValues" priority="3"/>
    <cfRule type="duplicateValues" priority="4" dxfId="61"/>
    <cfRule type="duplicateValues" priority="5" dxfId="55"/>
    <cfRule type="duplicateValues" priority="6"/>
    <cfRule type="duplicateValues" priority="7" dxfId="61"/>
    <cfRule type="duplicateValues" priority="8" dxfId="55"/>
    <cfRule type="duplicateValues" priority="9"/>
    <cfRule type="duplicateValues" priority="10" dxfId="61"/>
  </conditionalFormatting>
  <pageMargins left="0.7086614173228347" right="0.7086614173228347" top="0.7480314960629921" bottom="0.7480314960629921" header="0.31496062992125984" footer="0.31496062992125984"/>
  <pageSetup orientation="landscape" paperSize="9" scale="55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94"/>
  <sheetViews>
    <sheetView zoomScale="106" zoomScaleNormal="106" workbookViewId="0" topLeftCell="A1">
      <pane xSplit="5" ySplit="2" topLeftCell="AM3" activePane="bottomRight" state="frozen"/>
      <selection pane="topLeft" activeCell="A1" sqref="A1"/>
      <selection pane="bottomLeft" activeCell="A1" sqref="A1"/>
      <selection pane="topRight" activeCell="A1" sqref="A1"/>
      <selection pane="bottomRight" activeCell="AT8" sqref="AT8"/>
    </sheetView>
  </sheetViews>
  <sheetFormatPr defaultColWidth="9.005" defaultRowHeight="12"/>
  <cols>
    <col min="1" max="1" width="6.125" style="26" customWidth="1"/>
    <col min="2" max="2" width="9" style="26"/>
    <col min="3" max="3" width="10.5" style="26" customWidth="1"/>
    <col min="4" max="4" width="8" style="26" customWidth="1"/>
    <col min="5" max="5" width="18.25" style="26" customWidth="1"/>
    <col min="6" max="6" width="12.125" style="26" hidden="1" customWidth="1"/>
    <col min="7" max="7" width="8.375" style="26" customWidth="1"/>
    <col min="8" max="8" width="8.375" style="28" customWidth="1"/>
    <col min="9" max="9" width="16.875" style="27" customWidth="1"/>
    <col min="10" max="10" width="13.625" style="27" customWidth="1"/>
    <col min="11" max="11" width="10" style="28" customWidth="1"/>
    <col min="12" max="13" width="13.75" style="28" customWidth="1"/>
    <col min="14" max="17" width="13.5" style="28" customWidth="1"/>
    <col min="18" max="21" width="11" style="28" customWidth="1"/>
    <col min="22" max="22" width="13.375" style="28" customWidth="1"/>
    <col min="23" max="25" width="12.5" style="28" customWidth="1"/>
    <col min="26" max="26" width="12.125" style="28" customWidth="1"/>
    <col min="27" max="28" width="12.125" style="29" customWidth="1"/>
    <col min="29" max="29" width="12.875" style="28" customWidth="1"/>
    <col min="30" max="32" width="12.5" style="28" customWidth="1"/>
    <col min="33" max="34" width="10.375" style="28" customWidth="1"/>
    <col min="35" max="35" width="10.5" style="28" customWidth="1"/>
    <col min="36" max="36" width="10.625" style="28" customWidth="1"/>
    <col min="37" max="39" width="12" style="28" customWidth="1"/>
    <col min="40" max="40" width="11.375" style="28" customWidth="1"/>
    <col min="41" max="41" width="11" style="28" customWidth="1"/>
    <col min="42" max="42" width="13.625" style="28" customWidth="1"/>
    <col min="43" max="45" width="9" style="28" customWidth="1"/>
    <col min="46" max="46" width="9" style="19" customWidth="1"/>
    <col min="47" max="47" width="10.375" style="28" customWidth="1"/>
    <col min="48" max="16384" width="9" style="26"/>
  </cols>
  <sheetData>
    <row r="1" spans="1:47" s="13" customFormat="1" ht="36" customHeight="1">
      <c r="A1" s="2" t="s">
        <v>3</v>
      </c>
      <c r="B1" s="2" t="s">
        <v>377</v>
      </c>
      <c r="C1" s="3" t="s">
        <v>378</v>
      </c>
      <c r="D1" s="3" t="s">
        <v>379</v>
      </c>
      <c r="E1" s="3" t="s">
        <v>380</v>
      </c>
      <c r="F1" s="3" t="s">
        <v>381</v>
      </c>
      <c r="G1" s="3" t="s">
        <v>382</v>
      </c>
      <c r="H1" s="4" t="s">
        <v>383</v>
      </c>
      <c r="I1" s="5" t="s">
        <v>384</v>
      </c>
      <c r="J1" s="5" t="s">
        <v>385</v>
      </c>
      <c r="K1" s="6" t="s">
        <v>386</v>
      </c>
      <c r="L1" s="6" t="s">
        <v>387</v>
      </c>
      <c r="M1" s="6" t="s">
        <v>388</v>
      </c>
      <c r="N1" s="6" t="s">
        <v>389</v>
      </c>
      <c r="O1" s="7" t="s">
        <v>390</v>
      </c>
      <c r="P1" s="7" t="s">
        <v>391</v>
      </c>
      <c r="Q1" s="7" t="s">
        <v>392</v>
      </c>
      <c r="R1" s="6" t="s">
        <v>393</v>
      </c>
      <c r="S1" s="6" t="s">
        <v>394</v>
      </c>
      <c r="T1" s="6" t="s">
        <v>395</v>
      </c>
      <c r="U1" s="6" t="s">
        <v>396</v>
      </c>
      <c r="V1" s="6" t="s">
        <v>397</v>
      </c>
      <c r="W1" s="6" t="s">
        <v>398</v>
      </c>
      <c r="X1" s="6" t="s">
        <v>399</v>
      </c>
      <c r="Y1" s="6" t="s">
        <v>400</v>
      </c>
      <c r="Z1" s="6" t="s">
        <v>401</v>
      </c>
      <c r="AA1" s="6" t="s">
        <v>402</v>
      </c>
      <c r="AB1" s="8" t="s">
        <v>403</v>
      </c>
      <c r="AC1" s="6" t="s">
        <v>404</v>
      </c>
      <c r="AD1" s="6" t="s">
        <v>405</v>
      </c>
      <c r="AE1" s="6" t="s">
        <v>406</v>
      </c>
      <c r="AF1" s="6" t="s">
        <v>407</v>
      </c>
      <c r="AG1" s="6" t="s">
        <v>408</v>
      </c>
      <c r="AH1" s="6" t="s">
        <v>17</v>
      </c>
      <c r="AI1" s="9" t="s">
        <v>409</v>
      </c>
      <c r="AJ1" s="8" t="s">
        <v>410</v>
      </c>
      <c r="AK1" s="6" t="s">
        <v>411</v>
      </c>
      <c r="AL1" s="6" t="s">
        <v>412</v>
      </c>
      <c r="AM1" s="6" t="s">
        <v>413</v>
      </c>
      <c r="AN1" s="6" t="s">
        <v>414</v>
      </c>
      <c r="AO1" s="6" t="s">
        <v>415</v>
      </c>
      <c r="AP1" s="6" t="s">
        <v>16</v>
      </c>
      <c r="AQ1" s="10" t="s">
        <v>416</v>
      </c>
      <c r="AR1" s="10" t="s">
        <v>417</v>
      </c>
      <c r="AS1" s="10" t="s">
        <v>418</v>
      </c>
      <c r="AT1" s="11" t="s">
        <v>419</v>
      </c>
      <c r="AU1" s="12" t="s">
        <v>420</v>
      </c>
    </row>
    <row r="2" spans="1:50" s="20" customFormat="1" ht="16.5" customHeight="1">
      <c r="A2" s="14">
        <v>1</v>
      </c>
      <c r="B2" s="14" t="s">
        <v>542</v>
      </c>
      <c r="C2" s="14" t="s">
        <v>86</v>
      </c>
      <c r="D2" s="14" t="s">
        <v>421</v>
      </c>
      <c r="E2" s="15" t="s">
        <v>87</v>
      </c>
      <c r="F2" s="14" t="s">
        <v>422</v>
      </c>
      <c r="G2" s="14" t="s">
        <v>423</v>
      </c>
      <c r="H2" s="68">
        <v>2660</v>
      </c>
      <c r="I2" s="17">
        <v>42430</v>
      </c>
      <c r="J2" s="17"/>
      <c r="K2" s="68">
        <v>5000</v>
      </c>
      <c r="L2" s="16"/>
      <c r="M2" s="16"/>
      <c r="N2" s="68">
        <v>1000</v>
      </c>
      <c r="O2" s="68">
        <v>0</v>
      </c>
      <c r="P2" s="16"/>
      <c r="Q2" s="68">
        <v>16</v>
      </c>
      <c r="R2" s="68">
        <f t="shared" si="0" ref="R2:R33">ROUND(K2/174*SUM(O2*1.5+P2*2+Q2*3),2)</f>
        <v>1379.3099999999999</v>
      </c>
      <c r="S2" s="18"/>
      <c r="T2" s="16"/>
      <c r="U2" s="16"/>
      <c r="V2" s="68">
        <v>2559.11</v>
      </c>
      <c r="W2" s="16"/>
      <c r="X2" s="16"/>
      <c r="Y2" s="16"/>
      <c r="Z2" s="16"/>
      <c r="AA2" s="16"/>
      <c r="AB2" s="18"/>
      <c r="AC2" s="68">
        <f t="shared" si="1" ref="AC2:AC33">ROUND(SUM(SUM(K2:N2)+SUM(R2:AB2)),2)</f>
        <v>9938.4200000000001</v>
      </c>
      <c r="AD2" s="68">
        <v>1359.83</v>
      </c>
      <c r="AE2" s="68">
        <v>339.96</v>
      </c>
      <c r="AF2" s="68">
        <v>84.99</v>
      </c>
      <c r="AG2" s="68">
        <v>1575</v>
      </c>
      <c r="AH2" s="68">
        <f t="shared" si="2" ref="AH2:AH62">AC2-AD2-AE2-AF2-AG2</f>
        <v>6578.6400000000012</v>
      </c>
      <c r="AI2" s="68">
        <f>MAX(ROUND(MAX((AH2+AR2-5000*AQ2-AT2)*{0.03,0.1,0.2,0.25,0.3,0.35,0.45}-{0,2520,16920,31920,52920,85920,181920},0)-AS2,2),0)</f>
        <v>0</v>
      </c>
      <c r="AJ2" s="18"/>
      <c r="AK2" s="16"/>
      <c r="AL2" s="68">
        <f>ROUND(LOOKUP(MAX(0.0001,AK2/12),{0;6;24;50;70;110;160}*500+0.0001,5*MAX(0,AK2)*{0.6;2;4;5;6;7;9}%-10*{0;21;141;266;441;716;1516}),2)</f>
        <v>0</v>
      </c>
      <c r="AM2" s="68">
        <f t="shared" si="3" ref="AM2:AM62">AC2+AK2+AJ2</f>
        <v>9938.4200000000001</v>
      </c>
      <c r="AN2" s="16"/>
      <c r="AO2" s="16"/>
      <c r="AP2" s="68">
        <f t="shared" si="4" ref="AP2:AP62">ROUND(AH2-AI2+AK2-AL2+AO2+AN2,2)</f>
        <v>6578.6400000000003</v>
      </c>
      <c r="AQ2" s="83">
        <v>6</v>
      </c>
      <c r="AR2" s="19">
        <v>61678.95</v>
      </c>
      <c r="AS2" s="84">
        <v>491.40</v>
      </c>
      <c r="AT2" s="19">
        <v>42000</v>
      </c>
      <c r="AU2" s="16" t="s">
        <v>424</v>
      </c>
      <c r="AV2" s="19"/>
      <c r="AW2" s="19"/>
      <c r="AX2" s="19"/>
    </row>
    <row r="3" spans="1:50" s="20" customFormat="1" ht="16.5" customHeight="1">
      <c r="A3" s="14">
        <v>2</v>
      </c>
      <c r="B3" s="14" t="s">
        <v>542</v>
      </c>
      <c r="C3" s="14" t="s">
        <v>51</v>
      </c>
      <c r="D3" s="14" t="s">
        <v>425</v>
      </c>
      <c r="E3" s="15" t="s">
        <v>53</v>
      </c>
      <c r="F3" s="14" t="s">
        <v>422</v>
      </c>
      <c r="G3" s="14" t="s">
        <v>426</v>
      </c>
      <c r="H3" s="68">
        <v>2740</v>
      </c>
      <c r="I3" s="17">
        <v>42430</v>
      </c>
      <c r="J3" s="17"/>
      <c r="K3" s="68">
        <v>4600</v>
      </c>
      <c r="L3" s="16"/>
      <c r="M3" s="16"/>
      <c r="N3" s="68">
        <v>1000</v>
      </c>
      <c r="O3" s="68">
        <v>0</v>
      </c>
      <c r="P3" s="16"/>
      <c r="Q3" s="68">
        <v>20</v>
      </c>
      <c r="R3" s="68">
        <f t="shared" si="0"/>
        <v>1586.21</v>
      </c>
      <c r="S3" s="18"/>
      <c r="T3" s="16"/>
      <c r="U3" s="16"/>
      <c r="V3" s="68">
        <v>946.67</v>
      </c>
      <c r="W3" s="16"/>
      <c r="X3" s="16"/>
      <c r="Y3" s="16"/>
      <c r="Z3" s="16"/>
      <c r="AA3" s="16"/>
      <c r="AB3" s="21"/>
      <c r="AC3" s="68">
        <f t="shared" si="1"/>
        <v>8132.8800000000001</v>
      </c>
      <c r="AD3" s="68">
        <v>792.21</v>
      </c>
      <c r="AE3" s="68">
        <v>198.05</v>
      </c>
      <c r="AF3" s="68">
        <v>49.51</v>
      </c>
      <c r="AG3" s="68">
        <v>693</v>
      </c>
      <c r="AH3" s="68">
        <f t="shared" si="2"/>
        <v>6400.1099999999997</v>
      </c>
      <c r="AI3" s="68">
        <f>MAX(ROUND(MAX((AH3+AR3-5000*AQ3-AT3)*{0.03,0.1,0.2,0.25,0.3,0.35,0.45}-{0,2520,16920,31920,52920,85920,181920},0)-AS3,2),0)</f>
        <v>93.989999999999995</v>
      </c>
      <c r="AJ3" s="18"/>
      <c r="AK3" s="16"/>
      <c r="AL3" s="68">
        <f>ROUND(LOOKUP(MAX(0.0001,AK3/12),{0;6;24;50;70;110;160}*500+0.0001,5*MAX(0,AK3)*{0.6;2;4;5;6;7;9}%-10*{0;21;141;266;441;716;1516}),2)</f>
        <v>0</v>
      </c>
      <c r="AM3" s="68">
        <f t="shared" si="3"/>
        <v>8132.8800000000001</v>
      </c>
      <c r="AN3" s="16"/>
      <c r="AO3" s="16"/>
      <c r="AP3" s="68">
        <f t="shared" si="4"/>
        <v>6306.1199999999999</v>
      </c>
      <c r="AQ3" s="83">
        <v>6</v>
      </c>
      <c r="AR3" s="19">
        <v>33002.479999999996</v>
      </c>
      <c r="AS3" s="84">
        <v>188.09</v>
      </c>
      <c r="AT3" s="85">
        <v>0</v>
      </c>
      <c r="AU3" s="16" t="s">
        <v>209</v>
      </c>
      <c r="AV3" s="19"/>
      <c r="AW3" s="19"/>
      <c r="AX3" s="19"/>
    </row>
    <row r="4" spans="1:50" s="20" customFormat="1" ht="16.5" customHeight="1">
      <c r="A4" s="14">
        <v>3</v>
      </c>
      <c r="B4" s="14" t="s">
        <v>541</v>
      </c>
      <c r="C4" s="14" t="s">
        <v>82</v>
      </c>
      <c r="D4" s="14" t="s">
        <v>81</v>
      </c>
      <c r="E4" s="15" t="s">
        <v>83</v>
      </c>
      <c r="F4" s="14" t="s">
        <v>427</v>
      </c>
      <c r="G4" s="14" t="s">
        <v>428</v>
      </c>
      <c r="H4" s="68">
        <v>2660</v>
      </c>
      <c r="I4" s="17">
        <v>42430</v>
      </c>
      <c r="J4" s="17"/>
      <c r="K4" s="68">
        <v>7300</v>
      </c>
      <c r="L4" s="16"/>
      <c r="M4" s="16"/>
      <c r="N4" s="68">
        <v>1000</v>
      </c>
      <c r="O4" s="68">
        <v>0</v>
      </c>
      <c r="P4" s="16"/>
      <c r="Q4" s="68">
        <v>16</v>
      </c>
      <c r="R4" s="68">
        <f t="shared" si="0"/>
        <v>2013.79</v>
      </c>
      <c r="S4" s="18"/>
      <c r="T4" s="16"/>
      <c r="U4" s="16"/>
      <c r="V4" s="68">
        <v>3582.89</v>
      </c>
      <c r="W4" s="16"/>
      <c r="X4" s="16"/>
      <c r="Y4" s="16"/>
      <c r="Z4" s="16"/>
      <c r="AA4" s="16"/>
      <c r="AB4" s="18"/>
      <c r="AC4" s="68">
        <f t="shared" si="1"/>
        <v>13896.68</v>
      </c>
      <c r="AD4" s="68">
        <v>1909.12</v>
      </c>
      <c r="AE4" s="68">
        <v>487.28</v>
      </c>
      <c r="AF4" s="68">
        <v>119.32</v>
      </c>
      <c r="AG4" s="68">
        <v>2604</v>
      </c>
      <c r="AH4" s="68">
        <f t="shared" si="2"/>
        <v>8776.9600000000009</v>
      </c>
      <c r="AI4" s="68">
        <f>MAX(ROUND(MAX((AH4+AR4-5000*AQ4-AT4)*{0.03,0.1,0.2,0.25,0.3,0.35,0.45}-{0,2520,16920,31920,52920,85920,181920},0)-AS4,2),0)</f>
        <v>589.66999999999996</v>
      </c>
      <c r="AJ4" s="18"/>
      <c r="AK4" s="16"/>
      <c r="AL4" s="68">
        <f>ROUND(LOOKUP(MAX(0.0001,AK4/12),{0;6;24;50;70;110;160}*500+0.0001,5*MAX(0,AK4)*{0.6;2;4;5;6;7;9}%-10*{0;21;141;266;441;716;1516}),2)</f>
        <v>0</v>
      </c>
      <c r="AM4" s="68">
        <f t="shared" si="3"/>
        <v>13896.68</v>
      </c>
      <c r="AN4" s="16"/>
      <c r="AO4" s="16"/>
      <c r="AP4" s="68">
        <f t="shared" si="4"/>
        <v>8187.29</v>
      </c>
      <c r="AQ4" s="83">
        <v>6</v>
      </c>
      <c r="AR4" s="19">
        <v>83956.80</v>
      </c>
      <c r="AS4" s="84">
        <v>1363.7100000000003</v>
      </c>
      <c r="AT4" s="85">
        <v>18000</v>
      </c>
      <c r="AU4" s="16" t="s">
        <v>209</v>
      </c>
      <c r="AV4" s="19"/>
      <c r="AW4" s="19"/>
      <c r="AX4" s="19"/>
    </row>
    <row r="5" spans="1:50" s="20" customFormat="1" ht="16.5" customHeight="1">
      <c r="A5" s="14">
        <v>4</v>
      </c>
      <c r="B5" s="14" t="s">
        <v>541</v>
      </c>
      <c r="C5" s="14" t="s">
        <v>76</v>
      </c>
      <c r="D5" s="14" t="s">
        <v>429</v>
      </c>
      <c r="E5" s="15" t="s">
        <v>77</v>
      </c>
      <c r="F5" s="14" t="s">
        <v>430</v>
      </c>
      <c r="G5" s="14" t="s">
        <v>431</v>
      </c>
      <c r="H5" s="68">
        <v>2540</v>
      </c>
      <c r="I5" s="17">
        <v>42430</v>
      </c>
      <c r="J5" s="17"/>
      <c r="K5" s="68">
        <v>3800</v>
      </c>
      <c r="L5" s="16"/>
      <c r="M5" s="16"/>
      <c r="N5" s="68">
        <v>1000</v>
      </c>
      <c r="O5" s="68">
        <v>0</v>
      </c>
      <c r="P5" s="16"/>
      <c r="Q5" s="68">
        <v>12</v>
      </c>
      <c r="R5" s="68">
        <f t="shared" si="0"/>
        <v>786.21000000000004</v>
      </c>
      <c r="S5" s="18"/>
      <c r="T5" s="16"/>
      <c r="U5" s="16"/>
      <c r="V5" s="68">
        <v>3374.34</v>
      </c>
      <c r="W5" s="16"/>
      <c r="X5" s="16"/>
      <c r="Y5" s="16"/>
      <c r="Z5" s="16"/>
      <c r="AA5" s="16"/>
      <c r="AB5" s="68">
        <v>185.99</v>
      </c>
      <c r="AC5" s="68">
        <f t="shared" si="1"/>
        <v>9146.5400000000009</v>
      </c>
      <c r="AD5" s="68">
        <v>2347.84</v>
      </c>
      <c r="AE5" s="68">
        <v>589.96</v>
      </c>
      <c r="AF5" s="68">
        <v>146.74</v>
      </c>
      <c r="AG5" s="68">
        <v>3522</v>
      </c>
      <c r="AH5" s="68">
        <f t="shared" si="2"/>
        <v>2540.0000000000009</v>
      </c>
      <c r="AI5" s="68">
        <f>MAX(ROUND(MAX((AH5+AR5-5000*AQ5-AT5)*{0.03,0.1,0.2,0.25,0.3,0.35,0.45}-{0,2520,16920,31920,52920,85920,181920},0)-AS5,2),0)</f>
        <v>0</v>
      </c>
      <c r="AJ5" s="18"/>
      <c r="AK5" s="16"/>
      <c r="AL5" s="68">
        <f>ROUND(LOOKUP(MAX(0.0001,AK5/12),{0;6;24;50;70;110;160}*500+0.0001,5*MAX(0,AK5)*{0.6;2;4;5;6;7;9}%-10*{0;21;141;266;441;716;1516}),2)</f>
        <v>0</v>
      </c>
      <c r="AM5" s="68">
        <f t="shared" si="3"/>
        <v>9146.5400000000009</v>
      </c>
      <c r="AN5" s="16"/>
      <c r="AO5" s="16"/>
      <c r="AP5" s="68">
        <f t="shared" si="4"/>
        <v>2540</v>
      </c>
      <c r="AQ5" s="83">
        <v>6</v>
      </c>
      <c r="AR5" s="19">
        <v>50372.48</v>
      </c>
      <c r="AS5" s="84">
        <v>231.42</v>
      </c>
      <c r="AT5" s="85">
        <v>18000</v>
      </c>
      <c r="AU5" s="16" t="s">
        <v>211</v>
      </c>
      <c r="AV5" s="19"/>
      <c r="AW5" s="19"/>
      <c r="AX5" s="19"/>
    </row>
    <row r="6" spans="1:50" s="20" customFormat="1" ht="16.5" customHeight="1">
      <c r="A6" s="14">
        <v>5</v>
      </c>
      <c r="B6" s="14" t="s">
        <v>541</v>
      </c>
      <c r="C6" s="14" t="s">
        <v>79</v>
      </c>
      <c r="D6" s="14" t="s">
        <v>432</v>
      </c>
      <c r="E6" s="15" t="s">
        <v>80</v>
      </c>
      <c r="F6" s="14" t="s">
        <v>422</v>
      </c>
      <c r="G6" s="14" t="s">
        <v>431</v>
      </c>
      <c r="H6" s="68">
        <v>2540</v>
      </c>
      <c r="I6" s="17">
        <v>42430</v>
      </c>
      <c r="J6" s="17"/>
      <c r="K6" s="68">
        <v>7300</v>
      </c>
      <c r="L6" s="16"/>
      <c r="M6" s="16"/>
      <c r="N6" s="68">
        <v>1000</v>
      </c>
      <c r="O6" s="68">
        <v>4</v>
      </c>
      <c r="P6" s="16"/>
      <c r="Q6" s="68">
        <v>13</v>
      </c>
      <c r="R6" s="68">
        <f t="shared" si="0"/>
        <v>1887.9300000000001</v>
      </c>
      <c r="S6" s="18"/>
      <c r="T6" s="16"/>
      <c r="U6" s="16"/>
      <c r="V6" s="68">
        <v>1999.29</v>
      </c>
      <c r="W6" s="16"/>
      <c r="X6" s="16"/>
      <c r="Y6" s="16"/>
      <c r="Z6" s="16"/>
      <c r="AA6" s="16"/>
      <c r="AB6" s="21"/>
      <c r="AC6" s="68">
        <f t="shared" si="1"/>
        <v>12187.219999999999</v>
      </c>
      <c r="AD6" s="68">
        <v>2187.6799999999998</v>
      </c>
      <c r="AE6" s="68">
        <v>549.91999999999996</v>
      </c>
      <c r="AF6" s="68">
        <v>136.72999999999999</v>
      </c>
      <c r="AG6" s="68">
        <v>3282</v>
      </c>
      <c r="AH6" s="68">
        <f t="shared" si="2"/>
        <v>6030.8899999999994</v>
      </c>
      <c r="AI6" s="68">
        <f>MAX(ROUND(MAX((AH6+AR6-5000*AQ6-AT6)*{0.03,0.1,0.2,0.25,0.3,0.35,0.45}-{0,2520,16920,31920,52920,85920,181920},0)-AS6,2),0)</f>
        <v>265.87</v>
      </c>
      <c r="AJ6" s="18"/>
      <c r="AK6" s="16"/>
      <c r="AL6" s="68">
        <f>ROUND(LOOKUP(MAX(0.0001,AK6/12),{0;6;24;50;70;110;160}*500+0.0001,5*MAX(0,AK6)*{0.6;2;4;5;6;7;9}%-10*{0;21;141;266;441;716;1516}),2)</f>
        <v>0</v>
      </c>
      <c r="AM6" s="68">
        <f t="shared" si="3"/>
        <v>12187.219999999999</v>
      </c>
      <c r="AN6" s="16"/>
      <c r="AO6" s="16"/>
      <c r="AP6" s="68">
        <f t="shared" si="4"/>
        <v>5765.0200000000004</v>
      </c>
      <c r="AQ6" s="83">
        <v>6</v>
      </c>
      <c r="AR6" s="19">
        <v>60687.030000000006</v>
      </c>
      <c r="AS6" s="84">
        <v>885.92</v>
      </c>
      <c r="AT6" s="85">
        <v>0</v>
      </c>
      <c r="AU6" s="16" t="s">
        <v>211</v>
      </c>
      <c r="AV6" s="19"/>
      <c r="AW6" s="19"/>
      <c r="AX6" s="19"/>
    </row>
    <row r="7" spans="1:50" s="20" customFormat="1" ht="16.5" customHeight="1">
      <c r="A7" s="14">
        <v>6</v>
      </c>
      <c r="B7" s="14" t="s">
        <v>541</v>
      </c>
      <c r="C7" s="14" t="s">
        <v>55</v>
      </c>
      <c r="D7" s="14" t="s">
        <v>54</v>
      </c>
      <c r="E7" s="15" t="s">
        <v>57</v>
      </c>
      <c r="F7" s="14" t="s">
        <v>430</v>
      </c>
      <c r="G7" s="14" t="s">
        <v>426</v>
      </c>
      <c r="H7" s="68">
        <v>2740</v>
      </c>
      <c r="I7" s="17">
        <v>42473</v>
      </c>
      <c r="J7" s="17"/>
      <c r="K7" s="68">
        <v>3800</v>
      </c>
      <c r="L7" s="16"/>
      <c r="M7" s="16"/>
      <c r="N7" s="68">
        <v>1000</v>
      </c>
      <c r="O7" s="68">
        <v>7.50</v>
      </c>
      <c r="P7" s="16"/>
      <c r="Q7" s="68">
        <v>11.50</v>
      </c>
      <c r="R7" s="68">
        <f t="shared" si="0"/>
        <v>999.13999999999999</v>
      </c>
      <c r="S7" s="18"/>
      <c r="T7" s="16"/>
      <c r="U7" s="16"/>
      <c r="V7" s="68">
        <v>6080.83</v>
      </c>
      <c r="W7" s="16"/>
      <c r="X7" s="16"/>
      <c r="Y7" s="16"/>
      <c r="Z7" s="16"/>
      <c r="AA7" s="16"/>
      <c r="AB7" s="21"/>
      <c r="AC7" s="68">
        <f t="shared" si="1"/>
        <v>11879.969999999999</v>
      </c>
      <c r="AD7" s="68">
        <v>1171.98</v>
      </c>
      <c r="AE7" s="68">
        <v>293</v>
      </c>
      <c r="AF7" s="68">
        <v>73.25</v>
      </c>
      <c r="AG7" s="68">
        <v>1025</v>
      </c>
      <c r="AH7" s="68">
        <f t="shared" si="2"/>
        <v>9316.7399999999998</v>
      </c>
      <c r="AI7" s="68">
        <f>MAX(ROUND(MAX((AH7+AR7-5000*AQ7-AT7)*{0.03,0.1,0.2,0.25,0.3,0.35,0.45}-{0,2520,16920,31920,52920,85920,181920},0)-AS7,2),0)</f>
        <v>0</v>
      </c>
      <c r="AJ7" s="18"/>
      <c r="AK7" s="16"/>
      <c r="AL7" s="68">
        <f>ROUND(LOOKUP(MAX(0.0001,AK7/12),{0;6;24;50;70;110;160}*500+0.0001,5*MAX(0,AK7)*{0.6;2;4;5;6;7;9}%-10*{0;21;141;266;441;716;1516}),2)</f>
        <v>0</v>
      </c>
      <c r="AM7" s="68">
        <f t="shared" si="3"/>
        <v>11879.969999999999</v>
      </c>
      <c r="AN7" s="16"/>
      <c r="AO7" s="16"/>
      <c r="AP7" s="68">
        <f t="shared" si="4"/>
        <v>9316.7399999999998</v>
      </c>
      <c r="AQ7" s="83">
        <v>6</v>
      </c>
      <c r="AR7" s="19">
        <v>42215.240000000005</v>
      </c>
      <c r="AS7" s="84">
        <v>192.23</v>
      </c>
      <c r="AT7" s="19">
        <v>27000</v>
      </c>
      <c r="AU7" s="16" t="s">
        <v>209</v>
      </c>
      <c r="AV7" s="19"/>
      <c r="AW7" s="19"/>
      <c r="AX7" s="19"/>
    </row>
    <row r="8" spans="1:50" s="20" customFormat="1" ht="16.5" customHeight="1">
      <c r="A8" s="14">
        <v>7</v>
      </c>
      <c r="B8" s="14" t="s">
        <v>541</v>
      </c>
      <c r="C8" s="14" t="s">
        <v>89</v>
      </c>
      <c r="D8" s="14" t="s">
        <v>433</v>
      </c>
      <c r="E8" s="15" t="s">
        <v>91</v>
      </c>
      <c r="F8" s="14" t="s">
        <v>430</v>
      </c>
      <c r="G8" s="14" t="s">
        <v>434</v>
      </c>
      <c r="H8" s="68">
        <v>2510</v>
      </c>
      <c r="I8" s="17">
        <v>42552</v>
      </c>
      <c r="J8" s="17"/>
      <c r="K8" s="68">
        <v>4000</v>
      </c>
      <c r="L8" s="16"/>
      <c r="M8" s="16"/>
      <c r="N8" s="68">
        <v>900</v>
      </c>
      <c r="O8" s="68">
        <v>0</v>
      </c>
      <c r="P8" s="16"/>
      <c r="Q8" s="68">
        <v>15.50</v>
      </c>
      <c r="R8" s="68">
        <f t="shared" si="0"/>
        <v>1068.97</v>
      </c>
      <c r="S8" s="18"/>
      <c r="T8" s="16"/>
      <c r="U8" s="16"/>
      <c r="V8" s="68">
        <v>1254.9000000000001</v>
      </c>
      <c r="W8" s="16"/>
      <c r="X8" s="16"/>
      <c r="Y8" s="16"/>
      <c r="Z8" s="16"/>
      <c r="AA8" s="16"/>
      <c r="AB8" s="18"/>
      <c r="AC8" s="68">
        <f t="shared" si="1"/>
        <v>7223.8699999999999</v>
      </c>
      <c r="AD8" s="68">
        <v>597.12</v>
      </c>
      <c r="AE8" s="68">
        <v>170.28</v>
      </c>
      <c r="AF8" s="68">
        <v>37.32</v>
      </c>
      <c r="AG8" s="68">
        <v>873</v>
      </c>
      <c r="AH8" s="68">
        <f t="shared" si="2"/>
        <v>5546.1500000000005</v>
      </c>
      <c r="AI8" s="68">
        <f>MAX(ROUND(MAX((AH8+AR8-5000*AQ8-AT8)*{0.03,0.1,0.2,0.25,0.3,0.35,0.45}-{0,2520,16920,31920,52920,85920,181920},0)-AS8,2),0)</f>
        <v>0</v>
      </c>
      <c r="AJ8" s="18"/>
      <c r="AK8" s="16"/>
      <c r="AL8" s="68">
        <f>ROUND(LOOKUP(MAX(0.0001,AK8/12),{0;6;24;50;70;110;160}*500+0.0001,5*MAX(0,AK8)*{0.6;2;4;5;6;7;9}%-10*{0;21;141;266;441;716;1516}),2)</f>
        <v>0</v>
      </c>
      <c r="AM8" s="68">
        <f t="shared" si="3"/>
        <v>7223.8699999999999</v>
      </c>
      <c r="AN8" s="16"/>
      <c r="AO8" s="16"/>
      <c r="AP8" s="68">
        <f t="shared" si="4"/>
        <v>5546.1499999999996</v>
      </c>
      <c r="AQ8" s="83">
        <v>6</v>
      </c>
      <c r="AR8" s="19">
        <v>25771.339999999997</v>
      </c>
      <c r="AS8" s="84">
        <v>47.01</v>
      </c>
      <c r="AT8" s="85">
        <v>0</v>
      </c>
      <c r="AU8" s="16" t="s">
        <v>424</v>
      </c>
      <c r="AV8" s="19"/>
      <c r="AW8" s="19"/>
      <c r="AX8" s="19"/>
    </row>
    <row r="9" spans="1:50" s="20" customFormat="1" ht="16.5" customHeight="1">
      <c r="A9" s="14">
        <v>8</v>
      </c>
      <c r="B9" s="14" t="s">
        <v>541</v>
      </c>
      <c r="C9" s="14" t="s">
        <v>93</v>
      </c>
      <c r="D9" s="14" t="s">
        <v>435</v>
      </c>
      <c r="E9" s="15" t="s">
        <v>95</v>
      </c>
      <c r="F9" s="14" t="s">
        <v>430</v>
      </c>
      <c r="G9" s="14" t="s">
        <v>436</v>
      </c>
      <c r="H9" s="68">
        <v>2660</v>
      </c>
      <c r="I9" s="17">
        <v>42721</v>
      </c>
      <c r="J9" s="17"/>
      <c r="K9" s="68">
        <v>3600</v>
      </c>
      <c r="L9" s="16"/>
      <c r="M9" s="16"/>
      <c r="N9" s="68">
        <v>900</v>
      </c>
      <c r="O9" s="68">
        <v>0</v>
      </c>
      <c r="P9" s="16"/>
      <c r="Q9" s="68">
        <v>20</v>
      </c>
      <c r="R9" s="68">
        <f t="shared" si="0"/>
        <v>1241.3800000000001</v>
      </c>
      <c r="S9" s="18"/>
      <c r="T9" s="16"/>
      <c r="U9" s="16"/>
      <c r="V9" s="68">
        <v>3447.4600000000005</v>
      </c>
      <c r="W9" s="68">
        <v>1500</v>
      </c>
      <c r="X9" s="16"/>
      <c r="Y9" s="16"/>
      <c r="Z9" s="16"/>
      <c r="AA9" s="16"/>
      <c r="AB9" s="18"/>
      <c r="AC9" s="68">
        <f t="shared" si="1"/>
        <v>10688.84</v>
      </c>
      <c r="AD9" s="68">
        <v>759.04</v>
      </c>
      <c r="AE9" s="68">
        <v>194.76</v>
      </c>
      <c r="AF9" s="68">
        <v>47.44</v>
      </c>
      <c r="AG9" s="68">
        <v>576.29</v>
      </c>
      <c r="AH9" s="68">
        <f t="shared" si="2"/>
        <v>9111.3099999999977</v>
      </c>
      <c r="AI9" s="68">
        <f>MAX(ROUND(MAX((AH9+AR9-5000*AQ9-AT9)*{0.03,0.1,0.2,0.25,0.3,0.35,0.45}-{0,2520,16920,31920,52920,85920,181920},0)-AS9,2),0)</f>
        <v>141.75</v>
      </c>
      <c r="AJ9" s="18"/>
      <c r="AK9" s="16"/>
      <c r="AL9" s="68">
        <f>ROUND(LOOKUP(MAX(0.0001,AK9/12),{0;6;24;50;70;110;160}*500+0.0001,5*MAX(0,AK9)*{0.6;2;4;5;6;7;9}%-10*{0;21;141;266;441;716;1516}),2)</f>
        <v>0</v>
      </c>
      <c r="AM9" s="68">
        <f t="shared" si="3"/>
        <v>10688.84</v>
      </c>
      <c r="AN9" s="16"/>
      <c r="AO9" s="16"/>
      <c r="AP9" s="68">
        <f t="shared" si="4"/>
        <v>8969.5599999999995</v>
      </c>
      <c r="AQ9" s="83">
        <v>6</v>
      </c>
      <c r="AR9" s="19">
        <v>33121.89</v>
      </c>
      <c r="AS9" s="84">
        <v>225.25</v>
      </c>
      <c r="AT9" s="85">
        <v>0</v>
      </c>
      <c r="AU9" s="16" t="s">
        <v>209</v>
      </c>
      <c r="AV9" s="19"/>
      <c r="AW9" s="19"/>
      <c r="AX9" s="19"/>
    </row>
    <row r="10" spans="1:50" s="20" customFormat="1" ht="16.5" customHeight="1">
      <c r="A10" s="14">
        <v>9</v>
      </c>
      <c r="B10" s="14" t="s">
        <v>541</v>
      </c>
      <c r="C10" s="14" t="s">
        <v>97</v>
      </c>
      <c r="D10" s="14" t="s">
        <v>96</v>
      </c>
      <c r="E10" s="15" t="s">
        <v>437</v>
      </c>
      <c r="F10" s="14" t="s">
        <v>422</v>
      </c>
      <c r="G10" s="14" t="s">
        <v>438</v>
      </c>
      <c r="H10" s="68">
        <v>2400</v>
      </c>
      <c r="I10" s="17">
        <v>42963</v>
      </c>
      <c r="J10" s="17"/>
      <c r="K10" s="68">
        <v>5000</v>
      </c>
      <c r="L10" s="16"/>
      <c r="M10" s="16"/>
      <c r="N10" s="68">
        <v>800</v>
      </c>
      <c r="O10" s="68">
        <v>0</v>
      </c>
      <c r="P10" s="16"/>
      <c r="Q10" s="68">
        <v>11.50</v>
      </c>
      <c r="R10" s="68">
        <f t="shared" si="0"/>
        <v>991.38</v>
      </c>
      <c r="S10" s="18"/>
      <c r="T10" s="16"/>
      <c r="U10" s="16"/>
      <c r="V10" s="68">
        <v>3208.90</v>
      </c>
      <c r="W10" s="16"/>
      <c r="X10" s="16"/>
      <c r="Y10" s="16"/>
      <c r="Z10" s="18"/>
      <c r="AA10" s="16"/>
      <c r="AB10" s="18"/>
      <c r="AC10" s="68">
        <f t="shared" si="1"/>
        <v>10000.280000000001</v>
      </c>
      <c r="AD10" s="68">
        <v>933.28</v>
      </c>
      <c r="AE10" s="68">
        <v>240.32</v>
      </c>
      <c r="AF10" s="68">
        <v>35</v>
      </c>
      <c r="AG10" s="68">
        <v>933.29</v>
      </c>
      <c r="AH10" s="68">
        <f t="shared" si="2"/>
        <v>7858.3900000000003</v>
      </c>
      <c r="AI10" s="68">
        <f>MAX(ROUND(MAX((AH10+AR10-5000*AQ10-AT10)*{0.03,0.1,0.2,0.25,0.3,0.35,0.45}-{0,2520,16920,31920,52920,85920,181920},0)-AS10,2),0)</f>
        <v>140.25999999999999</v>
      </c>
      <c r="AJ10" s="18"/>
      <c r="AK10" s="16"/>
      <c r="AL10" s="68">
        <f>ROUND(LOOKUP(MAX(0.0001,AK10/12),{0;6;24;50;70;110;160}*500+0.0001,5*MAX(0,AK10)*{0.6;2;4;5;6;7;9}%-10*{0;21;141;266;441;716;1516}),2)</f>
        <v>0</v>
      </c>
      <c r="AM10" s="68">
        <f t="shared" si="3"/>
        <v>10000.280000000001</v>
      </c>
      <c r="AN10" s="16"/>
      <c r="AO10" s="16"/>
      <c r="AP10" s="68">
        <f t="shared" si="4"/>
        <v>7718.1300000000001</v>
      </c>
      <c r="AQ10" s="83">
        <v>6</v>
      </c>
      <c r="AR10" s="19">
        <v>29504.24</v>
      </c>
      <c r="AS10" s="84">
        <v>80.62</v>
      </c>
      <c r="AT10" s="85">
        <v>0</v>
      </c>
      <c r="AU10" s="16" t="s">
        <v>424</v>
      </c>
      <c r="AV10" s="19"/>
      <c r="AW10" s="19"/>
      <c r="AX10" s="19"/>
    </row>
    <row r="11" spans="1:50" s="20" customFormat="1" ht="16.5" customHeight="1">
      <c r="A11" s="14">
        <v>10</v>
      </c>
      <c r="B11" s="14" t="s">
        <v>541</v>
      </c>
      <c r="C11" s="14" t="s">
        <v>63</v>
      </c>
      <c r="D11" s="14" t="s">
        <v>62</v>
      </c>
      <c r="E11" s="15" t="s">
        <v>65</v>
      </c>
      <c r="F11" s="14" t="s">
        <v>422</v>
      </c>
      <c r="G11" s="14" t="s">
        <v>426</v>
      </c>
      <c r="H11" s="68">
        <v>2740</v>
      </c>
      <c r="I11" s="17">
        <v>43017</v>
      </c>
      <c r="J11" s="17"/>
      <c r="K11" s="68">
        <v>4600</v>
      </c>
      <c r="L11" s="16"/>
      <c r="M11" s="16"/>
      <c r="N11" s="68">
        <v>800</v>
      </c>
      <c r="O11" s="68">
        <v>11</v>
      </c>
      <c r="P11" s="16"/>
      <c r="Q11" s="68">
        <v>11</v>
      </c>
      <c r="R11" s="68">
        <f t="shared" si="0"/>
        <v>1308.6199999999999</v>
      </c>
      <c r="S11" s="18"/>
      <c r="T11" s="16"/>
      <c r="U11" s="16"/>
      <c r="V11" s="68">
        <v>385.90</v>
      </c>
      <c r="W11" s="16"/>
      <c r="X11" s="16"/>
      <c r="Y11" s="16"/>
      <c r="Z11" s="16"/>
      <c r="AA11" s="16"/>
      <c r="AB11" s="18"/>
      <c r="AC11" s="68">
        <f t="shared" si="1"/>
        <v>7094.5200000000004</v>
      </c>
      <c r="AD11" s="68">
        <v>784.25</v>
      </c>
      <c r="AE11" s="68">
        <v>196.06</v>
      </c>
      <c r="AF11" s="68">
        <v>49.02</v>
      </c>
      <c r="AG11" s="68">
        <v>686</v>
      </c>
      <c r="AH11" s="68">
        <f t="shared" si="2"/>
        <v>5379.1899999999996</v>
      </c>
      <c r="AI11" s="68">
        <f>MAX(ROUND(MAX((AH11+AR11-5000*AQ11-AT11)*{0.03,0.1,0.2,0.25,0.3,0.35,0.45}-{0,2520,16920,31920,52920,85920,181920},0)-AS11,2),0)</f>
        <v>0</v>
      </c>
      <c r="AJ11" s="18"/>
      <c r="AK11" s="16"/>
      <c r="AL11" s="68">
        <f>ROUND(LOOKUP(MAX(0.0001,AK11/12),{0;6;24;50;70;110;160}*500+0.0001,5*MAX(0,AK11)*{0.6;2;4;5;6;7;9}%-10*{0;21;141;266;441;716;1516}),2)</f>
        <v>0</v>
      </c>
      <c r="AM11" s="68">
        <f t="shared" si="3"/>
        <v>7094.5200000000004</v>
      </c>
      <c r="AN11" s="16"/>
      <c r="AO11" s="16"/>
      <c r="AP11" s="68">
        <f t="shared" si="4"/>
        <v>5379.1899999999996</v>
      </c>
      <c r="AQ11" s="83">
        <v>6</v>
      </c>
      <c r="AR11" s="19">
        <v>38053.439999999995</v>
      </c>
      <c r="AS11" s="84">
        <v>276.67</v>
      </c>
      <c r="AT11" s="85">
        <v>18000</v>
      </c>
      <c r="AU11" s="16" t="s">
        <v>209</v>
      </c>
      <c r="AV11" s="19"/>
      <c r="AW11" s="19"/>
      <c r="AX11" s="19"/>
    </row>
    <row r="12" spans="1:50" s="20" customFormat="1" ht="16.5" customHeight="1">
      <c r="A12" s="14">
        <v>11</v>
      </c>
      <c r="B12" s="14" t="s">
        <v>541</v>
      </c>
      <c r="C12" s="14" t="s">
        <v>101</v>
      </c>
      <c r="D12" s="14" t="s">
        <v>100</v>
      </c>
      <c r="E12" s="15" t="s">
        <v>102</v>
      </c>
      <c r="F12" s="14" t="s">
        <v>430</v>
      </c>
      <c r="G12" s="14" t="s">
        <v>439</v>
      </c>
      <c r="H12" s="68">
        <v>2330</v>
      </c>
      <c r="I12" s="17">
        <v>43103</v>
      </c>
      <c r="J12" s="17"/>
      <c r="K12" s="68">
        <v>3600</v>
      </c>
      <c r="L12" s="16"/>
      <c r="M12" s="16"/>
      <c r="N12" s="68">
        <v>800</v>
      </c>
      <c r="O12" s="68">
        <v>8</v>
      </c>
      <c r="P12" s="16"/>
      <c r="Q12" s="68">
        <v>16</v>
      </c>
      <c r="R12" s="68">
        <f t="shared" si="0"/>
        <v>1241.3800000000001</v>
      </c>
      <c r="S12" s="18"/>
      <c r="T12" s="16"/>
      <c r="U12" s="16"/>
      <c r="V12" s="68">
        <v>718.53</v>
      </c>
      <c r="W12" s="68">
        <v>1500</v>
      </c>
      <c r="X12" s="16"/>
      <c r="Y12" s="16"/>
      <c r="Z12" s="16"/>
      <c r="AA12" s="16"/>
      <c r="AB12" s="18"/>
      <c r="AC12" s="68">
        <f t="shared" si="1"/>
        <v>7859.9099999999999</v>
      </c>
      <c r="AD12" s="68">
        <v>765.60</v>
      </c>
      <c r="AE12" s="68">
        <v>191.40</v>
      </c>
      <c r="AF12" s="68">
        <v>38.28</v>
      </c>
      <c r="AG12" s="68">
        <v>639</v>
      </c>
      <c r="AH12" s="68">
        <f t="shared" si="2"/>
        <v>6225.6300000000001</v>
      </c>
      <c r="AI12" s="68">
        <f>MAX(ROUND(MAX((AH12+AR12-5000*AQ12-AT12)*{0.03,0.1,0.2,0.25,0.3,0.35,0.45}-{0,2520,16920,31920,52920,85920,181920},0)-AS12,2),0)</f>
        <v>72.260000000000005</v>
      </c>
      <c r="AJ12" s="18"/>
      <c r="AK12" s="16"/>
      <c r="AL12" s="68">
        <f>ROUND(LOOKUP(MAX(0.0001,AK12/12),{0;6;24;50;70;110;160}*500+0.0001,5*MAX(0,AK12)*{0.6;2;4;5;6;7;9}%-10*{0;21;141;266;441;716;1516}),2)</f>
        <v>0</v>
      </c>
      <c r="AM12" s="68">
        <f t="shared" si="3"/>
        <v>7859.9099999999999</v>
      </c>
      <c r="AN12" s="16"/>
      <c r="AO12" s="16"/>
      <c r="AP12" s="68">
        <f t="shared" si="4"/>
        <v>6153.3699999999999</v>
      </c>
      <c r="AQ12" s="83">
        <v>6</v>
      </c>
      <c r="AR12" s="19">
        <v>31788.120000000003</v>
      </c>
      <c r="AS12" s="84">
        <v>168.15</v>
      </c>
      <c r="AT12" s="85">
        <v>0</v>
      </c>
      <c r="AU12" s="16" t="s">
        <v>226</v>
      </c>
      <c r="AV12" s="19"/>
      <c r="AW12" s="19"/>
      <c r="AX12" s="19"/>
    </row>
    <row r="13" spans="1:50" s="20" customFormat="1" ht="16.5" customHeight="1">
      <c r="A13" s="14">
        <v>12</v>
      </c>
      <c r="B13" s="14" t="s">
        <v>541</v>
      </c>
      <c r="C13" s="14" t="s">
        <v>67</v>
      </c>
      <c r="D13" s="14" t="s">
        <v>66</v>
      </c>
      <c r="E13" s="15" t="s">
        <v>68</v>
      </c>
      <c r="F13" s="14" t="s">
        <v>430</v>
      </c>
      <c r="G13" s="14" t="s">
        <v>426</v>
      </c>
      <c r="H13" s="68">
        <v>2740</v>
      </c>
      <c r="I13" s="17">
        <v>43136</v>
      </c>
      <c r="J13" s="17"/>
      <c r="K13" s="68">
        <v>3800</v>
      </c>
      <c r="L13" s="16"/>
      <c r="M13" s="16"/>
      <c r="N13" s="68">
        <v>800</v>
      </c>
      <c r="O13" s="68">
        <v>6.50</v>
      </c>
      <c r="P13" s="16"/>
      <c r="Q13" s="68">
        <v>11.50</v>
      </c>
      <c r="R13" s="68">
        <f t="shared" si="0"/>
        <v>966.38</v>
      </c>
      <c r="S13" s="18"/>
      <c r="T13" s="16"/>
      <c r="U13" s="16"/>
      <c r="V13" s="68">
        <v>11809.55</v>
      </c>
      <c r="W13" s="16"/>
      <c r="X13" s="16"/>
      <c r="Y13" s="16"/>
      <c r="Z13" s="16"/>
      <c r="AA13" s="16"/>
      <c r="AB13" s="18"/>
      <c r="AC13" s="68">
        <f t="shared" si="1"/>
        <v>17375.93</v>
      </c>
      <c r="AD13" s="68">
        <v>1405.78</v>
      </c>
      <c r="AE13" s="68">
        <v>351.45</v>
      </c>
      <c r="AF13" s="68">
        <v>87.86</v>
      </c>
      <c r="AG13" s="68">
        <v>1230</v>
      </c>
      <c r="AH13" s="68">
        <f t="shared" si="2"/>
        <v>14300.839999999998</v>
      </c>
      <c r="AI13" s="68">
        <f>MAX(ROUND(MAX((AH13+AR13-5000*AQ13-AT13)*{0.03,0.1,0.2,0.25,0.3,0.35,0.45}-{0,2520,16920,31920,52920,85920,181920},0)-AS13,2),0)</f>
        <v>6.96</v>
      </c>
      <c r="AJ13" s="18"/>
      <c r="AK13" s="16"/>
      <c r="AL13" s="68">
        <f>ROUND(LOOKUP(MAX(0.0001,AK13/12),{0;6;24;50;70;110;160}*500+0.0001,5*MAX(0,AK13)*{0.6;2;4;5;6;7;9}%-10*{0;21;141;266;441;716;1516}),2)</f>
        <v>0</v>
      </c>
      <c r="AM13" s="68">
        <f t="shared" si="3"/>
        <v>17375.93</v>
      </c>
      <c r="AN13" s="16"/>
      <c r="AO13" s="16"/>
      <c r="AP13" s="68">
        <f t="shared" si="4"/>
        <v>14293.879999999999</v>
      </c>
      <c r="AQ13" s="83">
        <v>6</v>
      </c>
      <c r="AR13" s="19">
        <v>48857.89</v>
      </c>
      <c r="AS13" s="84">
        <v>447.79999999999995</v>
      </c>
      <c r="AT13" s="85">
        <v>18000</v>
      </c>
      <c r="AU13" s="16" t="s">
        <v>209</v>
      </c>
      <c r="AV13" s="19"/>
      <c r="AW13" s="19"/>
      <c r="AX13" s="19"/>
    </row>
    <row r="14" spans="1:50" s="20" customFormat="1" ht="16.5" customHeight="1">
      <c r="A14" s="14">
        <v>13</v>
      </c>
      <c r="B14" s="14" t="s">
        <v>541</v>
      </c>
      <c r="C14" s="14" t="s">
        <v>59</v>
      </c>
      <c r="D14" s="14" t="s">
        <v>58</v>
      </c>
      <c r="E14" s="15" t="s">
        <v>61</v>
      </c>
      <c r="F14" s="14" t="s">
        <v>422</v>
      </c>
      <c r="G14" s="14" t="s">
        <v>426</v>
      </c>
      <c r="H14" s="68">
        <v>2740</v>
      </c>
      <c r="I14" s="17">
        <v>43138</v>
      </c>
      <c r="J14" s="17"/>
      <c r="K14" s="68">
        <v>4600</v>
      </c>
      <c r="L14" s="16"/>
      <c r="M14" s="16"/>
      <c r="N14" s="68">
        <v>800</v>
      </c>
      <c r="O14" s="68">
        <v>0</v>
      </c>
      <c r="P14" s="16"/>
      <c r="Q14" s="68">
        <v>10</v>
      </c>
      <c r="R14" s="68">
        <f t="shared" si="0"/>
        <v>793.10000000000002</v>
      </c>
      <c r="S14" s="18"/>
      <c r="T14" s="16"/>
      <c r="U14" s="16"/>
      <c r="V14" s="68">
        <v>1682.67</v>
      </c>
      <c r="W14" s="16"/>
      <c r="X14" s="16"/>
      <c r="Y14" s="16"/>
      <c r="Z14" s="16"/>
      <c r="AA14" s="16"/>
      <c r="AB14" s="18"/>
      <c r="AC14" s="68">
        <f t="shared" si="1"/>
        <v>7875.7700000000004</v>
      </c>
      <c r="AD14" s="68">
        <v>893.39</v>
      </c>
      <c r="AE14" s="68">
        <v>223.35</v>
      </c>
      <c r="AF14" s="68">
        <v>55.84</v>
      </c>
      <c r="AG14" s="68">
        <v>782</v>
      </c>
      <c r="AH14" s="68">
        <f t="shared" si="2"/>
        <v>5921.1899999999996</v>
      </c>
      <c r="AI14" s="68">
        <f>MAX(ROUND(MAX((AH14+AR14-5000*AQ14-AT14)*{0.03,0.1,0.2,0.25,0.3,0.35,0.45}-{0,2520,16920,31920,52920,85920,181920},0)-AS14,2),0)</f>
        <v>0</v>
      </c>
      <c r="AJ14" s="18"/>
      <c r="AK14" s="16"/>
      <c r="AL14" s="68">
        <f>ROUND(LOOKUP(MAX(0.0001,AK14/12),{0;6;24;50;70;110;160}*500+0.0001,5*MAX(0,AK14)*{0.6;2;4;5;6;7;9}%-10*{0;21;141;266;441;716;1516}),2)</f>
        <v>0</v>
      </c>
      <c r="AM14" s="68">
        <f t="shared" si="3"/>
        <v>7875.7700000000004</v>
      </c>
      <c r="AN14" s="16"/>
      <c r="AO14" s="16"/>
      <c r="AP14" s="68">
        <f t="shared" si="4"/>
        <v>5921.1899999999996</v>
      </c>
      <c r="AQ14" s="83">
        <v>6</v>
      </c>
      <c r="AR14" s="19">
        <v>37345.619999999995</v>
      </c>
      <c r="AS14" s="84">
        <v>115.66</v>
      </c>
      <c r="AT14" s="85">
        <v>15000</v>
      </c>
      <c r="AU14" s="16" t="s">
        <v>209</v>
      </c>
      <c r="AV14" s="19"/>
      <c r="AW14" s="19"/>
      <c r="AX14" s="19"/>
    </row>
    <row r="15" spans="1:50" s="20" customFormat="1" ht="16.5" customHeight="1">
      <c r="A15" s="14">
        <v>14</v>
      </c>
      <c r="B15" s="14" t="s">
        <v>541</v>
      </c>
      <c r="C15" s="14" t="s">
        <v>70</v>
      </c>
      <c r="D15" s="14" t="s">
        <v>69</v>
      </c>
      <c r="E15" s="15" t="s">
        <v>71</v>
      </c>
      <c r="F15" s="14" t="s">
        <v>440</v>
      </c>
      <c r="G15" s="14" t="s">
        <v>426</v>
      </c>
      <c r="H15" s="68">
        <v>2740</v>
      </c>
      <c r="I15" s="17">
        <v>43189</v>
      </c>
      <c r="J15" s="17"/>
      <c r="K15" s="68">
        <v>7800</v>
      </c>
      <c r="L15" s="16"/>
      <c r="M15" s="16"/>
      <c r="N15" s="68">
        <v>800</v>
      </c>
      <c r="O15" s="68">
        <v>0</v>
      </c>
      <c r="P15" s="16"/>
      <c r="Q15" s="68">
        <v>9</v>
      </c>
      <c r="R15" s="68">
        <f t="shared" si="0"/>
        <v>1210.3399999999999</v>
      </c>
      <c r="S15" s="18"/>
      <c r="T15" s="16"/>
      <c r="U15" s="16"/>
      <c r="V15" s="68">
        <v>4936.80</v>
      </c>
      <c r="W15" s="16"/>
      <c r="X15" s="16"/>
      <c r="Y15" s="16"/>
      <c r="Z15" s="16"/>
      <c r="AA15" s="16"/>
      <c r="AB15" s="18"/>
      <c r="AC15" s="68">
        <f t="shared" si="1"/>
        <v>14747.139999999999</v>
      </c>
      <c r="AD15" s="68">
        <v>1288.96</v>
      </c>
      <c r="AE15" s="68">
        <v>322.24</v>
      </c>
      <c r="AF15" s="68">
        <v>80.56</v>
      </c>
      <c r="AG15" s="68">
        <v>1128</v>
      </c>
      <c r="AH15" s="68">
        <f t="shared" si="2"/>
        <v>11927.380000000001</v>
      </c>
      <c r="AI15" s="68">
        <f>MAX(ROUND(MAX((AH15+AR15-5000*AQ15-AT15)*{0.03,0.1,0.2,0.25,0.3,0.35,0.45}-{0,2520,16920,31920,52920,85920,181920},0)-AS15,2),0)</f>
        <v>269.5</v>
      </c>
      <c r="AJ15" s="18"/>
      <c r="AK15" s="16"/>
      <c r="AL15" s="68">
        <f>ROUND(LOOKUP(MAX(0.0001,AK15/12),{0;6;24;50;70;110;160}*500+0.0001,5*MAX(0,AK15)*{0.6;2;4;5;6;7;9}%-10*{0;21;141;266;441;716;1516}),2)</f>
        <v>0</v>
      </c>
      <c r="AM15" s="68">
        <f t="shared" si="3"/>
        <v>14747.139999999999</v>
      </c>
      <c r="AN15" s="16"/>
      <c r="AO15" s="16"/>
      <c r="AP15" s="68">
        <f t="shared" si="4"/>
        <v>11657.879999999999</v>
      </c>
      <c r="AQ15" s="83">
        <v>6</v>
      </c>
      <c r="AR15" s="19">
        <v>73031.009999999995</v>
      </c>
      <c r="AS15" s="84">
        <v>906.34000000000015</v>
      </c>
      <c r="AT15" s="85">
        <v>18000</v>
      </c>
      <c r="AU15" s="16" t="s">
        <v>209</v>
      </c>
      <c r="AV15" s="19"/>
      <c r="AW15" s="19"/>
      <c r="AX15" s="19"/>
    </row>
    <row r="16" spans="1:50" s="20" customFormat="1" ht="16.5" customHeight="1">
      <c r="A16" s="14">
        <v>15</v>
      </c>
      <c r="B16" s="14" t="s">
        <v>541</v>
      </c>
      <c r="C16" s="14" t="s">
        <v>105</v>
      </c>
      <c r="D16" s="14" t="s">
        <v>104</v>
      </c>
      <c r="E16" s="15" t="s">
        <v>106</v>
      </c>
      <c r="F16" s="14" t="s">
        <v>430</v>
      </c>
      <c r="G16" s="14" t="s">
        <v>441</v>
      </c>
      <c r="H16" s="68">
        <v>2330</v>
      </c>
      <c r="I16" s="17">
        <v>43199</v>
      </c>
      <c r="J16" s="17"/>
      <c r="K16" s="68">
        <v>4000</v>
      </c>
      <c r="L16" s="16"/>
      <c r="M16" s="16"/>
      <c r="N16" s="68">
        <v>800</v>
      </c>
      <c r="O16" s="68">
        <v>0</v>
      </c>
      <c r="P16" s="16"/>
      <c r="Q16" s="68">
        <v>11</v>
      </c>
      <c r="R16" s="68">
        <f t="shared" si="0"/>
        <v>758.62</v>
      </c>
      <c r="S16" s="18"/>
      <c r="T16" s="16"/>
      <c r="U16" s="16"/>
      <c r="V16" s="68">
        <v>400.38</v>
      </c>
      <c r="W16" s="16"/>
      <c r="X16" s="16"/>
      <c r="Y16" s="16"/>
      <c r="Z16" s="16"/>
      <c r="AA16" s="16"/>
      <c r="AB16" s="18"/>
      <c r="AC16" s="68">
        <f t="shared" si="1"/>
        <v>5959</v>
      </c>
      <c r="AD16" s="68">
        <v>719.52</v>
      </c>
      <c r="AE16" s="68">
        <v>184.88</v>
      </c>
      <c r="AF16" s="68">
        <v>44.97</v>
      </c>
      <c r="AG16" s="68">
        <v>498</v>
      </c>
      <c r="AH16" s="68">
        <f t="shared" si="2"/>
        <v>4511.6299999999992</v>
      </c>
      <c r="AI16" s="68">
        <f>MAX(ROUND(MAX((AH16+AR16-5000*AQ16-AT16)*{0.03,0.1,0.2,0.25,0.3,0.35,0.45}-{0,2520,16920,31920,52920,85920,181920},0)-AS16,2),0)</f>
        <v>0</v>
      </c>
      <c r="AJ16" s="18"/>
      <c r="AK16" s="16"/>
      <c r="AL16" s="68">
        <f>ROUND(LOOKUP(MAX(0.0001,AK16/12),{0;6;24;50;70;110;160}*500+0.0001,5*MAX(0,AK16)*{0.6;2;4;5;6;7;9}%-10*{0;21;141;266;441;716;1516}),2)</f>
        <v>0</v>
      </c>
      <c r="AM16" s="68">
        <f t="shared" si="3"/>
        <v>5959</v>
      </c>
      <c r="AN16" s="16"/>
      <c r="AO16" s="16"/>
      <c r="AP16" s="68">
        <f t="shared" si="4"/>
        <v>4511.6300000000001</v>
      </c>
      <c r="AQ16" s="83">
        <v>6</v>
      </c>
      <c r="AR16" s="19">
        <v>34298.399999999994</v>
      </c>
      <c r="AS16" s="84">
        <v>277.93</v>
      </c>
      <c r="AT16" s="19">
        <v>27000</v>
      </c>
      <c r="AU16" s="16" t="s">
        <v>424</v>
      </c>
      <c r="AV16" s="19"/>
      <c r="AW16" s="19"/>
      <c r="AX16" s="19"/>
    </row>
    <row r="17" spans="1:50" s="20" customFormat="1" ht="16.5" customHeight="1">
      <c r="A17" s="14">
        <v>16</v>
      </c>
      <c r="B17" s="14" t="s">
        <v>541</v>
      </c>
      <c r="C17" s="14" t="s">
        <v>109</v>
      </c>
      <c r="D17" s="14" t="s">
        <v>108</v>
      </c>
      <c r="E17" s="15" t="s">
        <v>110</v>
      </c>
      <c r="F17" s="14" t="s">
        <v>427</v>
      </c>
      <c r="G17" s="14" t="s">
        <v>442</v>
      </c>
      <c r="H17" s="68">
        <v>2376</v>
      </c>
      <c r="I17" s="17">
        <v>43224</v>
      </c>
      <c r="J17" s="17"/>
      <c r="K17" s="68">
        <v>7800</v>
      </c>
      <c r="L17" s="16"/>
      <c r="M17" s="16"/>
      <c r="N17" s="68">
        <v>800</v>
      </c>
      <c r="O17" s="68">
        <v>0</v>
      </c>
      <c r="P17" s="16"/>
      <c r="Q17" s="68">
        <v>0</v>
      </c>
      <c r="R17" s="68">
        <f t="shared" si="0"/>
        <v>0</v>
      </c>
      <c r="S17" s="18"/>
      <c r="T17" s="16"/>
      <c r="U17" s="16"/>
      <c r="V17" s="68">
        <v>4042.97</v>
      </c>
      <c r="W17" s="16"/>
      <c r="X17" s="16"/>
      <c r="Y17" s="16"/>
      <c r="Z17" s="16"/>
      <c r="AA17" s="16"/>
      <c r="AB17" s="18"/>
      <c r="AC17" s="68">
        <f t="shared" si="1"/>
        <v>12642.969999999999</v>
      </c>
      <c r="AD17" s="68">
        <v>1192.97</v>
      </c>
      <c r="AE17" s="68">
        <v>299.84000000000003</v>
      </c>
      <c r="AF17" s="68">
        <v>44.74</v>
      </c>
      <c r="AG17" s="68">
        <v>855</v>
      </c>
      <c r="AH17" s="68">
        <f t="shared" si="2"/>
        <v>10250.42</v>
      </c>
      <c r="AI17" s="68">
        <f>MAX(ROUND(MAX((AH17+AR17-5000*AQ17-AT17)*{0.03,0.1,0.2,0.25,0.3,0.35,0.45}-{0,2520,16920,31920,52920,85920,181920},0)-AS17,2),0)</f>
        <v>48.060000000000002</v>
      </c>
      <c r="AJ17" s="18"/>
      <c r="AK17" s="16"/>
      <c r="AL17" s="68">
        <f>ROUND(LOOKUP(MAX(0.0001,AK17/12),{0;6;24;50;70;110;160}*500+0.0001,5*MAX(0,AK17)*{0.6;2;4;5;6;7;9}%-10*{0;21;141;266;441;716;1516}),2)</f>
        <v>0</v>
      </c>
      <c r="AM17" s="68">
        <f t="shared" si="3"/>
        <v>12642.969999999999</v>
      </c>
      <c r="AN17" s="16"/>
      <c r="AO17" s="16"/>
      <c r="AP17" s="68">
        <f t="shared" si="4"/>
        <v>10202.360000000001</v>
      </c>
      <c r="AQ17" s="83">
        <v>6</v>
      </c>
      <c r="AR17" s="19">
        <v>58109.85</v>
      </c>
      <c r="AS17" s="84">
        <v>22.75</v>
      </c>
      <c r="AT17" s="19">
        <v>36000</v>
      </c>
      <c r="AU17" s="16" t="s">
        <v>424</v>
      </c>
      <c r="AV17" s="19"/>
      <c r="AW17" s="19"/>
      <c r="AX17" s="19"/>
    </row>
    <row r="18" spans="1:50" s="20" customFormat="1" ht="16.5" customHeight="1">
      <c r="A18" s="14">
        <v>17</v>
      </c>
      <c r="B18" s="14" t="s">
        <v>541</v>
      </c>
      <c r="C18" s="14" t="s">
        <v>73</v>
      </c>
      <c r="D18" s="14" t="s">
        <v>72</v>
      </c>
      <c r="E18" s="15" t="s">
        <v>74</v>
      </c>
      <c r="F18" s="14" t="s">
        <v>430</v>
      </c>
      <c r="G18" s="14" t="s">
        <v>426</v>
      </c>
      <c r="H18" s="68">
        <v>2740</v>
      </c>
      <c r="I18" s="17">
        <v>43236</v>
      </c>
      <c r="J18" s="17"/>
      <c r="K18" s="68">
        <v>3800</v>
      </c>
      <c r="L18" s="16"/>
      <c r="M18" s="16"/>
      <c r="N18" s="68">
        <v>800</v>
      </c>
      <c r="O18" s="68">
        <v>3</v>
      </c>
      <c r="P18" s="16"/>
      <c r="Q18" s="68">
        <v>11</v>
      </c>
      <c r="R18" s="68">
        <f t="shared" si="0"/>
        <v>818.97000000000003</v>
      </c>
      <c r="S18" s="18"/>
      <c r="T18" s="16"/>
      <c r="U18" s="16"/>
      <c r="V18" s="68">
        <v>1398.34</v>
      </c>
      <c r="W18" s="16"/>
      <c r="X18" s="16"/>
      <c r="Y18" s="16"/>
      <c r="Z18" s="16"/>
      <c r="AA18" s="16"/>
      <c r="AB18" s="18"/>
      <c r="AC18" s="68">
        <f t="shared" si="1"/>
        <v>6817.3100000000004</v>
      </c>
      <c r="AD18" s="68">
        <v>596.79999999999995</v>
      </c>
      <c r="AE18" s="68">
        <v>149.19999999999999</v>
      </c>
      <c r="AF18" s="68">
        <v>37.299999999999997</v>
      </c>
      <c r="AG18" s="68">
        <v>518</v>
      </c>
      <c r="AH18" s="68">
        <f t="shared" si="2"/>
        <v>5516.0100000000002</v>
      </c>
      <c r="AI18" s="68">
        <f>MAX(ROUND(MAX((AH18+AR18-5000*AQ18-AT18)*{0.03,0.1,0.2,0.25,0.3,0.35,0.45}-{0,2520,16920,31920,52920,85920,181920},0)-AS18,2),0)</f>
        <v>0</v>
      </c>
      <c r="AJ18" s="18"/>
      <c r="AK18" s="16"/>
      <c r="AL18" s="68">
        <f>ROUND(LOOKUP(MAX(0.0001,AK18/12),{0;6;24;50;70;110;160}*500+0.0001,5*MAX(0,AK18)*{0.6;2;4;5;6;7;9}%-10*{0;21;141;266;441;716;1516}),2)</f>
        <v>0</v>
      </c>
      <c r="AM18" s="68">
        <f t="shared" si="3"/>
        <v>6817.3100000000004</v>
      </c>
      <c r="AN18" s="16"/>
      <c r="AO18" s="16"/>
      <c r="AP18" s="68">
        <f t="shared" si="4"/>
        <v>5516.0100000000002</v>
      </c>
      <c r="AQ18" s="83">
        <v>6</v>
      </c>
      <c r="AR18" s="19">
        <v>28188.329999999998</v>
      </c>
      <c r="AS18" s="84">
        <v>184.52</v>
      </c>
      <c r="AT18" s="85">
        <v>0</v>
      </c>
      <c r="AU18" s="16" t="s">
        <v>209</v>
      </c>
      <c r="AV18" s="19"/>
      <c r="AW18" s="19"/>
      <c r="AX18" s="19"/>
    </row>
    <row r="19" spans="1:50" s="20" customFormat="1" ht="16.5" customHeight="1">
      <c r="A19" s="14">
        <v>18</v>
      </c>
      <c r="B19" s="14" t="s">
        <v>541</v>
      </c>
      <c r="C19" s="14" t="s">
        <v>112</v>
      </c>
      <c r="D19" s="14" t="s">
        <v>111</v>
      </c>
      <c r="E19" s="15" t="s">
        <v>113</v>
      </c>
      <c r="F19" s="14" t="s">
        <v>430</v>
      </c>
      <c r="G19" s="14" t="s">
        <v>442</v>
      </c>
      <c r="H19" s="68">
        <v>2376</v>
      </c>
      <c r="I19" s="17">
        <v>43244</v>
      </c>
      <c r="J19" s="17"/>
      <c r="K19" s="68">
        <v>4000</v>
      </c>
      <c r="L19" s="16"/>
      <c r="M19" s="16"/>
      <c r="N19" s="68">
        <v>800</v>
      </c>
      <c r="O19" s="68">
        <v>0</v>
      </c>
      <c r="P19" s="16"/>
      <c r="Q19" s="68">
        <v>0</v>
      </c>
      <c r="R19" s="68">
        <f t="shared" si="0"/>
        <v>0</v>
      </c>
      <c r="S19" s="18"/>
      <c r="T19" s="16"/>
      <c r="U19" s="16"/>
      <c r="V19" s="68">
        <v>1730.26</v>
      </c>
      <c r="W19" s="16"/>
      <c r="X19" s="16"/>
      <c r="Y19" s="16"/>
      <c r="Z19" s="16"/>
      <c r="AA19" s="16"/>
      <c r="AB19" s="18"/>
      <c r="AC19" s="68">
        <f t="shared" si="1"/>
        <v>6530.2600000000002</v>
      </c>
      <c r="AD19" s="68">
        <v>769.32</v>
      </c>
      <c r="AE19" s="68">
        <v>193.93</v>
      </c>
      <c r="AF19" s="68">
        <v>28.85</v>
      </c>
      <c r="AG19" s="68">
        <v>578</v>
      </c>
      <c r="AH19" s="68">
        <f t="shared" si="2"/>
        <v>4960.1599999999999</v>
      </c>
      <c r="AI19" s="68">
        <f>MAX(ROUND(MAX((AH19+AR19-5000*AQ19-AT19)*{0.03,0.1,0.2,0.25,0.3,0.35,0.45}-{0,2520,16920,31920,52920,85920,181920},0)-AS19,2),0)</f>
        <v>45.909999999999997</v>
      </c>
      <c r="AJ19" s="18"/>
      <c r="AK19" s="16"/>
      <c r="AL19" s="68">
        <f>ROUND(LOOKUP(MAX(0.0001,AK19/12),{0;6;24;50;70;110;160}*500+0.0001,5*MAX(0,AK19)*{0.6;2;4;5;6;7;9}%-10*{0;21;141;266;441;716;1516}),2)</f>
        <v>0</v>
      </c>
      <c r="AM19" s="68">
        <f t="shared" si="3"/>
        <v>6530.2600000000002</v>
      </c>
      <c r="AN19" s="16"/>
      <c r="AO19" s="16"/>
      <c r="AP19" s="68">
        <f t="shared" si="4"/>
        <v>4914.25</v>
      </c>
      <c r="AQ19" s="83">
        <v>6</v>
      </c>
      <c r="AR19" s="19">
        <v>32518.800000000003</v>
      </c>
      <c r="AS19" s="84">
        <v>178.45999999999998</v>
      </c>
      <c r="AT19" s="85">
        <v>0</v>
      </c>
      <c r="AU19" s="16" t="s">
        <v>424</v>
      </c>
      <c r="AV19" s="19"/>
      <c r="AW19" s="19"/>
      <c r="AX19" s="19"/>
    </row>
    <row r="20" spans="1:50" s="20" customFormat="1" ht="16.5" customHeight="1">
      <c r="A20" s="14">
        <v>19</v>
      </c>
      <c r="B20" s="14" t="s">
        <v>541</v>
      </c>
      <c r="C20" s="14" t="s">
        <v>115</v>
      </c>
      <c r="D20" s="14" t="s">
        <v>114</v>
      </c>
      <c r="E20" s="15" t="s">
        <v>116</v>
      </c>
      <c r="F20" s="14" t="s">
        <v>430</v>
      </c>
      <c r="G20" s="14" t="s">
        <v>443</v>
      </c>
      <c r="H20" s="68">
        <v>2500</v>
      </c>
      <c r="I20" s="17">
        <v>43359</v>
      </c>
      <c r="J20" s="17"/>
      <c r="K20" s="68">
        <v>4200</v>
      </c>
      <c r="L20" s="16"/>
      <c r="M20" s="16"/>
      <c r="N20" s="68">
        <v>700</v>
      </c>
      <c r="O20" s="68">
        <v>0</v>
      </c>
      <c r="P20" s="16"/>
      <c r="Q20" s="68">
        <v>16</v>
      </c>
      <c r="R20" s="68">
        <f t="shared" si="0"/>
        <v>1158.6199999999999</v>
      </c>
      <c r="S20" s="18"/>
      <c r="T20" s="16"/>
      <c r="U20" s="16"/>
      <c r="V20" s="68">
        <v>13.98</v>
      </c>
      <c r="W20" s="16"/>
      <c r="X20" s="16"/>
      <c r="Y20" s="16"/>
      <c r="Z20" s="16"/>
      <c r="AA20" s="16"/>
      <c r="AB20" s="18"/>
      <c r="AC20" s="68">
        <f t="shared" si="1"/>
        <v>6072.6000000000004</v>
      </c>
      <c r="AD20" s="68">
        <v>754.88</v>
      </c>
      <c r="AE20" s="68">
        <v>188.72</v>
      </c>
      <c r="AF20" s="68">
        <v>18.87</v>
      </c>
      <c r="AG20" s="68">
        <v>661</v>
      </c>
      <c r="AH20" s="68">
        <f t="shared" si="2"/>
        <v>4449.1300000000001</v>
      </c>
      <c r="AI20" s="68">
        <f>MAX(ROUND(MAX((AH20+AR20-5000*AQ20-AT20)*{0.03,0.1,0.2,0.25,0.3,0.35,0.45}-{0,2520,16920,31920,52920,85920,181920},0)-AS20,2),0)</f>
        <v>0</v>
      </c>
      <c r="AJ20" s="18"/>
      <c r="AK20" s="16"/>
      <c r="AL20" s="68">
        <f>ROUND(LOOKUP(MAX(0.0001,AK20/12),{0;6;24;50;70;110;160}*500+0.0001,5*MAX(0,AK20)*{0.6;2;4;5;6;7;9}%-10*{0;21;141;266;441;716;1516}),2)</f>
        <v>0</v>
      </c>
      <c r="AM20" s="68">
        <f t="shared" si="3"/>
        <v>6072.6000000000004</v>
      </c>
      <c r="AN20" s="16"/>
      <c r="AO20" s="16"/>
      <c r="AP20" s="68">
        <f t="shared" si="4"/>
        <v>4449.1300000000001</v>
      </c>
      <c r="AQ20" s="83">
        <v>6</v>
      </c>
      <c r="AR20" s="19">
        <v>35228.93</v>
      </c>
      <c r="AS20" s="84">
        <v>314.67</v>
      </c>
      <c r="AT20" s="85">
        <v>0</v>
      </c>
      <c r="AU20" s="16" t="s">
        <v>424</v>
      </c>
      <c r="AV20" s="19"/>
      <c r="AW20" s="19"/>
      <c r="AX20" s="19"/>
    </row>
    <row r="21" spans="1:50" s="20" customFormat="1" ht="16.5" customHeight="1">
      <c r="A21" s="14">
        <v>20</v>
      </c>
      <c r="B21" s="14" t="s">
        <v>541</v>
      </c>
      <c r="C21" s="14" t="s">
        <v>118</v>
      </c>
      <c r="D21" s="14" t="s">
        <v>117</v>
      </c>
      <c r="E21" s="15" t="s">
        <v>119</v>
      </c>
      <c r="F21" s="14" t="s">
        <v>444</v>
      </c>
      <c r="G21" s="14" t="s">
        <v>441</v>
      </c>
      <c r="H21" s="68">
        <v>2330</v>
      </c>
      <c r="I21" s="17">
        <v>43360</v>
      </c>
      <c r="J21" s="17"/>
      <c r="K21" s="68">
        <v>7900</v>
      </c>
      <c r="L21" s="16"/>
      <c r="M21" s="18"/>
      <c r="N21" s="68">
        <v>700</v>
      </c>
      <c r="O21" s="68">
        <v>33</v>
      </c>
      <c r="P21" s="16"/>
      <c r="Q21" s="68">
        <v>16</v>
      </c>
      <c r="R21" s="68">
        <f t="shared" si="0"/>
        <v>4426.7200000000003</v>
      </c>
      <c r="S21" s="18"/>
      <c r="T21" s="16"/>
      <c r="U21" s="16"/>
      <c r="V21" s="68">
        <v>66.70</v>
      </c>
      <c r="W21" s="16"/>
      <c r="X21" s="16"/>
      <c r="Y21" s="16"/>
      <c r="Z21" s="16"/>
      <c r="AA21" s="16"/>
      <c r="AB21" s="18"/>
      <c r="AC21" s="68">
        <f t="shared" si="1"/>
        <v>13093.42</v>
      </c>
      <c r="AD21" s="68">
        <v>1363.84</v>
      </c>
      <c r="AE21" s="68">
        <v>345.96</v>
      </c>
      <c r="AF21" s="68">
        <v>85.24</v>
      </c>
      <c r="AG21" s="68">
        <v>924</v>
      </c>
      <c r="AH21" s="68">
        <f t="shared" si="2"/>
        <v>10374.380000000001</v>
      </c>
      <c r="AI21" s="68">
        <f>MAX(ROUND(MAX((AH21+AR21-5000*AQ21-AT21)*{0.03,0.1,0.2,0.25,0.3,0.35,0.45}-{0,2520,16920,31920,52920,85920,181920},0)-AS21,2),0)</f>
        <v>809.34000000000003</v>
      </c>
      <c r="AJ21" s="18"/>
      <c r="AK21" s="16"/>
      <c r="AL21" s="68">
        <f>ROUND(LOOKUP(MAX(0.0001,AK21/12),{0;6;24;50;70;110;160}*500+0.0001,5*MAX(0,AK21)*{0.6;2;4;5;6;7;9}%-10*{0;21;141;266;441;716;1516}),2)</f>
        <v>0</v>
      </c>
      <c r="AM21" s="68">
        <f t="shared" si="3"/>
        <v>13093.42</v>
      </c>
      <c r="AN21" s="16"/>
      <c r="AO21" s="16"/>
      <c r="AP21" s="68">
        <f t="shared" si="4"/>
        <v>9565.0400000000009</v>
      </c>
      <c r="AQ21" s="83">
        <v>6</v>
      </c>
      <c r="AR21" s="19">
        <v>65262.66</v>
      </c>
      <c r="AS21" s="84">
        <v>1234.3600000000001</v>
      </c>
      <c r="AT21" s="85">
        <v>0</v>
      </c>
      <c r="AU21" s="16" t="s">
        <v>424</v>
      </c>
      <c r="AV21" s="19"/>
      <c r="AW21" s="19"/>
      <c r="AX21" s="19"/>
    </row>
    <row r="22" spans="1:50" s="20" customFormat="1" ht="16.5" customHeight="1">
      <c r="A22" s="14">
        <v>21</v>
      </c>
      <c r="B22" s="14" t="s">
        <v>541</v>
      </c>
      <c r="C22" s="14" t="s">
        <v>445</v>
      </c>
      <c r="D22" s="14" t="s">
        <v>120</v>
      </c>
      <c r="E22" s="15" t="s">
        <v>121</v>
      </c>
      <c r="F22" s="14" t="s">
        <v>430</v>
      </c>
      <c r="G22" s="14" t="s">
        <v>441</v>
      </c>
      <c r="H22" s="68">
        <v>2330</v>
      </c>
      <c r="I22" s="17">
        <v>43360</v>
      </c>
      <c r="J22" s="17"/>
      <c r="K22" s="68">
        <v>3600</v>
      </c>
      <c r="L22" s="16"/>
      <c r="M22" s="16"/>
      <c r="N22" s="68">
        <v>700</v>
      </c>
      <c r="O22" s="68">
        <v>0</v>
      </c>
      <c r="P22" s="16"/>
      <c r="Q22" s="68">
        <v>11</v>
      </c>
      <c r="R22" s="68">
        <f t="shared" si="0"/>
        <v>682.75999999999999</v>
      </c>
      <c r="S22" s="18"/>
      <c r="T22" s="16"/>
      <c r="U22" s="16"/>
      <c r="V22" s="16"/>
      <c r="W22" s="16"/>
      <c r="X22" s="16"/>
      <c r="Y22" s="16"/>
      <c r="Z22" s="16"/>
      <c r="AA22" s="16"/>
      <c r="AB22" s="18"/>
      <c r="AC22" s="68">
        <f t="shared" si="1"/>
        <v>4982.7600000000002</v>
      </c>
      <c r="AD22" s="68">
        <v>478.48</v>
      </c>
      <c r="AE22" s="68">
        <v>124.62</v>
      </c>
      <c r="AF22" s="68">
        <v>29.91</v>
      </c>
      <c r="AG22" s="68">
        <v>377</v>
      </c>
      <c r="AH22" s="68">
        <f t="shared" si="2"/>
        <v>3972.7500000000009</v>
      </c>
      <c r="AI22" s="68">
        <f>MAX(ROUND(MAX((AH22+AR22-5000*AQ22-AT22)*{0.03,0.1,0.2,0.25,0.3,0.35,0.45}-{0,2520,16920,31920,52920,85920,181920},0)-AS22,2),0)</f>
        <v>0</v>
      </c>
      <c r="AJ22" s="18"/>
      <c r="AK22" s="16"/>
      <c r="AL22" s="68">
        <f>ROUND(LOOKUP(MAX(0.0001,AK22/12),{0;6;24;50;70;110;160}*500+0.0001,5*MAX(0,AK22)*{0.6;2;4;5;6;7;9}%-10*{0;21;141;266;441;716;1516}),2)</f>
        <v>0</v>
      </c>
      <c r="AM22" s="68">
        <f t="shared" si="3"/>
        <v>4982.7600000000002</v>
      </c>
      <c r="AN22" s="16"/>
      <c r="AO22" s="16"/>
      <c r="AP22" s="68">
        <f t="shared" si="4"/>
        <v>3972.75</v>
      </c>
      <c r="AQ22" s="83">
        <v>6</v>
      </c>
      <c r="AR22" s="19">
        <v>23913.74</v>
      </c>
      <c r="AS22" s="84">
        <v>84.65</v>
      </c>
      <c r="AT22" s="85">
        <v>0</v>
      </c>
      <c r="AU22" s="16" t="s">
        <v>424</v>
      </c>
      <c r="AV22" s="19"/>
      <c r="AW22" s="19"/>
      <c r="AX22" s="19"/>
    </row>
    <row r="23" spans="1:50" s="20" customFormat="1" ht="16.5" customHeight="1">
      <c r="A23" s="14">
        <v>22</v>
      </c>
      <c r="B23" s="14" t="s">
        <v>541</v>
      </c>
      <c r="C23" s="14" t="s">
        <v>123</v>
      </c>
      <c r="D23" s="14" t="s">
        <v>122</v>
      </c>
      <c r="E23" s="15" t="s">
        <v>124</v>
      </c>
      <c r="F23" s="14" t="s">
        <v>440</v>
      </c>
      <c r="G23" s="14" t="s">
        <v>446</v>
      </c>
      <c r="H23" s="68">
        <v>2400</v>
      </c>
      <c r="I23" s="17">
        <v>43360</v>
      </c>
      <c r="J23" s="17"/>
      <c r="K23" s="68">
        <v>8800</v>
      </c>
      <c r="L23" s="16"/>
      <c r="M23" s="16"/>
      <c r="N23" s="68">
        <v>700</v>
      </c>
      <c r="O23" s="68">
        <v>4</v>
      </c>
      <c r="P23" s="16"/>
      <c r="Q23" s="68">
        <v>13</v>
      </c>
      <c r="R23" s="68">
        <f t="shared" si="0"/>
        <v>2275.8600000000001</v>
      </c>
      <c r="S23" s="18"/>
      <c r="T23" s="16"/>
      <c r="U23" s="16"/>
      <c r="V23" s="68">
        <v>1186.52</v>
      </c>
      <c r="W23" s="16"/>
      <c r="X23" s="16"/>
      <c r="Y23" s="16"/>
      <c r="Z23" s="16"/>
      <c r="AA23" s="16"/>
      <c r="AB23" s="18"/>
      <c r="AC23" s="68">
        <f t="shared" si="1"/>
        <v>12962.379999999999</v>
      </c>
      <c r="AD23" s="68">
        <v>1163.20</v>
      </c>
      <c r="AE23" s="68">
        <v>290.80</v>
      </c>
      <c r="AF23" s="68">
        <v>43.62</v>
      </c>
      <c r="AG23" s="68">
        <v>759</v>
      </c>
      <c r="AH23" s="68">
        <f t="shared" si="2"/>
        <v>10705.759999999998</v>
      </c>
      <c r="AI23" s="68">
        <f>MAX(ROUND(MAX((AH23+AR23-5000*AQ23-AT23)*{0.03,0.1,0.2,0.25,0.3,0.35,0.45}-{0,2520,16920,31920,52920,85920,181920},0)-AS23,2),0)</f>
        <v>39.770000000000003</v>
      </c>
      <c r="AJ23" s="18"/>
      <c r="AK23" s="16"/>
      <c r="AL23" s="68">
        <f>ROUND(LOOKUP(MAX(0.0001,AK23/12),{0;6;24;50;70;110;160}*500+0.0001,5*MAX(0,AK23)*{0.6;2;4;5;6;7;9}%-10*{0;21;141;266;441;716;1516}),2)</f>
        <v>0</v>
      </c>
      <c r="AM23" s="68">
        <f t="shared" si="3"/>
        <v>12962.379999999999</v>
      </c>
      <c r="AN23" s="16"/>
      <c r="AO23" s="16"/>
      <c r="AP23" s="68">
        <f t="shared" si="4"/>
        <v>10665.99</v>
      </c>
      <c r="AQ23" s="83">
        <v>6</v>
      </c>
      <c r="AR23" s="19">
        <v>61445.77</v>
      </c>
      <c r="AS23" s="84">
        <v>324.77999999999997</v>
      </c>
      <c r="AT23" s="19">
        <v>30000</v>
      </c>
      <c r="AU23" s="16" t="s">
        <v>424</v>
      </c>
      <c r="AV23" s="19"/>
      <c r="AW23" s="19"/>
      <c r="AX23" s="19"/>
    </row>
    <row r="24" spans="1:50" s="20" customFormat="1" ht="16.5" customHeight="1">
      <c r="A24" s="14">
        <v>23</v>
      </c>
      <c r="B24" s="14" t="s">
        <v>541</v>
      </c>
      <c r="C24" s="14" t="s">
        <v>126</v>
      </c>
      <c r="D24" s="14" t="s">
        <v>125</v>
      </c>
      <c r="E24" s="15" t="s">
        <v>127</v>
      </c>
      <c r="F24" s="14" t="s">
        <v>422</v>
      </c>
      <c r="G24" s="14" t="s">
        <v>446</v>
      </c>
      <c r="H24" s="68">
        <v>2400</v>
      </c>
      <c r="I24" s="17">
        <v>43360</v>
      </c>
      <c r="J24" s="17"/>
      <c r="K24" s="68">
        <v>4400</v>
      </c>
      <c r="L24" s="16"/>
      <c r="M24" s="16"/>
      <c r="N24" s="68">
        <v>700</v>
      </c>
      <c r="O24" s="68">
        <v>0</v>
      </c>
      <c r="P24" s="16"/>
      <c r="Q24" s="68">
        <v>13</v>
      </c>
      <c r="R24" s="68">
        <f t="shared" si="0"/>
        <v>986.21000000000004</v>
      </c>
      <c r="S24" s="18"/>
      <c r="T24" s="16"/>
      <c r="U24" s="16"/>
      <c r="V24" s="68">
        <v>4701.38</v>
      </c>
      <c r="W24" s="16"/>
      <c r="X24" s="16"/>
      <c r="Y24" s="16"/>
      <c r="Z24" s="16"/>
      <c r="AA24" s="16"/>
      <c r="AB24" s="18"/>
      <c r="AC24" s="68">
        <f t="shared" si="1"/>
        <v>10787.59</v>
      </c>
      <c r="AD24" s="68">
        <v>800.56</v>
      </c>
      <c r="AE24" s="68">
        <v>200.14</v>
      </c>
      <c r="AF24" s="68">
        <v>30.02</v>
      </c>
      <c r="AG24" s="68">
        <v>558</v>
      </c>
      <c r="AH24" s="68">
        <f t="shared" si="2"/>
        <v>9198.8700000000008</v>
      </c>
      <c r="AI24" s="68">
        <f>MAX(ROUND(MAX((AH24+AR24-5000*AQ24-AT24)*{0.03,0.1,0.2,0.25,0.3,0.35,0.45}-{0,2520,16920,31920,52920,85920,181920},0)-AS24,2),0)</f>
        <v>0</v>
      </c>
      <c r="AJ24" s="18"/>
      <c r="AK24" s="16"/>
      <c r="AL24" s="68">
        <f>ROUND(LOOKUP(MAX(0.0001,AK24/12),{0;6;24;50;70;110;160}*500+0.0001,5*MAX(0,AK24)*{0.6;2;4;5;6;7;9}%-10*{0;21;141;266;441;716;1516}),2)</f>
        <v>0</v>
      </c>
      <c r="AM24" s="68">
        <f t="shared" si="3"/>
        <v>10787.59</v>
      </c>
      <c r="AN24" s="16"/>
      <c r="AO24" s="16"/>
      <c r="AP24" s="68">
        <f t="shared" si="4"/>
        <v>9198.8700000000008</v>
      </c>
      <c r="AQ24" s="83">
        <v>6</v>
      </c>
      <c r="AR24" s="19">
        <v>40918.770000000004</v>
      </c>
      <c r="AS24" s="84">
        <v>172.26</v>
      </c>
      <c r="AT24" s="85">
        <v>15000</v>
      </c>
      <c r="AU24" s="16" t="s">
        <v>424</v>
      </c>
      <c r="AV24" s="19"/>
      <c r="AW24" s="19"/>
      <c r="AX24" s="19"/>
    </row>
    <row r="25" spans="1:50" s="20" customFormat="1" ht="16.5" customHeight="1">
      <c r="A25" s="14">
        <v>24</v>
      </c>
      <c r="B25" s="14" t="s">
        <v>541</v>
      </c>
      <c r="C25" s="14" t="s">
        <v>129</v>
      </c>
      <c r="D25" s="14" t="s">
        <v>128</v>
      </c>
      <c r="E25" s="15" t="s">
        <v>447</v>
      </c>
      <c r="F25" s="14" t="s">
        <v>430</v>
      </c>
      <c r="G25" s="14" t="s">
        <v>446</v>
      </c>
      <c r="H25" s="68">
        <v>2400</v>
      </c>
      <c r="I25" s="17">
        <v>43372</v>
      </c>
      <c r="J25" s="17"/>
      <c r="K25" s="68">
        <v>4000</v>
      </c>
      <c r="L25" s="16"/>
      <c r="M25" s="16"/>
      <c r="N25" s="68">
        <v>700</v>
      </c>
      <c r="O25" s="68">
        <v>0</v>
      </c>
      <c r="P25" s="16"/>
      <c r="Q25" s="68">
        <v>13</v>
      </c>
      <c r="R25" s="68">
        <f t="shared" si="0"/>
        <v>896.54999999999995</v>
      </c>
      <c r="S25" s="18"/>
      <c r="T25" s="16"/>
      <c r="U25" s="16"/>
      <c r="V25" s="68">
        <v>1153.1300000000001</v>
      </c>
      <c r="W25" s="16"/>
      <c r="X25" s="16"/>
      <c r="Y25" s="16"/>
      <c r="Z25" s="16"/>
      <c r="AA25" s="16"/>
      <c r="AB25" s="18"/>
      <c r="AC25" s="68">
        <f t="shared" si="1"/>
        <v>6749.6800000000003</v>
      </c>
      <c r="AD25" s="68">
        <v>813.84</v>
      </c>
      <c r="AE25" s="68">
        <v>203.46</v>
      </c>
      <c r="AF25" s="68">
        <v>30.52</v>
      </c>
      <c r="AG25" s="68">
        <v>502</v>
      </c>
      <c r="AH25" s="68">
        <f t="shared" si="2"/>
        <v>5199.8599999999997</v>
      </c>
      <c r="AI25" s="68">
        <f>MAX(ROUND(MAX((AH25+AR25-5000*AQ25-AT25)*{0.03,0.1,0.2,0.25,0.3,0.35,0.45}-{0,2520,16920,31920,52920,85920,181920},0)-AS25,2),0)</f>
        <v>0</v>
      </c>
      <c r="AJ25" s="18"/>
      <c r="AK25" s="16"/>
      <c r="AL25" s="68">
        <f>ROUND(LOOKUP(MAX(0.0001,AK25/12),{0;6;24;50;70;110;160}*500+0.0001,5*MAX(0,AK25)*{0.6;2;4;5;6;7;9}%-10*{0;21;141;266;441;716;1516}),2)</f>
        <v>0</v>
      </c>
      <c r="AM25" s="68">
        <f t="shared" si="3"/>
        <v>6749.6800000000003</v>
      </c>
      <c r="AN25" s="16"/>
      <c r="AO25" s="16"/>
      <c r="AP25" s="68">
        <f t="shared" si="4"/>
        <v>5199.8599999999997</v>
      </c>
      <c r="AQ25" s="83">
        <v>6</v>
      </c>
      <c r="AR25" s="19">
        <v>34362.269999999997</v>
      </c>
      <c r="AS25" s="84">
        <v>94.55</v>
      </c>
      <c r="AT25" s="85">
        <v>18000</v>
      </c>
      <c r="AU25" s="16" t="s">
        <v>424</v>
      </c>
      <c r="AV25" s="19"/>
      <c r="AW25" s="19"/>
      <c r="AX25" s="19"/>
    </row>
    <row r="26" spans="1:50" s="20" customFormat="1" ht="16.5" customHeight="1">
      <c r="A26" s="14">
        <v>25</v>
      </c>
      <c r="B26" s="14" t="s">
        <v>541</v>
      </c>
      <c r="C26" s="14" t="s">
        <v>131</v>
      </c>
      <c r="D26" s="14" t="s">
        <v>448</v>
      </c>
      <c r="E26" s="15" t="s">
        <v>132</v>
      </c>
      <c r="F26" s="14" t="s">
        <v>430</v>
      </c>
      <c r="G26" s="14" t="s">
        <v>428</v>
      </c>
      <c r="H26" s="68">
        <v>2660</v>
      </c>
      <c r="I26" s="17">
        <v>43382</v>
      </c>
      <c r="J26" s="17"/>
      <c r="K26" s="68">
        <v>3600</v>
      </c>
      <c r="L26" s="16"/>
      <c r="M26" s="16"/>
      <c r="N26" s="68">
        <v>700</v>
      </c>
      <c r="O26" s="68">
        <v>0</v>
      </c>
      <c r="P26" s="16"/>
      <c r="Q26" s="68">
        <v>8.50</v>
      </c>
      <c r="R26" s="68">
        <f t="shared" si="0"/>
        <v>527.59000000000003</v>
      </c>
      <c r="S26" s="18"/>
      <c r="T26" s="16"/>
      <c r="U26" s="16"/>
      <c r="V26" s="68">
        <v>4359.37</v>
      </c>
      <c r="W26" s="16"/>
      <c r="X26" s="16"/>
      <c r="Y26" s="16"/>
      <c r="Z26" s="16"/>
      <c r="AA26" s="16"/>
      <c r="AB26" s="18"/>
      <c r="AC26" s="68">
        <f t="shared" si="1"/>
        <v>9186.9599999999991</v>
      </c>
      <c r="AD26" s="68">
        <v>1153.5999999999999</v>
      </c>
      <c r="AE26" s="68">
        <v>298.39999999999998</v>
      </c>
      <c r="AF26" s="68">
        <v>72.099999999999994</v>
      </c>
      <c r="AG26" s="68">
        <v>1613</v>
      </c>
      <c r="AH26" s="68">
        <f t="shared" si="2"/>
        <v>6049.8599999999988</v>
      </c>
      <c r="AI26" s="68">
        <f>MAX(ROUND(MAX((AH26+AR26-5000*AQ26-AT26)*{0.03,0.1,0.2,0.25,0.3,0.35,0.45}-{0,2520,16920,31920,52920,85920,181920},0)-AS26,2),0)</f>
        <v>0</v>
      </c>
      <c r="AJ26" s="18"/>
      <c r="AK26" s="16"/>
      <c r="AL26" s="68">
        <f>ROUND(LOOKUP(MAX(0.0001,AK26/12),{0;6;24;50;70;110;160}*500+0.0001,5*MAX(0,AK26)*{0.6;2;4;5;6;7;9}%-10*{0;21;141;266;441;716;1516}),2)</f>
        <v>0</v>
      </c>
      <c r="AM26" s="68">
        <f t="shared" si="3"/>
        <v>9186.9599999999991</v>
      </c>
      <c r="AN26" s="16"/>
      <c r="AO26" s="16"/>
      <c r="AP26" s="68">
        <f t="shared" si="4"/>
        <v>6049.8599999999997</v>
      </c>
      <c r="AQ26" s="83">
        <v>6</v>
      </c>
      <c r="AR26" s="19">
        <v>43757.20</v>
      </c>
      <c r="AS26" s="84">
        <v>413.88</v>
      </c>
      <c r="AT26" s="19">
        <v>21000</v>
      </c>
      <c r="AU26" s="16" t="s">
        <v>209</v>
      </c>
      <c r="AV26" s="19"/>
      <c r="AW26" s="19"/>
      <c r="AX26" s="19"/>
    </row>
    <row r="27" spans="1:50" s="20" customFormat="1" ht="16.5" customHeight="1">
      <c r="A27" s="14">
        <v>26</v>
      </c>
      <c r="B27" s="14" t="s">
        <v>541</v>
      </c>
      <c r="C27" s="14" t="s">
        <v>134</v>
      </c>
      <c r="D27" s="14" t="s">
        <v>449</v>
      </c>
      <c r="E27" s="15" t="s">
        <v>135</v>
      </c>
      <c r="F27" s="14" t="s">
        <v>430</v>
      </c>
      <c r="G27" s="14" t="s">
        <v>428</v>
      </c>
      <c r="H27" s="68">
        <v>2660</v>
      </c>
      <c r="I27" s="17">
        <v>43524</v>
      </c>
      <c r="J27" s="17"/>
      <c r="K27" s="68">
        <v>3600</v>
      </c>
      <c r="L27" s="16"/>
      <c r="M27" s="16"/>
      <c r="N27" s="68">
        <v>700</v>
      </c>
      <c r="O27" s="68">
        <v>0</v>
      </c>
      <c r="P27" s="16"/>
      <c r="Q27" s="68">
        <v>16.50</v>
      </c>
      <c r="R27" s="68">
        <f t="shared" si="0"/>
        <v>1024.1400000000001</v>
      </c>
      <c r="S27" s="18"/>
      <c r="T27" s="16"/>
      <c r="U27" s="16"/>
      <c r="V27" s="16">
        <v>19786.79</v>
      </c>
      <c r="W27" s="16"/>
      <c r="X27" s="16"/>
      <c r="Y27" s="16"/>
      <c r="Z27" s="16"/>
      <c r="AA27" s="16"/>
      <c r="AB27" s="18"/>
      <c r="AC27" s="16">
        <f t="shared" si="1"/>
        <v>25110.93</v>
      </c>
      <c r="AD27" s="68">
        <v>1233.44</v>
      </c>
      <c r="AE27" s="68">
        <v>318.36</v>
      </c>
      <c r="AF27" s="68">
        <v>77.09</v>
      </c>
      <c r="AG27" s="68">
        <v>1929</v>
      </c>
      <c r="AH27" s="16">
        <f t="shared" si="2"/>
        <v>21553.040000000001</v>
      </c>
      <c r="AI27" s="68">
        <f>MAX(ROUND(MAX((AH27+AR27-5000*AQ27-AT27)*{0.03,0.1,0.2,0.25,0.3,0.35,0.45}-{0,2520,16920,31920,52920,85920,181920},0)-AS27,2),0)</f>
        <v>324.63999999999999</v>
      </c>
      <c r="AJ27" s="18"/>
      <c r="AK27" s="16"/>
      <c r="AL27" s="68">
        <f>ROUND(LOOKUP(MAX(0.0001,AK27/12),{0;6;24;50;70;110;160}*500+0.0001,5*MAX(0,AK27)*{0.6;2;4;5;6;7;9}%-10*{0;21;141;266;441;716;1516}),2)</f>
        <v>0</v>
      </c>
      <c r="AM27" s="16">
        <f t="shared" si="3"/>
        <v>25110.93</v>
      </c>
      <c r="AN27" s="16"/>
      <c r="AO27" s="16"/>
      <c r="AP27" s="16">
        <f t="shared" si="4"/>
        <v>21228.400000000001</v>
      </c>
      <c r="AQ27" s="83">
        <v>6</v>
      </c>
      <c r="AR27" s="19">
        <v>50537</v>
      </c>
      <c r="AS27" s="84">
        <v>398.06</v>
      </c>
      <c r="AT27" s="85">
        <v>18000</v>
      </c>
      <c r="AU27" s="16" t="s">
        <v>209</v>
      </c>
      <c r="AV27" s="19"/>
      <c r="AW27" s="19"/>
      <c r="AX27" s="19"/>
    </row>
    <row r="28" spans="1:50" s="20" customFormat="1" ht="16.5" customHeight="1">
      <c r="A28" s="14">
        <v>27</v>
      </c>
      <c r="B28" s="14" t="s">
        <v>541</v>
      </c>
      <c r="C28" s="14" t="s">
        <v>137</v>
      </c>
      <c r="D28" s="14" t="s">
        <v>136</v>
      </c>
      <c r="E28" s="15" t="s">
        <v>138</v>
      </c>
      <c r="F28" s="14" t="s">
        <v>450</v>
      </c>
      <c r="G28" s="14" t="s">
        <v>431</v>
      </c>
      <c r="H28" s="68">
        <v>2540</v>
      </c>
      <c r="I28" s="17">
        <v>43542</v>
      </c>
      <c r="J28" s="17"/>
      <c r="K28" s="68">
        <v>4600</v>
      </c>
      <c r="L28" s="16"/>
      <c r="M28" s="16"/>
      <c r="N28" s="68">
        <v>700</v>
      </c>
      <c r="O28" s="68">
        <v>0</v>
      </c>
      <c r="P28" s="16"/>
      <c r="Q28" s="68">
        <v>12</v>
      </c>
      <c r="R28" s="68">
        <f t="shared" si="0"/>
        <v>951.72000000000003</v>
      </c>
      <c r="S28" s="18"/>
      <c r="T28" s="16"/>
      <c r="U28" s="16"/>
      <c r="V28" s="68">
        <v>5079.6499999999996</v>
      </c>
      <c r="W28" s="16"/>
      <c r="X28" s="16"/>
      <c r="Y28" s="16"/>
      <c r="Z28" s="16"/>
      <c r="AA28" s="16"/>
      <c r="AB28" s="21"/>
      <c r="AC28" s="68">
        <f t="shared" si="1"/>
        <v>11331.370000000001</v>
      </c>
      <c r="AD28" s="68">
        <v>2374.2399999999998</v>
      </c>
      <c r="AE28" s="68">
        <v>596.55999999999995</v>
      </c>
      <c r="AF28" s="68">
        <v>148.38999999999999</v>
      </c>
      <c r="AG28" s="68">
        <v>3561</v>
      </c>
      <c r="AH28" s="68">
        <f t="shared" si="2"/>
        <v>4651.1800000000021</v>
      </c>
      <c r="AI28" s="68">
        <f>MAX(ROUND(MAX((AH28+AR28-5000*AQ28-AT28)*{0.03,0.1,0.2,0.25,0.3,0.35,0.45}-{0,2520,16920,31920,52920,85920,181920},0)-AS28,2),0)</f>
        <v>340.66000000000003</v>
      </c>
      <c r="AJ28" s="18"/>
      <c r="AK28" s="16"/>
      <c r="AL28" s="68">
        <f>ROUND(LOOKUP(MAX(0.0001,AK28/12),{0;6;24;50;70;110;160}*500+0.0001,5*MAX(0,AK28)*{0.6;2;4;5;6;7;9}%-10*{0;21;141;266;441;716;1516}),2)</f>
        <v>0</v>
      </c>
      <c r="AM28" s="68">
        <f t="shared" si="3"/>
        <v>11331.370000000001</v>
      </c>
      <c r="AN28" s="16"/>
      <c r="AO28" s="16"/>
      <c r="AP28" s="68">
        <f t="shared" si="4"/>
        <v>4310.5200000000004</v>
      </c>
      <c r="AQ28" s="83">
        <v>6</v>
      </c>
      <c r="AR28" s="19">
        <v>63501.95</v>
      </c>
      <c r="AS28" s="84">
        <v>954.65000000000009</v>
      </c>
      <c r="AT28" s="85">
        <v>0</v>
      </c>
      <c r="AU28" s="16" t="s">
        <v>211</v>
      </c>
      <c r="AV28" s="19"/>
      <c r="AW28" s="19"/>
      <c r="AX28" s="19"/>
    </row>
    <row r="29" spans="1:50" s="20" customFormat="1" ht="16.5" customHeight="1">
      <c r="A29" s="14">
        <v>28</v>
      </c>
      <c r="B29" s="14" t="s">
        <v>541</v>
      </c>
      <c r="C29" s="14" t="s">
        <v>451</v>
      </c>
      <c r="D29" s="14" t="s">
        <v>139</v>
      </c>
      <c r="E29" s="15" t="s">
        <v>140</v>
      </c>
      <c r="F29" s="14" t="s">
        <v>430</v>
      </c>
      <c r="G29" s="14" t="s">
        <v>452</v>
      </c>
      <c r="H29" s="68">
        <v>2660</v>
      </c>
      <c r="I29" s="17">
        <v>43689</v>
      </c>
      <c r="J29" s="17"/>
      <c r="K29" s="68">
        <v>4000</v>
      </c>
      <c r="L29" s="16"/>
      <c r="M29" s="16"/>
      <c r="N29" s="68">
        <v>600</v>
      </c>
      <c r="O29" s="68">
        <v>40</v>
      </c>
      <c r="P29" s="16"/>
      <c r="Q29" s="68">
        <v>24</v>
      </c>
      <c r="R29" s="68">
        <f t="shared" si="0"/>
        <v>3034.48</v>
      </c>
      <c r="S29" s="18"/>
      <c r="T29" s="16"/>
      <c r="U29" s="16"/>
      <c r="V29" s="68">
        <v>1794.38</v>
      </c>
      <c r="W29" s="16"/>
      <c r="X29" s="16"/>
      <c r="Y29" s="16"/>
      <c r="Z29" s="16"/>
      <c r="AA29" s="16"/>
      <c r="AB29" s="18"/>
      <c r="AC29" s="68">
        <f t="shared" si="1"/>
        <v>9428.8600000000006</v>
      </c>
      <c r="AD29" s="68">
        <v>1700.24</v>
      </c>
      <c r="AE29" s="68">
        <v>430.06</v>
      </c>
      <c r="AF29" s="68">
        <v>106.27</v>
      </c>
      <c r="AG29" s="68">
        <v>1994</v>
      </c>
      <c r="AH29" s="68">
        <f t="shared" si="2"/>
        <v>5198.29</v>
      </c>
      <c r="AI29" s="68">
        <f>MAX(ROUND(MAX((AH29+AR29-5000*AQ29-AT29)*{0.03,0.1,0.2,0.25,0.3,0.35,0.45}-{0,2520,16920,31920,52920,85920,181920},0)-AS29,2),0)</f>
        <v>132.87</v>
      </c>
      <c r="AJ29" s="18"/>
      <c r="AK29" s="16"/>
      <c r="AL29" s="68">
        <f>ROUND(LOOKUP(MAX(0.0001,AK29/12),{0;6;24;50;70;110;160}*500+0.0001,5*MAX(0,AK29)*{0.6;2;4;5;6;7;9}%-10*{0;21;141;266;441;716;1516}),2)</f>
        <v>0</v>
      </c>
      <c r="AM29" s="68">
        <f t="shared" si="3"/>
        <v>9428.8600000000006</v>
      </c>
      <c r="AN29" s="16"/>
      <c r="AO29" s="16"/>
      <c r="AP29" s="68">
        <f t="shared" si="4"/>
        <v>5065.4200000000001</v>
      </c>
      <c r="AQ29" s="83">
        <v>6</v>
      </c>
      <c r="AR29" s="19">
        <v>53801.899999999994</v>
      </c>
      <c r="AS29" s="84">
        <v>737.14</v>
      </c>
      <c r="AT29" s="85">
        <v>0</v>
      </c>
      <c r="AU29" s="16" t="s">
        <v>209</v>
      </c>
      <c r="AV29" s="19"/>
      <c r="AW29" s="19"/>
      <c r="AX29" s="19"/>
    </row>
    <row r="30" spans="1:50" s="20" customFormat="1" ht="16.5" customHeight="1">
      <c r="A30" s="14">
        <v>29</v>
      </c>
      <c r="B30" s="14" t="s">
        <v>541</v>
      </c>
      <c r="C30" s="14" t="s">
        <v>143</v>
      </c>
      <c r="D30" s="14" t="s">
        <v>142</v>
      </c>
      <c r="E30" s="15" t="s">
        <v>144</v>
      </c>
      <c r="F30" s="14" t="s">
        <v>430</v>
      </c>
      <c r="G30" s="14" t="s">
        <v>452</v>
      </c>
      <c r="H30" s="68">
        <v>2660</v>
      </c>
      <c r="I30" s="17">
        <v>43690</v>
      </c>
      <c r="J30" s="17"/>
      <c r="K30" s="68">
        <v>4000</v>
      </c>
      <c r="L30" s="16"/>
      <c r="M30" s="16"/>
      <c r="N30" s="68">
        <v>600</v>
      </c>
      <c r="O30" s="68">
        <v>40</v>
      </c>
      <c r="P30" s="16"/>
      <c r="Q30" s="68">
        <v>24</v>
      </c>
      <c r="R30" s="68">
        <f t="shared" si="0"/>
        <v>3034.48</v>
      </c>
      <c r="S30" s="18"/>
      <c r="T30" s="16"/>
      <c r="U30" s="16"/>
      <c r="V30" s="68">
        <v>3601.52</v>
      </c>
      <c r="W30" s="16"/>
      <c r="X30" s="16"/>
      <c r="Y30" s="16"/>
      <c r="Z30" s="16"/>
      <c r="AA30" s="16"/>
      <c r="AB30" s="18"/>
      <c r="AC30" s="68">
        <f t="shared" si="1"/>
        <v>11236</v>
      </c>
      <c r="AD30" s="68">
        <v>1969.52</v>
      </c>
      <c r="AE30" s="68">
        <v>497.38</v>
      </c>
      <c r="AF30" s="68">
        <v>123.10</v>
      </c>
      <c r="AG30" s="68">
        <v>2122</v>
      </c>
      <c r="AH30" s="68">
        <f t="shared" si="2"/>
        <v>6524</v>
      </c>
      <c r="AI30" s="68">
        <f>MAX(ROUND(MAX((AH30+AR30-5000*AQ30-AT30)*{0.03,0.1,0.2,0.25,0.3,0.35,0.45}-{0,2520,16920,31920,52920,85920,181920},0)-AS30,2),0)</f>
        <v>623.60000000000002</v>
      </c>
      <c r="AJ30" s="18"/>
      <c r="AK30" s="16"/>
      <c r="AL30" s="68">
        <f>ROUND(LOOKUP(MAX(0.0001,AK30/12),{0;6;24;50;70;110;160}*500+0.0001,5*MAX(0,AK30)*{0.6;2;4;5;6;7;9}%-10*{0;21;141;266;441;716;1516}),2)</f>
        <v>0</v>
      </c>
      <c r="AM30" s="68">
        <f t="shared" si="3"/>
        <v>11236</v>
      </c>
      <c r="AN30" s="16"/>
      <c r="AO30" s="16"/>
      <c r="AP30" s="68">
        <f t="shared" si="4"/>
        <v>5900.3999999999996</v>
      </c>
      <c r="AQ30" s="83">
        <v>6</v>
      </c>
      <c r="AR30" s="19">
        <v>65756.179999999993</v>
      </c>
      <c r="AS30" s="84">
        <v>1084.42</v>
      </c>
      <c r="AT30" s="85">
        <v>0</v>
      </c>
      <c r="AU30" s="16" t="s">
        <v>209</v>
      </c>
      <c r="AV30" s="19"/>
      <c r="AW30" s="19"/>
      <c r="AX30" s="19"/>
    </row>
    <row r="31" spans="1:50" s="20" customFormat="1" ht="16.5" customHeight="1">
      <c r="A31" s="14">
        <v>30</v>
      </c>
      <c r="B31" s="14" t="s">
        <v>541</v>
      </c>
      <c r="C31" s="14" t="s">
        <v>146</v>
      </c>
      <c r="D31" s="14" t="s">
        <v>145</v>
      </c>
      <c r="E31" s="15" t="s">
        <v>147</v>
      </c>
      <c r="F31" s="14" t="s">
        <v>450</v>
      </c>
      <c r="G31" s="14" t="s">
        <v>442</v>
      </c>
      <c r="H31" s="68">
        <v>2376</v>
      </c>
      <c r="I31" s="17">
        <v>43697</v>
      </c>
      <c r="J31" s="17"/>
      <c r="K31" s="68">
        <v>4400</v>
      </c>
      <c r="L31" s="16"/>
      <c r="M31" s="16"/>
      <c r="N31" s="68">
        <v>600</v>
      </c>
      <c r="O31" s="68">
        <v>0</v>
      </c>
      <c r="P31" s="16"/>
      <c r="Q31" s="68">
        <v>0</v>
      </c>
      <c r="R31" s="68">
        <f t="shared" si="0"/>
        <v>0</v>
      </c>
      <c r="S31" s="18"/>
      <c r="T31" s="16"/>
      <c r="U31" s="16"/>
      <c r="V31" s="68">
        <v>4402.6400000000003</v>
      </c>
      <c r="W31" s="16"/>
      <c r="X31" s="16"/>
      <c r="Y31" s="16"/>
      <c r="Z31" s="16"/>
      <c r="AA31" s="16"/>
      <c r="AB31" s="18"/>
      <c r="AC31" s="68">
        <f t="shared" si="1"/>
        <v>9402.6399999999994</v>
      </c>
      <c r="AD31" s="68">
        <v>927.33</v>
      </c>
      <c r="AE31" s="68">
        <v>233.43</v>
      </c>
      <c r="AF31" s="68">
        <v>34.770000000000003</v>
      </c>
      <c r="AG31" s="68">
        <v>564</v>
      </c>
      <c r="AH31" s="68">
        <f t="shared" si="2"/>
        <v>7643.1099999999988</v>
      </c>
      <c r="AI31" s="68">
        <f>MAX(ROUND(MAX((AH31+AR31-5000*AQ31-AT31)*{0.03,0.1,0.2,0.25,0.3,0.35,0.45}-{0,2520,16920,31920,52920,85920,181920},0)-AS31,2),0)</f>
        <v>132.08000000000001</v>
      </c>
      <c r="AJ31" s="18"/>
      <c r="AK31" s="16"/>
      <c r="AL31" s="68">
        <f>ROUND(LOOKUP(MAX(0.0001,AK31/12),{0;6;24;50;70;110;160}*500+0.0001,5*MAX(0,AK31)*{0.6;2;4;5;6;7;9}%-10*{0;21;141;266;441;716;1516}),2)</f>
        <v>0</v>
      </c>
      <c r="AM31" s="68">
        <f t="shared" si="3"/>
        <v>9402.6399999999994</v>
      </c>
      <c r="AN31" s="16"/>
      <c r="AO31" s="16"/>
      <c r="AP31" s="68">
        <f t="shared" si="4"/>
        <v>7511.0299999999997</v>
      </c>
      <c r="AQ31" s="83">
        <v>6</v>
      </c>
      <c r="AR31" s="19">
        <v>47465.399999999994</v>
      </c>
      <c r="AS31" s="84">
        <v>621.18000000000006</v>
      </c>
      <c r="AT31" s="85">
        <v>0</v>
      </c>
      <c r="AU31" s="16" t="s">
        <v>424</v>
      </c>
      <c r="AV31" s="19"/>
      <c r="AW31" s="19"/>
      <c r="AX31" s="19"/>
    </row>
    <row r="32" spans="1:50" s="20" customFormat="1" ht="16.5" customHeight="1">
      <c r="A32" s="14">
        <v>31</v>
      </c>
      <c r="B32" s="14" t="s">
        <v>541</v>
      </c>
      <c r="C32" s="14" t="s">
        <v>149</v>
      </c>
      <c r="D32" s="14" t="s">
        <v>148</v>
      </c>
      <c r="E32" s="15" t="s">
        <v>150</v>
      </c>
      <c r="F32" s="14" t="s">
        <v>453</v>
      </c>
      <c r="G32" s="14" t="s">
        <v>426</v>
      </c>
      <c r="H32" s="68">
        <v>2740</v>
      </c>
      <c r="I32" s="17">
        <v>43697</v>
      </c>
      <c r="J32" s="17"/>
      <c r="K32" s="68">
        <v>6000</v>
      </c>
      <c r="L32" s="16"/>
      <c r="M32" s="16"/>
      <c r="N32" s="16"/>
      <c r="O32" s="68">
        <v>0</v>
      </c>
      <c r="P32" s="16"/>
      <c r="Q32" s="68">
        <v>0</v>
      </c>
      <c r="R32" s="68">
        <f t="shared" si="0"/>
        <v>0</v>
      </c>
      <c r="S32" s="18"/>
      <c r="T32" s="16"/>
      <c r="U32" s="16"/>
      <c r="V32" s="16"/>
      <c r="W32" s="16"/>
      <c r="X32" s="16"/>
      <c r="Y32" s="16"/>
      <c r="Z32" s="16"/>
      <c r="AA32" s="16"/>
      <c r="AB32" s="18"/>
      <c r="AC32" s="68">
        <f t="shared" si="1"/>
        <v>6000</v>
      </c>
      <c r="AD32" s="68">
        <v>596.79999999999995</v>
      </c>
      <c r="AE32" s="68">
        <v>149.19999999999999</v>
      </c>
      <c r="AF32" s="68">
        <v>37.299999999999997</v>
      </c>
      <c r="AG32" s="68">
        <v>473</v>
      </c>
      <c r="AH32" s="68">
        <f t="shared" si="2"/>
        <v>4743.6999999999998</v>
      </c>
      <c r="AI32" s="68">
        <f>MAX(ROUND(MAX((AH32+AR32-5000*AQ32-AT32)*{0.03,0.1,0.2,0.25,0.3,0.35,0.45}-{0,2520,16920,31920,52920,85920,181920},0)-AS32,2),0)</f>
        <v>6.9299999999999997</v>
      </c>
      <c r="AJ32" s="18"/>
      <c r="AK32" s="16"/>
      <c r="AL32" s="68">
        <f>ROUND(LOOKUP(MAX(0.0001,AK32/12),{0;6;24;50;70;110;160}*500+0.0001,5*MAX(0,AK32)*{0.6;2;4;5;6;7;9}%-10*{0;21;141;266;441;716;1516}),2)</f>
        <v>0</v>
      </c>
      <c r="AM32" s="68">
        <f t="shared" si="3"/>
        <v>6000</v>
      </c>
      <c r="AN32" s="16"/>
      <c r="AO32" s="16"/>
      <c r="AP32" s="68">
        <f t="shared" si="4"/>
        <v>4736.7700000000004</v>
      </c>
      <c r="AQ32" s="83">
        <v>6</v>
      </c>
      <c r="AR32" s="19">
        <v>28031.91</v>
      </c>
      <c r="AS32" s="84">
        <v>76.34</v>
      </c>
      <c r="AT32" s="85">
        <v>0</v>
      </c>
      <c r="AU32" s="16" t="s">
        <v>209</v>
      </c>
      <c r="AV32" s="19"/>
      <c r="AW32" s="19"/>
      <c r="AX32" s="19"/>
    </row>
    <row r="33" spans="1:50" s="20" customFormat="1" ht="16.5" customHeight="1">
      <c r="A33" s="14">
        <v>32</v>
      </c>
      <c r="B33" s="14" t="s">
        <v>541</v>
      </c>
      <c r="C33" s="14" t="s">
        <v>152</v>
      </c>
      <c r="D33" s="14" t="s">
        <v>151</v>
      </c>
      <c r="E33" s="15" t="s">
        <v>153</v>
      </c>
      <c r="F33" s="14" t="s">
        <v>430</v>
      </c>
      <c r="G33" s="14" t="s">
        <v>426</v>
      </c>
      <c r="H33" s="68">
        <v>2740</v>
      </c>
      <c r="I33" s="17">
        <v>43728</v>
      </c>
      <c r="J33" s="17"/>
      <c r="K33" s="68">
        <v>4200</v>
      </c>
      <c r="L33" s="16"/>
      <c r="M33" s="16"/>
      <c r="N33" s="68">
        <v>600</v>
      </c>
      <c r="O33" s="68">
        <v>7.50</v>
      </c>
      <c r="P33" s="16"/>
      <c r="Q33" s="68">
        <v>13</v>
      </c>
      <c r="R33" s="68">
        <f t="shared" si="0"/>
        <v>1212.9300000000001</v>
      </c>
      <c r="S33" s="18"/>
      <c r="T33" s="18"/>
      <c r="U33" s="18"/>
      <c r="V33" s="68">
        <v>7.74</v>
      </c>
      <c r="W33" s="16"/>
      <c r="X33" s="16"/>
      <c r="Y33" s="16"/>
      <c r="Z33" s="18">
        <v>-362.36</v>
      </c>
      <c r="AA33" s="16"/>
      <c r="AB33" s="21"/>
      <c r="AC33" s="68">
        <f t="shared" si="1"/>
        <v>5658.3100000000004</v>
      </c>
      <c r="AD33" s="68">
        <v>779.72</v>
      </c>
      <c r="AE33" s="68">
        <v>194.93</v>
      </c>
      <c r="AF33" s="68">
        <v>48.73</v>
      </c>
      <c r="AG33" s="68">
        <v>682</v>
      </c>
      <c r="AH33" s="68">
        <f t="shared" si="2"/>
        <v>3952.9300000000003</v>
      </c>
      <c r="AI33" s="68">
        <f>MAX(ROUND(MAX((AH33+AR33-5000*AQ33-AT33)*{0.03,0.1,0.2,0.25,0.3,0.35,0.45}-{0,2520,16920,31920,52920,85920,181920},0)-AS33,2),0)</f>
        <v>0</v>
      </c>
      <c r="AJ33" s="18"/>
      <c r="AK33" s="16"/>
      <c r="AL33" s="68">
        <f>ROUND(LOOKUP(MAX(0.0001,AK33/12),{0;6;24;50;70;110;160}*500+0.0001,5*MAX(0,AK33)*{0.6;2;4;5;6;7;9}%-10*{0;21;141;266;441;716;1516}),2)</f>
        <v>0</v>
      </c>
      <c r="AM33" s="68">
        <f t="shared" si="3"/>
        <v>5658.3100000000004</v>
      </c>
      <c r="AN33" s="16"/>
      <c r="AO33" s="16"/>
      <c r="AP33" s="68">
        <f t="shared" si="4"/>
        <v>3952.9299999999998</v>
      </c>
      <c r="AQ33" s="83">
        <v>6</v>
      </c>
      <c r="AR33" s="19">
        <v>19634</v>
      </c>
      <c r="AS33" s="84">
        <v>0</v>
      </c>
      <c r="AT33" s="19">
        <v>27000</v>
      </c>
      <c r="AU33" s="16" t="s">
        <v>209</v>
      </c>
      <c r="AV33" s="19"/>
      <c r="AW33" s="19"/>
      <c r="AX33" s="19"/>
    </row>
    <row r="34" spans="1:50" s="20" customFormat="1" ht="16.5" customHeight="1">
      <c r="A34" s="14">
        <v>33</v>
      </c>
      <c r="B34" s="14" t="s">
        <v>541</v>
      </c>
      <c r="C34" s="14" t="s">
        <v>155</v>
      </c>
      <c r="D34" s="14" t="s">
        <v>154</v>
      </c>
      <c r="E34" s="15" t="s">
        <v>454</v>
      </c>
      <c r="F34" s="14" t="s">
        <v>430</v>
      </c>
      <c r="G34" s="14" t="s">
        <v>455</v>
      </c>
      <c r="H34" s="68">
        <v>2080</v>
      </c>
      <c r="I34" s="17">
        <v>43747</v>
      </c>
      <c r="J34" s="17"/>
      <c r="K34" s="68">
        <v>4000</v>
      </c>
      <c r="L34" s="16"/>
      <c r="M34" s="16"/>
      <c r="N34" s="68">
        <v>600</v>
      </c>
      <c r="O34" s="68">
        <v>3</v>
      </c>
      <c r="P34" s="16"/>
      <c r="Q34" s="68">
        <v>16</v>
      </c>
      <c r="R34" s="68">
        <f t="shared" si="5" ref="R34:R65">ROUND(K34/174*SUM(O34*1.5+P34*2+Q34*3),2)</f>
        <v>1206.9000000000001</v>
      </c>
      <c r="S34" s="18"/>
      <c r="T34" s="16"/>
      <c r="U34" s="16"/>
      <c r="V34" s="68">
        <v>525</v>
      </c>
      <c r="W34" s="16"/>
      <c r="X34" s="16"/>
      <c r="Y34" s="16"/>
      <c r="Z34" s="16"/>
      <c r="AA34" s="16"/>
      <c r="AB34" s="18"/>
      <c r="AC34" s="68">
        <f t="shared" si="6" ref="AC34:AC65">ROUND(SUM(SUM(K34:N34)+SUM(R34:AB34)),2)</f>
        <v>6331.8999999999996</v>
      </c>
      <c r="AD34" s="68">
        <v>654.55999999999995</v>
      </c>
      <c r="AE34" s="68">
        <v>163.63999999999999</v>
      </c>
      <c r="AF34" s="68">
        <v>16.36</v>
      </c>
      <c r="AG34" s="68">
        <v>409</v>
      </c>
      <c r="AH34" s="68">
        <f t="shared" si="2"/>
        <v>5088.3400000000001</v>
      </c>
      <c r="AI34" s="68">
        <f>MAX(ROUND(MAX((AH34+AR34-5000*AQ34-AT34)*{0.03,0.1,0.2,0.25,0.3,0.35,0.45}-{0,2520,16920,31920,52920,85920,181920},0)-AS34,2),0)</f>
        <v>0</v>
      </c>
      <c r="AJ34" s="18"/>
      <c r="AK34" s="16"/>
      <c r="AL34" s="68">
        <f>ROUND(LOOKUP(MAX(0.0001,AK34/12),{0;6;24;50;70;110;160}*500+0.0001,5*MAX(0,AK34)*{0.6;2;4;5;6;7;9}%-10*{0;21;141;266;441;716;1516}),2)</f>
        <v>0</v>
      </c>
      <c r="AM34" s="68">
        <f t="shared" si="3"/>
        <v>6331.8999999999996</v>
      </c>
      <c r="AN34" s="16"/>
      <c r="AO34" s="16"/>
      <c r="AP34" s="68">
        <f t="shared" si="4"/>
        <v>5088.3400000000001</v>
      </c>
      <c r="AQ34" s="83">
        <v>6</v>
      </c>
      <c r="AR34" s="19">
        <v>35555.519999999997</v>
      </c>
      <c r="AS34" s="84">
        <v>135.82</v>
      </c>
      <c r="AT34" s="85">
        <v>18000</v>
      </c>
      <c r="AU34" s="16" t="s">
        <v>209</v>
      </c>
      <c r="AV34" s="19"/>
      <c r="AW34" s="19"/>
      <c r="AX34" s="19"/>
    </row>
    <row r="35" spans="1:50" s="20" customFormat="1" ht="16.5" customHeight="1">
      <c r="A35" s="14">
        <v>34</v>
      </c>
      <c r="B35" s="14" t="s">
        <v>541</v>
      </c>
      <c r="C35" s="14" t="s">
        <v>158</v>
      </c>
      <c r="D35" s="14" t="s">
        <v>157</v>
      </c>
      <c r="E35" s="15" t="s">
        <v>159</v>
      </c>
      <c r="F35" s="14" t="s">
        <v>430</v>
      </c>
      <c r="G35" s="14" t="s">
        <v>455</v>
      </c>
      <c r="H35" s="68">
        <v>2080</v>
      </c>
      <c r="I35" s="17">
        <v>43751</v>
      </c>
      <c r="J35" s="17"/>
      <c r="K35" s="68">
        <v>4000</v>
      </c>
      <c r="L35" s="16"/>
      <c r="M35" s="16"/>
      <c r="N35" s="68">
        <v>600</v>
      </c>
      <c r="O35" s="68">
        <v>0</v>
      </c>
      <c r="P35" s="16"/>
      <c r="Q35" s="68">
        <v>16</v>
      </c>
      <c r="R35" s="68">
        <f t="shared" si="5"/>
        <v>1103.45</v>
      </c>
      <c r="S35" s="18"/>
      <c r="T35" s="16"/>
      <c r="U35" s="16"/>
      <c r="V35" s="16"/>
      <c r="W35" s="16"/>
      <c r="X35" s="16"/>
      <c r="Y35" s="16"/>
      <c r="Z35" s="18"/>
      <c r="AA35" s="16"/>
      <c r="AB35" s="18"/>
      <c r="AC35" s="68">
        <f t="shared" si="6"/>
        <v>5703.4499999999998</v>
      </c>
      <c r="AD35" s="68">
        <v>623.04</v>
      </c>
      <c r="AE35" s="68">
        <v>155.76</v>
      </c>
      <c r="AF35" s="68">
        <v>15.58</v>
      </c>
      <c r="AG35" s="68">
        <v>389</v>
      </c>
      <c r="AH35" s="68">
        <f t="shared" si="2"/>
        <v>4520.0699999999997</v>
      </c>
      <c r="AI35" s="68">
        <f>MAX(ROUND(MAX((AH35+AR35-5000*AQ35-AT35)*{0.03,0.1,0.2,0.25,0.3,0.35,0.45}-{0,2520,16920,31920,52920,85920,181920},0)-AS35,2),0)</f>
        <v>6.7599999999999998</v>
      </c>
      <c r="AJ35" s="18"/>
      <c r="AK35" s="16"/>
      <c r="AL35" s="68">
        <f>ROUND(LOOKUP(MAX(0.0001,AK35/12),{0;6;24;50;70;110;160}*500+0.0001,5*MAX(0,AK35)*{0.6;2;4;5;6;7;9}%-10*{0;21;141;266;441;716;1516}),2)</f>
        <v>0</v>
      </c>
      <c r="AM35" s="68">
        <f t="shared" si="3"/>
        <v>5703.4499999999998</v>
      </c>
      <c r="AN35" s="16"/>
      <c r="AO35" s="16"/>
      <c r="AP35" s="68">
        <f t="shared" si="4"/>
        <v>4513.3100000000004</v>
      </c>
      <c r="AQ35" s="83">
        <v>6</v>
      </c>
      <c r="AR35" s="19">
        <v>29202</v>
      </c>
      <c r="AS35" s="84">
        <v>104.90</v>
      </c>
      <c r="AT35" s="85">
        <v>0</v>
      </c>
      <c r="AU35" s="16" t="s">
        <v>209</v>
      </c>
      <c r="AV35" s="19"/>
      <c r="AW35" s="19"/>
      <c r="AX35" s="19"/>
    </row>
    <row r="36" spans="1:50" s="20" customFormat="1" ht="16.5" customHeight="1">
      <c r="A36" s="14">
        <v>35</v>
      </c>
      <c r="B36" s="14" t="s">
        <v>541</v>
      </c>
      <c r="C36" s="14" t="s">
        <v>166</v>
      </c>
      <c r="D36" s="14" t="s">
        <v>164</v>
      </c>
      <c r="E36" s="15" t="s">
        <v>168</v>
      </c>
      <c r="F36" s="14" t="s">
        <v>430</v>
      </c>
      <c r="G36" s="14" t="s">
        <v>456</v>
      </c>
      <c r="H36" s="68">
        <v>2740</v>
      </c>
      <c r="I36" s="17">
        <v>44004</v>
      </c>
      <c r="J36" s="17"/>
      <c r="K36" s="68">
        <v>4200</v>
      </c>
      <c r="L36" s="16"/>
      <c r="M36" s="16"/>
      <c r="N36" s="68">
        <v>530</v>
      </c>
      <c r="O36" s="68">
        <v>6.50</v>
      </c>
      <c r="P36" s="16"/>
      <c r="Q36" s="68">
        <v>11.75</v>
      </c>
      <c r="R36" s="68">
        <f t="shared" si="5"/>
        <v>1086.21</v>
      </c>
      <c r="S36" s="18"/>
      <c r="T36" s="16"/>
      <c r="U36" s="16"/>
      <c r="V36" s="68">
        <v>9496.90</v>
      </c>
      <c r="W36" s="16"/>
      <c r="X36" s="16"/>
      <c r="Y36" s="16"/>
      <c r="Z36" s="16"/>
      <c r="AA36" s="16"/>
      <c r="AB36" s="18"/>
      <c r="AC36" s="68">
        <f t="shared" si="6"/>
        <v>15313.110000000001</v>
      </c>
      <c r="AD36" s="68">
        <v>1081.27</v>
      </c>
      <c r="AE36" s="68">
        <v>270.32</v>
      </c>
      <c r="AF36" s="68">
        <v>67.58</v>
      </c>
      <c r="AG36" s="68">
        <v>946</v>
      </c>
      <c r="AH36" s="68">
        <f t="shared" si="2"/>
        <v>12947.940000000001</v>
      </c>
      <c r="AI36" s="68">
        <f>MAX(ROUND(MAX((AH36+AR36-5000*AQ36-AT36)*{0.03,0.1,0.2,0.25,0.3,0.35,0.45}-{0,2520,16920,31920,52920,85920,181920},0)-AS36,2),0)</f>
        <v>189.40000000000001</v>
      </c>
      <c r="AJ36" s="18"/>
      <c r="AK36" s="16"/>
      <c r="AL36" s="68">
        <f>ROUND(LOOKUP(MAX(0.0001,AK36/12),{0;6;24;50;70;110;160}*500+0.0001,5*MAX(0,AK36)*{0.6;2;4;5;6;7;9}%-10*{0;21;141;266;441;716;1516}),2)</f>
        <v>0</v>
      </c>
      <c r="AM36" s="68">
        <f t="shared" si="3"/>
        <v>15313.110000000001</v>
      </c>
      <c r="AN36" s="16"/>
      <c r="AO36" s="16"/>
      <c r="AP36" s="68">
        <f t="shared" si="4"/>
        <v>12758.540000000001</v>
      </c>
      <c r="AQ36" s="83">
        <v>6</v>
      </c>
      <c r="AR36" s="19">
        <v>74419.98</v>
      </c>
      <c r="AS36" s="84">
        <v>811.6400000000001</v>
      </c>
      <c r="AT36" s="19">
        <v>24000</v>
      </c>
      <c r="AU36" s="16" t="s">
        <v>209</v>
      </c>
      <c r="AV36" s="19"/>
      <c r="AW36" s="19"/>
      <c r="AX36" s="19"/>
    </row>
    <row r="37" spans="1:50" s="20" customFormat="1" ht="16.5" customHeight="1">
      <c r="A37" s="14">
        <v>36</v>
      </c>
      <c r="B37" s="14" t="s">
        <v>541</v>
      </c>
      <c r="C37" s="14" t="s">
        <v>167</v>
      </c>
      <c r="D37" s="14" t="s">
        <v>165</v>
      </c>
      <c r="E37" s="15" t="s">
        <v>457</v>
      </c>
      <c r="F37" s="14" t="s">
        <v>430</v>
      </c>
      <c r="G37" s="14" t="s">
        <v>458</v>
      </c>
      <c r="H37" s="68">
        <v>2230</v>
      </c>
      <c r="I37" s="17">
        <v>44004</v>
      </c>
      <c r="J37" s="17"/>
      <c r="K37" s="68">
        <v>4000</v>
      </c>
      <c r="L37" s="16"/>
      <c r="M37" s="16"/>
      <c r="N37" s="68">
        <v>530</v>
      </c>
      <c r="O37" s="68">
        <v>0</v>
      </c>
      <c r="P37" s="16"/>
      <c r="Q37" s="68">
        <v>12</v>
      </c>
      <c r="R37" s="68">
        <f t="shared" si="5"/>
        <v>827.59000000000003</v>
      </c>
      <c r="S37" s="18"/>
      <c r="T37" s="16"/>
      <c r="U37" s="16"/>
      <c r="V37" s="68">
        <v>1327.59</v>
      </c>
      <c r="W37" s="16"/>
      <c r="X37" s="16"/>
      <c r="Y37" s="16"/>
      <c r="Z37" s="16"/>
      <c r="AA37" s="16"/>
      <c r="AB37" s="18"/>
      <c r="AC37" s="68">
        <f t="shared" si="6"/>
        <v>6685.1800000000003</v>
      </c>
      <c r="AD37" s="68">
        <v>695.05</v>
      </c>
      <c r="AE37" s="68">
        <v>182.45</v>
      </c>
      <c r="AF37" s="68">
        <v>43.44</v>
      </c>
      <c r="AG37" s="68">
        <v>603.96</v>
      </c>
      <c r="AH37" s="68">
        <f t="shared" si="2"/>
        <v>5160.2800000000007</v>
      </c>
      <c r="AI37" s="68">
        <f>MAX(ROUND(MAX((AH37+AR37-5000*AQ37-AT37)*{0.03,0.1,0.2,0.25,0.3,0.35,0.45}-{0,2520,16920,31920,52920,85920,181920},0)-AS37,2),0)</f>
        <v>41.740000000000002</v>
      </c>
      <c r="AJ37" s="18"/>
      <c r="AK37" s="16"/>
      <c r="AL37" s="68">
        <f>ROUND(LOOKUP(MAX(0.0001,AK37/12),{0;6;24;50;70;110;160}*500+0.0001,5*MAX(0,AK37)*{0.6;2;4;5;6;7;9}%-10*{0;21;141;266;441;716;1516}),2)</f>
        <v>0</v>
      </c>
      <c r="AM37" s="68">
        <f t="shared" si="3"/>
        <v>6685.1800000000003</v>
      </c>
      <c r="AN37" s="16"/>
      <c r="AO37" s="16"/>
      <c r="AP37" s="68">
        <f t="shared" si="4"/>
        <v>5118.54</v>
      </c>
      <c r="AQ37" s="83">
        <v>6</v>
      </c>
      <c r="AR37" s="19">
        <v>30341.209999999995</v>
      </c>
      <c r="AS37" s="84">
        <v>123.30</v>
      </c>
      <c r="AT37" s="85">
        <v>0</v>
      </c>
      <c r="AU37" s="16" t="s">
        <v>209</v>
      </c>
      <c r="AV37" s="19"/>
      <c r="AW37" s="19"/>
      <c r="AX37" s="19"/>
    </row>
    <row r="38" spans="1:50" s="20" customFormat="1" ht="16.5" customHeight="1">
      <c r="A38" s="14">
        <v>37</v>
      </c>
      <c r="B38" s="14" t="s">
        <v>541</v>
      </c>
      <c r="C38" s="14" t="s">
        <v>171</v>
      </c>
      <c r="D38" s="14" t="s">
        <v>245</v>
      </c>
      <c r="E38" s="15" t="s">
        <v>169</v>
      </c>
      <c r="F38" s="14" t="s">
        <v>459</v>
      </c>
      <c r="G38" s="14" t="s">
        <v>458</v>
      </c>
      <c r="H38" s="68">
        <v>2230</v>
      </c>
      <c r="I38" s="17">
        <v>44013</v>
      </c>
      <c r="J38" s="17"/>
      <c r="K38" s="68">
        <v>7000</v>
      </c>
      <c r="L38" s="16"/>
      <c r="M38" s="16"/>
      <c r="N38" s="68">
        <v>500</v>
      </c>
      <c r="O38" s="68">
        <v>0</v>
      </c>
      <c r="P38" s="16"/>
      <c r="Q38" s="68">
        <v>20</v>
      </c>
      <c r="R38" s="68">
        <f t="shared" si="5"/>
        <v>2413.79</v>
      </c>
      <c r="S38" s="18"/>
      <c r="T38" s="16"/>
      <c r="U38" s="16"/>
      <c r="V38" s="68">
        <v>2706.30</v>
      </c>
      <c r="W38" s="16"/>
      <c r="X38" s="16"/>
      <c r="Y38" s="16"/>
      <c r="Z38" s="16"/>
      <c r="AA38" s="16"/>
      <c r="AB38" s="18"/>
      <c r="AC38" s="68">
        <f t="shared" si="6"/>
        <v>12620.09</v>
      </c>
      <c r="AD38" s="68">
        <v>971.79</v>
      </c>
      <c r="AE38" s="68">
        <v>255.10</v>
      </c>
      <c r="AF38" s="68">
        <v>60.74</v>
      </c>
      <c r="AG38" s="68">
        <v>833.07</v>
      </c>
      <c r="AH38" s="68">
        <f t="shared" si="2"/>
        <v>10499.389999999999</v>
      </c>
      <c r="AI38" s="68">
        <f>MAX(ROUND(MAX((AH38+AR38-5000*AQ38-AT38)*{0.03,0.1,0.2,0.25,0.3,0.35,0.45}-{0,2520,16920,31920,52920,85920,181920},0)-AS38,2),0)</f>
        <v>228.61000000000001</v>
      </c>
      <c r="AJ38" s="18"/>
      <c r="AK38" s="16"/>
      <c r="AL38" s="68">
        <f>ROUND(LOOKUP(MAX(0.0001,AK38/12),{0;6;24;50;70;110;160}*500+0.0001,5*MAX(0,AK38)*{0.6;2;4;5;6;7;9}%-10*{0;21;141;266;441;716;1516}),2)</f>
        <v>0</v>
      </c>
      <c r="AM38" s="68">
        <f t="shared" si="3"/>
        <v>12620.09</v>
      </c>
      <c r="AN38" s="16"/>
      <c r="AO38" s="16"/>
      <c r="AP38" s="68">
        <f t="shared" si="4"/>
        <v>10270.780000000001</v>
      </c>
      <c r="AQ38" s="83">
        <v>6</v>
      </c>
      <c r="AR38" s="19">
        <v>50742.53</v>
      </c>
      <c r="AS38" s="84">
        <v>708.65000000000009</v>
      </c>
      <c r="AT38" s="85">
        <v>0</v>
      </c>
      <c r="AU38" s="16" t="s">
        <v>209</v>
      </c>
      <c r="AV38" s="19"/>
      <c r="AW38" s="19"/>
      <c r="AX38" s="19"/>
    </row>
    <row r="39" spans="1:50" s="20" customFormat="1" ht="16.5" customHeight="1">
      <c r="A39" s="14">
        <v>38</v>
      </c>
      <c r="B39" s="14" t="s">
        <v>541</v>
      </c>
      <c r="C39" s="14" t="s">
        <v>247</v>
      </c>
      <c r="D39" s="14" t="s">
        <v>246</v>
      </c>
      <c r="E39" s="15" t="s">
        <v>460</v>
      </c>
      <c r="F39" s="14" t="s">
        <v>430</v>
      </c>
      <c r="G39" s="14" t="s">
        <v>461</v>
      </c>
      <c r="H39" s="68">
        <v>2330</v>
      </c>
      <c r="I39" s="17">
        <v>44130</v>
      </c>
      <c r="J39" s="17"/>
      <c r="K39" s="68">
        <v>3600</v>
      </c>
      <c r="L39" s="16"/>
      <c r="M39" s="16"/>
      <c r="N39" s="68">
        <v>500</v>
      </c>
      <c r="O39" s="68">
        <v>3</v>
      </c>
      <c r="P39" s="16"/>
      <c r="Q39" s="68">
        <v>11</v>
      </c>
      <c r="R39" s="68">
        <f t="shared" si="5"/>
        <v>775.86000000000001</v>
      </c>
      <c r="S39" s="18"/>
      <c r="T39" s="16"/>
      <c r="U39" s="16"/>
      <c r="V39" s="68">
        <v>4.78</v>
      </c>
      <c r="W39" s="16"/>
      <c r="X39" s="16"/>
      <c r="Y39" s="16"/>
      <c r="Z39" s="16"/>
      <c r="AA39" s="16"/>
      <c r="AB39" s="18"/>
      <c r="AC39" s="68">
        <f t="shared" si="6"/>
        <v>4880.6400000000003</v>
      </c>
      <c r="AD39" s="68">
        <v>654.48</v>
      </c>
      <c r="AE39" s="68">
        <v>168.62</v>
      </c>
      <c r="AF39" s="68">
        <v>40.909999999999997</v>
      </c>
      <c r="AG39" s="68">
        <v>440</v>
      </c>
      <c r="AH39" s="68">
        <f t="shared" si="2"/>
        <v>3576.6300000000001</v>
      </c>
      <c r="AI39" s="68">
        <f>MAX(ROUND(MAX((AH39+AR39-5000*AQ39-AT39)*{0.03,0.1,0.2,0.25,0.3,0.35,0.45}-{0,2520,16920,31920,52920,85920,181920},0)-AS39,2),0)</f>
        <v>0</v>
      </c>
      <c r="AJ39" s="18"/>
      <c r="AK39" s="16"/>
      <c r="AL39" s="68">
        <f>ROUND(LOOKUP(MAX(0.0001,AK39/12),{0;6;24;50;70;110;160}*500+0.0001,5*MAX(0,AK39)*{0.6;2;4;5;6;7;9}%-10*{0;21;141;266;441;716;1516}),2)</f>
        <v>0</v>
      </c>
      <c r="AM39" s="68">
        <f t="shared" si="3"/>
        <v>4880.6400000000003</v>
      </c>
      <c r="AN39" s="16"/>
      <c r="AO39" s="16"/>
      <c r="AP39" s="68">
        <f t="shared" si="4"/>
        <v>3576.6300000000001</v>
      </c>
      <c r="AQ39" s="83">
        <v>6</v>
      </c>
      <c r="AR39" s="19">
        <v>28603.22</v>
      </c>
      <c r="AS39" s="84">
        <v>171.39</v>
      </c>
      <c r="AT39" s="85">
        <v>0</v>
      </c>
      <c r="AU39" s="16" t="s">
        <v>424</v>
      </c>
      <c r="AV39" s="19"/>
      <c r="AW39" s="19"/>
      <c r="AX39" s="19"/>
    </row>
    <row r="40" spans="1:50" s="20" customFormat="1" ht="16.5" customHeight="1">
      <c r="A40" s="14">
        <v>39</v>
      </c>
      <c r="B40" s="14" t="s">
        <v>541</v>
      </c>
      <c r="C40" s="14" t="s">
        <v>250</v>
      </c>
      <c r="D40" s="14" t="s">
        <v>249</v>
      </c>
      <c r="E40" s="15" t="s">
        <v>462</v>
      </c>
      <c r="F40" s="14" t="s">
        <v>430</v>
      </c>
      <c r="G40" s="14" t="s">
        <v>461</v>
      </c>
      <c r="H40" s="68">
        <v>2330</v>
      </c>
      <c r="I40" s="17">
        <v>44130</v>
      </c>
      <c r="J40" s="17"/>
      <c r="K40" s="68">
        <v>4000</v>
      </c>
      <c r="L40" s="16"/>
      <c r="M40" s="16"/>
      <c r="N40" s="68">
        <v>500</v>
      </c>
      <c r="O40" s="68">
        <v>3</v>
      </c>
      <c r="P40" s="16"/>
      <c r="Q40" s="68">
        <v>22</v>
      </c>
      <c r="R40" s="68">
        <f t="shared" si="5"/>
        <v>1620.6900000000001</v>
      </c>
      <c r="S40" s="18"/>
      <c r="T40" s="16"/>
      <c r="U40" s="16"/>
      <c r="V40" s="68">
        <v>131.40</v>
      </c>
      <c r="W40" s="16"/>
      <c r="X40" s="16"/>
      <c r="Y40" s="16"/>
      <c r="Z40" s="16"/>
      <c r="AA40" s="16"/>
      <c r="AB40" s="18"/>
      <c r="AC40" s="68">
        <f t="shared" si="6"/>
        <v>6252.0900000000001</v>
      </c>
      <c r="AD40" s="68">
        <v>784.96</v>
      </c>
      <c r="AE40" s="68">
        <v>201.24</v>
      </c>
      <c r="AF40" s="68">
        <v>49.06</v>
      </c>
      <c r="AG40" s="68">
        <v>561</v>
      </c>
      <c r="AH40" s="68">
        <f t="shared" si="2"/>
        <v>4655.8299999999999</v>
      </c>
      <c r="AI40" s="68">
        <f>MAX(ROUND(MAX((AH40+AR40-5000*AQ40-AT40)*{0.03,0.1,0.2,0.25,0.3,0.35,0.45}-{0,2520,16920,31920,52920,85920,181920},0)-AS40,2),0)</f>
        <v>37.560000000000002</v>
      </c>
      <c r="AJ40" s="18"/>
      <c r="AK40" s="16"/>
      <c r="AL40" s="68">
        <f>ROUND(LOOKUP(MAX(0.0001,AK40/12),{0;6;24;50;70;110;160}*500+0.0001,5*MAX(0,AK40)*{0.6;2;4;5;6;7;9}%-10*{0;21;141;266;441;716;1516}),2)</f>
        <v>0</v>
      </c>
      <c r="AM40" s="68">
        <f t="shared" si="3"/>
        <v>6252.0900000000001</v>
      </c>
      <c r="AN40" s="16"/>
      <c r="AO40" s="16"/>
      <c r="AP40" s="68">
        <f t="shared" si="4"/>
        <v>4618.2700000000004</v>
      </c>
      <c r="AQ40" s="83">
        <v>6</v>
      </c>
      <c r="AR40" s="19">
        <v>35077.160000000003</v>
      </c>
      <c r="AS40" s="84">
        <v>254.43</v>
      </c>
      <c r="AT40" s="85">
        <v>0</v>
      </c>
      <c r="AU40" s="16" t="s">
        <v>424</v>
      </c>
      <c r="AV40" s="19"/>
      <c r="AW40" s="19"/>
      <c r="AX40" s="19"/>
    </row>
    <row r="41" spans="1:50" s="20" customFormat="1" ht="16.5" customHeight="1">
      <c r="A41" s="14">
        <v>40</v>
      </c>
      <c r="B41" s="14" t="s">
        <v>541</v>
      </c>
      <c r="C41" s="14" t="s">
        <v>253</v>
      </c>
      <c r="D41" s="14" t="s">
        <v>252</v>
      </c>
      <c r="E41" s="15" t="s">
        <v>254</v>
      </c>
      <c r="F41" s="14" t="s">
        <v>430</v>
      </c>
      <c r="G41" s="14" t="s">
        <v>461</v>
      </c>
      <c r="H41" s="68">
        <v>2330</v>
      </c>
      <c r="I41" s="17">
        <v>44197</v>
      </c>
      <c r="J41" s="17"/>
      <c r="K41" s="68">
        <v>3600</v>
      </c>
      <c r="L41" s="16"/>
      <c r="M41" s="16"/>
      <c r="N41" s="68">
        <v>500</v>
      </c>
      <c r="O41" s="68">
        <v>3</v>
      </c>
      <c r="P41" s="16"/>
      <c r="Q41" s="68">
        <v>11</v>
      </c>
      <c r="R41" s="68">
        <f t="shared" si="5"/>
        <v>775.86000000000001</v>
      </c>
      <c r="S41" s="18"/>
      <c r="T41" s="16"/>
      <c r="U41" s="16"/>
      <c r="V41" s="68">
        <v>1189.47</v>
      </c>
      <c r="W41" s="16"/>
      <c r="X41" s="16"/>
      <c r="Y41" s="16"/>
      <c r="Z41" s="16"/>
      <c r="AA41" s="16"/>
      <c r="AB41" s="18"/>
      <c r="AC41" s="68">
        <f t="shared" si="6"/>
        <v>6065.3299999999999</v>
      </c>
      <c r="AD41" s="68">
        <v>471.92</v>
      </c>
      <c r="AE41" s="68">
        <v>122.98</v>
      </c>
      <c r="AF41" s="68">
        <v>29.50</v>
      </c>
      <c r="AG41" s="68">
        <v>307</v>
      </c>
      <c r="AH41" s="68">
        <f t="shared" si="2"/>
        <v>5133.9300000000003</v>
      </c>
      <c r="AI41" s="68">
        <f>MAX(ROUND(MAX((AH41+AR41-5000*AQ41-AT41)*{0.03,0.1,0.2,0.25,0.3,0.35,0.45}-{0,2520,16920,31920,52920,85920,181920},0)-AS41,2),0)</f>
        <v>0</v>
      </c>
      <c r="AJ41" s="18"/>
      <c r="AK41" s="16"/>
      <c r="AL41" s="68">
        <f>ROUND(LOOKUP(MAX(0.0001,AK41/12),{0;6;24;50;70;110;160}*500+0.0001,5*MAX(0,AK41)*{0.6;2;4;5;6;7;9}%-10*{0;21;141;266;441;716;1516}),2)</f>
        <v>0</v>
      </c>
      <c r="AM41" s="68">
        <f t="shared" si="3"/>
        <v>6065.3299999999999</v>
      </c>
      <c r="AN41" s="16"/>
      <c r="AO41" s="16"/>
      <c r="AP41" s="68">
        <f t="shared" si="4"/>
        <v>5133.9300000000003</v>
      </c>
      <c r="AQ41" s="83">
        <v>6</v>
      </c>
      <c r="AR41" s="19">
        <v>27788.410000000003</v>
      </c>
      <c r="AS41" s="84">
        <v>168.16</v>
      </c>
      <c r="AT41" s="85">
        <v>0</v>
      </c>
      <c r="AU41" s="16" t="s">
        <v>424</v>
      </c>
      <c r="AV41" s="19"/>
      <c r="AW41" s="19"/>
      <c r="AX41" s="19"/>
    </row>
    <row r="42" spans="1:50" s="20" customFormat="1" ht="16.5" customHeight="1">
      <c r="A42" s="14">
        <v>41</v>
      </c>
      <c r="B42" s="14" t="s">
        <v>541</v>
      </c>
      <c r="C42" s="14" t="s">
        <v>256</v>
      </c>
      <c r="D42" s="14" t="s">
        <v>255</v>
      </c>
      <c r="E42" s="15" t="s">
        <v>257</v>
      </c>
      <c r="F42" s="14" t="s">
        <v>430</v>
      </c>
      <c r="G42" s="14" t="s">
        <v>461</v>
      </c>
      <c r="H42" s="68">
        <v>2330</v>
      </c>
      <c r="I42" s="17">
        <v>44197</v>
      </c>
      <c r="J42" s="17"/>
      <c r="K42" s="68">
        <v>3600</v>
      </c>
      <c r="L42" s="16"/>
      <c r="M42" s="16"/>
      <c r="N42" s="68">
        <v>500</v>
      </c>
      <c r="O42" s="68">
        <v>0</v>
      </c>
      <c r="P42" s="16"/>
      <c r="Q42" s="68">
        <v>11</v>
      </c>
      <c r="R42" s="68">
        <f t="shared" si="5"/>
        <v>682.75999999999999</v>
      </c>
      <c r="S42" s="18"/>
      <c r="T42" s="16"/>
      <c r="U42" s="16"/>
      <c r="V42" s="68">
        <v>300.14999999999998</v>
      </c>
      <c r="W42" s="16"/>
      <c r="X42" s="16"/>
      <c r="Y42" s="16"/>
      <c r="Z42" s="16"/>
      <c r="AA42" s="16"/>
      <c r="AB42" s="18"/>
      <c r="AC42" s="68">
        <f t="shared" si="6"/>
        <v>5082.9099999999999</v>
      </c>
      <c r="AD42" s="68">
        <v>477.04</v>
      </c>
      <c r="AE42" s="68">
        <v>124.26</v>
      </c>
      <c r="AF42" s="68">
        <v>29.82</v>
      </c>
      <c r="AG42" s="68">
        <v>381</v>
      </c>
      <c r="AH42" s="68">
        <f t="shared" si="2"/>
        <v>4070.79</v>
      </c>
      <c r="AI42" s="68">
        <f>MAX(ROUND(MAX((AH42+AR42-5000*AQ42-AT42)*{0.03,0.1,0.2,0.25,0.3,0.35,0.45}-{0,2520,16920,31920,52920,85920,181920},0)-AS42,2),0)</f>
        <v>0</v>
      </c>
      <c r="AJ42" s="18"/>
      <c r="AK42" s="16"/>
      <c r="AL42" s="68">
        <f>ROUND(LOOKUP(MAX(0.0001,AK42/12),{0;6;24;50;70;110;160}*500+0.0001,5*MAX(0,AK42)*{0.6;2;4;5;6;7;9}%-10*{0;21;141;266;441;716;1516}),2)</f>
        <v>0</v>
      </c>
      <c r="AM42" s="68">
        <f t="shared" si="3"/>
        <v>5082.9099999999999</v>
      </c>
      <c r="AN42" s="16"/>
      <c r="AO42" s="16"/>
      <c r="AP42" s="68">
        <f t="shared" si="4"/>
        <v>4070.79</v>
      </c>
      <c r="AQ42" s="83">
        <v>6</v>
      </c>
      <c r="AR42" s="19">
        <v>27791.119999999995</v>
      </c>
      <c r="AS42" s="84">
        <v>110.47</v>
      </c>
      <c r="AT42" s="85">
        <v>0</v>
      </c>
      <c r="AU42" s="16" t="s">
        <v>424</v>
      </c>
      <c r="AV42" s="19"/>
      <c r="AW42" s="19"/>
      <c r="AX42" s="19"/>
    </row>
    <row r="43" spans="1:50" s="20" customFormat="1" ht="16.5" customHeight="1">
      <c r="A43" s="14">
        <v>42</v>
      </c>
      <c r="B43" s="14" t="s">
        <v>541</v>
      </c>
      <c r="C43" s="14" t="s">
        <v>260</v>
      </c>
      <c r="D43" s="14" t="s">
        <v>463</v>
      </c>
      <c r="E43" s="15" t="s">
        <v>261</v>
      </c>
      <c r="F43" s="14" t="s">
        <v>430</v>
      </c>
      <c r="G43" s="14" t="s">
        <v>458</v>
      </c>
      <c r="H43" s="68">
        <v>2230</v>
      </c>
      <c r="I43" s="17">
        <v>44262</v>
      </c>
      <c r="J43" s="17"/>
      <c r="K43" s="68">
        <v>4000</v>
      </c>
      <c r="L43" s="16"/>
      <c r="M43" s="16"/>
      <c r="N43" s="68">
        <v>500</v>
      </c>
      <c r="O43" s="68">
        <v>0</v>
      </c>
      <c r="P43" s="16"/>
      <c r="Q43" s="68">
        <v>20</v>
      </c>
      <c r="R43" s="68">
        <f t="shared" si="5"/>
        <v>1379.3099999999999</v>
      </c>
      <c r="S43" s="18"/>
      <c r="T43" s="16"/>
      <c r="U43" s="16"/>
      <c r="V43" s="68">
        <v>1629.89</v>
      </c>
      <c r="W43" s="16"/>
      <c r="X43" s="16"/>
      <c r="Y43" s="16"/>
      <c r="Z43" s="16"/>
      <c r="AA43" s="16"/>
      <c r="AB43" s="18"/>
      <c r="AC43" s="68">
        <f t="shared" si="6"/>
        <v>7509.1999999999998</v>
      </c>
      <c r="AD43" s="68">
        <v>622.12</v>
      </c>
      <c r="AE43" s="68">
        <v>163.31</v>
      </c>
      <c r="AF43" s="68">
        <v>38.880000000000003</v>
      </c>
      <c r="AG43" s="68">
        <v>532.14</v>
      </c>
      <c r="AH43" s="68">
        <f t="shared" si="2"/>
        <v>6152.7499999999991</v>
      </c>
      <c r="AI43" s="68">
        <f>MAX(ROUND(MAX((AH43+AR43-5000*AQ43-AT43)*{0.03,0.1,0.2,0.25,0.3,0.35,0.45}-{0,2520,16920,31920,52920,85920,181920},0)-AS43,2),0)</f>
        <v>0</v>
      </c>
      <c r="AJ43" s="18"/>
      <c r="AK43" s="16"/>
      <c r="AL43" s="68">
        <f>ROUND(LOOKUP(MAX(0.0001,AK43/12),{0;6;24;50;70;110;160}*500+0.0001,5*MAX(0,AK43)*{0.6;2;4;5;6;7;9}%-10*{0;21;141;266;441;716;1516}),2)</f>
        <v>0</v>
      </c>
      <c r="AM43" s="68">
        <f t="shared" si="3"/>
        <v>7509.1999999999998</v>
      </c>
      <c r="AN43" s="16"/>
      <c r="AO43" s="16"/>
      <c r="AP43" s="68">
        <f t="shared" si="4"/>
        <v>6152.75</v>
      </c>
      <c r="AQ43" s="83">
        <v>6</v>
      </c>
      <c r="AR43" s="19">
        <v>31770.26</v>
      </c>
      <c r="AS43" s="84">
        <v>198.70999999999998</v>
      </c>
      <c r="AT43" s="85">
        <v>6000</v>
      </c>
      <c r="AU43" s="16" t="s">
        <v>209</v>
      </c>
      <c r="AV43" s="19"/>
      <c r="AW43" s="19"/>
      <c r="AX43" s="19"/>
    </row>
    <row r="44" spans="1:50" s="20" customFormat="1" ht="16.5" customHeight="1">
      <c r="A44" s="14">
        <v>43</v>
      </c>
      <c r="B44" s="14" t="s">
        <v>541</v>
      </c>
      <c r="C44" s="14" t="s">
        <v>464</v>
      </c>
      <c r="D44" s="14" t="s">
        <v>214</v>
      </c>
      <c r="E44" s="15" t="s">
        <v>215</v>
      </c>
      <c r="F44" s="14" t="s">
        <v>450</v>
      </c>
      <c r="G44" s="14" t="s">
        <v>465</v>
      </c>
      <c r="H44" s="68">
        <v>2540</v>
      </c>
      <c r="I44" s="17">
        <v>44301</v>
      </c>
      <c r="J44" s="17"/>
      <c r="K44" s="68">
        <v>4600</v>
      </c>
      <c r="L44" s="16"/>
      <c r="M44" s="16"/>
      <c r="N44" s="68">
        <v>500</v>
      </c>
      <c r="O44" s="68">
        <v>32</v>
      </c>
      <c r="P44" s="16"/>
      <c r="Q44" s="68">
        <v>16</v>
      </c>
      <c r="R44" s="68">
        <f t="shared" si="5"/>
        <v>2537.9299999999998</v>
      </c>
      <c r="S44" s="18"/>
      <c r="T44" s="16"/>
      <c r="U44" s="16"/>
      <c r="V44" s="68">
        <v>297</v>
      </c>
      <c r="W44" s="68">
        <v>1500</v>
      </c>
      <c r="X44" s="16"/>
      <c r="Y44" s="16"/>
      <c r="Z44" s="16"/>
      <c r="AA44" s="16"/>
      <c r="AB44" s="18"/>
      <c r="AC44" s="68">
        <f t="shared" si="6"/>
        <v>9434.9300000000003</v>
      </c>
      <c r="AD44" s="68">
        <v>578.40</v>
      </c>
      <c r="AE44" s="68">
        <v>147.60</v>
      </c>
      <c r="AF44" s="68">
        <v>36.15</v>
      </c>
      <c r="AG44" s="68">
        <v>868</v>
      </c>
      <c r="AH44" s="68">
        <f t="shared" si="2"/>
        <v>7804.7800000000007</v>
      </c>
      <c r="AI44" s="68">
        <f>MAX(ROUND(MAX((AH44+AR44-5000*AQ44-AT44)*{0.03,0.1,0.2,0.25,0.3,0.35,0.45}-{0,2520,16920,31920,52920,85920,181920},0)-AS44,2),0)</f>
        <v>0</v>
      </c>
      <c r="AJ44" s="18"/>
      <c r="AK44" s="16"/>
      <c r="AL44" s="68">
        <f>ROUND(LOOKUP(MAX(0.0001,AK44/12),{0;6;24;50;70;110;160}*500+0.0001,5*MAX(0,AK44)*{0.6;2;4;5;6;7;9}%-10*{0;21;141;266;441;716;1516}),2)</f>
        <v>0</v>
      </c>
      <c r="AM44" s="68">
        <f t="shared" si="3"/>
        <v>9434.9300000000003</v>
      </c>
      <c r="AN44" s="16"/>
      <c r="AO44" s="16"/>
      <c r="AP44" s="68">
        <f t="shared" si="4"/>
        <v>7804.7799999999997</v>
      </c>
      <c r="AQ44" s="83">
        <v>6</v>
      </c>
      <c r="AR44" s="19">
        <v>49192.15</v>
      </c>
      <c r="AS44" s="84">
        <v>303.38</v>
      </c>
      <c r="AT44" s="19">
        <v>30000</v>
      </c>
      <c r="AU44" s="16" t="s">
        <v>211</v>
      </c>
      <c r="AV44" s="19"/>
      <c r="AW44" s="19"/>
      <c r="AX44" s="19"/>
    </row>
    <row r="45" spans="1:50" s="20" customFormat="1" ht="16.5" customHeight="1">
      <c r="A45" s="14">
        <v>44</v>
      </c>
      <c r="B45" s="14" t="s">
        <v>541</v>
      </c>
      <c r="C45" s="14" t="s">
        <v>466</v>
      </c>
      <c r="D45" s="14" t="s">
        <v>216</v>
      </c>
      <c r="E45" s="15" t="s">
        <v>217</v>
      </c>
      <c r="F45" s="14" t="s">
        <v>467</v>
      </c>
      <c r="G45" s="14" t="s">
        <v>465</v>
      </c>
      <c r="H45" s="68">
        <v>2540</v>
      </c>
      <c r="I45" s="17">
        <v>44301</v>
      </c>
      <c r="J45" s="17"/>
      <c r="K45" s="68">
        <v>8300</v>
      </c>
      <c r="L45" s="16"/>
      <c r="M45" s="16"/>
      <c r="N45" s="68">
        <v>500</v>
      </c>
      <c r="O45" s="68">
        <v>40</v>
      </c>
      <c r="P45" s="16"/>
      <c r="Q45" s="68">
        <v>16</v>
      </c>
      <c r="R45" s="68">
        <f t="shared" si="5"/>
        <v>5151.7200000000003</v>
      </c>
      <c r="S45" s="18"/>
      <c r="T45" s="16"/>
      <c r="U45" s="16"/>
      <c r="V45" s="16"/>
      <c r="W45" s="68">
        <v>1500</v>
      </c>
      <c r="X45" s="16"/>
      <c r="Y45" s="16"/>
      <c r="Z45" s="16"/>
      <c r="AA45" s="16"/>
      <c r="AB45" s="21"/>
      <c r="AC45" s="68">
        <f t="shared" si="6"/>
        <v>15451.719999999999</v>
      </c>
      <c r="AD45" s="68">
        <v>1000.16</v>
      </c>
      <c r="AE45" s="68">
        <v>253.04</v>
      </c>
      <c r="AF45" s="68">
        <v>62.51</v>
      </c>
      <c r="AG45" s="68">
        <v>1500</v>
      </c>
      <c r="AH45" s="68">
        <f t="shared" si="2"/>
        <v>12636.009999999998</v>
      </c>
      <c r="AI45" s="68">
        <f>MAX(ROUND(MAX((AH45+AR45-5000*AQ45-AT45)*{0.03,0.1,0.2,0.25,0.3,0.35,0.45}-{0,2520,16920,31920,52920,85920,181920},0)-AS45,2),0)</f>
        <v>1045.1800000000001</v>
      </c>
      <c r="AJ45" s="18"/>
      <c r="AK45" s="16"/>
      <c r="AL45" s="68">
        <f>ROUND(LOOKUP(MAX(0.0001,AK45/12),{0;6;24;50;70;110;160}*500+0.0001,5*MAX(0,AK45)*{0.6;2;4;5;6;7;9}%-10*{0;21;141;266;441;716;1516}),2)</f>
        <v>0</v>
      </c>
      <c r="AM45" s="68">
        <f t="shared" si="3"/>
        <v>15451.719999999999</v>
      </c>
      <c r="AN45" s="16"/>
      <c r="AO45" s="16"/>
      <c r="AP45" s="68">
        <f t="shared" si="4"/>
        <v>11590.83</v>
      </c>
      <c r="AQ45" s="83">
        <v>6</v>
      </c>
      <c r="AR45" s="19">
        <v>70508.45</v>
      </c>
      <c r="AS45" s="84">
        <v>1749.27</v>
      </c>
      <c r="AT45" s="85">
        <v>0</v>
      </c>
      <c r="AU45" s="16" t="s">
        <v>211</v>
      </c>
      <c r="AV45" s="19"/>
      <c r="AW45" s="19"/>
      <c r="AX45" s="19"/>
    </row>
    <row r="46" spans="1:50" s="20" customFormat="1" ht="16.5" customHeight="1">
      <c r="A46" s="14">
        <v>45</v>
      </c>
      <c r="B46" s="14" t="s">
        <v>541</v>
      </c>
      <c r="C46" s="14" t="s">
        <v>264</v>
      </c>
      <c r="D46" s="14" t="s">
        <v>263</v>
      </c>
      <c r="E46" s="15" t="s">
        <v>265</v>
      </c>
      <c r="F46" s="14" t="s">
        <v>468</v>
      </c>
      <c r="G46" s="14" t="s">
        <v>456</v>
      </c>
      <c r="H46" s="68">
        <v>2740</v>
      </c>
      <c r="I46" s="17">
        <v>44333</v>
      </c>
      <c r="J46" s="17"/>
      <c r="K46" s="68">
        <v>5500</v>
      </c>
      <c r="L46" s="16"/>
      <c r="M46" s="16"/>
      <c r="N46" s="16"/>
      <c r="O46" s="68">
        <v>0</v>
      </c>
      <c r="P46" s="16"/>
      <c r="Q46" s="68">
        <v>0</v>
      </c>
      <c r="R46" s="68">
        <f t="shared" si="5"/>
        <v>0</v>
      </c>
      <c r="S46" s="18"/>
      <c r="T46" s="16"/>
      <c r="U46" s="16"/>
      <c r="V46" s="68">
        <v>3000</v>
      </c>
      <c r="W46" s="16"/>
      <c r="X46" s="16"/>
      <c r="Y46" s="16"/>
      <c r="Z46" s="16"/>
      <c r="AA46" s="16"/>
      <c r="AB46" s="21"/>
      <c r="AC46" s="68">
        <f t="shared" si="6"/>
        <v>8500</v>
      </c>
      <c r="AD46" s="68">
        <v>1415.71</v>
      </c>
      <c r="AE46" s="68">
        <v>353.93</v>
      </c>
      <c r="AF46" s="68">
        <v>88.48</v>
      </c>
      <c r="AG46" s="68">
        <v>1239</v>
      </c>
      <c r="AH46" s="68">
        <f t="shared" si="2"/>
        <v>5402.8800000000001</v>
      </c>
      <c r="AI46" s="68">
        <f>MAX(ROUND(MAX((AH46+AR46-5000*AQ46-AT46)*{0.03,0.1,0.2,0.25,0.3,0.35,0.45}-{0,2520,16920,31920,52920,85920,181920},0)-AS46,2),0)</f>
        <v>350</v>
      </c>
      <c r="AJ46" s="18"/>
      <c r="AK46" s="16"/>
      <c r="AL46" s="68">
        <f>ROUND(LOOKUP(MAX(0.0001,AK46/12),{0;6;24;50;70;110;160}*500+0.0001,5*MAX(0,AK46)*{0.6;2;4;5;6;7;9}%-10*{0;21;141;266;441;716;1516}),2)</f>
        <v>0</v>
      </c>
      <c r="AM46" s="68">
        <f t="shared" si="3"/>
        <v>8500</v>
      </c>
      <c r="AN46" s="16"/>
      <c r="AO46" s="16"/>
      <c r="AP46" s="68">
        <f t="shared" si="4"/>
        <v>5052.8800000000001</v>
      </c>
      <c r="AQ46" s="83">
        <v>6</v>
      </c>
      <c r="AR46" s="19">
        <v>98672.22</v>
      </c>
      <c r="AS46" s="84">
        <v>4537.51</v>
      </c>
      <c r="AT46" s="85">
        <v>0</v>
      </c>
      <c r="AU46" s="16" t="s">
        <v>209</v>
      </c>
      <c r="AV46" s="19"/>
      <c r="AW46" s="19"/>
      <c r="AX46" s="19"/>
    </row>
    <row r="47" spans="1:50" s="20" customFormat="1" ht="16.5" customHeight="1">
      <c r="A47" s="14">
        <v>46</v>
      </c>
      <c r="B47" s="14" t="s">
        <v>541</v>
      </c>
      <c r="C47" s="14" t="s">
        <v>469</v>
      </c>
      <c r="D47" s="14" t="s">
        <v>266</v>
      </c>
      <c r="E47" s="15" t="s">
        <v>268</v>
      </c>
      <c r="F47" s="14" t="s">
        <v>470</v>
      </c>
      <c r="G47" s="14" t="s">
        <v>456</v>
      </c>
      <c r="H47" s="68">
        <v>2740</v>
      </c>
      <c r="I47" s="17">
        <v>44351</v>
      </c>
      <c r="J47" s="17"/>
      <c r="K47" s="68">
        <v>4200</v>
      </c>
      <c r="L47" s="16"/>
      <c r="M47" s="16"/>
      <c r="N47" s="68">
        <v>490</v>
      </c>
      <c r="O47" s="68">
        <v>0</v>
      </c>
      <c r="P47" s="16"/>
      <c r="Q47" s="68">
        <v>10</v>
      </c>
      <c r="R47" s="68">
        <f t="shared" si="5"/>
        <v>724.13999999999999</v>
      </c>
      <c r="S47" s="18"/>
      <c r="T47" s="16"/>
      <c r="U47" s="16"/>
      <c r="V47" s="68">
        <v>328.67</v>
      </c>
      <c r="W47" s="16"/>
      <c r="X47" s="16"/>
      <c r="Y47" s="16"/>
      <c r="Z47" s="16"/>
      <c r="AA47" s="16"/>
      <c r="AB47" s="21"/>
      <c r="AC47" s="68">
        <f t="shared" si="6"/>
        <v>5742.8100000000004</v>
      </c>
      <c r="AD47" s="68">
        <v>753.49</v>
      </c>
      <c r="AE47" s="68">
        <v>188.37</v>
      </c>
      <c r="AF47" s="68">
        <v>47.09</v>
      </c>
      <c r="AG47" s="68">
        <v>659</v>
      </c>
      <c r="AH47" s="68">
        <f t="shared" si="2"/>
        <v>4094.8600000000006</v>
      </c>
      <c r="AI47" s="68">
        <f>MAX(ROUND(MAX((AH47+AR47-5000*AQ47-AT47)*{0.03,0.1,0.2,0.25,0.3,0.35,0.45}-{0,2520,16920,31920,52920,85920,181920},0)-AS47,2),0)</f>
        <v>0</v>
      </c>
      <c r="AJ47" s="18"/>
      <c r="AK47" s="16"/>
      <c r="AL47" s="68">
        <f>ROUND(LOOKUP(MAX(0.0001,AK47/12),{0;6;24;50;70;110;160}*500+0.0001,5*MAX(0,AK47)*{0.6;2;4;5;6;7;9}%-10*{0;21;141;266;441;716;1516}),2)</f>
        <v>0</v>
      </c>
      <c r="AM47" s="68">
        <f t="shared" si="3"/>
        <v>5742.8100000000004</v>
      </c>
      <c r="AN47" s="16"/>
      <c r="AO47" s="16"/>
      <c r="AP47" s="68">
        <f t="shared" si="4"/>
        <v>4094.8600000000001</v>
      </c>
      <c r="AQ47" s="83">
        <v>6</v>
      </c>
      <c r="AR47" s="19">
        <v>23147.07</v>
      </c>
      <c r="AS47" s="84">
        <v>72.739999999999995</v>
      </c>
      <c r="AT47" s="85">
        <v>0</v>
      </c>
      <c r="AU47" s="16" t="s">
        <v>209</v>
      </c>
      <c r="AV47" s="19"/>
      <c r="AW47" s="19"/>
      <c r="AX47" s="19"/>
    </row>
    <row r="48" spans="1:50" s="20" customFormat="1" ht="16.5" customHeight="1">
      <c r="A48" s="14">
        <v>47</v>
      </c>
      <c r="B48" s="14" t="s">
        <v>541</v>
      </c>
      <c r="C48" s="14" t="s">
        <v>471</v>
      </c>
      <c r="D48" s="14" t="s">
        <v>269</v>
      </c>
      <c r="E48" s="15" t="s">
        <v>271</v>
      </c>
      <c r="F48" s="14" t="s">
        <v>470</v>
      </c>
      <c r="G48" s="14" t="s">
        <v>456</v>
      </c>
      <c r="H48" s="68">
        <v>2740</v>
      </c>
      <c r="I48" s="17">
        <v>44350</v>
      </c>
      <c r="J48" s="17"/>
      <c r="K48" s="68">
        <v>4200</v>
      </c>
      <c r="L48" s="16"/>
      <c r="M48" s="16"/>
      <c r="N48" s="68">
        <v>493.33</v>
      </c>
      <c r="O48" s="68">
        <v>6.50</v>
      </c>
      <c r="P48" s="16"/>
      <c r="Q48" s="68">
        <v>13</v>
      </c>
      <c r="R48" s="68">
        <f t="shared" si="5"/>
        <v>1176.72</v>
      </c>
      <c r="S48" s="18"/>
      <c r="T48" s="16"/>
      <c r="U48" s="16"/>
      <c r="V48" s="68">
        <v>1189.06</v>
      </c>
      <c r="W48" s="16"/>
      <c r="X48" s="16"/>
      <c r="Y48" s="16"/>
      <c r="Z48" s="16"/>
      <c r="AA48" s="16"/>
      <c r="AB48" s="21"/>
      <c r="AC48" s="68">
        <f t="shared" si="6"/>
        <v>7059.1099999999997</v>
      </c>
      <c r="AD48" s="68">
        <v>777.19</v>
      </c>
      <c r="AE48" s="68">
        <v>194.30</v>
      </c>
      <c r="AF48" s="68">
        <v>48.57</v>
      </c>
      <c r="AG48" s="68">
        <v>680</v>
      </c>
      <c r="AH48" s="68">
        <f t="shared" si="2"/>
        <v>5359.0500000000002</v>
      </c>
      <c r="AI48" s="68">
        <f>MAX(ROUND(MAX((AH48+AR48-5000*AQ48-AT48)*{0.03,0.1,0.2,0.25,0.3,0.35,0.45}-{0,2520,16920,31920,52920,85920,181920},0)-AS48,2),0)</f>
        <v>0</v>
      </c>
      <c r="AJ48" s="18"/>
      <c r="AK48" s="16"/>
      <c r="AL48" s="68">
        <f>ROUND(LOOKUP(MAX(0.0001,AK48/12),{0;6;24;50;70;110;160}*500+0.0001,5*MAX(0,AK48)*{0.6;2;4;5;6;7;9}%-10*{0;21;141;266;441;716;1516}),2)</f>
        <v>0</v>
      </c>
      <c r="AM48" s="68">
        <f t="shared" si="3"/>
        <v>7059.1099999999997</v>
      </c>
      <c r="AN48" s="16"/>
      <c r="AO48" s="16"/>
      <c r="AP48" s="68">
        <f t="shared" si="4"/>
        <v>5359.0500000000002</v>
      </c>
      <c r="AQ48" s="83">
        <v>6</v>
      </c>
      <c r="AR48" s="19">
        <v>34001.480000000003</v>
      </c>
      <c r="AS48" s="84">
        <v>242.86</v>
      </c>
      <c r="AT48" s="85">
        <v>12000</v>
      </c>
      <c r="AU48" s="16" t="s">
        <v>209</v>
      </c>
      <c r="AV48" s="19"/>
      <c r="AW48" s="19"/>
      <c r="AX48" s="19"/>
    </row>
    <row r="49" spans="1:50" s="20" customFormat="1" ht="16.5" customHeight="1">
      <c r="A49" s="14">
        <v>48</v>
      </c>
      <c r="B49" s="14" t="s">
        <v>541</v>
      </c>
      <c r="C49" s="14" t="s">
        <v>175</v>
      </c>
      <c r="D49" s="14" t="s">
        <v>272</v>
      </c>
      <c r="E49" s="15" t="s">
        <v>472</v>
      </c>
      <c r="F49" s="14" t="s">
        <v>470</v>
      </c>
      <c r="G49" s="14" t="s">
        <v>456</v>
      </c>
      <c r="H49" s="68">
        <v>2740</v>
      </c>
      <c r="I49" s="17">
        <v>44378</v>
      </c>
      <c r="J49" s="17"/>
      <c r="K49" s="68">
        <v>4200</v>
      </c>
      <c r="L49" s="16"/>
      <c r="M49" s="16"/>
      <c r="N49" s="68">
        <v>400</v>
      </c>
      <c r="O49" s="68">
        <v>29.50</v>
      </c>
      <c r="P49" s="16"/>
      <c r="Q49" s="68">
        <v>27.50</v>
      </c>
      <c r="R49" s="68">
        <f t="shared" si="5"/>
        <v>3059.48</v>
      </c>
      <c r="S49" s="18"/>
      <c r="T49" s="16"/>
      <c r="U49" s="16"/>
      <c r="V49" s="68">
        <v>344.83</v>
      </c>
      <c r="W49" s="68">
        <v>500</v>
      </c>
      <c r="X49" s="16"/>
      <c r="Y49" s="16"/>
      <c r="Z49" s="16"/>
      <c r="AA49" s="16"/>
      <c r="AB49" s="21"/>
      <c r="AC49" s="68">
        <f t="shared" si="6"/>
        <v>8504.3099999999995</v>
      </c>
      <c r="AD49" s="68">
        <v>624.98</v>
      </c>
      <c r="AE49" s="68">
        <v>156.24</v>
      </c>
      <c r="AF49" s="68">
        <v>39.06</v>
      </c>
      <c r="AG49" s="68">
        <v>547</v>
      </c>
      <c r="AH49" s="68">
        <f t="shared" si="2"/>
        <v>7137.0299999999997</v>
      </c>
      <c r="AI49" s="68">
        <f>MAX(ROUND(MAX((AH49+AR49-5000*AQ49-AT49)*{0.03,0.1,0.2,0.25,0.3,0.35,0.45}-{0,2520,16920,31920,52920,85920,181920},0)-AS49,2),0)</f>
        <v>34.020000000000003</v>
      </c>
      <c r="AJ49" s="18"/>
      <c r="AK49" s="16"/>
      <c r="AL49" s="68">
        <f>ROUND(LOOKUP(MAX(0.0001,AK49/12),{0;6;24;50;70;110;160}*500+0.0001,5*MAX(0,AK49)*{0.6;2;4;5;6;7;9}%-10*{0;21;141;266;441;716;1516}),2)</f>
        <v>0</v>
      </c>
      <c r="AM49" s="68">
        <f t="shared" si="3"/>
        <v>8504.3099999999995</v>
      </c>
      <c r="AN49" s="16"/>
      <c r="AO49" s="16"/>
      <c r="AP49" s="68">
        <f t="shared" si="4"/>
        <v>7103.0100000000002</v>
      </c>
      <c r="AQ49" s="83">
        <v>6</v>
      </c>
      <c r="AR49" s="19">
        <v>28693.85</v>
      </c>
      <c r="AS49" s="84">
        <v>140.91</v>
      </c>
      <c r="AT49" s="85">
        <v>0</v>
      </c>
      <c r="AU49" s="16" t="s">
        <v>209</v>
      </c>
      <c r="AV49" s="19"/>
      <c r="AW49" s="19"/>
      <c r="AX49" s="19"/>
    </row>
    <row r="50" spans="1:50" s="20" customFormat="1" ht="16.5" customHeight="1">
      <c r="A50" s="14">
        <v>49</v>
      </c>
      <c r="B50" s="14" t="s">
        <v>541</v>
      </c>
      <c r="C50" s="14" t="s">
        <v>176</v>
      </c>
      <c r="D50" s="14" t="s">
        <v>273</v>
      </c>
      <c r="E50" s="15" t="s">
        <v>473</v>
      </c>
      <c r="F50" s="14" t="s">
        <v>470</v>
      </c>
      <c r="G50" s="14" t="s">
        <v>474</v>
      </c>
      <c r="H50" s="68">
        <v>2660</v>
      </c>
      <c r="I50" s="17">
        <v>44383</v>
      </c>
      <c r="J50" s="17"/>
      <c r="K50" s="68">
        <v>4000</v>
      </c>
      <c r="L50" s="16"/>
      <c r="M50" s="16"/>
      <c r="N50" s="68">
        <v>400</v>
      </c>
      <c r="O50" s="68">
        <v>0</v>
      </c>
      <c r="P50" s="16"/>
      <c r="Q50" s="68">
        <v>16</v>
      </c>
      <c r="R50" s="68">
        <f t="shared" si="5"/>
        <v>1103.45</v>
      </c>
      <c r="S50" s="18"/>
      <c r="T50" s="16"/>
      <c r="U50" s="16"/>
      <c r="V50" s="68">
        <v>5970.23</v>
      </c>
      <c r="W50" s="16"/>
      <c r="X50" s="16"/>
      <c r="Y50" s="16"/>
      <c r="Z50" s="16"/>
      <c r="AA50" s="16"/>
      <c r="AB50" s="21"/>
      <c r="AC50" s="68">
        <f t="shared" si="6"/>
        <v>11473.68</v>
      </c>
      <c r="AD50" s="68">
        <v>1087.93</v>
      </c>
      <c r="AE50" s="68">
        <v>271.98</v>
      </c>
      <c r="AF50" s="68">
        <v>68</v>
      </c>
      <c r="AG50" s="68">
        <v>1496</v>
      </c>
      <c r="AH50" s="68">
        <f t="shared" si="2"/>
        <v>8549.7700000000004</v>
      </c>
      <c r="AI50" s="68">
        <f>MAX(ROUND(MAX((AH50+AR50-5000*AQ50-AT50)*{0.03,0.1,0.2,0.25,0.3,0.35,0.45}-{0,2520,16920,31920,52920,85920,181920},0)-AS50,2),0)</f>
        <v>647.37</v>
      </c>
      <c r="AJ50" s="18"/>
      <c r="AK50" s="16"/>
      <c r="AL50" s="68">
        <f>ROUND(LOOKUP(MAX(0.0001,AK50/12),{0;6;24;50;70;110;160}*500+0.0001,5*MAX(0,AK50)*{0.6;2;4;5;6;7;9}%-10*{0;21;141;266;441;716;1516}),2)</f>
        <v>0</v>
      </c>
      <c r="AM50" s="68">
        <f t="shared" si="3"/>
        <v>11473.68</v>
      </c>
      <c r="AN50" s="16"/>
      <c r="AO50" s="16"/>
      <c r="AP50" s="68">
        <f t="shared" si="4"/>
        <v>7902.3999999999996</v>
      </c>
      <c r="AQ50" s="83">
        <v>6</v>
      </c>
      <c r="AR50" s="19">
        <v>64931.70</v>
      </c>
      <c r="AS50" s="84">
        <v>1180.78</v>
      </c>
      <c r="AT50" s="85">
        <v>0</v>
      </c>
      <c r="AU50" s="16" t="s">
        <v>424</v>
      </c>
      <c r="AV50" s="19"/>
      <c r="AW50" s="19"/>
      <c r="AX50" s="19"/>
    </row>
    <row r="51" spans="1:50" s="20" customFormat="1" ht="16.5" customHeight="1">
      <c r="A51" s="14">
        <v>50</v>
      </c>
      <c r="B51" s="14" t="s">
        <v>541</v>
      </c>
      <c r="C51" s="14" t="s">
        <v>177</v>
      </c>
      <c r="D51" s="14" t="s">
        <v>275</v>
      </c>
      <c r="E51" s="15" t="s">
        <v>475</v>
      </c>
      <c r="F51" s="14" t="s">
        <v>470</v>
      </c>
      <c r="G51" s="14" t="s">
        <v>474</v>
      </c>
      <c r="H51" s="68">
        <v>2660</v>
      </c>
      <c r="I51" s="17">
        <v>44383</v>
      </c>
      <c r="J51" s="17"/>
      <c r="K51" s="68">
        <v>4000</v>
      </c>
      <c r="L51" s="16"/>
      <c r="M51" s="16"/>
      <c r="N51" s="68">
        <v>400</v>
      </c>
      <c r="O51" s="68">
        <v>0</v>
      </c>
      <c r="P51" s="16"/>
      <c r="Q51" s="68">
        <v>16</v>
      </c>
      <c r="R51" s="68">
        <f t="shared" si="5"/>
        <v>1103.45</v>
      </c>
      <c r="S51" s="18"/>
      <c r="T51" s="16"/>
      <c r="U51" s="16"/>
      <c r="V51" s="68">
        <v>3027.91</v>
      </c>
      <c r="W51" s="16"/>
      <c r="X51" s="16"/>
      <c r="Y51" s="16"/>
      <c r="Z51" s="16"/>
      <c r="AA51" s="16"/>
      <c r="AB51" s="21"/>
      <c r="AC51" s="68">
        <f t="shared" si="6"/>
        <v>8531.3600000000006</v>
      </c>
      <c r="AD51" s="68">
        <v>1107.96</v>
      </c>
      <c r="AE51" s="68">
        <v>276.99</v>
      </c>
      <c r="AF51" s="68">
        <v>69.25</v>
      </c>
      <c r="AG51" s="68">
        <v>1379</v>
      </c>
      <c r="AH51" s="68">
        <f t="shared" si="2"/>
        <v>5698.1600000000008</v>
      </c>
      <c r="AI51" s="68">
        <f>MAX(ROUND(MAX((AH51+AR51-5000*AQ51-AT51)*{0.03,0.1,0.2,0.25,0.3,0.35,0.45}-{0,2520,16920,31920,52920,85920,181920},0)-AS51,2),0)</f>
        <v>294.95999999999998</v>
      </c>
      <c r="AJ51" s="18"/>
      <c r="AK51" s="16"/>
      <c r="AL51" s="68">
        <f>ROUND(LOOKUP(MAX(0.0001,AK51/12),{0;6;24;50;70;110;160}*500+0.0001,5*MAX(0,AK51)*{0.6;2;4;5;6;7;9}%-10*{0;21;141;266;441;716;1516}),2)</f>
        <v>0</v>
      </c>
      <c r="AM51" s="68">
        <f t="shared" si="3"/>
        <v>8531.3600000000006</v>
      </c>
      <c r="AN51" s="16"/>
      <c r="AO51" s="16"/>
      <c r="AP51" s="68">
        <f t="shared" si="4"/>
        <v>5403.1999999999998</v>
      </c>
      <c r="AQ51" s="83">
        <v>6</v>
      </c>
      <c r="AR51" s="19">
        <v>63002.16</v>
      </c>
      <c r="AS51" s="84">
        <v>1055.0700000000002</v>
      </c>
      <c r="AT51" s="85">
        <v>0</v>
      </c>
      <c r="AU51" s="16" t="s">
        <v>424</v>
      </c>
      <c r="AV51" s="19"/>
      <c r="AW51" s="19"/>
      <c r="AX51" s="19"/>
    </row>
    <row r="52" spans="1:50" s="20" customFormat="1" ht="16.5" customHeight="1">
      <c r="A52" s="14">
        <v>51</v>
      </c>
      <c r="B52" s="14" t="s">
        <v>541</v>
      </c>
      <c r="C52" s="14" t="s">
        <v>178</v>
      </c>
      <c r="D52" s="14" t="s">
        <v>276</v>
      </c>
      <c r="E52" s="15" t="s">
        <v>277</v>
      </c>
      <c r="F52" s="14" t="s">
        <v>476</v>
      </c>
      <c r="G52" s="14" t="s">
        <v>456</v>
      </c>
      <c r="H52" s="68">
        <v>2740</v>
      </c>
      <c r="I52" s="17">
        <v>44397</v>
      </c>
      <c r="J52" s="17"/>
      <c r="K52" s="68">
        <v>5000</v>
      </c>
      <c r="L52" s="16"/>
      <c r="M52" s="16"/>
      <c r="N52" s="16"/>
      <c r="O52" s="68">
        <v>0</v>
      </c>
      <c r="P52" s="16"/>
      <c r="Q52" s="68">
        <v>8</v>
      </c>
      <c r="R52" s="68">
        <f t="shared" si="5"/>
        <v>689.65999999999997</v>
      </c>
      <c r="S52" s="18"/>
      <c r="T52" s="16"/>
      <c r="U52" s="16"/>
      <c r="V52" s="68">
        <v>3000</v>
      </c>
      <c r="W52" s="16"/>
      <c r="X52" s="16"/>
      <c r="Y52" s="16"/>
      <c r="Z52" s="16"/>
      <c r="AA52" s="16"/>
      <c r="AB52" s="21"/>
      <c r="AC52" s="68">
        <f t="shared" si="6"/>
        <v>8689.6599999999999</v>
      </c>
      <c r="AD52" s="68">
        <v>1250.43</v>
      </c>
      <c r="AE52" s="68">
        <v>312.61</v>
      </c>
      <c r="AF52" s="68">
        <v>78.150000000000006</v>
      </c>
      <c r="AG52" s="68">
        <v>1094</v>
      </c>
      <c r="AH52" s="68">
        <f t="shared" si="2"/>
        <v>5954.4700000000003</v>
      </c>
      <c r="AI52" s="68">
        <f>MAX(ROUND(MAX((AH52+AR52-5000*AQ52-AT52)*{0.03,0.1,0.2,0.25,0.3,0.35,0.45}-{0,2520,16920,31920,52920,85920,181920},0)-AS52,2),0)</f>
        <v>368.97000000000003</v>
      </c>
      <c r="AJ52" s="18"/>
      <c r="AK52" s="16"/>
      <c r="AL52" s="68">
        <f>ROUND(LOOKUP(MAX(0.0001,AK52/12),{0;6;24;50;70;110;160}*500+0.0001,5*MAX(0,AK52)*{0.6;2;4;5;6;7;9}%-10*{0;21;141;266;441;716;1516}),2)</f>
        <v>0</v>
      </c>
      <c r="AM52" s="68">
        <f t="shared" si="3"/>
        <v>8689.6599999999999</v>
      </c>
      <c r="AN52" s="16"/>
      <c r="AO52" s="16"/>
      <c r="AP52" s="68">
        <f t="shared" si="4"/>
        <v>5585.5</v>
      </c>
      <c r="AQ52" s="83">
        <v>6</v>
      </c>
      <c r="AR52" s="19">
        <v>67234.62</v>
      </c>
      <c r="AS52" s="84">
        <v>1429.94</v>
      </c>
      <c r="AT52" s="85">
        <v>0</v>
      </c>
      <c r="AU52" s="16" t="s">
        <v>209</v>
      </c>
      <c r="AV52" s="19"/>
      <c r="AW52" s="19"/>
      <c r="AX52" s="19"/>
    </row>
    <row r="53" spans="1:50" s="20" customFormat="1" ht="16.5" customHeight="1">
      <c r="A53" s="14">
        <v>52</v>
      </c>
      <c r="B53" s="14" t="s">
        <v>541</v>
      </c>
      <c r="C53" s="14" t="s">
        <v>278</v>
      </c>
      <c r="D53" s="14" t="s">
        <v>477</v>
      </c>
      <c r="E53" s="15" t="s">
        <v>279</v>
      </c>
      <c r="F53" s="14" t="s">
        <v>450</v>
      </c>
      <c r="G53" s="14" t="s">
        <v>478</v>
      </c>
      <c r="H53" s="68">
        <v>2320</v>
      </c>
      <c r="I53" s="17">
        <v>44441</v>
      </c>
      <c r="J53" s="17"/>
      <c r="K53" s="68">
        <v>4400</v>
      </c>
      <c r="L53" s="16"/>
      <c r="M53" s="16"/>
      <c r="N53" s="68">
        <v>400</v>
      </c>
      <c r="O53" s="68">
        <v>0</v>
      </c>
      <c r="P53" s="16"/>
      <c r="Q53" s="68">
        <v>24</v>
      </c>
      <c r="R53" s="68">
        <f t="shared" si="5"/>
        <v>1820.6900000000001</v>
      </c>
      <c r="S53" s="18"/>
      <c r="T53" s="16"/>
      <c r="U53" s="16"/>
      <c r="V53" s="68">
        <v>608.99</v>
      </c>
      <c r="W53" s="68">
        <v>1500</v>
      </c>
      <c r="X53" s="16"/>
      <c r="Y53" s="16"/>
      <c r="Z53" s="16"/>
      <c r="AA53" s="16"/>
      <c r="AB53" s="21"/>
      <c r="AC53" s="68">
        <f t="shared" si="6"/>
        <v>8729.6800000000003</v>
      </c>
      <c r="AD53" s="68">
        <v>717.19</v>
      </c>
      <c r="AE53" s="68">
        <v>179.30</v>
      </c>
      <c r="AF53" s="68">
        <v>44.82</v>
      </c>
      <c r="AG53" s="68">
        <v>448</v>
      </c>
      <c r="AH53" s="68">
        <f t="shared" si="2"/>
        <v>7340.3699999999999</v>
      </c>
      <c r="AI53" s="68">
        <f>MAX(ROUND(MAX((AH53+AR53-5000*AQ53-AT53)*{0.03,0.1,0.2,0.25,0.3,0.35,0.45}-{0,2520,16920,31920,52920,85920,181920},0)-AS53,2),0)</f>
        <v>111.89</v>
      </c>
      <c r="AJ53" s="18"/>
      <c r="AK53" s="16"/>
      <c r="AL53" s="68">
        <f>ROUND(LOOKUP(MAX(0.0001,AK53/12),{0;6;24;50;70;110;160}*500+0.0001,5*MAX(0,AK53)*{0.6;2;4;5;6;7;9}%-10*{0;21;141;266;441;716;1516}),2)</f>
        <v>0</v>
      </c>
      <c r="AM53" s="68">
        <f t="shared" si="3"/>
        <v>8729.6800000000003</v>
      </c>
      <c r="AN53" s="16"/>
      <c r="AO53" s="16"/>
      <c r="AP53" s="68">
        <f t="shared" si="4"/>
        <v>7228.4799999999996</v>
      </c>
      <c r="AQ53" s="83">
        <v>4</v>
      </c>
      <c r="AR53" s="19">
        <v>20591.690000000002</v>
      </c>
      <c r="AS53" s="84">
        <v>126.07</v>
      </c>
      <c r="AT53" s="85">
        <v>0</v>
      </c>
      <c r="AU53" s="16" t="s">
        <v>424</v>
      </c>
      <c r="AV53" s="19"/>
      <c r="AW53" s="19"/>
      <c r="AX53" s="19"/>
    </row>
    <row r="54" spans="1:50" s="20" customFormat="1" ht="16.5" customHeight="1">
      <c r="A54" s="14">
        <v>53</v>
      </c>
      <c r="B54" s="14" t="s">
        <v>541</v>
      </c>
      <c r="C54" s="14" t="s">
        <v>479</v>
      </c>
      <c r="D54" s="14" t="s">
        <v>480</v>
      </c>
      <c r="E54" s="15" t="s">
        <v>481</v>
      </c>
      <c r="F54" s="14" t="s">
        <v>470</v>
      </c>
      <c r="G54" s="14" t="s">
        <v>465</v>
      </c>
      <c r="H54" s="68">
        <v>2540</v>
      </c>
      <c r="I54" s="17">
        <v>44453</v>
      </c>
      <c r="J54" s="17">
        <v>46155</v>
      </c>
      <c r="K54" s="68">
        <v>3800</v>
      </c>
      <c r="L54" s="16">
        <f>-K54</f>
        <v>-3800</v>
      </c>
      <c r="M54" s="16"/>
      <c r="N54" s="16"/>
      <c r="O54" s="68">
        <v>0</v>
      </c>
      <c r="P54" s="16"/>
      <c r="Q54" s="68">
        <v>20</v>
      </c>
      <c r="R54" s="68">
        <f t="shared" si="5"/>
        <v>1310.3399999999999</v>
      </c>
      <c r="S54" s="18"/>
      <c r="T54" s="18"/>
      <c r="U54" s="16"/>
      <c r="V54" s="68">
        <v>1782.15</v>
      </c>
      <c r="W54" s="16"/>
      <c r="X54" s="16"/>
      <c r="Y54" s="16"/>
      <c r="Z54" s="16"/>
      <c r="AA54" s="16"/>
      <c r="AB54" s="21"/>
      <c r="AC54" s="68">
        <f t="shared" si="6"/>
        <v>3092.4899999999998</v>
      </c>
      <c r="AD54" s="16"/>
      <c r="AE54" s="16"/>
      <c r="AF54" s="16"/>
      <c r="AG54" s="16"/>
      <c r="AH54" s="68">
        <f t="shared" si="2"/>
        <v>3092.4899999999998</v>
      </c>
      <c r="AI54" s="68">
        <f>MAX(ROUND(MAX((AH54+AR54-5000*AQ54-AT54)*{0.03,0.1,0.2,0.25,0.3,0.35,0.45}-{0,2520,16920,31920,52920,85920,181920},0)-AS54,2),0)</f>
        <v>0</v>
      </c>
      <c r="AJ54" s="18"/>
      <c r="AK54" s="16"/>
      <c r="AL54" s="68">
        <f>ROUND(LOOKUP(MAX(0.0001,AK54/12),{0;6;24;50;70;110;160}*500+0.0001,5*MAX(0,AK54)*{0.6;2;4;5;6;7;9}%-10*{0;21;141;266;441;716;1516}),2)</f>
        <v>0</v>
      </c>
      <c r="AM54" s="68">
        <f t="shared" si="3"/>
        <v>3092.4899999999998</v>
      </c>
      <c r="AN54" s="16"/>
      <c r="AO54" s="16"/>
      <c r="AP54" s="68">
        <f t="shared" si="4"/>
        <v>3092.4899999999998</v>
      </c>
      <c r="AQ54" s="83">
        <v>6</v>
      </c>
      <c r="AR54" s="19">
        <v>20364.490000000002</v>
      </c>
      <c r="AS54" s="84">
        <v>50.67</v>
      </c>
      <c r="AT54" s="85">
        <v>0</v>
      </c>
      <c r="AU54" s="16" t="s">
        <v>211</v>
      </c>
      <c r="AV54" s="19"/>
      <c r="AW54" s="19"/>
      <c r="AX54" s="19"/>
    </row>
    <row r="55" spans="1:50" s="20" customFormat="1" ht="16.5" customHeight="1">
      <c r="A55" s="14">
        <v>54</v>
      </c>
      <c r="B55" s="14" t="s">
        <v>541</v>
      </c>
      <c r="C55" s="14" t="s">
        <v>282</v>
      </c>
      <c r="D55" s="14" t="s">
        <v>482</v>
      </c>
      <c r="E55" s="15" t="s">
        <v>283</v>
      </c>
      <c r="F55" s="14" t="s">
        <v>470</v>
      </c>
      <c r="G55" s="14" t="s">
        <v>456</v>
      </c>
      <c r="H55" s="68">
        <v>2740</v>
      </c>
      <c r="I55" s="17">
        <v>44453</v>
      </c>
      <c r="J55" s="17"/>
      <c r="K55" s="68">
        <v>4200</v>
      </c>
      <c r="L55" s="16"/>
      <c r="M55" s="16"/>
      <c r="N55" s="68">
        <v>400</v>
      </c>
      <c r="O55" s="68">
        <v>9</v>
      </c>
      <c r="P55" s="16"/>
      <c r="Q55" s="68">
        <v>18</v>
      </c>
      <c r="R55" s="68">
        <f t="shared" si="5"/>
        <v>1629.3099999999999</v>
      </c>
      <c r="S55" s="18"/>
      <c r="T55" s="16"/>
      <c r="U55" s="16"/>
      <c r="V55" s="68">
        <v>3170.61</v>
      </c>
      <c r="W55" s="16"/>
      <c r="X55" s="16"/>
      <c r="Y55" s="16"/>
      <c r="Z55" s="16"/>
      <c r="AA55" s="16"/>
      <c r="AB55" s="18"/>
      <c r="AC55" s="68">
        <f t="shared" si="6"/>
        <v>9399.9200000000001</v>
      </c>
      <c r="AD55" s="68">
        <v>1178.3399999999999</v>
      </c>
      <c r="AE55" s="68">
        <v>294.58999999999997</v>
      </c>
      <c r="AF55" s="68">
        <v>73.650000000000006</v>
      </c>
      <c r="AG55" s="68">
        <v>1031</v>
      </c>
      <c r="AH55" s="68">
        <f t="shared" si="2"/>
        <v>6822.3400000000001</v>
      </c>
      <c r="AI55" s="68">
        <f>MAX(ROUND(MAX((AH55+AR55-5000*AQ55-AT55)*{0.03,0.1,0.2,0.25,0.3,0.35,0.45}-{0,2520,16920,31920,52920,85920,181920},0)-AS55,2),0)</f>
        <v>0</v>
      </c>
      <c r="AJ55" s="18"/>
      <c r="AK55" s="16"/>
      <c r="AL55" s="68">
        <f>ROUND(LOOKUP(MAX(0.0001,AK55/12),{0;6;24;50;70;110;160}*500+0.0001,5*MAX(0,AK55)*{0.6;2;4;5;6;7;9}%-10*{0;21;141;266;441;716;1516}),2)</f>
        <v>0</v>
      </c>
      <c r="AM55" s="68">
        <f t="shared" si="3"/>
        <v>9399.9200000000001</v>
      </c>
      <c r="AN55" s="16"/>
      <c r="AO55" s="16"/>
      <c r="AP55" s="68">
        <f t="shared" si="4"/>
        <v>6822.3400000000001</v>
      </c>
      <c r="AQ55" s="83">
        <v>6</v>
      </c>
      <c r="AR55" s="19">
        <v>55050.78</v>
      </c>
      <c r="AS55" s="84">
        <v>556.62</v>
      </c>
      <c r="AT55" s="85">
        <v>18000</v>
      </c>
      <c r="AU55" s="16" t="s">
        <v>209</v>
      </c>
      <c r="AV55" s="19"/>
      <c r="AW55" s="19"/>
      <c r="AX55" s="19"/>
    </row>
    <row r="56" spans="1:50" s="20" customFormat="1" ht="16.5" customHeight="1">
      <c r="A56" s="14">
        <v>55</v>
      </c>
      <c r="B56" s="14" t="s">
        <v>541</v>
      </c>
      <c r="C56" s="14" t="s">
        <v>483</v>
      </c>
      <c r="D56" s="14" t="s">
        <v>284</v>
      </c>
      <c r="E56" s="15" t="s">
        <v>286</v>
      </c>
      <c r="F56" s="14" t="s">
        <v>470</v>
      </c>
      <c r="G56" s="14" t="s">
        <v>456</v>
      </c>
      <c r="H56" s="68">
        <v>2740</v>
      </c>
      <c r="I56" s="17">
        <v>44501</v>
      </c>
      <c r="J56" s="17"/>
      <c r="K56" s="68">
        <v>3800</v>
      </c>
      <c r="L56" s="16"/>
      <c r="M56" s="16"/>
      <c r="N56" s="68">
        <v>400</v>
      </c>
      <c r="O56" s="68">
        <v>0</v>
      </c>
      <c r="P56" s="16"/>
      <c r="Q56" s="68">
        <v>10</v>
      </c>
      <c r="R56" s="68">
        <f t="shared" si="5"/>
        <v>655.16999999999996</v>
      </c>
      <c r="S56" s="18"/>
      <c r="T56" s="16"/>
      <c r="U56" s="16"/>
      <c r="V56" s="68">
        <v>10843.89</v>
      </c>
      <c r="W56" s="16"/>
      <c r="X56" s="16"/>
      <c r="Y56" s="16"/>
      <c r="Z56" s="16"/>
      <c r="AA56" s="16"/>
      <c r="AB56" s="18"/>
      <c r="AC56" s="68">
        <f t="shared" si="6"/>
        <v>15699.059999999999</v>
      </c>
      <c r="AD56" s="68">
        <v>1785.64</v>
      </c>
      <c r="AE56" s="68">
        <v>446.41</v>
      </c>
      <c r="AF56" s="68">
        <v>111.60</v>
      </c>
      <c r="AG56" s="68">
        <v>1562</v>
      </c>
      <c r="AH56" s="68">
        <f t="shared" si="2"/>
        <v>11793.41</v>
      </c>
      <c r="AI56" s="68">
        <f>MAX(ROUND(MAX((AH56+AR56-5000*AQ56-AT56)*{0.03,0.1,0.2,0.25,0.3,0.35,0.45}-{0,2520,16920,31920,52920,85920,181920},0)-AS56,2),0)</f>
        <v>1069.9000000000001</v>
      </c>
      <c r="AJ56" s="18"/>
      <c r="AK56" s="16"/>
      <c r="AL56" s="68">
        <f>ROUND(LOOKUP(MAX(0.0001,AK56/12),{0;6;24;50;70;110;160}*500+0.0001,5*MAX(0,AK56)*{0.6;2;4;5;6;7;9}%-10*{0;21;141;266;441;716;1516}),2)</f>
        <v>0</v>
      </c>
      <c r="AM56" s="68">
        <f t="shared" si="3"/>
        <v>15699.059999999999</v>
      </c>
      <c r="AN56" s="16"/>
      <c r="AO56" s="16"/>
      <c r="AP56" s="68">
        <f t="shared" si="4"/>
        <v>10723.51</v>
      </c>
      <c r="AQ56" s="83">
        <v>6</v>
      </c>
      <c r="AR56" s="19">
        <v>99561.73000000001</v>
      </c>
      <c r="AS56" s="84">
        <v>4545.6099999999997</v>
      </c>
      <c r="AT56" s="85">
        <v>0</v>
      </c>
      <c r="AU56" s="16" t="s">
        <v>209</v>
      </c>
      <c r="AV56" s="19"/>
      <c r="AW56" s="19"/>
      <c r="AX56" s="19"/>
    </row>
    <row r="57" spans="1:50" s="20" customFormat="1" ht="16.5" customHeight="1">
      <c r="A57" s="14">
        <v>56</v>
      </c>
      <c r="B57" s="14" t="s">
        <v>541</v>
      </c>
      <c r="C57" s="14" t="s">
        <v>183</v>
      </c>
      <c r="D57" s="14" t="s">
        <v>287</v>
      </c>
      <c r="E57" s="15" t="s">
        <v>484</v>
      </c>
      <c r="F57" s="14" t="s">
        <v>470</v>
      </c>
      <c r="G57" s="14" t="s">
        <v>456</v>
      </c>
      <c r="H57" s="68">
        <v>2740</v>
      </c>
      <c r="I57" s="17">
        <v>44504</v>
      </c>
      <c r="J57" s="17"/>
      <c r="K57" s="68">
        <v>4200</v>
      </c>
      <c r="L57" s="16"/>
      <c r="M57" s="16"/>
      <c r="N57" s="68">
        <v>400</v>
      </c>
      <c r="O57" s="68">
        <v>0</v>
      </c>
      <c r="P57" s="16"/>
      <c r="Q57" s="68">
        <v>9</v>
      </c>
      <c r="R57" s="68">
        <f t="shared" si="5"/>
        <v>651.72000000000003</v>
      </c>
      <c r="S57" s="18"/>
      <c r="T57" s="16"/>
      <c r="U57" s="16"/>
      <c r="V57" s="68">
        <v>4573.08</v>
      </c>
      <c r="W57" s="16"/>
      <c r="X57" s="16"/>
      <c r="Y57" s="16"/>
      <c r="Z57" s="16"/>
      <c r="AA57" s="16"/>
      <c r="AB57" s="21"/>
      <c r="AC57" s="68">
        <f t="shared" si="6"/>
        <v>9824.7999999999993</v>
      </c>
      <c r="AD57" s="68">
        <v>1179.21</v>
      </c>
      <c r="AE57" s="68">
        <v>294.80</v>
      </c>
      <c r="AF57" s="68">
        <v>73.70</v>
      </c>
      <c r="AG57" s="68">
        <v>1032</v>
      </c>
      <c r="AH57" s="68">
        <f t="shared" si="2"/>
        <v>7245.0900000000001</v>
      </c>
      <c r="AI57" s="68">
        <f>MAX(ROUND(MAX((AH57+AR57-5000*AQ57-AT57)*{0.03,0.1,0.2,0.25,0.3,0.35,0.45}-{0,2520,16920,31920,52920,85920,181920},0)-AS57,2),0)</f>
        <v>0</v>
      </c>
      <c r="AJ57" s="18"/>
      <c r="AK57" s="16"/>
      <c r="AL57" s="68">
        <f>ROUND(LOOKUP(MAX(0.0001,AK57/12),{0;6;24;50;70;110;160}*500+0.0001,5*MAX(0,AK57)*{0.6;2;4;5;6;7;9}%-10*{0;21;141;266;441;716;1516}),2)</f>
        <v>0</v>
      </c>
      <c r="AM57" s="68">
        <f t="shared" si="3"/>
        <v>9824.7999999999993</v>
      </c>
      <c r="AN57" s="16"/>
      <c r="AO57" s="16"/>
      <c r="AP57" s="68">
        <f t="shared" si="4"/>
        <v>7245.0900000000001</v>
      </c>
      <c r="AQ57" s="83">
        <v>6</v>
      </c>
      <c r="AR57" s="19">
        <v>57656.72</v>
      </c>
      <c r="AS57" s="84">
        <v>671.13000000000011</v>
      </c>
      <c r="AT57" s="19">
        <v>20994</v>
      </c>
      <c r="AU57" s="16" t="s">
        <v>209</v>
      </c>
      <c r="AV57" s="19"/>
      <c r="AW57" s="19"/>
      <c r="AX57" s="19"/>
    </row>
    <row r="58" spans="1:50" s="20" customFormat="1" ht="16.5" customHeight="1">
      <c r="A58" s="14">
        <v>57</v>
      </c>
      <c r="B58" s="14" t="s">
        <v>541</v>
      </c>
      <c r="C58" s="14" t="s">
        <v>485</v>
      </c>
      <c r="D58" s="14" t="s">
        <v>486</v>
      </c>
      <c r="E58" s="15" t="s">
        <v>487</v>
      </c>
      <c r="F58" s="14" t="s">
        <v>459</v>
      </c>
      <c r="G58" s="14" t="s">
        <v>465</v>
      </c>
      <c r="H58" s="68">
        <v>2540</v>
      </c>
      <c r="I58" s="17">
        <v>44557</v>
      </c>
      <c r="J58" s="17">
        <v>46155</v>
      </c>
      <c r="K58" s="68">
        <v>8000</v>
      </c>
      <c r="L58" s="16">
        <f>-K58</f>
        <v>-8000</v>
      </c>
      <c r="M58" s="16"/>
      <c r="N58" s="16"/>
      <c r="O58" s="68">
        <v>0</v>
      </c>
      <c r="P58" s="16"/>
      <c r="Q58" s="68">
        <v>20</v>
      </c>
      <c r="R58" s="68">
        <f t="shared" si="5"/>
        <v>2758.6199999999999</v>
      </c>
      <c r="S58" s="18"/>
      <c r="T58" s="16"/>
      <c r="U58" s="16"/>
      <c r="V58" s="68">
        <v>12660.220000000001</v>
      </c>
      <c r="W58" s="16"/>
      <c r="X58" s="16"/>
      <c r="Y58" s="16"/>
      <c r="Z58" s="16"/>
      <c r="AA58" s="16"/>
      <c r="AB58" s="18"/>
      <c r="AC58" s="68">
        <f t="shared" si="6"/>
        <v>15418.84</v>
      </c>
      <c r="AD58" s="16"/>
      <c r="AE58" s="16"/>
      <c r="AF58" s="16"/>
      <c r="AG58" s="16"/>
      <c r="AH58" s="68">
        <f t="shared" si="2"/>
        <v>15418.84</v>
      </c>
      <c r="AI58" s="68">
        <f>MAX(ROUND(MAX((AH58+AR58-5000*AQ58-AT58)*{0.03,0.1,0.2,0.25,0.3,0.35,0.45}-{0,2520,16920,31920,52920,85920,181920},0)-AS58,2),0)</f>
        <v>394.29000000000002</v>
      </c>
      <c r="AJ58" s="18"/>
      <c r="AK58" s="16"/>
      <c r="AL58" s="68">
        <f>ROUND(LOOKUP(MAX(0.0001,AK58/12),{0;6;24;50;70;110;160}*500+0.0001,5*MAX(0,AK58)*{0.6;2;4;5;6;7;9}%-10*{0;21;141;266;441;716;1516}),2)</f>
        <v>0</v>
      </c>
      <c r="AM58" s="68">
        <f t="shared" si="3"/>
        <v>15418.84</v>
      </c>
      <c r="AN58" s="16"/>
      <c r="AO58" s="16"/>
      <c r="AP58" s="68">
        <f t="shared" si="4"/>
        <v>15024.549999999999</v>
      </c>
      <c r="AQ58" s="83">
        <v>6</v>
      </c>
      <c r="AR58" s="19">
        <v>48329.47</v>
      </c>
      <c r="AS58" s="84">
        <v>618.16</v>
      </c>
      <c r="AT58" s="85">
        <v>0</v>
      </c>
      <c r="AU58" s="16" t="s">
        <v>211</v>
      </c>
      <c r="AV58" s="19"/>
      <c r="AW58" s="19"/>
      <c r="AX58" s="19"/>
    </row>
    <row r="59" spans="1:50" s="20" customFormat="1" ht="16.5" customHeight="1">
      <c r="A59" s="14">
        <v>58</v>
      </c>
      <c r="B59" s="14" t="s">
        <v>541</v>
      </c>
      <c r="C59" s="14" t="s">
        <v>488</v>
      </c>
      <c r="D59" s="14" t="s">
        <v>291</v>
      </c>
      <c r="E59" s="15" t="s">
        <v>292</v>
      </c>
      <c r="F59" s="14" t="s">
        <v>470</v>
      </c>
      <c r="G59" s="14" t="s">
        <v>456</v>
      </c>
      <c r="H59" s="68">
        <v>2740</v>
      </c>
      <c r="I59" s="17">
        <v>44629</v>
      </c>
      <c r="J59" s="17"/>
      <c r="K59" s="68">
        <v>3800</v>
      </c>
      <c r="L59" s="16"/>
      <c r="M59" s="16"/>
      <c r="N59" s="68">
        <v>400</v>
      </c>
      <c r="O59" s="68">
        <v>11.25</v>
      </c>
      <c r="P59" s="16"/>
      <c r="Q59" s="68">
        <v>11.75</v>
      </c>
      <c r="R59" s="68">
        <f t="shared" si="5"/>
        <v>1138.3599999999999</v>
      </c>
      <c r="S59" s="18"/>
      <c r="T59" s="16"/>
      <c r="U59" s="16"/>
      <c r="V59" s="68">
        <v>6471.07</v>
      </c>
      <c r="W59" s="16"/>
      <c r="X59" s="16"/>
      <c r="Y59" s="16"/>
      <c r="Z59" s="16"/>
      <c r="AA59" s="16"/>
      <c r="AB59" s="18"/>
      <c r="AC59" s="68">
        <f t="shared" si="6"/>
        <v>11809.43</v>
      </c>
      <c r="AD59" s="68">
        <v>707.41</v>
      </c>
      <c r="AE59" s="68">
        <v>176.85</v>
      </c>
      <c r="AF59" s="68">
        <v>44.21</v>
      </c>
      <c r="AG59" s="68">
        <v>619</v>
      </c>
      <c r="AH59" s="68">
        <f t="shared" si="2"/>
        <v>10261.960000000001</v>
      </c>
      <c r="AI59" s="68">
        <f>MAX(ROUND(MAX((AH59+AR59-5000*AQ59-AT59)*{0.03,0.1,0.2,0.25,0.3,0.35,0.45}-{0,2520,16920,31920,52920,85920,181920},0)-AS59,2),0)</f>
        <v>652.49000000000001</v>
      </c>
      <c r="AJ59" s="18"/>
      <c r="AK59" s="16"/>
      <c r="AL59" s="68">
        <f>ROUND(LOOKUP(MAX(0.0001,AK59/12),{0;6;24;50;70;110;160}*500+0.0001,5*MAX(0,AK59)*{0.6;2;4;5;6;7;9}%-10*{0;21;141;266;441;716;1516}),2)</f>
        <v>0</v>
      </c>
      <c r="AM59" s="68">
        <f t="shared" si="3"/>
        <v>11809.43</v>
      </c>
      <c r="AN59" s="16"/>
      <c r="AO59" s="16"/>
      <c r="AP59" s="68">
        <f t="shared" si="4"/>
        <v>9609.4699999999993</v>
      </c>
      <c r="AQ59" s="83">
        <v>6</v>
      </c>
      <c r="AR59" s="19">
        <v>62141.03</v>
      </c>
      <c r="AS59" s="84">
        <v>1067.81</v>
      </c>
      <c r="AT59" s="85">
        <v>0</v>
      </c>
      <c r="AU59" s="16" t="s">
        <v>209</v>
      </c>
      <c r="AV59" s="19"/>
      <c r="AW59" s="19"/>
      <c r="AX59" s="19"/>
    </row>
    <row r="60" spans="1:50" s="20" customFormat="1" ht="16.5" customHeight="1">
      <c r="A60" s="14">
        <v>59</v>
      </c>
      <c r="B60" s="14" t="s">
        <v>541</v>
      </c>
      <c r="C60" s="14" t="s">
        <v>489</v>
      </c>
      <c r="D60" s="14" t="s">
        <v>490</v>
      </c>
      <c r="E60" s="15" t="s">
        <v>491</v>
      </c>
      <c r="F60" s="14" t="s">
        <v>470</v>
      </c>
      <c r="G60" s="14" t="s">
        <v>465</v>
      </c>
      <c r="H60" s="68">
        <v>2540</v>
      </c>
      <c r="I60" s="17">
        <v>44630</v>
      </c>
      <c r="J60" s="17">
        <v>46155</v>
      </c>
      <c r="K60" s="68">
        <v>3800</v>
      </c>
      <c r="L60" s="16">
        <f>-K60</f>
        <v>-3800</v>
      </c>
      <c r="M60" s="16"/>
      <c r="N60" s="16"/>
      <c r="O60" s="68">
        <v>0</v>
      </c>
      <c r="P60" s="16"/>
      <c r="Q60" s="68">
        <v>20</v>
      </c>
      <c r="R60" s="68">
        <f t="shared" si="5"/>
        <v>1310.3399999999999</v>
      </c>
      <c r="S60" s="18"/>
      <c r="T60" s="16"/>
      <c r="U60" s="16"/>
      <c r="V60" s="68">
        <v>1782.15</v>
      </c>
      <c r="W60" s="16"/>
      <c r="X60" s="16"/>
      <c r="Y60" s="16"/>
      <c r="Z60" s="16"/>
      <c r="AA60" s="16"/>
      <c r="AB60" s="21"/>
      <c r="AC60" s="68">
        <f t="shared" si="6"/>
        <v>3092.4899999999998</v>
      </c>
      <c r="AD60" s="16"/>
      <c r="AE60" s="16"/>
      <c r="AF60" s="16"/>
      <c r="AG60" s="16"/>
      <c r="AH60" s="68">
        <f t="shared" si="2"/>
        <v>3092.4899999999998</v>
      </c>
      <c r="AI60" s="68">
        <f>MAX(ROUND(MAX((AH60+AR60-5000*AQ60-AT60)*{0.03,0.1,0.2,0.25,0.3,0.35,0.45}-{0,2520,16920,31920,52920,85920,181920},0)-AS60,2),0)</f>
        <v>0</v>
      </c>
      <c r="AJ60" s="18"/>
      <c r="AK60" s="16"/>
      <c r="AL60" s="68">
        <f>ROUND(LOOKUP(MAX(0.0001,AK60/12),{0;6;24;50;70;110;160}*500+0.0001,5*MAX(0,AK60)*{0.6;2;4;5;6;7;9}%-10*{0;21;141;266;441;716;1516}),2)</f>
        <v>0</v>
      </c>
      <c r="AM60" s="68">
        <f t="shared" si="3"/>
        <v>3092.4899999999998</v>
      </c>
      <c r="AN60" s="16"/>
      <c r="AO60" s="16"/>
      <c r="AP60" s="68">
        <f t="shared" si="4"/>
        <v>3092.4899999999998</v>
      </c>
      <c r="AQ60" s="83">
        <v>6</v>
      </c>
      <c r="AR60" s="19">
        <v>20361.739999999998</v>
      </c>
      <c r="AS60" s="84">
        <v>53.44</v>
      </c>
      <c r="AT60" s="85">
        <v>0</v>
      </c>
      <c r="AU60" s="16" t="s">
        <v>211</v>
      </c>
      <c r="AV60" s="19"/>
      <c r="AW60" s="19"/>
      <c r="AX60" s="19"/>
    </row>
    <row r="61" spans="1:50" s="20" customFormat="1" ht="16.5" customHeight="1">
      <c r="A61" s="14">
        <v>60</v>
      </c>
      <c r="B61" s="14" t="s">
        <v>541</v>
      </c>
      <c r="C61" s="14" t="s">
        <v>293</v>
      </c>
      <c r="D61" s="14" t="s">
        <v>185</v>
      </c>
      <c r="E61" s="15" t="s">
        <v>492</v>
      </c>
      <c r="F61" s="14" t="s">
        <v>470</v>
      </c>
      <c r="G61" s="14" t="s">
        <v>493</v>
      </c>
      <c r="H61" s="68">
        <v>2400</v>
      </c>
      <c r="I61" s="17">
        <v>44676</v>
      </c>
      <c r="J61" s="17"/>
      <c r="K61" s="68">
        <v>4000</v>
      </c>
      <c r="L61" s="16"/>
      <c r="M61" s="16"/>
      <c r="N61" s="68">
        <v>400</v>
      </c>
      <c r="O61" s="68">
        <v>0</v>
      </c>
      <c r="P61" s="16"/>
      <c r="Q61" s="68">
        <v>20</v>
      </c>
      <c r="R61" s="68">
        <f t="shared" si="5"/>
        <v>1379.3099999999999</v>
      </c>
      <c r="S61" s="18"/>
      <c r="T61" s="16"/>
      <c r="U61" s="16"/>
      <c r="V61" s="68">
        <v>643.79</v>
      </c>
      <c r="W61" s="16"/>
      <c r="X61" s="16"/>
      <c r="Y61" s="16"/>
      <c r="Z61" s="16"/>
      <c r="AA61" s="16"/>
      <c r="AB61" s="18"/>
      <c r="AC61" s="68">
        <f t="shared" si="6"/>
        <v>6423.1000000000004</v>
      </c>
      <c r="AD61" s="68">
        <v>848.72</v>
      </c>
      <c r="AE61" s="68">
        <v>219.18</v>
      </c>
      <c r="AF61" s="68">
        <v>31.83</v>
      </c>
      <c r="AG61" s="68">
        <v>848.74</v>
      </c>
      <c r="AH61" s="68">
        <f t="shared" si="2"/>
        <v>4474.6300000000001</v>
      </c>
      <c r="AI61" s="68">
        <f>MAX(ROUND(MAX((AH61+AR61-5000*AQ61-AT61)*{0.03,0.1,0.2,0.25,0.3,0.35,0.45}-{0,2520,16920,31920,52920,85920,181920},0)-AS61,2),0)</f>
        <v>0</v>
      </c>
      <c r="AJ61" s="18"/>
      <c r="AK61" s="16"/>
      <c r="AL61" s="68">
        <f>ROUND(LOOKUP(MAX(0.0001,AK61/12),{0;6;24;50;70;110;160}*500+0.0001,5*MAX(0,AK61)*{0.6;2;4;5;6;7;9}%-10*{0;21;141;266;441;716;1516}),2)</f>
        <v>0</v>
      </c>
      <c r="AM61" s="68">
        <f t="shared" si="3"/>
        <v>6423.1000000000004</v>
      </c>
      <c r="AN61" s="16"/>
      <c r="AO61" s="16"/>
      <c r="AP61" s="68">
        <f t="shared" si="4"/>
        <v>4474.6300000000001</v>
      </c>
      <c r="AQ61" s="83">
        <v>6</v>
      </c>
      <c r="AR61" s="19">
        <v>41081.90</v>
      </c>
      <c r="AS61" s="84">
        <v>479.39</v>
      </c>
      <c r="AT61" s="85">
        <v>0</v>
      </c>
      <c r="AU61" s="16" t="s">
        <v>424</v>
      </c>
      <c r="AV61" s="19"/>
      <c r="AW61" s="19"/>
      <c r="AX61" s="19"/>
    </row>
    <row r="62" spans="1:50" s="20" customFormat="1" ht="16.5" customHeight="1">
      <c r="A62" s="14">
        <v>61</v>
      </c>
      <c r="B62" s="14" t="s">
        <v>541</v>
      </c>
      <c r="C62" s="14" t="s">
        <v>494</v>
      </c>
      <c r="D62" s="14" t="s">
        <v>295</v>
      </c>
      <c r="E62" s="15" t="s">
        <v>495</v>
      </c>
      <c r="F62" s="14" t="s">
        <v>470</v>
      </c>
      <c r="G62" s="14" t="s">
        <v>496</v>
      </c>
      <c r="H62" s="68">
        <v>2500</v>
      </c>
      <c r="I62" s="17">
        <v>44783</v>
      </c>
      <c r="J62" s="17"/>
      <c r="K62" s="68">
        <v>3800</v>
      </c>
      <c r="L62" s="16"/>
      <c r="M62" s="16"/>
      <c r="N62" s="68">
        <v>300</v>
      </c>
      <c r="O62" s="68">
        <v>0</v>
      </c>
      <c r="P62" s="16"/>
      <c r="Q62" s="68">
        <v>16</v>
      </c>
      <c r="R62" s="68">
        <f t="shared" si="5"/>
        <v>1048.28</v>
      </c>
      <c r="S62" s="18"/>
      <c r="T62" s="16"/>
      <c r="U62" s="16"/>
      <c r="V62" s="68">
        <v>1048.20</v>
      </c>
      <c r="W62" s="68">
        <v>1500</v>
      </c>
      <c r="X62" s="16"/>
      <c r="Y62" s="16"/>
      <c r="Z62" s="16"/>
      <c r="AA62" s="16"/>
      <c r="AB62" s="18"/>
      <c r="AC62" s="68">
        <f t="shared" si="6"/>
        <v>7696.4799999999996</v>
      </c>
      <c r="AD62" s="68">
        <v>614.72</v>
      </c>
      <c r="AE62" s="68">
        <v>153.68</v>
      </c>
      <c r="AF62" s="68">
        <v>15.37</v>
      </c>
      <c r="AG62" s="68">
        <v>538</v>
      </c>
      <c r="AH62" s="68">
        <f t="shared" si="2"/>
        <v>6374.7099999999991</v>
      </c>
      <c r="AI62" s="68">
        <f>MAX(ROUND(MAX((AH62+AR62-5000*AQ62-AT62)*{0.03,0.1,0.2,0.25,0.3,0.35,0.45}-{0,2520,16920,31920,52920,85920,181920},0)-AS62,2),0)</f>
        <v>80.890000000000001</v>
      </c>
      <c r="AJ62" s="18"/>
      <c r="AK62" s="16"/>
      <c r="AL62" s="68">
        <f>ROUND(LOOKUP(MAX(0.0001,AK62/12),{0;6;24;50;70;110;160}*500+0.0001,5*MAX(0,AK62)*{0.6;2;4;5;6;7;9}%-10*{0;21;141;266;441;716;1516}),2)</f>
        <v>0</v>
      </c>
      <c r="AM62" s="68">
        <f t="shared" si="3"/>
        <v>7696.4799999999996</v>
      </c>
      <c r="AN62" s="16"/>
      <c r="AO62" s="16"/>
      <c r="AP62" s="68">
        <f t="shared" si="4"/>
        <v>6293.8199999999997</v>
      </c>
      <c r="AQ62" s="83">
        <v>6</v>
      </c>
      <c r="AR62" s="19">
        <v>31024.359999999997</v>
      </c>
      <c r="AS62" s="84">
        <v>141.08000000000001</v>
      </c>
      <c r="AT62" s="85">
        <v>0</v>
      </c>
      <c r="AU62" s="16" t="s">
        <v>424</v>
      </c>
      <c r="AV62" s="19"/>
      <c r="AW62" s="19"/>
      <c r="AX62" s="19"/>
    </row>
    <row r="63" spans="1:50" s="20" customFormat="1" ht="16.5" customHeight="1">
      <c r="A63" s="14">
        <v>62</v>
      </c>
      <c r="B63" s="14" t="s">
        <v>541</v>
      </c>
      <c r="C63" s="14" t="s">
        <v>497</v>
      </c>
      <c r="D63" s="14" t="s">
        <v>204</v>
      </c>
      <c r="E63" s="15" t="s">
        <v>297</v>
      </c>
      <c r="F63" s="14" t="s">
        <v>430</v>
      </c>
      <c r="G63" s="14" t="s">
        <v>498</v>
      </c>
      <c r="H63" s="68">
        <v>2330</v>
      </c>
      <c r="I63" s="17">
        <v>44823</v>
      </c>
      <c r="J63" s="17"/>
      <c r="K63" s="68">
        <v>3600</v>
      </c>
      <c r="L63" s="16"/>
      <c r="M63" s="16"/>
      <c r="N63" s="68">
        <v>300</v>
      </c>
      <c r="O63" s="68">
        <v>15</v>
      </c>
      <c r="P63" s="16"/>
      <c r="Q63" s="68">
        <v>16</v>
      </c>
      <c r="R63" s="68">
        <f t="shared" si="5"/>
        <v>1458.6199999999999</v>
      </c>
      <c r="S63" s="18"/>
      <c r="T63" s="16"/>
      <c r="U63" s="16"/>
      <c r="V63" s="68">
        <v>395.53</v>
      </c>
      <c r="W63" s="16"/>
      <c r="X63" s="16"/>
      <c r="Y63" s="16"/>
      <c r="Z63" s="16"/>
      <c r="AA63" s="16"/>
      <c r="AB63" s="18"/>
      <c r="AC63" s="68">
        <f t="shared" si="6"/>
        <v>5754.1499999999996</v>
      </c>
      <c r="AD63" s="68">
        <v>724.56</v>
      </c>
      <c r="AE63" s="68">
        <v>181.14</v>
      </c>
      <c r="AF63" s="68">
        <v>36.229999999999997</v>
      </c>
      <c r="AG63" s="68">
        <v>493</v>
      </c>
      <c r="AH63" s="68">
        <f t="shared" si="7" ref="AH63:AH92">AC63-AD63-AE63-AF63-AG63</f>
        <v>4319.2200000000003</v>
      </c>
      <c r="AI63" s="68">
        <f>MAX(ROUND(MAX((AH63+AR63-5000*AQ63-AT63)*{0.03,0.1,0.2,0.25,0.3,0.35,0.45}-{0,2520,16920,31920,52920,85920,181920},0)-AS63,2),0)</f>
        <v>18.809999999999999</v>
      </c>
      <c r="AJ63" s="18"/>
      <c r="AK63" s="16"/>
      <c r="AL63" s="68">
        <f>ROUND(LOOKUP(MAX(0.0001,AK63/12),{0;6;24;50;70;110;160}*500+0.0001,5*MAX(0,AK63)*{0.6;2;4;5;6;7;9}%-10*{0;21;141;266;441;716;1516}),2)</f>
        <v>0</v>
      </c>
      <c r="AM63" s="68">
        <f t="shared" si="8" ref="AM63:AM92">AC63+AK63+AJ63</f>
        <v>5754.1499999999996</v>
      </c>
      <c r="AN63" s="16"/>
      <c r="AO63" s="16"/>
      <c r="AP63" s="68">
        <f t="shared" si="9" ref="AP63:AP92">ROUND(AH63-AI63+AK63-AL63+AO63+AN63,2)</f>
        <v>4300.4099999999999</v>
      </c>
      <c r="AQ63" s="83">
        <v>6</v>
      </c>
      <c r="AR63" s="19">
        <v>42977.930000000008</v>
      </c>
      <c r="AS63" s="84">
        <v>500.10</v>
      </c>
      <c r="AT63" s="85">
        <v>0</v>
      </c>
      <c r="AU63" s="16" t="s">
        <v>226</v>
      </c>
      <c r="AV63" s="19"/>
      <c r="AW63" s="19"/>
      <c r="AX63" s="19"/>
    </row>
    <row r="64" spans="1:50" s="20" customFormat="1" ht="16.5" customHeight="1">
      <c r="A64" s="14">
        <v>63</v>
      </c>
      <c r="B64" s="14" t="s">
        <v>541</v>
      </c>
      <c r="C64" s="14" t="s">
        <v>190</v>
      </c>
      <c r="D64" s="14" t="s">
        <v>300</v>
      </c>
      <c r="E64" s="15" t="s">
        <v>301</v>
      </c>
      <c r="F64" s="14" t="s">
        <v>450</v>
      </c>
      <c r="G64" s="14" t="s">
        <v>499</v>
      </c>
      <c r="H64" s="68">
        <v>2240</v>
      </c>
      <c r="I64" s="17">
        <v>44833</v>
      </c>
      <c r="J64" s="17"/>
      <c r="K64" s="68">
        <v>4400</v>
      </c>
      <c r="L64" s="16"/>
      <c r="M64" s="16"/>
      <c r="N64" s="68">
        <v>300</v>
      </c>
      <c r="O64" s="68">
        <v>13.50</v>
      </c>
      <c r="P64" s="16"/>
      <c r="Q64" s="68">
        <v>17.50</v>
      </c>
      <c r="R64" s="68">
        <f t="shared" si="5"/>
        <v>1839.6600000000001</v>
      </c>
      <c r="S64" s="18"/>
      <c r="T64" s="16"/>
      <c r="U64" s="16"/>
      <c r="V64" s="68">
        <v>80.13</v>
      </c>
      <c r="W64" s="16"/>
      <c r="X64" s="16"/>
      <c r="Y64" s="16"/>
      <c r="Z64" s="16"/>
      <c r="AA64" s="16"/>
      <c r="AB64" s="18"/>
      <c r="AC64" s="68">
        <f t="shared" si="6"/>
        <v>6619.79</v>
      </c>
      <c r="AD64" s="68">
        <v>715.33</v>
      </c>
      <c r="AE64" s="68">
        <v>194.65</v>
      </c>
      <c r="AF64" s="68">
        <v>44.71</v>
      </c>
      <c r="AG64" s="68">
        <v>1073</v>
      </c>
      <c r="AH64" s="68">
        <f t="shared" si="7"/>
        <v>4592.1000000000004</v>
      </c>
      <c r="AI64" s="68">
        <f>MAX(ROUND(MAX((AH64+AR64-5000*AQ64-AT64)*{0.03,0.1,0.2,0.25,0.3,0.35,0.45}-{0,2520,16920,31920,52920,85920,181920},0)-AS64,2),0)</f>
        <v>40.670000000000002</v>
      </c>
      <c r="AJ64" s="18"/>
      <c r="AK64" s="16"/>
      <c r="AL64" s="68">
        <f>ROUND(LOOKUP(MAX(0.0001,AK64/12),{0;6;24;50;70;110;160}*500+0.0001,5*MAX(0,AK64)*{0.6;2;4;5;6;7;9}%-10*{0;21;141;266;441;716;1516}),2)</f>
        <v>0</v>
      </c>
      <c r="AM64" s="68">
        <f t="shared" si="8"/>
        <v>6619.79</v>
      </c>
      <c r="AN64" s="16"/>
      <c r="AO64" s="16"/>
      <c r="AP64" s="68">
        <f t="shared" si="9"/>
        <v>4551.4300000000003</v>
      </c>
      <c r="AQ64" s="83">
        <v>6</v>
      </c>
      <c r="AR64" s="19">
        <v>35077.740000000005</v>
      </c>
      <c r="AS64" s="84">
        <v>249.43</v>
      </c>
      <c r="AT64" s="85">
        <v>0</v>
      </c>
      <c r="AU64" s="16" t="s">
        <v>424</v>
      </c>
      <c r="AV64" s="19"/>
      <c r="AW64" s="19"/>
      <c r="AX64" s="19"/>
    </row>
    <row r="65" spans="1:50" s="20" customFormat="1" ht="16.5" customHeight="1">
      <c r="A65" s="14">
        <v>64</v>
      </c>
      <c r="B65" s="14" t="s">
        <v>541</v>
      </c>
      <c r="C65" s="14" t="s">
        <v>191</v>
      </c>
      <c r="D65" s="14" t="s">
        <v>303</v>
      </c>
      <c r="E65" s="15" t="s">
        <v>304</v>
      </c>
      <c r="F65" s="14" t="s">
        <v>430</v>
      </c>
      <c r="G65" s="14" t="s">
        <v>499</v>
      </c>
      <c r="H65" s="68">
        <v>2240</v>
      </c>
      <c r="I65" s="17">
        <v>44845</v>
      </c>
      <c r="J65" s="17"/>
      <c r="K65" s="68">
        <v>3600</v>
      </c>
      <c r="L65" s="16"/>
      <c r="M65" s="16"/>
      <c r="N65" s="68">
        <v>300</v>
      </c>
      <c r="O65" s="68">
        <v>19.50</v>
      </c>
      <c r="P65" s="16"/>
      <c r="Q65" s="68">
        <v>17</v>
      </c>
      <c r="R65" s="68">
        <f t="shared" si="5"/>
        <v>1660.3399999999999</v>
      </c>
      <c r="S65" s="18"/>
      <c r="T65" s="16"/>
      <c r="U65" s="16"/>
      <c r="V65" s="68">
        <v>4112.58</v>
      </c>
      <c r="W65" s="16"/>
      <c r="X65" s="16"/>
      <c r="Y65" s="16"/>
      <c r="Z65" s="16"/>
      <c r="AA65" s="16"/>
      <c r="AB65" s="18"/>
      <c r="AC65" s="68">
        <f t="shared" si="6"/>
        <v>9672.9200000000001</v>
      </c>
      <c r="AD65" s="68">
        <v>616.26</v>
      </c>
      <c r="AE65" s="68">
        <v>169.89</v>
      </c>
      <c r="AF65" s="68">
        <v>38.520000000000003</v>
      </c>
      <c r="AG65" s="68">
        <v>924</v>
      </c>
      <c r="AH65" s="68">
        <f t="shared" si="7"/>
        <v>7924.25</v>
      </c>
      <c r="AI65" s="68">
        <f>MAX(ROUND(MAX((AH65+AR65-5000*AQ65-AT65)*{0.03,0.1,0.2,0.25,0.3,0.35,0.45}-{0,2520,16920,31920,52920,85920,181920},0)-AS65,2),0)</f>
        <v>0</v>
      </c>
      <c r="AJ65" s="18"/>
      <c r="AK65" s="16"/>
      <c r="AL65" s="68">
        <f>ROUND(LOOKUP(MAX(0.0001,AK65/12),{0;6;24;50;70;110;160}*500+0.0001,5*MAX(0,AK65)*{0.6;2;4;5;6;7;9}%-10*{0;21;141;266;441;716;1516}),2)</f>
        <v>0</v>
      </c>
      <c r="AM65" s="68">
        <f t="shared" si="8"/>
        <v>9672.9200000000001</v>
      </c>
      <c r="AN65" s="16"/>
      <c r="AO65" s="16"/>
      <c r="AP65" s="68">
        <f t="shared" si="9"/>
        <v>7924.25</v>
      </c>
      <c r="AQ65" s="83">
        <v>6</v>
      </c>
      <c r="AR65" s="19">
        <v>25691.769999999997</v>
      </c>
      <c r="AS65" s="84">
        <v>111.76</v>
      </c>
      <c r="AT65" s="85">
        <v>0</v>
      </c>
      <c r="AU65" s="16" t="s">
        <v>424</v>
      </c>
      <c r="AV65" s="19"/>
      <c r="AW65" s="19"/>
      <c r="AX65" s="19"/>
    </row>
    <row r="66" spans="1:50" s="20" customFormat="1" ht="16.5" customHeight="1">
      <c r="A66" s="14">
        <v>65</v>
      </c>
      <c r="B66" s="14" t="s">
        <v>541</v>
      </c>
      <c r="C66" s="14" t="s">
        <v>306</v>
      </c>
      <c r="D66" s="14" t="s">
        <v>305</v>
      </c>
      <c r="E66" s="15" t="s">
        <v>307</v>
      </c>
      <c r="F66" s="14" t="s">
        <v>430</v>
      </c>
      <c r="G66" s="14" t="s">
        <v>493</v>
      </c>
      <c r="H66" s="68">
        <v>2400</v>
      </c>
      <c r="I66" s="17">
        <v>44878</v>
      </c>
      <c r="J66" s="17"/>
      <c r="K66" s="68">
        <v>3600</v>
      </c>
      <c r="L66" s="16"/>
      <c r="M66" s="16"/>
      <c r="N66" s="68">
        <v>300</v>
      </c>
      <c r="O66" s="68">
        <v>0</v>
      </c>
      <c r="P66" s="16"/>
      <c r="Q66" s="68">
        <v>0</v>
      </c>
      <c r="R66" s="68">
        <f t="shared" si="10" ref="R66:R97">ROUND(K66/174*SUM(O66*1.5+P66*2+Q66*3),2)</f>
        <v>0</v>
      </c>
      <c r="S66" s="18"/>
      <c r="T66" s="16"/>
      <c r="U66" s="16"/>
      <c r="V66" s="68">
        <v>1019.01</v>
      </c>
      <c r="W66" s="16"/>
      <c r="X66" s="16"/>
      <c r="Y66" s="16"/>
      <c r="Z66" s="16"/>
      <c r="AA66" s="16"/>
      <c r="AB66" s="18"/>
      <c r="AC66" s="68">
        <f t="shared" si="11" ref="AC66:AC97">ROUND(SUM(SUM(K66:N66)+SUM(R66:AB66)),2)</f>
        <v>4919.0100000000002</v>
      </c>
      <c r="AD66" s="68">
        <v>657.36</v>
      </c>
      <c r="AE66" s="68">
        <v>171.34</v>
      </c>
      <c r="AF66" s="68">
        <v>24.65</v>
      </c>
      <c r="AG66" s="68">
        <v>657.39</v>
      </c>
      <c r="AH66" s="68">
        <f t="shared" si="7"/>
        <v>3408.2700000000004</v>
      </c>
      <c r="AI66" s="68">
        <f>MAX(ROUND(MAX((AH66+AR66-5000*AQ66-AT66)*{0.03,0.1,0.2,0.25,0.3,0.35,0.45}-{0,2520,16920,31920,52920,85920,181920},0)-AS66,2),0)</f>
        <v>0</v>
      </c>
      <c r="AJ66" s="18"/>
      <c r="AK66" s="16"/>
      <c r="AL66" s="68">
        <f>ROUND(LOOKUP(MAX(0.0001,AK66/12),{0;6;24;50;70;110;160}*500+0.0001,5*MAX(0,AK66)*{0.6;2;4;5;6;7;9}%-10*{0;21;141;266;441;716;1516}),2)</f>
        <v>0</v>
      </c>
      <c r="AM66" s="68">
        <f t="shared" si="8"/>
        <v>4919.0100000000002</v>
      </c>
      <c r="AN66" s="16"/>
      <c r="AO66" s="16"/>
      <c r="AP66" s="68">
        <f t="shared" si="9"/>
        <v>3408.27</v>
      </c>
      <c r="AQ66" s="83">
        <v>6</v>
      </c>
      <c r="AR66" s="19">
        <v>34592.47</v>
      </c>
      <c r="AS66" s="84">
        <v>242.45000000000002</v>
      </c>
      <c r="AT66" s="85">
        <v>0</v>
      </c>
      <c r="AU66" s="16" t="s">
        <v>424</v>
      </c>
      <c r="AV66" s="19"/>
      <c r="AW66" s="19"/>
      <c r="AX66" s="19"/>
    </row>
    <row r="67" spans="1:50" s="20" customFormat="1" ht="16.5" customHeight="1">
      <c r="A67" s="14">
        <v>66</v>
      </c>
      <c r="B67" s="14" t="s">
        <v>541</v>
      </c>
      <c r="C67" s="14" t="s">
        <v>500</v>
      </c>
      <c r="D67" s="14" t="s">
        <v>205</v>
      </c>
      <c r="E67" s="15" t="s">
        <v>309</v>
      </c>
      <c r="F67" s="14" t="s">
        <v>430</v>
      </c>
      <c r="G67" s="14" t="s">
        <v>498</v>
      </c>
      <c r="H67" s="68">
        <v>2330</v>
      </c>
      <c r="I67" s="17">
        <v>44879</v>
      </c>
      <c r="J67" s="17"/>
      <c r="K67" s="68">
        <v>3600</v>
      </c>
      <c r="L67" s="16"/>
      <c r="M67" s="16"/>
      <c r="N67" s="68">
        <v>300</v>
      </c>
      <c r="O67" s="68">
        <v>19</v>
      </c>
      <c r="P67" s="16"/>
      <c r="Q67" s="68">
        <v>16</v>
      </c>
      <c r="R67" s="68">
        <f t="shared" si="10"/>
        <v>1582.76</v>
      </c>
      <c r="S67" s="18"/>
      <c r="T67" s="16"/>
      <c r="U67" s="16"/>
      <c r="V67" s="68">
        <v>1696.17</v>
      </c>
      <c r="W67" s="16"/>
      <c r="X67" s="16"/>
      <c r="Y67" s="16"/>
      <c r="Z67" s="16"/>
      <c r="AA67" s="16"/>
      <c r="AB67" s="18"/>
      <c r="AC67" s="68">
        <f t="shared" si="11"/>
        <v>7178.9300000000003</v>
      </c>
      <c r="AD67" s="68">
        <v>250.39999999999998</v>
      </c>
      <c r="AE67" s="68">
        <v>62.599999999999994</v>
      </c>
      <c r="AF67" s="68">
        <v>12.519999999999996</v>
      </c>
      <c r="AG67" s="68">
        <v>631</v>
      </c>
      <c r="AH67" s="68">
        <f t="shared" si="7"/>
        <v>6222.4099999999999</v>
      </c>
      <c r="AI67" s="68">
        <f>MAX(ROUND(MAX((AH67+AR67-5000*AQ67-AT67)*{0.03,0.1,0.2,0.25,0.3,0.35,0.45}-{0,2520,16920,31920,52920,85920,181920},0)-AS67,2),0)</f>
        <v>109.27</v>
      </c>
      <c r="AJ67" s="18"/>
      <c r="AK67" s="16"/>
      <c r="AL67" s="68">
        <f>ROUND(LOOKUP(MAX(0.0001,AK67/12),{0;6;24;50;70;110;160}*500+0.0001,5*MAX(0,AK67)*{0.6;2;4;5;6;7;9}%-10*{0;21;141;266;441;716;1516}),2)</f>
        <v>0</v>
      </c>
      <c r="AM67" s="68">
        <f t="shared" si="8"/>
        <v>7178.9300000000003</v>
      </c>
      <c r="AN67" s="16"/>
      <c r="AO67" s="16"/>
      <c r="AP67" s="68">
        <f t="shared" si="9"/>
        <v>6113.1400000000003</v>
      </c>
      <c r="AQ67" s="83">
        <v>6</v>
      </c>
      <c r="AR67" s="19">
        <v>56190.08</v>
      </c>
      <c r="AS67" s="84">
        <v>863.09999999999991</v>
      </c>
      <c r="AT67" s="85">
        <v>0</v>
      </c>
      <c r="AU67" s="16" t="s">
        <v>226</v>
      </c>
      <c r="AV67" s="19"/>
      <c r="AW67" s="19"/>
      <c r="AX67" s="19"/>
    </row>
    <row r="68" spans="1:50" s="20" customFormat="1" ht="16.5" customHeight="1">
      <c r="A68" s="14">
        <v>67</v>
      </c>
      <c r="B68" s="14" t="s">
        <v>541</v>
      </c>
      <c r="C68" s="14" t="s">
        <v>311</v>
      </c>
      <c r="D68" s="14" t="s">
        <v>501</v>
      </c>
      <c r="E68" s="15" t="s">
        <v>312</v>
      </c>
      <c r="F68" s="14" t="s">
        <v>430</v>
      </c>
      <c r="G68" s="14" t="s">
        <v>461</v>
      </c>
      <c r="H68" s="68">
        <v>2330</v>
      </c>
      <c r="I68" s="17">
        <v>44922</v>
      </c>
      <c r="J68" s="17"/>
      <c r="K68" s="68">
        <v>3600</v>
      </c>
      <c r="L68" s="16"/>
      <c r="M68" s="16"/>
      <c r="N68" s="68">
        <v>300</v>
      </c>
      <c r="O68" s="68">
        <v>0</v>
      </c>
      <c r="P68" s="16"/>
      <c r="Q68" s="68">
        <v>22</v>
      </c>
      <c r="R68" s="68">
        <f t="shared" si="10"/>
        <v>1365.52</v>
      </c>
      <c r="S68" s="18"/>
      <c r="T68" s="16"/>
      <c r="U68" s="16"/>
      <c r="V68" s="16"/>
      <c r="W68" s="16"/>
      <c r="X68" s="16"/>
      <c r="Y68" s="16"/>
      <c r="Z68" s="16"/>
      <c r="AA68" s="16"/>
      <c r="AB68" s="18"/>
      <c r="AC68" s="68">
        <f t="shared" si="11"/>
        <v>5265.5200000000004</v>
      </c>
      <c r="AD68" s="68">
        <v>583.91999999999996</v>
      </c>
      <c r="AE68" s="68">
        <v>150.97999999999999</v>
      </c>
      <c r="AF68" s="68">
        <v>36.50</v>
      </c>
      <c r="AG68" s="68">
        <v>421</v>
      </c>
      <c r="AH68" s="68">
        <f t="shared" si="7"/>
        <v>4073.1200000000008</v>
      </c>
      <c r="AI68" s="68">
        <f>MAX(ROUND(MAX((AH68+AR68-5000*AQ68-AT68)*{0.03,0.1,0.2,0.25,0.3,0.35,0.45}-{0,2520,16920,31920,52920,85920,181920},0)-AS68,2),0)</f>
        <v>0</v>
      </c>
      <c r="AJ68" s="18"/>
      <c r="AK68" s="16"/>
      <c r="AL68" s="68">
        <f>ROUND(LOOKUP(MAX(0.0001,AK68/12),{0;6;24;50;70;110;160}*500+0.0001,5*MAX(0,AK68)*{0.6;2;4;5;6;7;9}%-10*{0;21;141;266;441;716;1516}),2)</f>
        <v>0</v>
      </c>
      <c r="AM68" s="68">
        <f t="shared" si="8"/>
        <v>5265.5200000000004</v>
      </c>
      <c r="AN68" s="16"/>
      <c r="AO68" s="16"/>
      <c r="AP68" s="68">
        <f t="shared" si="9"/>
        <v>4073.1199999999999</v>
      </c>
      <c r="AQ68" s="83">
        <v>6</v>
      </c>
      <c r="AR68" s="19">
        <v>27466.35</v>
      </c>
      <c r="AS68" s="84">
        <v>175.64</v>
      </c>
      <c r="AT68" s="85">
        <v>0</v>
      </c>
      <c r="AU68" s="16" t="s">
        <v>424</v>
      </c>
      <c r="AV68" s="19"/>
      <c r="AW68" s="19"/>
      <c r="AX68" s="19"/>
    </row>
    <row r="69" spans="1:50" s="20" customFormat="1" ht="16.5" customHeight="1">
      <c r="A69" s="14">
        <v>68</v>
      </c>
      <c r="B69" s="14" t="s">
        <v>541</v>
      </c>
      <c r="C69" s="14" t="s">
        <v>502</v>
      </c>
      <c r="D69" s="14" t="s">
        <v>313</v>
      </c>
      <c r="E69" s="15" t="s">
        <v>503</v>
      </c>
      <c r="F69" s="14" t="s">
        <v>450</v>
      </c>
      <c r="G69" s="14" t="s">
        <v>465</v>
      </c>
      <c r="H69" s="68">
        <v>2540</v>
      </c>
      <c r="I69" s="17">
        <v>44986</v>
      </c>
      <c r="J69" s="17"/>
      <c r="K69" s="68">
        <v>4600</v>
      </c>
      <c r="L69" s="16"/>
      <c r="M69" s="16"/>
      <c r="N69" s="68">
        <v>300</v>
      </c>
      <c r="O69" s="68">
        <v>0</v>
      </c>
      <c r="P69" s="16"/>
      <c r="Q69" s="68">
        <v>12</v>
      </c>
      <c r="R69" s="68">
        <f t="shared" si="10"/>
        <v>951.72000000000003</v>
      </c>
      <c r="S69" s="18"/>
      <c r="T69" s="16"/>
      <c r="U69" s="16"/>
      <c r="V69" s="16"/>
      <c r="W69" s="16"/>
      <c r="X69" s="16"/>
      <c r="Y69" s="16"/>
      <c r="Z69" s="16"/>
      <c r="AA69" s="16"/>
      <c r="AB69" s="18"/>
      <c r="AC69" s="68">
        <f t="shared" si="11"/>
        <v>5851.7200000000003</v>
      </c>
      <c r="AD69" s="68">
        <v>681.60</v>
      </c>
      <c r="AE69" s="68">
        <v>173.40</v>
      </c>
      <c r="AF69" s="68">
        <v>42.60</v>
      </c>
      <c r="AG69" s="68">
        <v>1022</v>
      </c>
      <c r="AH69" s="68">
        <f t="shared" si="7"/>
        <v>3932.1199999999999</v>
      </c>
      <c r="AI69" s="68">
        <f>MAX(ROUND(MAX((AH69+AR69-5000*AQ69-AT69)*{0.03,0.1,0.2,0.25,0.3,0.35,0.45}-{0,2520,16920,31920,52920,85920,181920},0)-AS69,2),0)</f>
        <v>0</v>
      </c>
      <c r="AJ69" s="18"/>
      <c r="AK69" s="16"/>
      <c r="AL69" s="68">
        <f>ROUND(LOOKUP(MAX(0.0001,AK69/12),{0;6;24;50;70;110;160}*500+0.0001,5*MAX(0,AK69)*{0.6;2;4;5;6;7;9}%-10*{0;21;141;266;441;716;1516}),2)</f>
        <v>0</v>
      </c>
      <c r="AM69" s="68">
        <f t="shared" si="8"/>
        <v>5851.7200000000003</v>
      </c>
      <c r="AN69" s="16"/>
      <c r="AO69" s="16"/>
      <c r="AP69" s="68">
        <f t="shared" si="9"/>
        <v>3932.1199999999999</v>
      </c>
      <c r="AQ69" s="83">
        <v>6</v>
      </c>
      <c r="AR69" s="19">
        <v>25268.72</v>
      </c>
      <c r="AS69" s="84">
        <v>111.24</v>
      </c>
      <c r="AT69" s="85">
        <v>0</v>
      </c>
      <c r="AU69" s="16" t="s">
        <v>211</v>
      </c>
      <c r="AV69" s="19"/>
      <c r="AW69" s="19"/>
      <c r="AX69" s="19"/>
    </row>
    <row r="70" spans="1:50" s="20" customFormat="1" ht="16.5" customHeight="1">
      <c r="A70" s="14">
        <v>69</v>
      </c>
      <c r="B70" s="14" t="s">
        <v>541</v>
      </c>
      <c r="C70" s="14" t="s">
        <v>504</v>
      </c>
      <c r="D70" s="14" t="s">
        <v>315</v>
      </c>
      <c r="E70" s="15" t="s">
        <v>505</v>
      </c>
      <c r="F70" s="14" t="s">
        <v>476</v>
      </c>
      <c r="G70" s="14" t="s">
        <v>456</v>
      </c>
      <c r="H70" s="68">
        <v>2740</v>
      </c>
      <c r="I70" s="17">
        <v>44999</v>
      </c>
      <c r="J70" s="17"/>
      <c r="K70" s="68">
        <v>5500</v>
      </c>
      <c r="L70" s="16"/>
      <c r="M70" s="16"/>
      <c r="N70" s="16"/>
      <c r="O70" s="68">
        <v>0</v>
      </c>
      <c r="P70" s="16"/>
      <c r="Q70" s="68">
        <v>0</v>
      </c>
      <c r="R70" s="68">
        <f t="shared" si="10"/>
        <v>0</v>
      </c>
      <c r="S70" s="18"/>
      <c r="T70" s="16"/>
      <c r="U70" s="16"/>
      <c r="V70" s="68">
        <v>3000</v>
      </c>
      <c r="W70" s="16"/>
      <c r="X70" s="16"/>
      <c r="Y70" s="16"/>
      <c r="Z70" s="16"/>
      <c r="AA70" s="16"/>
      <c r="AB70" s="21"/>
      <c r="AC70" s="68">
        <f t="shared" si="11"/>
        <v>8500</v>
      </c>
      <c r="AD70" s="68">
        <v>1305.80</v>
      </c>
      <c r="AE70" s="68">
        <v>326.45</v>
      </c>
      <c r="AF70" s="68">
        <v>81.61</v>
      </c>
      <c r="AG70" s="68">
        <v>1143</v>
      </c>
      <c r="AH70" s="68">
        <f t="shared" si="7"/>
        <v>5643.1400000000003</v>
      </c>
      <c r="AI70" s="68">
        <f>MAX(ROUND(MAX((AH70+AR70-5000*AQ70-AT70)*{0.03,0.1,0.2,0.25,0.3,0.35,0.45}-{0,2520,16920,31920,52920,85920,181920},0)-AS70,2),0)</f>
        <v>350</v>
      </c>
      <c r="AJ70" s="18"/>
      <c r="AK70" s="16"/>
      <c r="AL70" s="68">
        <f>ROUND(LOOKUP(MAX(0.0001,AK70/12),{0;6;24;50;70;110;160}*500+0.0001,5*MAX(0,AK70)*{0.6;2;4;5;6;7;9}%-10*{0;21;141;266;441;716;1516}),2)</f>
        <v>0</v>
      </c>
      <c r="AM70" s="68">
        <f t="shared" si="8"/>
        <v>8500</v>
      </c>
      <c r="AN70" s="16"/>
      <c r="AO70" s="16"/>
      <c r="AP70" s="68">
        <f t="shared" si="9"/>
        <v>5293.1400000000003</v>
      </c>
      <c r="AQ70" s="83">
        <v>6</v>
      </c>
      <c r="AR70" s="19">
        <v>68202.98</v>
      </c>
      <c r="AS70" s="84">
        <v>1514.61</v>
      </c>
      <c r="AT70" s="85">
        <v>0</v>
      </c>
      <c r="AU70" s="16" t="s">
        <v>209</v>
      </c>
      <c r="AV70" s="19"/>
      <c r="AW70" s="19"/>
      <c r="AX70" s="19"/>
    </row>
    <row r="71" spans="1:50" s="20" customFormat="1" ht="16.5" customHeight="1">
      <c r="A71" s="14">
        <v>70</v>
      </c>
      <c r="B71" s="14" t="s">
        <v>541</v>
      </c>
      <c r="C71" s="14" t="s">
        <v>195</v>
      </c>
      <c r="D71" s="14" t="s">
        <v>317</v>
      </c>
      <c r="E71" s="15" t="s">
        <v>318</v>
      </c>
      <c r="F71" s="14" t="s">
        <v>430</v>
      </c>
      <c r="G71" s="14" t="s">
        <v>493</v>
      </c>
      <c r="H71" s="68">
        <v>2400</v>
      </c>
      <c r="I71" s="17">
        <v>45017</v>
      </c>
      <c r="J71" s="17"/>
      <c r="K71" s="68">
        <v>3600</v>
      </c>
      <c r="L71" s="16"/>
      <c r="M71" s="16"/>
      <c r="N71" s="68">
        <v>300</v>
      </c>
      <c r="O71" s="68">
        <v>32</v>
      </c>
      <c r="P71" s="16"/>
      <c r="Q71" s="68">
        <v>16</v>
      </c>
      <c r="R71" s="68">
        <f t="shared" si="10"/>
        <v>1986.21</v>
      </c>
      <c r="S71" s="18"/>
      <c r="T71" s="16"/>
      <c r="U71" s="16"/>
      <c r="V71" s="68">
        <v>1000</v>
      </c>
      <c r="W71" s="68">
        <v>1500</v>
      </c>
      <c r="X71" s="16"/>
      <c r="Y71" s="16"/>
      <c r="Z71" s="16"/>
      <c r="AA71" s="16"/>
      <c r="AB71" s="18"/>
      <c r="AC71" s="68">
        <f t="shared" si="11"/>
        <v>8386.2099999999991</v>
      </c>
      <c r="AD71" s="68">
        <v>654.48</v>
      </c>
      <c r="AE71" s="68">
        <v>170.62</v>
      </c>
      <c r="AF71" s="68">
        <v>24.54</v>
      </c>
      <c r="AG71" s="68">
        <v>654.44000000000005</v>
      </c>
      <c r="AH71" s="68">
        <f t="shared" si="7"/>
        <v>6882.1299999999992</v>
      </c>
      <c r="AI71" s="68">
        <f>MAX(ROUND(MAX((AH71+AR71-5000*AQ71-AT71)*{0.03,0.1,0.2,0.25,0.3,0.35,0.45}-{0,2520,16920,31920,52920,85920,181920},0)-AS71,2),0)</f>
        <v>0</v>
      </c>
      <c r="AJ71" s="18"/>
      <c r="AK71" s="16"/>
      <c r="AL71" s="68">
        <f>ROUND(LOOKUP(MAX(0.0001,AK71/12),{0;6;24;50;70;110;160}*500+0.0001,5*MAX(0,AK71)*{0.6;2;4;5;6;7;9}%-10*{0;21;141;266;441;716;1516}),2)</f>
        <v>0</v>
      </c>
      <c r="AM71" s="68">
        <f t="shared" si="8"/>
        <v>8386.2099999999991</v>
      </c>
      <c r="AN71" s="16"/>
      <c r="AO71" s="16"/>
      <c r="AP71" s="68">
        <f t="shared" si="9"/>
        <v>6882.1300000000001</v>
      </c>
      <c r="AQ71" s="83">
        <v>6</v>
      </c>
      <c r="AR71" s="19">
        <v>32274.64</v>
      </c>
      <c r="AS71" s="84">
        <v>79.349999999999994</v>
      </c>
      <c r="AT71" s="85">
        <v>14991</v>
      </c>
      <c r="AU71" s="16" t="s">
        <v>424</v>
      </c>
      <c r="AV71" s="19"/>
      <c r="AW71" s="19"/>
      <c r="AX71" s="19"/>
    </row>
    <row r="72" spans="1:50" s="20" customFormat="1" ht="16.9" customHeight="1">
      <c r="A72" s="14">
        <v>71</v>
      </c>
      <c r="B72" s="14" t="s">
        <v>541</v>
      </c>
      <c r="C72" s="14" t="s">
        <v>506</v>
      </c>
      <c r="D72" s="14" t="s">
        <v>507</v>
      </c>
      <c r="E72" s="15" t="s">
        <v>508</v>
      </c>
      <c r="F72" s="14" t="s">
        <v>430</v>
      </c>
      <c r="G72" s="14" t="s">
        <v>509</v>
      </c>
      <c r="H72" s="68">
        <v>2240</v>
      </c>
      <c r="I72" s="17">
        <v>45108</v>
      </c>
      <c r="J72" s="17">
        <v>46173</v>
      </c>
      <c r="K72" s="68">
        <v>3600</v>
      </c>
      <c r="L72" s="16">
        <f>-K72</f>
        <v>-3600</v>
      </c>
      <c r="M72" s="16"/>
      <c r="N72" s="16"/>
      <c r="O72" s="68">
        <v>13</v>
      </c>
      <c r="P72" s="16"/>
      <c r="Q72" s="68">
        <v>17</v>
      </c>
      <c r="R72" s="68">
        <f t="shared" si="10"/>
        <v>1458.6199999999999</v>
      </c>
      <c r="S72" s="18"/>
      <c r="T72" s="16"/>
      <c r="U72" s="18"/>
      <c r="V72" s="68">
        <v>16.03</v>
      </c>
      <c r="W72" s="16"/>
      <c r="X72" s="16"/>
      <c r="Y72" s="16"/>
      <c r="Z72" s="16"/>
      <c r="AA72" s="16"/>
      <c r="AB72" s="18"/>
      <c r="AC72" s="68">
        <f t="shared" si="11"/>
        <v>1474.6500000000001</v>
      </c>
      <c r="AD72" s="16"/>
      <c r="AE72" s="16"/>
      <c r="AF72" s="16"/>
      <c r="AG72" s="16"/>
      <c r="AH72" s="68">
        <f t="shared" si="7"/>
        <v>1474.6500000000001</v>
      </c>
      <c r="AI72" s="68">
        <f>MAX(ROUND(MAX((AH72+AR72-5000*AQ72-AT72)*{0.03,0.1,0.2,0.25,0.3,0.35,0.45}-{0,2520,16920,31920,52920,85920,181920},0)-AS72,2),0)</f>
        <v>0</v>
      </c>
      <c r="AJ72" s="18"/>
      <c r="AK72" s="16"/>
      <c r="AL72" s="68">
        <f>ROUND(LOOKUP(MAX(0.0001,AK72/12),{0;6;24;50;70;110;160}*500+0.0001,5*MAX(0,AK72)*{0.6;2;4;5;6;7;9}%-10*{0;21;141;266;441;716;1516}),2)</f>
        <v>0</v>
      </c>
      <c r="AM72" s="68">
        <f t="shared" si="8"/>
        <v>1474.6500000000001</v>
      </c>
      <c r="AN72" s="16"/>
      <c r="AO72" s="16"/>
      <c r="AP72" s="68">
        <f t="shared" si="9"/>
        <v>1474.6500000000001</v>
      </c>
      <c r="AQ72" s="83">
        <v>6</v>
      </c>
      <c r="AR72" s="19">
        <v>29220.449999999997</v>
      </c>
      <c r="AS72" s="84">
        <v>128.82</v>
      </c>
      <c r="AT72" s="85">
        <v>0</v>
      </c>
      <c r="AU72" s="16" t="s">
        <v>424</v>
      </c>
      <c r="AV72" s="19"/>
      <c r="AW72" s="19"/>
      <c r="AX72" s="19"/>
    </row>
    <row r="73" spans="1:50" s="20" customFormat="1" ht="16.5" customHeight="1">
      <c r="A73" s="14">
        <v>72</v>
      </c>
      <c r="B73" s="14" t="s">
        <v>541</v>
      </c>
      <c r="C73" s="14" t="s">
        <v>320</v>
      </c>
      <c r="D73" s="14" t="s">
        <v>510</v>
      </c>
      <c r="E73" s="15" t="s">
        <v>206</v>
      </c>
      <c r="F73" s="14" t="s">
        <v>459</v>
      </c>
      <c r="G73" s="14" t="s">
        <v>498</v>
      </c>
      <c r="H73" s="68">
        <v>2330</v>
      </c>
      <c r="I73" s="17">
        <v>45231</v>
      </c>
      <c r="J73" s="17"/>
      <c r="K73" s="68">
        <v>8000</v>
      </c>
      <c r="L73" s="16"/>
      <c r="M73" s="16"/>
      <c r="N73" s="68">
        <v>200</v>
      </c>
      <c r="O73" s="68">
        <v>20</v>
      </c>
      <c r="P73" s="16"/>
      <c r="Q73" s="68">
        <v>16</v>
      </c>
      <c r="R73" s="68">
        <f t="shared" si="10"/>
        <v>3586.21</v>
      </c>
      <c r="S73" s="18"/>
      <c r="T73" s="16"/>
      <c r="U73" s="16"/>
      <c r="V73" s="68">
        <v>647.76</v>
      </c>
      <c r="W73" s="16"/>
      <c r="X73" s="16"/>
      <c r="Y73" s="16"/>
      <c r="Z73" s="16"/>
      <c r="AA73" s="16"/>
      <c r="AB73" s="18"/>
      <c r="AC73" s="68">
        <f t="shared" si="11"/>
        <v>12433.969999999999</v>
      </c>
      <c r="AD73" s="68">
        <v>772.08</v>
      </c>
      <c r="AE73" s="68">
        <v>193.01999999999998</v>
      </c>
      <c r="AF73" s="68">
        <v>38.61</v>
      </c>
      <c r="AG73" s="68">
        <v>737</v>
      </c>
      <c r="AH73" s="68">
        <f t="shared" si="7"/>
        <v>10693.259999999998</v>
      </c>
      <c r="AI73" s="68">
        <f>MAX(ROUND(MAX((AH73+AR73-5000*AQ73-AT73)*{0.03,0.1,0.2,0.25,0.3,0.35,0.45}-{0,2520,16920,31920,52920,85920,181920},0)-AS73,2),0)</f>
        <v>377.99000000000001</v>
      </c>
      <c r="AJ73" s="18"/>
      <c r="AK73" s="16"/>
      <c r="AL73" s="68">
        <f>ROUND(LOOKUP(MAX(0.0001,AK73/12),{0;6;24;50;70;110;160}*500+0.0001,5*MAX(0,AK73)*{0.6;2;4;5;6;7;9}%-10*{0;21;141;266;441;716;1516}),2)</f>
        <v>0</v>
      </c>
      <c r="AM73" s="68">
        <f t="shared" si="8"/>
        <v>12433.969999999999</v>
      </c>
      <c r="AN73" s="16"/>
      <c r="AO73" s="16"/>
      <c r="AP73" s="68">
        <f t="shared" si="9"/>
        <v>10315.27</v>
      </c>
      <c r="AQ73" s="83">
        <v>6</v>
      </c>
      <c r="AR73" s="19">
        <v>63724.609999999986</v>
      </c>
      <c r="AS73" s="84">
        <v>943.80</v>
      </c>
      <c r="AT73" s="85">
        <v>6000</v>
      </c>
      <c r="AU73" s="16" t="s">
        <v>226</v>
      </c>
      <c r="AV73" s="19"/>
      <c r="AW73" s="19"/>
      <c r="AX73" s="19"/>
    </row>
    <row r="74" spans="1:50" s="20" customFormat="1" ht="16.5" customHeight="1">
      <c r="A74" s="14">
        <v>73</v>
      </c>
      <c r="B74" s="14" t="s">
        <v>541</v>
      </c>
      <c r="C74" s="14" t="s">
        <v>323</v>
      </c>
      <c r="D74" s="14" t="s">
        <v>511</v>
      </c>
      <c r="E74" s="15" t="s">
        <v>324</v>
      </c>
      <c r="F74" s="14" t="s">
        <v>470</v>
      </c>
      <c r="G74" s="14" t="s">
        <v>512</v>
      </c>
      <c r="H74" s="68">
        <v>2520</v>
      </c>
      <c r="I74" s="17">
        <v>45231</v>
      </c>
      <c r="J74" s="17"/>
      <c r="K74" s="68">
        <v>4200</v>
      </c>
      <c r="L74" s="16"/>
      <c r="M74" s="16"/>
      <c r="N74" s="68">
        <v>200</v>
      </c>
      <c r="O74" s="68">
        <v>0</v>
      </c>
      <c r="P74" s="16"/>
      <c r="Q74" s="68">
        <v>16</v>
      </c>
      <c r="R74" s="68">
        <f t="shared" si="10"/>
        <v>1158.6199999999999</v>
      </c>
      <c r="S74" s="18"/>
      <c r="T74" s="16"/>
      <c r="U74" s="16"/>
      <c r="V74" s="68">
        <v>5768</v>
      </c>
      <c r="W74" s="16"/>
      <c r="X74" s="16"/>
      <c r="Y74" s="16"/>
      <c r="Z74" s="16"/>
      <c r="AA74" s="16"/>
      <c r="AB74" s="18"/>
      <c r="AC74" s="68">
        <f t="shared" si="11"/>
        <v>11326.620000000001</v>
      </c>
      <c r="AD74" s="68">
        <v>721.64</v>
      </c>
      <c r="AE74" s="68">
        <v>180.41</v>
      </c>
      <c r="AF74" s="68">
        <v>18.04</v>
      </c>
      <c r="AG74" s="68">
        <v>631.43999999999994</v>
      </c>
      <c r="AH74" s="68">
        <f t="shared" si="7"/>
        <v>9775.0900000000001</v>
      </c>
      <c r="AI74" s="68">
        <f>MAX(ROUND(MAX((AH74+AR74-5000*AQ74-AT74)*{0.03,0.1,0.2,0.25,0.3,0.35,0.45}-{0,2520,16920,31920,52920,85920,181920},0)-AS74,2),0)</f>
        <v>89.290000000000006</v>
      </c>
      <c r="AJ74" s="18"/>
      <c r="AK74" s="16"/>
      <c r="AL74" s="68">
        <f>ROUND(LOOKUP(MAX(0.0001,AK74/12),{0;6;24;50;70;110;160}*500+0.0001,5*MAX(0,AK74)*{0.6;2;4;5;6;7;9}%-10*{0;21;141;266;441;716;1516}),2)</f>
        <v>0</v>
      </c>
      <c r="AM74" s="68">
        <f t="shared" si="8"/>
        <v>11326.620000000001</v>
      </c>
      <c r="AN74" s="16"/>
      <c r="AO74" s="16"/>
      <c r="AP74" s="68">
        <f t="shared" si="9"/>
        <v>9685.7999999999993</v>
      </c>
      <c r="AQ74" s="83">
        <v>6</v>
      </c>
      <c r="AR74" s="19">
        <v>55908.259999999995</v>
      </c>
      <c r="AS74" s="84">
        <v>711.20999999999992</v>
      </c>
      <c r="AT74" s="85">
        <v>9000</v>
      </c>
      <c r="AU74" s="16" t="s">
        <v>326</v>
      </c>
      <c r="AV74" s="19"/>
      <c r="AW74" s="19"/>
      <c r="AX74" s="19"/>
    </row>
    <row r="75" spans="1:50" s="20" customFormat="1" ht="16.5" customHeight="1">
      <c r="A75" s="14">
        <v>74</v>
      </c>
      <c r="B75" s="14" t="s">
        <v>541</v>
      </c>
      <c r="C75" s="14" t="s">
        <v>513</v>
      </c>
      <c r="D75" s="14" t="s">
        <v>327</v>
      </c>
      <c r="E75" s="15" t="s">
        <v>514</v>
      </c>
      <c r="F75" s="14" t="s">
        <v>459</v>
      </c>
      <c r="G75" s="14" t="s">
        <v>465</v>
      </c>
      <c r="H75" s="68">
        <v>2540</v>
      </c>
      <c r="I75" s="17">
        <v>45274</v>
      </c>
      <c r="J75" s="17"/>
      <c r="K75" s="68">
        <v>8000</v>
      </c>
      <c r="L75" s="16"/>
      <c r="M75" s="16"/>
      <c r="N75" s="68">
        <v>200</v>
      </c>
      <c r="O75" s="68">
        <v>0</v>
      </c>
      <c r="P75" s="16"/>
      <c r="Q75" s="68">
        <v>12</v>
      </c>
      <c r="R75" s="68">
        <f t="shared" si="10"/>
        <v>1655.1700000000001</v>
      </c>
      <c r="S75" s="18"/>
      <c r="T75" s="16"/>
      <c r="U75" s="16"/>
      <c r="V75" s="68">
        <v>728.10</v>
      </c>
      <c r="W75" s="16"/>
      <c r="X75" s="16"/>
      <c r="Y75" s="16"/>
      <c r="Z75" s="16"/>
      <c r="AA75" s="16"/>
      <c r="AB75" s="18"/>
      <c r="AC75" s="68">
        <f t="shared" si="11"/>
        <v>10583.27</v>
      </c>
      <c r="AD75" s="68">
        <v>794.16</v>
      </c>
      <c r="AE75" s="68">
        <v>201.54</v>
      </c>
      <c r="AF75" s="68">
        <v>49.64</v>
      </c>
      <c r="AG75" s="68">
        <v>1191</v>
      </c>
      <c r="AH75" s="68">
        <f t="shared" si="7"/>
        <v>8346.9300000000003</v>
      </c>
      <c r="AI75" s="68">
        <f>MAX(ROUND(MAX((AH75+AR75-5000*AQ75-AT75)*{0.03,0.1,0.2,0.25,0.3,0.35,0.45}-{0,2520,16920,31920,52920,85920,181920},0)-AS75,2),0)</f>
        <v>167.5</v>
      </c>
      <c r="AJ75" s="18"/>
      <c r="AK75" s="16"/>
      <c r="AL75" s="68">
        <f>ROUND(LOOKUP(MAX(0.0001,AK75/12),{0;6;24;50;70;110;160}*500+0.0001,5*MAX(0,AK75)*{0.6;2;4;5;6;7;9}%-10*{0;21;141;266;441;716;1516}),2)</f>
        <v>0</v>
      </c>
      <c r="AM75" s="68">
        <f t="shared" si="8"/>
        <v>10583.27</v>
      </c>
      <c r="AN75" s="16"/>
      <c r="AO75" s="16"/>
      <c r="AP75" s="68">
        <f t="shared" si="9"/>
        <v>8179.4300000000003</v>
      </c>
      <c r="AQ75" s="83">
        <v>6</v>
      </c>
      <c r="AR75" s="19">
        <v>42242.96</v>
      </c>
      <c r="AS75" s="84">
        <v>450.20</v>
      </c>
      <c r="AT75" s="85">
        <v>0</v>
      </c>
      <c r="AU75" s="16" t="s">
        <v>211</v>
      </c>
      <c r="AV75" s="19"/>
      <c r="AW75" s="19"/>
      <c r="AX75" s="19"/>
    </row>
    <row r="76" spans="1:50" s="20" customFormat="1" ht="16.5" customHeight="1">
      <c r="A76" s="14">
        <v>75</v>
      </c>
      <c r="B76" s="14" t="s">
        <v>541</v>
      </c>
      <c r="C76" s="14" t="s">
        <v>515</v>
      </c>
      <c r="D76" s="14" t="s">
        <v>516</v>
      </c>
      <c r="E76" s="15" t="s">
        <v>517</v>
      </c>
      <c r="F76" s="14" t="s">
        <v>470</v>
      </c>
      <c r="G76" s="14" t="s">
        <v>465</v>
      </c>
      <c r="H76" s="68">
        <v>2540</v>
      </c>
      <c r="I76" s="17">
        <v>45384</v>
      </c>
      <c r="J76" s="17">
        <v>46155</v>
      </c>
      <c r="K76" s="68">
        <v>3800</v>
      </c>
      <c r="L76" s="16">
        <f>-K76</f>
        <v>-3800</v>
      </c>
      <c r="M76" s="16"/>
      <c r="N76" s="16"/>
      <c r="O76" s="68">
        <v>0</v>
      </c>
      <c r="P76" s="16"/>
      <c r="Q76" s="68">
        <v>20</v>
      </c>
      <c r="R76" s="68">
        <f t="shared" si="10"/>
        <v>1310.3399999999999</v>
      </c>
      <c r="S76" s="18"/>
      <c r="T76" s="16"/>
      <c r="U76" s="16"/>
      <c r="V76" s="68">
        <v>1782.15</v>
      </c>
      <c r="W76" s="16"/>
      <c r="X76" s="16"/>
      <c r="Y76" s="16"/>
      <c r="Z76" s="16"/>
      <c r="AA76" s="16"/>
      <c r="AB76" s="21"/>
      <c r="AC76" s="68">
        <f t="shared" si="11"/>
        <v>3092.4899999999998</v>
      </c>
      <c r="AD76" s="16"/>
      <c r="AE76" s="16"/>
      <c r="AF76" s="16"/>
      <c r="AG76" s="16"/>
      <c r="AH76" s="68">
        <f t="shared" si="7"/>
        <v>3092.4899999999998</v>
      </c>
      <c r="AI76" s="68">
        <f>MAX(ROUND(MAX((AH76+AR76-5000*AQ76-AT76)*{0.03,0.1,0.2,0.25,0.3,0.35,0.45}-{0,2520,16920,31920,52920,85920,181920},0)-AS76,2),0)</f>
        <v>0</v>
      </c>
      <c r="AJ76" s="18"/>
      <c r="AK76" s="16"/>
      <c r="AL76" s="68">
        <f>ROUND(LOOKUP(MAX(0.0001,AK76/12),{0;6;24;50;70;110;160}*500+0.0001,5*MAX(0,AK76)*{0.6;2;4;5;6;7;9}%-10*{0;21;141;266;441;716;1516}),2)</f>
        <v>0</v>
      </c>
      <c r="AM76" s="68">
        <f t="shared" si="8"/>
        <v>3092.4899999999998</v>
      </c>
      <c r="AN76" s="16"/>
      <c r="AO76" s="16"/>
      <c r="AP76" s="68">
        <f t="shared" si="9"/>
        <v>3092.4899999999998</v>
      </c>
      <c r="AQ76" s="83">
        <v>6</v>
      </c>
      <c r="AR76" s="19">
        <v>33086.389999999992</v>
      </c>
      <c r="AS76" s="84">
        <v>374.37</v>
      </c>
      <c r="AT76" s="85">
        <v>0</v>
      </c>
      <c r="AU76" s="16" t="s">
        <v>211</v>
      </c>
      <c r="AV76" s="19"/>
      <c r="AW76" s="19"/>
      <c r="AX76" s="19"/>
    </row>
    <row r="77" spans="1:50" s="20" customFormat="1" ht="16.5" customHeight="1">
      <c r="A77" s="14">
        <v>76</v>
      </c>
      <c r="B77" s="14" t="s">
        <v>541</v>
      </c>
      <c r="C77" s="14" t="s">
        <v>518</v>
      </c>
      <c r="D77" s="14" t="s">
        <v>328</v>
      </c>
      <c r="E77" s="15" t="s">
        <v>330</v>
      </c>
      <c r="F77" s="14" t="s">
        <v>470</v>
      </c>
      <c r="G77" s="14" t="s">
        <v>499</v>
      </c>
      <c r="H77" s="68">
        <v>2240</v>
      </c>
      <c r="I77" s="17">
        <v>45397</v>
      </c>
      <c r="J77" s="17"/>
      <c r="K77" s="68">
        <v>3600</v>
      </c>
      <c r="L77" s="16"/>
      <c r="M77" s="16"/>
      <c r="N77" s="68">
        <v>200</v>
      </c>
      <c r="O77" s="68">
        <v>19.50</v>
      </c>
      <c r="P77" s="16"/>
      <c r="Q77" s="68">
        <v>17</v>
      </c>
      <c r="R77" s="68">
        <f t="shared" si="10"/>
        <v>1660.3399999999999</v>
      </c>
      <c r="S77" s="18"/>
      <c r="T77" s="16"/>
      <c r="U77" s="16"/>
      <c r="V77" s="68">
        <v>16654.82</v>
      </c>
      <c r="W77" s="16"/>
      <c r="X77" s="16"/>
      <c r="Y77" s="16"/>
      <c r="Z77" s="16"/>
      <c r="AA77" s="16"/>
      <c r="AB77" s="18"/>
      <c r="AC77" s="16">
        <f t="shared" si="11"/>
        <v>22115.16</v>
      </c>
      <c r="AD77" s="68">
        <v>527.69000000000005</v>
      </c>
      <c r="AE77" s="68">
        <v>147.73999999999998</v>
      </c>
      <c r="AF77" s="68">
        <v>32.979999999999997</v>
      </c>
      <c r="AG77" s="68">
        <v>792</v>
      </c>
      <c r="AH77" s="16">
        <f t="shared" si="7"/>
        <v>20614.75</v>
      </c>
      <c r="AI77" s="68">
        <f>MAX(ROUND(MAX((AH77+AR77-5000*AQ77-AT77)*{0.03,0.1,0.2,0.25,0.3,0.35,0.45}-{0,2520,16920,31920,52920,85920,181920},0)-AS77,2),0)</f>
        <v>365.94</v>
      </c>
      <c r="AJ77" s="18"/>
      <c r="AK77" s="16"/>
      <c r="AL77" s="68">
        <f>ROUND(LOOKUP(MAX(0.0001,AK77/12),{0;6;24;50;70;110;160}*500+0.0001,5*MAX(0,AK77)*{0.6;2;4;5;6;7;9}%-10*{0;21;141;266;441;716;1516}),2)</f>
        <v>0</v>
      </c>
      <c r="AM77" s="16">
        <f t="shared" si="8"/>
        <v>22115.16</v>
      </c>
      <c r="AN77" s="16"/>
      <c r="AO77" s="16"/>
      <c r="AP77" s="16">
        <f t="shared" si="9"/>
        <v>20248.810000000001</v>
      </c>
      <c r="AQ77" s="83">
        <v>6</v>
      </c>
      <c r="AR77" s="19">
        <v>27409.380000000005</v>
      </c>
      <c r="AS77" s="84">
        <v>174.78</v>
      </c>
      <c r="AT77" s="85">
        <v>0</v>
      </c>
      <c r="AU77" s="16" t="s">
        <v>424</v>
      </c>
      <c r="AV77" s="19"/>
      <c r="AW77" s="19"/>
      <c r="AX77" s="19"/>
    </row>
    <row r="78" spans="1:50" s="20" customFormat="1" ht="16.5" customHeight="1">
      <c r="A78" s="14">
        <v>77</v>
      </c>
      <c r="B78" s="14" t="s">
        <v>541</v>
      </c>
      <c r="C78" s="14" t="s">
        <v>519</v>
      </c>
      <c r="D78" s="14" t="s">
        <v>331</v>
      </c>
      <c r="E78" s="15" t="s">
        <v>333</v>
      </c>
      <c r="F78" s="14" t="s">
        <v>450</v>
      </c>
      <c r="G78" s="14" t="s">
        <v>493</v>
      </c>
      <c r="H78" s="68">
        <v>2400</v>
      </c>
      <c r="I78" s="17">
        <v>45434</v>
      </c>
      <c r="J78" s="17"/>
      <c r="K78" s="68">
        <v>4400</v>
      </c>
      <c r="L78" s="16"/>
      <c r="M78" s="16"/>
      <c r="N78" s="68">
        <v>200</v>
      </c>
      <c r="O78" s="68">
        <v>3</v>
      </c>
      <c r="P78" s="16"/>
      <c r="Q78" s="68">
        <v>16</v>
      </c>
      <c r="R78" s="68">
        <f t="shared" si="10"/>
        <v>1327.5899999999999</v>
      </c>
      <c r="S78" s="18"/>
      <c r="T78" s="16"/>
      <c r="U78" s="16"/>
      <c r="V78" s="68">
        <v>1862.54</v>
      </c>
      <c r="W78" s="16"/>
      <c r="X78" s="16"/>
      <c r="Y78" s="16"/>
      <c r="Z78" s="16"/>
      <c r="AA78" s="16"/>
      <c r="AB78" s="18"/>
      <c r="AC78" s="68">
        <f t="shared" si="11"/>
        <v>7790.1300000000001</v>
      </c>
      <c r="AD78" s="68">
        <v>543.36</v>
      </c>
      <c r="AE78" s="68">
        <v>142.84</v>
      </c>
      <c r="AF78" s="68">
        <v>20.38</v>
      </c>
      <c r="AG78" s="68">
        <v>543.35</v>
      </c>
      <c r="AH78" s="68">
        <f t="shared" si="7"/>
        <v>6540.1999999999998</v>
      </c>
      <c r="AI78" s="68">
        <f>MAX(ROUND(MAX((AH78+AR78-5000*AQ78-AT78)*{0.03,0.1,0.2,0.25,0.3,0.35,0.45}-{0,2520,16920,31920,52920,85920,181920},0)-AS78,2),0)</f>
        <v>83.700000000000003</v>
      </c>
      <c r="AJ78" s="18"/>
      <c r="AK78" s="16"/>
      <c r="AL78" s="68">
        <f>ROUND(LOOKUP(MAX(0.0001,AK78/12),{0;6;24;50;70;110;160}*500+0.0001,5*MAX(0,AK78)*{0.6;2;4;5;6;7;9}%-10*{0;21;141;266;441;716;1516}),2)</f>
        <v>0</v>
      </c>
      <c r="AM78" s="68">
        <f t="shared" si="8"/>
        <v>7790.1300000000001</v>
      </c>
      <c r="AN78" s="16"/>
      <c r="AO78" s="16"/>
      <c r="AP78" s="68">
        <f t="shared" si="9"/>
        <v>6456.5</v>
      </c>
      <c r="AQ78" s="83">
        <v>6</v>
      </c>
      <c r="AR78" s="19">
        <v>54299.20</v>
      </c>
      <c r="AS78" s="84">
        <v>841.48</v>
      </c>
      <c r="AT78" s="85">
        <v>0</v>
      </c>
      <c r="AU78" s="16" t="s">
        <v>424</v>
      </c>
      <c r="AV78" s="19"/>
      <c r="AW78" s="19"/>
      <c r="AX78" s="19"/>
    </row>
    <row r="79" spans="1:50" s="20" customFormat="1" ht="16.5" customHeight="1">
      <c r="A79" s="14">
        <v>78</v>
      </c>
      <c r="B79" s="14" t="s">
        <v>541</v>
      </c>
      <c r="C79" s="14" t="s">
        <v>520</v>
      </c>
      <c r="D79" s="14" t="s">
        <v>521</v>
      </c>
      <c r="E79" s="15" t="s">
        <v>522</v>
      </c>
      <c r="F79" s="14" t="s">
        <v>470</v>
      </c>
      <c r="G79" s="14" t="s">
        <v>499</v>
      </c>
      <c r="H79" s="68">
        <v>2240</v>
      </c>
      <c r="I79" s="17">
        <v>45734</v>
      </c>
      <c r="J79" s="17">
        <v>46173</v>
      </c>
      <c r="K79" s="68">
        <v>3600</v>
      </c>
      <c r="L79" s="16">
        <f>-K79</f>
        <v>-3600</v>
      </c>
      <c r="M79" s="16"/>
      <c r="N79" s="16"/>
      <c r="O79" s="68">
        <v>13.50</v>
      </c>
      <c r="P79" s="16"/>
      <c r="Q79" s="68">
        <v>17.50</v>
      </c>
      <c r="R79" s="68">
        <f t="shared" si="10"/>
        <v>1505.1700000000001</v>
      </c>
      <c r="S79" s="18"/>
      <c r="T79" s="16"/>
      <c r="U79" s="16"/>
      <c r="V79" s="68">
        <v>16.03</v>
      </c>
      <c r="W79" s="16"/>
      <c r="X79" s="16"/>
      <c r="Y79" s="16"/>
      <c r="Z79" s="16"/>
      <c r="AA79" s="16"/>
      <c r="AB79" s="18"/>
      <c r="AC79" s="68">
        <f t="shared" si="11"/>
        <v>1521.2</v>
      </c>
      <c r="AD79" s="16"/>
      <c r="AE79" s="16"/>
      <c r="AF79" s="16"/>
      <c r="AG79" s="16"/>
      <c r="AH79" s="68">
        <f t="shared" si="7"/>
        <v>1521.2</v>
      </c>
      <c r="AI79" s="68">
        <f>MAX(ROUND(MAX((AH79+AR79-5000*AQ79-AT79)*{0.03,0.1,0.2,0.25,0.3,0.35,0.45}-{0,2520,16920,31920,52920,85920,181920},0)-AS79,2),0)</f>
        <v>0</v>
      </c>
      <c r="AJ79" s="18"/>
      <c r="AK79" s="16"/>
      <c r="AL79" s="68">
        <f>ROUND(LOOKUP(MAX(0.0001,AK79/12),{0;6;24;50;70;110;160}*500+0.0001,5*MAX(0,AK79)*{0.6;2;4;5;6;7;9}%-10*{0;21;141;266;441;716;1516}),2)</f>
        <v>0</v>
      </c>
      <c r="AM79" s="68">
        <f t="shared" si="8"/>
        <v>1521.2</v>
      </c>
      <c r="AN79" s="16"/>
      <c r="AO79" s="16"/>
      <c r="AP79" s="68">
        <f t="shared" si="9"/>
        <v>1521.2</v>
      </c>
      <c r="AQ79" s="83">
        <v>6</v>
      </c>
      <c r="AR79" s="19">
        <v>29311.71</v>
      </c>
      <c r="AS79" s="84">
        <v>103.30</v>
      </c>
      <c r="AT79" s="85">
        <v>0</v>
      </c>
      <c r="AU79" s="16" t="s">
        <v>424</v>
      </c>
      <c r="AV79" s="19"/>
      <c r="AW79" s="19"/>
      <c r="AX79" s="19"/>
    </row>
    <row r="80" spans="1:50" s="20" customFormat="1" ht="16.5" customHeight="1">
      <c r="A80" s="14">
        <v>79</v>
      </c>
      <c r="B80" s="14" t="s">
        <v>541</v>
      </c>
      <c r="C80" s="14" t="s">
        <v>523</v>
      </c>
      <c r="D80" s="14" t="s">
        <v>334</v>
      </c>
      <c r="E80" s="15" t="s">
        <v>524</v>
      </c>
      <c r="F80" s="14" t="s">
        <v>470</v>
      </c>
      <c r="G80" s="14" t="s">
        <v>493</v>
      </c>
      <c r="H80" s="68">
        <v>2400</v>
      </c>
      <c r="I80" s="17">
        <v>45761</v>
      </c>
      <c r="J80" s="17"/>
      <c r="K80" s="68">
        <v>3600</v>
      </c>
      <c r="L80" s="16"/>
      <c r="M80" s="16"/>
      <c r="N80" s="68">
        <v>100</v>
      </c>
      <c r="O80" s="68">
        <v>0</v>
      </c>
      <c r="P80" s="16"/>
      <c r="Q80" s="68">
        <v>11.50</v>
      </c>
      <c r="R80" s="68">
        <f t="shared" si="10"/>
        <v>713.78999999999996</v>
      </c>
      <c r="S80" s="18"/>
      <c r="T80" s="16"/>
      <c r="U80" s="16"/>
      <c r="V80" s="68">
        <v>218.52</v>
      </c>
      <c r="W80" s="16"/>
      <c r="X80" s="16"/>
      <c r="Y80" s="16"/>
      <c r="Z80" s="16"/>
      <c r="AA80" s="16"/>
      <c r="AB80" s="18"/>
      <c r="AC80" s="68">
        <f t="shared" si="11"/>
        <v>4632.3100000000004</v>
      </c>
      <c r="AD80" s="68">
        <v>359.84</v>
      </c>
      <c r="AE80" s="68">
        <v>96.96</v>
      </c>
      <c r="AF80" s="68">
        <v>13.49</v>
      </c>
      <c r="AG80" s="68">
        <v>288</v>
      </c>
      <c r="AH80" s="68">
        <f t="shared" si="7"/>
        <v>3874.0200000000004</v>
      </c>
      <c r="AI80" s="68">
        <f>MAX(ROUND(MAX((AH80+AR80-5000*AQ80-AT80)*{0.03,0.1,0.2,0.25,0.3,0.35,0.45}-{0,2520,16920,31920,52920,85920,181920},0)-AS80,2),0)</f>
        <v>0</v>
      </c>
      <c r="AJ80" s="18"/>
      <c r="AK80" s="16"/>
      <c r="AL80" s="68">
        <f>ROUND(LOOKUP(MAX(0.0001,AK80/12),{0;6;24;50;70;110;160}*500+0.0001,5*MAX(0,AK80)*{0.6;2;4;5;6;7;9}%-10*{0;21;141;266;441;716;1516}),2)</f>
        <v>0</v>
      </c>
      <c r="AM80" s="68">
        <f t="shared" si="8"/>
        <v>4632.3100000000004</v>
      </c>
      <c r="AN80" s="16"/>
      <c r="AO80" s="16"/>
      <c r="AP80" s="68">
        <f t="shared" si="9"/>
        <v>3874.02</v>
      </c>
      <c r="AQ80" s="83">
        <v>6</v>
      </c>
      <c r="AR80" s="19">
        <v>21557.75</v>
      </c>
      <c r="AS80" s="84">
        <v>0</v>
      </c>
      <c r="AT80" s="85">
        <v>0</v>
      </c>
      <c r="AU80" s="16" t="s">
        <v>424</v>
      </c>
      <c r="AV80" s="19"/>
      <c r="AW80" s="19"/>
      <c r="AX80" s="19"/>
    </row>
    <row r="81" spans="1:50" s="20" customFormat="1" ht="16.5" customHeight="1">
      <c r="A81" s="14">
        <v>80</v>
      </c>
      <c r="B81" s="14" t="s">
        <v>541</v>
      </c>
      <c r="C81" s="14" t="s">
        <v>525</v>
      </c>
      <c r="D81" s="14" t="s">
        <v>337</v>
      </c>
      <c r="E81" s="15" t="s">
        <v>526</v>
      </c>
      <c r="F81" s="14" t="s">
        <v>450</v>
      </c>
      <c r="G81" s="14" t="s">
        <v>512</v>
      </c>
      <c r="H81" s="68">
        <v>2520</v>
      </c>
      <c r="I81" s="17">
        <v>45826</v>
      </c>
      <c r="J81" s="17"/>
      <c r="K81" s="68">
        <v>4600</v>
      </c>
      <c r="L81" s="16"/>
      <c r="M81" s="16"/>
      <c r="N81" s="68">
        <v>43.33</v>
      </c>
      <c r="O81" s="68">
        <v>32</v>
      </c>
      <c r="P81" s="16"/>
      <c r="Q81" s="68">
        <v>16</v>
      </c>
      <c r="R81" s="68">
        <f t="shared" si="10"/>
        <v>2537.9299999999998</v>
      </c>
      <c r="S81" s="18"/>
      <c r="T81" s="16"/>
      <c r="U81" s="16"/>
      <c r="V81" s="68">
        <v>4107.4799999999996</v>
      </c>
      <c r="W81" s="68">
        <v>1500</v>
      </c>
      <c r="X81" s="16"/>
      <c r="Y81" s="16"/>
      <c r="Z81" s="16"/>
      <c r="AA81" s="16"/>
      <c r="AB81" s="18"/>
      <c r="AC81" s="68">
        <f t="shared" si="11"/>
        <v>12788.74</v>
      </c>
      <c r="AD81" s="68">
        <v>382</v>
      </c>
      <c r="AE81" s="68">
        <v>134.54</v>
      </c>
      <c r="AF81" s="68">
        <v>9.1999999999999993</v>
      </c>
      <c r="AG81" s="68">
        <v>322</v>
      </c>
      <c r="AH81" s="68">
        <f t="shared" si="7"/>
        <v>11940.999999999998</v>
      </c>
      <c r="AI81" s="68">
        <f>MAX(ROUND(MAX((AH81+AR81-5000*AQ81-AT81)*{0.03,0.1,0.2,0.25,0.3,0.35,0.45}-{0,2520,16920,31920,52920,85920,181920},0)-AS81,2),0)</f>
        <v>0</v>
      </c>
      <c r="AJ81" s="18"/>
      <c r="AK81" s="16"/>
      <c r="AL81" s="68">
        <f>ROUND(LOOKUP(MAX(0.0001,AK81/12),{0;6;24;50;70;110;160}*500+0.0001,5*MAX(0,AK81)*{0.6;2;4;5;6;7;9}%-10*{0;21;141;266;441;716;1516}),2)</f>
        <v>0</v>
      </c>
      <c r="AM81" s="68">
        <f t="shared" si="8"/>
        <v>12788.74</v>
      </c>
      <c r="AN81" s="16"/>
      <c r="AO81" s="16"/>
      <c r="AP81" s="68">
        <f t="shared" si="9"/>
        <v>11941</v>
      </c>
      <c r="AQ81" s="83">
        <v>6</v>
      </c>
      <c r="AR81" s="19">
        <v>53548.749999999993</v>
      </c>
      <c r="AS81" s="84">
        <v>640.03</v>
      </c>
      <c r="AT81" s="19">
        <v>36000</v>
      </c>
      <c r="AU81" s="16" t="s">
        <v>326</v>
      </c>
      <c r="AV81" s="19"/>
      <c r="AW81" s="19"/>
      <c r="AX81" s="19"/>
    </row>
    <row r="82" spans="1:50" s="20" customFormat="1" ht="16.5" customHeight="1">
      <c r="A82" s="14">
        <v>81</v>
      </c>
      <c r="B82" s="14" t="s">
        <v>541</v>
      </c>
      <c r="C82" s="14" t="s">
        <v>527</v>
      </c>
      <c r="D82" s="14" t="s">
        <v>340</v>
      </c>
      <c r="E82" s="15" t="s">
        <v>342</v>
      </c>
      <c r="F82" s="14" t="s">
        <v>450</v>
      </c>
      <c r="G82" s="14" t="s">
        <v>465</v>
      </c>
      <c r="H82" s="68">
        <v>2540</v>
      </c>
      <c r="I82" s="17">
        <v>45875</v>
      </c>
      <c r="J82" s="17"/>
      <c r="K82" s="68">
        <v>4600</v>
      </c>
      <c r="L82" s="16"/>
      <c r="M82" s="16"/>
      <c r="N82" s="16"/>
      <c r="O82" s="68">
        <v>0</v>
      </c>
      <c r="P82" s="16"/>
      <c r="Q82" s="68">
        <v>16</v>
      </c>
      <c r="R82" s="68">
        <f t="shared" si="10"/>
        <v>1268.97</v>
      </c>
      <c r="S82" s="18"/>
      <c r="T82" s="16"/>
      <c r="U82" s="16"/>
      <c r="V82" s="68">
        <v>1330</v>
      </c>
      <c r="W82" s="16"/>
      <c r="X82" s="16"/>
      <c r="Y82" s="16"/>
      <c r="Z82" s="16"/>
      <c r="AA82" s="16"/>
      <c r="AB82" s="18"/>
      <c r="AC82" s="68">
        <f t="shared" si="11"/>
        <v>7198.9700000000003</v>
      </c>
      <c r="AD82" s="68">
        <v>572.96</v>
      </c>
      <c r="AE82" s="68">
        <v>146.24</v>
      </c>
      <c r="AF82" s="68">
        <v>35.81</v>
      </c>
      <c r="AG82" s="68">
        <v>552</v>
      </c>
      <c r="AH82" s="68">
        <f t="shared" si="7"/>
        <v>5891.96</v>
      </c>
      <c r="AI82" s="68">
        <f>MAX(ROUND(MAX((AH82+AR82-5000*AQ82-AT82)*{0.03,0.1,0.2,0.25,0.3,0.35,0.45}-{0,2520,16920,31920,52920,85920,181920},0)-AS82,2),0)</f>
        <v>0</v>
      </c>
      <c r="AJ82" s="18"/>
      <c r="AK82" s="16"/>
      <c r="AL82" s="68">
        <f>ROUND(LOOKUP(MAX(0.0001,AK82/12),{0;6;24;50;70;110;160}*500+0.0001,5*MAX(0,AK82)*{0.6;2;4;5;6;7;9}%-10*{0;21;141;266;441;716;1516}),2)</f>
        <v>0</v>
      </c>
      <c r="AM82" s="68">
        <f t="shared" si="8"/>
        <v>7198.9700000000003</v>
      </c>
      <c r="AN82" s="16"/>
      <c r="AO82" s="16"/>
      <c r="AP82" s="68">
        <f t="shared" si="9"/>
        <v>5891.96</v>
      </c>
      <c r="AQ82" s="83">
        <v>6</v>
      </c>
      <c r="AR82" s="19">
        <v>20633.29</v>
      </c>
      <c r="AS82" s="84">
        <v>21.56</v>
      </c>
      <c r="AT82" s="85">
        <v>0</v>
      </c>
      <c r="AU82" s="16" t="s">
        <v>211</v>
      </c>
      <c r="AV82" s="19"/>
      <c r="AW82" s="19"/>
      <c r="AX82" s="19"/>
    </row>
    <row r="83" spans="1:50" s="20" customFormat="1" ht="16.5" customHeight="1">
      <c r="A83" s="14">
        <v>82</v>
      </c>
      <c r="B83" s="14" t="s">
        <v>541</v>
      </c>
      <c r="C83" s="14" t="s">
        <v>528</v>
      </c>
      <c r="D83" s="14" t="s">
        <v>343</v>
      </c>
      <c r="E83" s="15" t="s">
        <v>345</v>
      </c>
      <c r="F83" s="14" t="s">
        <v>470</v>
      </c>
      <c r="G83" s="14" t="s">
        <v>529</v>
      </c>
      <c r="H83" s="68">
        <v>2660</v>
      </c>
      <c r="I83" s="17">
        <v>45930</v>
      </c>
      <c r="J83" s="17"/>
      <c r="K83" s="68">
        <v>3600</v>
      </c>
      <c r="L83" s="16"/>
      <c r="M83" s="16"/>
      <c r="N83" s="16"/>
      <c r="O83" s="68">
        <v>17</v>
      </c>
      <c r="P83" s="16"/>
      <c r="Q83" s="68">
        <v>20</v>
      </c>
      <c r="R83" s="68">
        <f t="shared" si="10"/>
        <v>1768.97</v>
      </c>
      <c r="S83" s="18"/>
      <c r="T83" s="16"/>
      <c r="U83" s="16"/>
      <c r="V83" s="68">
        <v>2000</v>
      </c>
      <c r="W83" s="16"/>
      <c r="X83" s="16"/>
      <c r="Y83" s="16"/>
      <c r="Z83" s="16"/>
      <c r="AA83" s="16"/>
      <c r="AB83" s="18"/>
      <c r="AC83" s="68">
        <f t="shared" si="11"/>
        <v>7368.9700000000003</v>
      </c>
      <c r="AD83" s="68">
        <v>529.60</v>
      </c>
      <c r="AE83" s="68">
        <v>137.40</v>
      </c>
      <c r="AF83" s="68">
        <v>33.10</v>
      </c>
      <c r="AG83" s="68">
        <v>397</v>
      </c>
      <c r="AH83" s="68">
        <f t="shared" si="7"/>
        <v>6271.8699999999999</v>
      </c>
      <c r="AI83" s="68">
        <f>MAX(ROUND(MAX((AH83+AR83-5000*AQ83-AT83)*{0.03,0.1,0.2,0.25,0.3,0.35,0.45}-{0,2520,16920,31920,52920,85920,181920},0)-AS83,2),0)</f>
        <v>71.069999999999993</v>
      </c>
      <c r="AJ83" s="18"/>
      <c r="AK83" s="16"/>
      <c r="AL83" s="68">
        <f>ROUND(LOOKUP(MAX(0.0001,AK83/12),{0;6;24;50;70;110;160}*500+0.0001,5*MAX(0,AK83)*{0.6;2;4;5;6;7;9}%-10*{0;21;141;266;441;716;1516}),2)</f>
        <v>0</v>
      </c>
      <c r="AM83" s="68">
        <f t="shared" si="8"/>
        <v>7368.9700000000003</v>
      </c>
      <c r="AN83" s="16"/>
      <c r="AO83" s="16"/>
      <c r="AP83" s="68">
        <f t="shared" si="9"/>
        <v>6200.8000000000002</v>
      </c>
      <c r="AQ83" s="83">
        <v>6</v>
      </c>
      <c r="AR83" s="19">
        <v>33598.550000000003</v>
      </c>
      <c r="AS83" s="84">
        <v>225.04000000000002</v>
      </c>
      <c r="AT83" s="85">
        <v>0</v>
      </c>
      <c r="AU83" s="16" t="s">
        <v>209</v>
      </c>
      <c r="AV83" s="19"/>
      <c r="AW83" s="19"/>
      <c r="AX83" s="19"/>
    </row>
    <row r="84" spans="1:50" s="20" customFormat="1" ht="16.5" customHeight="1">
      <c r="A84" s="14">
        <v>83</v>
      </c>
      <c r="B84" s="14" t="s">
        <v>541</v>
      </c>
      <c r="C84" s="14" t="s">
        <v>530</v>
      </c>
      <c r="D84" s="14" t="s">
        <v>347</v>
      </c>
      <c r="E84" s="15" t="s">
        <v>349</v>
      </c>
      <c r="F84" s="14" t="s">
        <v>470</v>
      </c>
      <c r="G84" s="14" t="s">
        <v>531</v>
      </c>
      <c r="H84" s="68">
        <v>2510</v>
      </c>
      <c r="I84" s="17">
        <v>45992</v>
      </c>
      <c r="J84" s="17"/>
      <c r="K84" s="68">
        <v>3600</v>
      </c>
      <c r="L84" s="16"/>
      <c r="M84" s="16"/>
      <c r="N84" s="16"/>
      <c r="O84" s="68">
        <v>40</v>
      </c>
      <c r="P84" s="16"/>
      <c r="Q84" s="68">
        <v>16</v>
      </c>
      <c r="R84" s="68">
        <f t="shared" si="10"/>
        <v>2234.48</v>
      </c>
      <c r="S84" s="18"/>
      <c r="T84" s="16"/>
      <c r="U84" s="16"/>
      <c r="V84" s="68">
        <v>1000</v>
      </c>
      <c r="W84" s="68">
        <v>1500</v>
      </c>
      <c r="X84" s="16"/>
      <c r="Y84" s="16"/>
      <c r="Z84" s="16"/>
      <c r="AA84" s="16"/>
      <c r="AB84" s="18"/>
      <c r="AC84" s="68">
        <f t="shared" si="11"/>
        <v>8334.4799999999996</v>
      </c>
      <c r="AD84" s="68">
        <v>409.92</v>
      </c>
      <c r="AE84" s="68">
        <v>123.48</v>
      </c>
      <c r="AF84" s="68">
        <v>25.62</v>
      </c>
      <c r="AG84" s="68">
        <v>396</v>
      </c>
      <c r="AH84" s="68">
        <f t="shared" si="7"/>
        <v>7379.46</v>
      </c>
      <c r="AI84" s="68">
        <f>MAX(ROUND(MAX((AH84+AR84-5000*AQ84-AT84)*{0.03,0.1,0.2,0.25,0.3,0.35,0.45}-{0,2520,16920,31920,52920,85920,181920},0)-AS84,2),0)</f>
        <v>100.03</v>
      </c>
      <c r="AJ84" s="18"/>
      <c r="AK84" s="16"/>
      <c r="AL84" s="68">
        <f>ROUND(LOOKUP(MAX(0.0001,AK84/12),{0;6;24;50;70;110;160}*500+0.0001,5*MAX(0,AK84)*{0.6;2;4;5;6;7;9}%-10*{0;21;141;266;441;716;1516}),2)</f>
        <v>0</v>
      </c>
      <c r="AM84" s="68">
        <f t="shared" si="8"/>
        <v>8334.4799999999996</v>
      </c>
      <c r="AN84" s="16"/>
      <c r="AO84" s="16"/>
      <c r="AP84" s="68">
        <f t="shared" si="9"/>
        <v>7279.4300000000003</v>
      </c>
      <c r="AQ84" s="83">
        <v>6</v>
      </c>
      <c r="AR84" s="19">
        <v>34110.65</v>
      </c>
      <c r="AS84" s="84">
        <v>244.67</v>
      </c>
      <c r="AT84" s="85">
        <v>0</v>
      </c>
      <c r="AU84" s="16" t="s">
        <v>424</v>
      </c>
      <c r="AV84" s="19"/>
      <c r="AW84" s="19"/>
      <c r="AX84" s="19"/>
    </row>
    <row r="85" spans="1:50" s="20" customFormat="1" ht="16.5" customHeight="1">
      <c r="A85" s="14">
        <v>84</v>
      </c>
      <c r="B85" s="14" t="s">
        <v>541</v>
      </c>
      <c r="C85" s="14" t="s">
        <v>532</v>
      </c>
      <c r="D85" s="14" t="s">
        <v>533</v>
      </c>
      <c r="E85" s="15" t="s">
        <v>534</v>
      </c>
      <c r="F85" s="14" t="s">
        <v>470</v>
      </c>
      <c r="G85" s="14" t="s">
        <v>512</v>
      </c>
      <c r="H85" s="68">
        <v>2520</v>
      </c>
      <c r="I85" s="17">
        <v>46015</v>
      </c>
      <c r="J85" s="17">
        <v>46157</v>
      </c>
      <c r="K85" s="68">
        <v>3800</v>
      </c>
      <c r="L85" s="16">
        <f>-K85</f>
        <v>-3800</v>
      </c>
      <c r="M85" s="16"/>
      <c r="N85" s="16"/>
      <c r="O85" s="68">
        <v>0</v>
      </c>
      <c r="P85" s="16"/>
      <c r="Q85" s="68">
        <v>16</v>
      </c>
      <c r="R85" s="68">
        <f t="shared" si="10"/>
        <v>1048.28</v>
      </c>
      <c r="S85" s="18"/>
      <c r="T85" s="16"/>
      <c r="U85" s="16"/>
      <c r="V85" s="68">
        <v>89.70</v>
      </c>
      <c r="W85" s="16"/>
      <c r="X85" s="16"/>
      <c r="Y85" s="16"/>
      <c r="Z85" s="16"/>
      <c r="AA85" s="16"/>
      <c r="AB85" s="18"/>
      <c r="AC85" s="68">
        <f t="shared" si="11"/>
        <v>1137.98</v>
      </c>
      <c r="AD85" s="16"/>
      <c r="AE85" s="16"/>
      <c r="AF85" s="16"/>
      <c r="AG85" s="16"/>
      <c r="AH85" s="68">
        <f t="shared" si="7"/>
        <v>1137.98</v>
      </c>
      <c r="AI85" s="68">
        <f>MAX(ROUND(MAX((AH85+AR85-5000*AQ85-AT85)*{0.03,0.1,0.2,0.25,0.3,0.35,0.45}-{0,2520,16920,31920,52920,85920,181920},0)-AS85,2),0)</f>
        <v>0</v>
      </c>
      <c r="AJ85" s="18"/>
      <c r="AK85" s="16"/>
      <c r="AL85" s="68">
        <f>ROUND(LOOKUP(MAX(0.0001,AK85/12),{0;6;24;50;70;110;160}*500+0.0001,5*MAX(0,AK85)*{0.6;2;4;5;6;7;9}%-10*{0;21;141;266;441;716;1516}),2)</f>
        <v>0</v>
      </c>
      <c r="AM85" s="68">
        <f t="shared" si="8"/>
        <v>1137.98</v>
      </c>
      <c r="AN85" s="16"/>
      <c r="AO85" s="16"/>
      <c r="AP85" s="68">
        <f t="shared" si="9"/>
        <v>1137.98</v>
      </c>
      <c r="AQ85" s="83">
        <v>6</v>
      </c>
      <c r="AR85" s="19">
        <v>26356.49</v>
      </c>
      <c r="AS85" s="84">
        <v>106.22999999999999</v>
      </c>
      <c r="AT85" s="85">
        <v>0</v>
      </c>
      <c r="AU85" s="16" t="s">
        <v>326</v>
      </c>
      <c r="AV85" s="19"/>
      <c r="AW85" s="19"/>
      <c r="AX85" s="19"/>
    </row>
    <row r="86" spans="1:50" s="20" customFormat="1" ht="16.5" customHeight="1">
      <c r="A86" s="14">
        <v>85</v>
      </c>
      <c r="B86" s="14" t="s">
        <v>541</v>
      </c>
      <c r="C86" s="14" t="s">
        <v>535</v>
      </c>
      <c r="D86" s="14" t="s">
        <v>351</v>
      </c>
      <c r="E86" s="15" t="s">
        <v>353</v>
      </c>
      <c r="F86" s="14" t="s">
        <v>470</v>
      </c>
      <c r="G86" s="14" t="s">
        <v>456</v>
      </c>
      <c r="H86" s="68">
        <v>2740</v>
      </c>
      <c r="I86" s="1">
        <v>46113</v>
      </c>
      <c r="J86" s="17"/>
      <c r="K86" s="68">
        <v>3800</v>
      </c>
      <c r="L86" s="16"/>
      <c r="M86" s="16"/>
      <c r="N86" s="16"/>
      <c r="O86" s="68">
        <v>24.50</v>
      </c>
      <c r="P86" s="16"/>
      <c r="Q86" s="68">
        <v>27.50</v>
      </c>
      <c r="R86" s="68">
        <f t="shared" si="10"/>
        <v>2604.3099999999999</v>
      </c>
      <c r="S86" s="18"/>
      <c r="T86" s="16"/>
      <c r="U86" s="16"/>
      <c r="V86" s="68">
        <v>413.79</v>
      </c>
      <c r="W86" s="68">
        <v>500</v>
      </c>
      <c r="X86" s="16"/>
      <c r="Y86" s="16"/>
      <c r="Z86" s="16"/>
      <c r="AA86" s="16"/>
      <c r="AB86" s="18"/>
      <c r="AC86" s="68">
        <f t="shared" si="11"/>
        <v>7318.1000000000004</v>
      </c>
      <c r="AD86" s="68">
        <v>596.79999999999995</v>
      </c>
      <c r="AE86" s="68">
        <v>149.19999999999999</v>
      </c>
      <c r="AF86" s="68">
        <v>37.299999999999997</v>
      </c>
      <c r="AG86" s="68">
        <v>266</v>
      </c>
      <c r="AH86" s="68">
        <f t="shared" si="7"/>
        <v>6268.8000000000002</v>
      </c>
      <c r="AI86" s="68">
        <f>MAX(ROUND(MAX((AH86+AR86-5000*AQ86-AT86)*{0.03,0.1,0.2,0.25,0.3,0.35,0.45}-{0,2520,16920,31920,52920,85920,181920},0)-AS86,2),0)</f>
        <v>0</v>
      </c>
      <c r="AJ86" s="18"/>
      <c r="AK86" s="16"/>
      <c r="AL86" s="68">
        <f>ROUND(LOOKUP(MAX(0.0001,AK86/12),{0;6;24;50;70;110;160}*500+0.0001,5*MAX(0,AK86)*{0.6;2;4;5;6;7;9}%-10*{0;21;141;266;441;716;1516}),2)</f>
        <v>0</v>
      </c>
      <c r="AM86" s="68">
        <f t="shared" si="8"/>
        <v>7318.1000000000004</v>
      </c>
      <c r="AN86" s="16"/>
      <c r="AO86" s="16"/>
      <c r="AP86" s="68">
        <f t="shared" si="9"/>
        <v>6268.8000000000002</v>
      </c>
      <c r="AQ86" s="83">
        <v>3</v>
      </c>
      <c r="AR86" s="84">
        <v>6375.99</v>
      </c>
      <c r="AS86" s="84">
        <v>0</v>
      </c>
      <c r="AT86" s="85">
        <v>0</v>
      </c>
      <c r="AU86" s="16" t="s">
        <v>209</v>
      </c>
      <c r="AV86" s="19"/>
      <c r="AW86" s="19"/>
      <c r="AX86" s="19"/>
    </row>
    <row r="87" spans="1:50" s="20" customFormat="1" ht="16.5" customHeight="1">
      <c r="A87" s="14">
        <v>86</v>
      </c>
      <c r="B87" s="14" t="s">
        <v>541</v>
      </c>
      <c r="C87" s="14" t="s">
        <v>536</v>
      </c>
      <c r="D87" s="14" t="s">
        <v>355</v>
      </c>
      <c r="E87" s="15" t="s">
        <v>357</v>
      </c>
      <c r="F87" s="14" t="s">
        <v>470</v>
      </c>
      <c r="G87" s="14" t="s">
        <v>493</v>
      </c>
      <c r="H87" s="68">
        <v>2400</v>
      </c>
      <c r="I87" s="1">
        <v>46129</v>
      </c>
      <c r="J87" s="17"/>
      <c r="K87" s="68">
        <v>3600</v>
      </c>
      <c r="L87" s="16"/>
      <c r="M87" s="16"/>
      <c r="N87" s="16"/>
      <c r="O87" s="68">
        <v>0</v>
      </c>
      <c r="P87" s="16"/>
      <c r="Q87" s="68">
        <v>11.50</v>
      </c>
      <c r="R87" s="68">
        <f t="shared" si="10"/>
        <v>713.78999999999996</v>
      </c>
      <c r="S87" s="18"/>
      <c r="T87" s="16"/>
      <c r="U87" s="16"/>
      <c r="V87" s="68">
        <v>2000</v>
      </c>
      <c r="W87" s="16"/>
      <c r="X87" s="16"/>
      <c r="Y87" s="16"/>
      <c r="Z87" s="16"/>
      <c r="AA87" s="16"/>
      <c r="AB87" s="18"/>
      <c r="AC87" s="68">
        <f t="shared" si="11"/>
        <v>6313.79</v>
      </c>
      <c r="AD87" s="68">
        <v>359.84</v>
      </c>
      <c r="AE87" s="68">
        <v>96.96</v>
      </c>
      <c r="AF87" s="68">
        <v>13.49</v>
      </c>
      <c r="AG87" s="68">
        <v>288</v>
      </c>
      <c r="AH87" s="68">
        <f t="shared" si="7"/>
        <v>5555.5</v>
      </c>
      <c r="AI87" s="68">
        <f>MAX(ROUND(MAX((AH87+AR87-5000*AQ87-AT87)*{0.03,0.1,0.2,0.25,0.3,0.35,0.45}-{0,2520,16920,31920,52920,85920,181920},0)-AS87,2),0)</f>
        <v>0</v>
      </c>
      <c r="AJ87" s="18"/>
      <c r="AK87" s="16"/>
      <c r="AL87" s="68">
        <f>ROUND(LOOKUP(MAX(0.0001,AK87/12),{0;6;24;50;70;110;160}*500+0.0001,5*MAX(0,AK87)*{0.6;2;4;5;6;7;9}%-10*{0;21;141;266;441;716;1516}),2)</f>
        <v>0</v>
      </c>
      <c r="AM87" s="68">
        <f t="shared" si="8"/>
        <v>6313.79</v>
      </c>
      <c r="AN87" s="16"/>
      <c r="AO87" s="16"/>
      <c r="AP87" s="68">
        <f t="shared" si="9"/>
        <v>5555.5</v>
      </c>
      <c r="AQ87" s="83">
        <v>3</v>
      </c>
      <c r="AR87" s="84">
        <v>5611.25</v>
      </c>
      <c r="AS87" s="84">
        <v>0</v>
      </c>
      <c r="AT87" s="85">
        <v>0</v>
      </c>
      <c r="AU87" s="16" t="s">
        <v>424</v>
      </c>
      <c r="AV87" s="19"/>
      <c r="AW87" s="19"/>
      <c r="AX87" s="19"/>
    </row>
    <row r="88" spans="1:50" s="20" customFormat="1" ht="16.5" customHeight="1">
      <c r="A88" s="14">
        <v>87</v>
      </c>
      <c r="B88" s="14" t="s">
        <v>541</v>
      </c>
      <c r="C88" s="14" t="s">
        <v>537</v>
      </c>
      <c r="D88" s="14" t="s">
        <v>358</v>
      </c>
      <c r="E88" s="15" t="s">
        <v>360</v>
      </c>
      <c r="F88" s="14" t="s">
        <v>470</v>
      </c>
      <c r="G88" s="14" t="s">
        <v>493</v>
      </c>
      <c r="H88" s="68">
        <v>2400</v>
      </c>
      <c r="I88" s="1">
        <v>46131</v>
      </c>
      <c r="J88" s="17">
        <v>46181</v>
      </c>
      <c r="K88" s="68">
        <v>3600</v>
      </c>
      <c r="L88" s="16">
        <v>-2565.52</v>
      </c>
      <c r="M88" s="16"/>
      <c r="N88" s="16"/>
      <c r="O88" s="68">
        <v>0</v>
      </c>
      <c r="P88" s="16"/>
      <c r="Q88" s="68">
        <v>11.50</v>
      </c>
      <c r="R88" s="68">
        <f t="shared" si="10"/>
        <v>713.78999999999996</v>
      </c>
      <c r="S88" s="18"/>
      <c r="T88" s="16"/>
      <c r="U88" s="16"/>
      <c r="V88" s="68">
        <v>2000</v>
      </c>
      <c r="W88" s="16"/>
      <c r="X88" s="16"/>
      <c r="Y88" s="16"/>
      <c r="Z88" s="16"/>
      <c r="AA88" s="16"/>
      <c r="AB88" s="18"/>
      <c r="AC88" s="68">
        <f t="shared" si="11"/>
        <v>3748.27</v>
      </c>
      <c r="AD88" s="16">
        <v>-719.68</v>
      </c>
      <c r="AE88" s="16">
        <v>-193.92</v>
      </c>
      <c r="AF88" s="16">
        <v>-26.98</v>
      </c>
      <c r="AG88" s="68">
        <v>288</v>
      </c>
      <c r="AH88" s="68">
        <f t="shared" si="7"/>
        <v>4400.8499999999995</v>
      </c>
      <c r="AI88" s="68">
        <f>MAX(ROUND(MAX((AH88+AR88-5000*AQ88-AT88)*{0.03,0.1,0.2,0.25,0.3,0.35,0.45}-{0,2520,16920,31920,52920,85920,181920},0)-AS88,2),0)</f>
        <v>0</v>
      </c>
      <c r="AJ88" s="18"/>
      <c r="AK88" s="16"/>
      <c r="AL88" s="68">
        <f>ROUND(LOOKUP(MAX(0.0001,AK88/12),{0;6;24;50;70;110;160}*500+0.0001,5*MAX(0,AK88)*{0.6;2;4;5;6;7;9}%-10*{0;21;141;266;441;716;1516}),2)</f>
        <v>0</v>
      </c>
      <c r="AM88" s="68">
        <f t="shared" si="8"/>
        <v>3748.27</v>
      </c>
      <c r="AN88" s="16"/>
      <c r="AO88" s="16"/>
      <c r="AP88" s="68">
        <f t="shared" si="9"/>
        <v>4400.8500000000004</v>
      </c>
      <c r="AQ88" s="83">
        <v>3</v>
      </c>
      <c r="AR88" s="84">
        <v>5214.12</v>
      </c>
      <c r="AS88" s="84">
        <v>0</v>
      </c>
      <c r="AT88" s="85">
        <v>0</v>
      </c>
      <c r="AU88" s="16" t="s">
        <v>424</v>
      </c>
      <c r="AV88" s="19"/>
      <c r="AW88" s="19"/>
      <c r="AX88" s="19"/>
    </row>
    <row r="89" spans="1:50" s="20" customFormat="1" ht="16.5" customHeight="1">
      <c r="A89" s="14">
        <v>88</v>
      </c>
      <c r="B89" s="14" t="s">
        <v>541</v>
      </c>
      <c r="C89" s="14" t="s">
        <v>538</v>
      </c>
      <c r="D89" s="14" t="s">
        <v>361</v>
      </c>
      <c r="E89" s="15" t="s">
        <v>363</v>
      </c>
      <c r="F89" s="14" t="s">
        <v>470</v>
      </c>
      <c r="G89" s="14" t="s">
        <v>539</v>
      </c>
      <c r="H89" s="68">
        <v>2230</v>
      </c>
      <c r="I89" s="1">
        <v>46132</v>
      </c>
      <c r="J89" s="17"/>
      <c r="K89" s="68">
        <v>3600</v>
      </c>
      <c r="L89" s="16"/>
      <c r="M89" s="16"/>
      <c r="N89" s="16"/>
      <c r="O89" s="68">
        <v>29</v>
      </c>
      <c r="P89" s="16"/>
      <c r="Q89" s="68">
        <v>0</v>
      </c>
      <c r="R89" s="68">
        <f t="shared" si="10"/>
        <v>900</v>
      </c>
      <c r="S89" s="18"/>
      <c r="T89" s="16"/>
      <c r="U89" s="16"/>
      <c r="V89" s="16"/>
      <c r="W89" s="68">
        <v>1500</v>
      </c>
      <c r="X89" s="16"/>
      <c r="Y89" s="16"/>
      <c r="Z89" s="16"/>
      <c r="AA89" s="16"/>
      <c r="AB89" s="18"/>
      <c r="AC89" s="68">
        <f t="shared" si="11"/>
        <v>6000</v>
      </c>
      <c r="AD89" s="68">
        <v>348.72</v>
      </c>
      <c r="AE89" s="68">
        <v>96.92</v>
      </c>
      <c r="AF89" s="68">
        <v>21.80</v>
      </c>
      <c r="AG89" s="68">
        <v>432</v>
      </c>
      <c r="AH89" s="68">
        <f t="shared" si="7"/>
        <v>5100.5599999999995</v>
      </c>
      <c r="AI89" s="68">
        <f>MAX(ROUND(MAX((AH89+AR89-5000*AQ89-AT89)*{0.03,0.1,0.2,0.25,0.3,0.35,0.45}-{0,2520,16920,31920,52920,85920,181920},0)-AS89,2),0)</f>
        <v>0</v>
      </c>
      <c r="AJ89" s="18"/>
      <c r="AK89" s="16"/>
      <c r="AL89" s="68">
        <f>ROUND(LOOKUP(MAX(0.0001,AK89/12),{0;6;24;50;70;110;160}*500+0.0001,5*MAX(0,AK89)*{0.6;2;4;5;6;7;9}%-10*{0;21;141;266;441;716;1516}),2)</f>
        <v>0</v>
      </c>
      <c r="AM89" s="68">
        <f t="shared" si="8"/>
        <v>6000</v>
      </c>
      <c r="AN89" s="16"/>
      <c r="AO89" s="16"/>
      <c r="AP89" s="68">
        <f t="shared" si="9"/>
        <v>5100.5600000000004</v>
      </c>
      <c r="AQ89" s="83">
        <v>3</v>
      </c>
      <c r="AR89" s="84">
        <v>4124.22</v>
      </c>
      <c r="AS89" s="84">
        <v>0</v>
      </c>
      <c r="AT89" s="85">
        <v>0</v>
      </c>
      <c r="AU89" s="16" t="s">
        <v>424</v>
      </c>
      <c r="AV89" s="19"/>
      <c r="AW89" s="19"/>
      <c r="AX89" s="19"/>
    </row>
    <row r="90" spans="1:50" s="20" customFormat="1" ht="16.5" customHeight="1">
      <c r="A90" s="14">
        <v>89</v>
      </c>
      <c r="B90" s="14" t="s">
        <v>541</v>
      </c>
      <c r="C90" s="14" t="s">
        <v>540</v>
      </c>
      <c r="D90" s="14" t="s">
        <v>365</v>
      </c>
      <c r="E90" s="15" t="s">
        <v>367</v>
      </c>
      <c r="F90" s="14" t="s">
        <v>470</v>
      </c>
      <c r="G90" s="14" t="s">
        <v>531</v>
      </c>
      <c r="H90" s="68">
        <v>2510</v>
      </c>
      <c r="I90" s="1">
        <v>46133</v>
      </c>
      <c r="J90" s="17"/>
      <c r="K90" s="68">
        <v>3600</v>
      </c>
      <c r="L90" s="16"/>
      <c r="M90" s="16"/>
      <c r="N90" s="16"/>
      <c r="O90" s="68">
        <v>0</v>
      </c>
      <c r="P90" s="16"/>
      <c r="Q90" s="68">
        <v>16</v>
      </c>
      <c r="R90" s="68">
        <f t="shared" si="10"/>
        <v>993.10000000000002</v>
      </c>
      <c r="S90" s="18"/>
      <c r="T90" s="16"/>
      <c r="U90" s="16"/>
      <c r="V90" s="68">
        <v>1000</v>
      </c>
      <c r="W90" s="68">
        <v>1500</v>
      </c>
      <c r="X90" s="16"/>
      <c r="Y90" s="16"/>
      <c r="Z90" s="16"/>
      <c r="AA90" s="16"/>
      <c r="AB90" s="18"/>
      <c r="AC90" s="68">
        <f t="shared" si="11"/>
        <v>7093.1000000000004</v>
      </c>
      <c r="AD90" s="68">
        <v>409.92</v>
      </c>
      <c r="AE90" s="68">
        <v>123.48</v>
      </c>
      <c r="AF90" s="68">
        <v>25.62</v>
      </c>
      <c r="AG90" s="68">
        <v>396</v>
      </c>
      <c r="AH90" s="68">
        <f t="shared" si="7"/>
        <v>6138.0800000000008</v>
      </c>
      <c r="AI90" s="68">
        <f>MAX(ROUND(MAX((AH90+AR90-5000*AQ90-AT90)*{0.03,0.1,0.2,0.25,0.3,0.35,0.45}-{0,2520,16920,31920,52920,85920,181920},0)-AS90,2),0)</f>
        <v>0</v>
      </c>
      <c r="AJ90" s="18"/>
      <c r="AK90" s="16"/>
      <c r="AL90" s="68">
        <f>ROUND(LOOKUP(MAX(0.0001,AK90/12),{0;6;24;50;70;110;160}*500+0.0001,5*MAX(0,AK90)*{0.6;2;4;5;6;7;9}%-10*{0;21;141;266;441;716;1516}),2)</f>
        <v>0</v>
      </c>
      <c r="AM90" s="68">
        <f t="shared" si="8"/>
        <v>7093.1000000000004</v>
      </c>
      <c r="AN90" s="16"/>
      <c r="AO90" s="16"/>
      <c r="AP90" s="68">
        <f t="shared" si="9"/>
        <v>6138.0799999999999</v>
      </c>
      <c r="AQ90" s="83">
        <v>3</v>
      </c>
      <c r="AR90" s="84">
        <v>5621.96</v>
      </c>
      <c r="AS90" s="84">
        <v>0</v>
      </c>
      <c r="AT90" s="85">
        <v>0</v>
      </c>
      <c r="AU90" s="16" t="s">
        <v>424</v>
      </c>
      <c r="AV90" s="19"/>
      <c r="AW90" s="19"/>
      <c r="AX90" s="19"/>
    </row>
    <row r="91" spans="1:50" s="37" customFormat="1" ht="16.5" customHeight="1">
      <c r="A91" s="30">
        <v>90</v>
      </c>
      <c r="B91" s="30" t="s">
        <v>541</v>
      </c>
      <c r="C91" s="31"/>
      <c r="D91" s="31" t="s">
        <v>373</v>
      </c>
      <c r="E91" s="31" t="s">
        <v>374</v>
      </c>
      <c r="F91" s="30"/>
      <c r="G91" s="30" t="s">
        <v>456</v>
      </c>
      <c r="H91" s="86">
        <v>2740</v>
      </c>
      <c r="I91" s="33">
        <v>46174</v>
      </c>
      <c r="J91" s="34"/>
      <c r="K91" s="86">
        <v>17000</v>
      </c>
      <c r="L91" s="32"/>
      <c r="M91" s="32"/>
      <c r="N91" s="32"/>
      <c r="O91" s="32"/>
      <c r="P91" s="32"/>
      <c r="Q91" s="32"/>
      <c r="R91" s="68">
        <f t="shared" si="10"/>
        <v>0</v>
      </c>
      <c r="S91" s="35"/>
      <c r="T91" s="32"/>
      <c r="U91" s="32"/>
      <c r="V91" s="32"/>
      <c r="W91" s="32"/>
      <c r="X91" s="32"/>
      <c r="Y91" s="32"/>
      <c r="Z91" s="32"/>
      <c r="AA91" s="32"/>
      <c r="AB91" s="35"/>
      <c r="AC91" s="68">
        <f t="shared" si="11"/>
        <v>17000</v>
      </c>
      <c r="AD91" s="68">
        <v>1360</v>
      </c>
      <c r="AE91" s="68">
        <v>340</v>
      </c>
      <c r="AF91" s="68">
        <v>85</v>
      </c>
      <c r="AG91" s="68">
        <v>1190</v>
      </c>
      <c r="AH91" s="68">
        <f t="shared" si="7"/>
        <v>14025</v>
      </c>
      <c r="AI91" s="68">
        <f>MAX(ROUND(MAX((AH91+AR91-5000*AQ91-AT91)*{0.03,0.1,0.2,0.25,0.3,0.35,0.45}-{0,2520,16920,31920,52920,85920,181920},0)-AS91,2),0)</f>
        <v>270.75</v>
      </c>
      <c r="AJ91" s="35"/>
      <c r="AK91" s="32"/>
      <c r="AL91" s="68">
        <f>ROUND(LOOKUP(MAX(0.0001,AK91/12),{0;6;24;50;70;110;160}*500+0.0001,5*MAX(0,AK91)*{0.6;2;4;5;6;7;9}%-10*{0;21;141;266;441;716;1516}),2)</f>
        <v>0</v>
      </c>
      <c r="AM91" s="68">
        <f t="shared" si="8"/>
        <v>17000</v>
      </c>
      <c r="AN91" s="32"/>
      <c r="AO91" s="32"/>
      <c r="AP91" s="68">
        <f t="shared" si="9"/>
        <v>13754.25</v>
      </c>
      <c r="AQ91" s="87">
        <v>1</v>
      </c>
      <c r="AR91" s="36"/>
      <c r="AS91" s="36"/>
      <c r="AT91" s="85">
        <v>0</v>
      </c>
      <c r="AU91" s="16" t="s">
        <v>209</v>
      </c>
      <c r="AV91" s="36"/>
      <c r="AW91" s="36"/>
      <c r="AX91" s="36"/>
    </row>
    <row r="92" spans="1:50" s="37" customFormat="1" ht="16.5" customHeight="1">
      <c r="A92" s="30">
        <v>91</v>
      </c>
      <c r="B92" s="30" t="s">
        <v>541</v>
      </c>
      <c r="C92" s="31"/>
      <c r="D92" s="38" t="s">
        <v>368</v>
      </c>
      <c r="E92" s="39" t="s">
        <v>369</v>
      </c>
      <c r="F92" s="30"/>
      <c r="G92" s="30" t="s">
        <v>456</v>
      </c>
      <c r="H92" s="86">
        <v>2740</v>
      </c>
      <c r="I92" s="33">
        <v>46160</v>
      </c>
      <c r="J92" s="34"/>
      <c r="K92" s="86">
        <v>3030</v>
      </c>
      <c r="L92" s="32"/>
      <c r="M92" s="32"/>
      <c r="N92" s="32"/>
      <c r="O92" s="32"/>
      <c r="P92" s="32"/>
      <c r="Q92" s="32"/>
      <c r="R92" s="68">
        <f t="shared" si="10"/>
        <v>0</v>
      </c>
      <c r="S92" s="35"/>
      <c r="T92" s="32"/>
      <c r="U92" s="32"/>
      <c r="V92" s="32"/>
      <c r="W92" s="32"/>
      <c r="X92" s="32"/>
      <c r="Y92" s="32"/>
      <c r="Z92" s="32"/>
      <c r="AA92" s="32"/>
      <c r="AB92" s="35"/>
      <c r="AC92" s="68">
        <f t="shared" si="11"/>
        <v>3030</v>
      </c>
      <c r="AD92" s="32"/>
      <c r="AE92" s="30"/>
      <c r="AF92" s="32"/>
      <c r="AG92" s="32"/>
      <c r="AH92" s="68">
        <f t="shared" si="7"/>
        <v>3030</v>
      </c>
      <c r="AI92" s="68">
        <f>MAX(ROUND(MAX((AH92+AR92-5000*AQ92-AT92)*{0.03,0.1,0.2,0.25,0.3,0.35,0.45}-{0,2520,16920,31920,52920,85920,181920},0)-AS92,2),0)</f>
        <v>0</v>
      </c>
      <c r="AJ92" s="35"/>
      <c r="AK92" s="32"/>
      <c r="AL92" s="68">
        <f>ROUND(LOOKUP(MAX(0.0001,AK92/12),{0;6;24;50;70;110;160}*500+0.0001,5*MAX(0,AK92)*{0.6;2;4;5;6;7;9}%-10*{0;21;141;266;441;716;1516}),2)</f>
        <v>0</v>
      </c>
      <c r="AM92" s="68">
        <f t="shared" si="8"/>
        <v>3030</v>
      </c>
      <c r="AN92" s="32"/>
      <c r="AO92" s="32"/>
      <c r="AP92" s="68">
        <f t="shared" si="9"/>
        <v>3030</v>
      </c>
      <c r="AQ92" s="87">
        <v>1</v>
      </c>
      <c r="AR92" s="36"/>
      <c r="AS92" s="36"/>
      <c r="AT92" s="85">
        <v>0</v>
      </c>
      <c r="AU92" s="16" t="s">
        <v>209</v>
      </c>
      <c r="AV92" s="36"/>
      <c r="AW92" s="36"/>
      <c r="AX92" s="36"/>
    </row>
    <row r="93" spans="1:47" s="20" customFormat="1" ht="16.5" customHeight="1">
      <c r="A93" s="22"/>
      <c r="B93" s="22"/>
      <c r="C93" s="22"/>
      <c r="D93" s="22"/>
      <c r="H93" s="19"/>
      <c r="I93" s="23"/>
      <c r="J93" s="23"/>
      <c r="K93" s="24">
        <f>SUBTOTAL(9,K2:K92)</f>
        <v>422830</v>
      </c>
      <c r="L93" s="24">
        <f>SUBTOTAL(9,L2:L92)</f>
        <v>-32965.519999999997</v>
      </c>
      <c r="M93" s="88">
        <f>SUBTOTAL(9,M2:M92)</f>
        <v>0</v>
      </c>
      <c r="N93" s="24">
        <v>39704.079999999994</v>
      </c>
      <c r="O93" s="88">
        <f t="shared" si="12" ref="O93:AC93">SUBTOTAL(9,O2:O92)</f>
        <v>621.75</v>
      </c>
      <c r="P93" s="88">
        <f t="shared" si="12"/>
        <v>0</v>
      </c>
      <c r="Q93" s="88">
        <f t="shared" si="12"/>
        <v>1247</v>
      </c>
      <c r="R93" s="24">
        <f t="shared" si="12"/>
        <v>120389.19999999995</v>
      </c>
      <c r="S93" s="89">
        <f t="shared" si="12"/>
        <v>0</v>
      </c>
      <c r="T93" s="89">
        <f t="shared" si="12"/>
        <v>0</v>
      </c>
      <c r="U93" s="89">
        <f t="shared" si="12"/>
        <v>0</v>
      </c>
      <c r="V93" s="24">
        <f t="shared" si="12"/>
        <v>230705.25999999998</v>
      </c>
      <c r="W93" s="88">
        <f t="shared" si="12"/>
        <v>17500</v>
      </c>
      <c r="X93" s="88">
        <f t="shared" si="12"/>
        <v>0</v>
      </c>
      <c r="Y93" s="88">
        <f t="shared" si="12"/>
        <v>0</v>
      </c>
      <c r="Z93" s="25">
        <f t="shared" si="12"/>
        <v>-362.36000000000001</v>
      </c>
      <c r="AA93" s="88">
        <f t="shared" si="12"/>
        <v>0</v>
      </c>
      <c r="AB93" s="88">
        <f t="shared" si="12"/>
        <v>185.99000000000001</v>
      </c>
      <c r="AC93" s="24">
        <f t="shared" si="12"/>
        <v>797469.22999999998</v>
      </c>
      <c r="AD93" s="24">
        <f t="shared" si="13" ref="AD93:AG93">SUBTOTAL(9,AD2:AD92)</f>
        <v>73406.650000000052</v>
      </c>
      <c r="AE93" s="24">
        <f t="shared" si="13"/>
        <v>18693.330000000005</v>
      </c>
      <c r="AF93" s="88">
        <f t="shared" si="13"/>
        <v>4182.9399999999996</v>
      </c>
      <c r="AG93" s="24">
        <f t="shared" si="13"/>
        <v>75388.110000000015</v>
      </c>
      <c r="AH93" s="24">
        <f t="shared" si="14" ref="AH93:AP93">SUBTOTAL(9,AH2:AH92)</f>
        <v>625798.19999999995</v>
      </c>
      <c r="AI93" s="88">
        <f t="shared" si="14"/>
        <v>11683.170000000004</v>
      </c>
      <c r="AJ93" s="89">
        <f t="shared" si="14"/>
        <v>0</v>
      </c>
      <c r="AK93" s="88">
        <f t="shared" si="14"/>
        <v>0</v>
      </c>
      <c r="AL93" s="88">
        <f t="shared" si="14"/>
        <v>0</v>
      </c>
      <c r="AM93" s="24">
        <f t="shared" si="14"/>
        <v>797469.22999999998</v>
      </c>
      <c r="AN93" s="88">
        <f t="shared" si="14"/>
        <v>0</v>
      </c>
      <c r="AO93" s="88">
        <f t="shared" si="14"/>
        <v>0</v>
      </c>
      <c r="AP93" s="24">
        <f t="shared" si="14"/>
        <v>614115.03000000014</v>
      </c>
      <c r="AQ93" s="19"/>
      <c r="AR93" s="19"/>
      <c r="AS93" s="19"/>
      <c r="AT93" s="19"/>
      <c r="AU93" s="19"/>
    </row>
    <row r="94" spans="8:42" ht="12">
      <c r="H94" s="19"/>
      <c r="AP94" s="24"/>
    </row>
  </sheetData>
  <autoFilter ref="A1:AZ1"/>
  <conditionalFormatting sqref="D1:D1048576">
    <cfRule type="duplicateValues" priority="1" dxfId="61"/>
  </conditionalFormatting>
  <conditionalFormatting sqref="E2:E60">
    <cfRule type="duplicateValues" priority="3" dxfId="61"/>
  </conditionalFormatting>
  <conditionalFormatting sqref="E2:E77">
    <cfRule type="duplicateValues" priority="83" dxfId="61"/>
  </conditionalFormatting>
  <conditionalFormatting sqref="E10">
    <cfRule type="duplicateValues" priority="54" dxfId="58"/>
  </conditionalFormatting>
  <conditionalFormatting sqref="E10:E11">
    <cfRule type="duplicateValues" priority="4" dxfId="58"/>
  </conditionalFormatting>
  <conditionalFormatting sqref="E12:E14">
    <cfRule type="duplicateValues" priority="6" dxfId="58"/>
  </conditionalFormatting>
  <conditionalFormatting sqref="E12:E26">
    <cfRule type="duplicateValues" priority="5" dxfId="58"/>
  </conditionalFormatting>
  <conditionalFormatting sqref="E45:E46">
    <cfRule type="duplicateValues" priority="13" dxfId="61"/>
  </conditionalFormatting>
  <conditionalFormatting sqref="E47:E50">
    <cfRule type="duplicateValues" priority="49" dxfId="61"/>
  </conditionalFormatting>
  <conditionalFormatting sqref="E56">
    <cfRule type="duplicateValues" priority="50" dxfId="61"/>
    <cfRule type="duplicateValues" priority="52"/>
    <cfRule type="duplicateValues" priority="51" dxfId="55"/>
  </conditionalFormatting>
  <conditionalFormatting sqref="E58:E60">
    <cfRule type="duplicateValues" priority="7" dxfId="61"/>
    <cfRule type="duplicateValues" priority="9"/>
    <cfRule type="duplicateValues" priority="8" dxfId="55"/>
  </conditionalFormatting>
  <conditionalFormatting sqref="E59:E60">
    <cfRule type="duplicateValues" priority="10" dxfId="61"/>
    <cfRule type="duplicateValues" priority="11" dxfId="55"/>
    <cfRule type="duplicateValues" priority="12"/>
  </conditionalFormatting>
  <conditionalFormatting sqref="E59:E61">
    <cfRule type="duplicateValues" priority="28" dxfId="61"/>
  </conditionalFormatting>
  <conditionalFormatting sqref="E60">
    <cfRule type="duplicateValues" priority="44" dxfId="55"/>
    <cfRule type="duplicateValues" priority="43" dxfId="61"/>
    <cfRule type="duplicateValues" priority="45"/>
  </conditionalFormatting>
  <conditionalFormatting sqref="E61">
    <cfRule type="duplicateValues" priority="29" dxfId="61"/>
  </conditionalFormatting>
  <conditionalFormatting sqref="E62">
    <cfRule type="duplicateValues" priority="69" dxfId="61"/>
  </conditionalFormatting>
  <conditionalFormatting sqref="E63">
    <cfRule type="duplicateValues" priority="46" dxfId="61"/>
    <cfRule type="duplicateValues" priority="47" dxfId="55"/>
    <cfRule type="duplicateValues" priority="48"/>
  </conditionalFormatting>
  <conditionalFormatting sqref="E71">
    <cfRule type="duplicateValues" priority="33" dxfId="61"/>
    <cfRule type="duplicateValues" priority="34" dxfId="55"/>
    <cfRule type="duplicateValues" priority="35"/>
  </conditionalFormatting>
  <conditionalFormatting sqref="E73:E77">
    <cfRule type="duplicateValues" priority="20" dxfId="61"/>
    <cfRule type="duplicateValues" priority="21" dxfId="55"/>
    <cfRule type="duplicateValues" priority="22"/>
  </conditionalFormatting>
  <conditionalFormatting sqref="E74:E77">
    <cfRule type="duplicateValues" priority="23" dxfId="61"/>
  </conditionalFormatting>
  <conditionalFormatting sqref="E75:E77">
    <cfRule type="duplicateValues" priority="17" dxfId="61"/>
    <cfRule type="duplicateValues" priority="18" dxfId="55"/>
    <cfRule type="duplicateValues" priority="19"/>
  </conditionalFormatting>
  <conditionalFormatting sqref="E76:E77">
    <cfRule type="duplicateValues" priority="14" dxfId="61"/>
    <cfRule type="duplicateValues" priority="15" dxfId="55"/>
    <cfRule type="duplicateValues" priority="16"/>
  </conditionalFormatting>
  <conditionalFormatting sqref="E77">
    <cfRule type="duplicateValues" priority="31" dxfId="55"/>
    <cfRule type="duplicateValues" priority="32"/>
    <cfRule type="duplicateValues" priority="30" dxfId="61"/>
  </conditionalFormatting>
  <conditionalFormatting sqref="E81 E93:E100">
    <cfRule type="duplicateValues" priority="25" dxfId="58"/>
  </conditionalFormatting>
  <conditionalFormatting sqref="E81 E93:E107">
    <cfRule type="duplicateValues" priority="24" dxfId="61"/>
  </conditionalFormatting>
  <conditionalFormatting sqref="E1:E77 E93:E1048576">
    <cfRule type="duplicateValues" priority="36" dxfId="58"/>
  </conditionalFormatting>
  <conditionalFormatting sqref="E1:E81 E93:E1048576">
    <cfRule type="duplicateValues" priority="53" dxfId="58"/>
  </conditionalFormatting>
  <conditionalFormatting sqref="E93:E1048576">
    <cfRule type="duplicateValues" priority="26" dxfId="58"/>
  </conditionalFormatting>
  <conditionalFormatting sqref="E113:E115">
    <cfRule type="duplicateValues" priority="38" dxfId="55"/>
    <cfRule type="duplicateValues" priority="39"/>
    <cfRule type="duplicateValues" priority="37" dxfId="61"/>
  </conditionalFormatting>
  <conditionalFormatting sqref="E115">
    <cfRule type="duplicateValues" priority="40" dxfId="61"/>
    <cfRule type="duplicateValues" priority="41" dxfId="55"/>
    <cfRule type="duplicateValues" priority="42"/>
  </conditionalFormatting>
  <pageMargins left="0.55" right="0.22" top="0.748031496062992" bottom="0.748031496062992" header="0.31496062992126" footer="0.31496062992126"/>
  <pageSetup horizontalDpi="300" verticalDpi="300" orientation="landscape" paperSize="9" scale="75" r:id="rId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 topLeftCell="A1"/>
  </sheetViews>
  <sheetFormatPr defaultRowHeight="13.5"/>
  <sheetData>
    <row r="1" spans="1:2" ht="13.5">
      <c r="A1" s="14" t="s">
        <v>151</v>
      </c>
    </row>
    <row r="2" spans="1:2" ht="13.5">
      <c r="A2" s="40" t="s">
        <v>543</v>
      </c>
      <c r="B2" s="90">
        <v>695.67</v>
      </c>
    </row>
    <row r="3" spans="1:2" ht="13.5">
      <c r="A3" s="40" t="s">
        <v>544</v>
      </c>
      <c r="B3" s="90">
        <v>7970.36</v>
      </c>
    </row>
    <row r="4" spans="1:2" ht="13.5">
      <c r="A4" s="40" t="s">
        <v>545</v>
      </c>
      <c r="B4" s="90">
        <v>354.62</v>
      </c>
    </row>
    <row r="5" spans="1:2" ht="13.5">
      <c r="A5" s="40" t="s">
        <v>546</v>
      </c>
      <c r="B5" s="90">
        <v>341.05</v>
      </c>
    </row>
    <row r="6" spans="1:2" ht="13.5">
      <c r="A6" s="40" t="s">
        <v>547</v>
      </c>
      <c r="B6" s="90">
        <v>375.98</v>
      </c>
    </row>
    <row r="7" spans="1:2" ht="13.5">
      <c r="A7" s="40" t="s">
        <v>548</v>
      </c>
      <c r="B7" s="90">
        <v>403.24</v>
      </c>
    </row>
    <row r="8" spans="1:2" ht="13.5">
      <c r="A8" s="40" t="s">
        <v>549</v>
      </c>
      <c r="B8" s="91">
        <v>354.62</v>
      </c>
    </row>
    <row r="9" spans="1:2" ht="13.5">
      <c r="A9" s="40" t="s">
        <v>550</v>
      </c>
      <c r="B9" s="18">
        <v>-362.36</v>
      </c>
    </row>
    <row r="10" spans="1:2" ht="13.5">
      <c r="A10" s="40"/>
      <c r="B10" s="92">
        <v>6836.5199999999986</v>
      </c>
    </row>
  </sheetData>
  <conditionalFormatting sqref="A1">
    <cfRule type="duplicateValues" priority="1" dxfId="61"/>
  </conditionalFormatting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账单明细</vt:lpstr>
      <vt:lpstr>工资明细</vt:lpstr>
      <vt:lpstr>Sheet7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sfsc</dc:creator>
  <cp:keywords/>
  <dc:description/>
  <cp:lastModifiedBy>cenice5794</cp:lastModifiedBy>
  <cp:lastPrinted>2021-11-24T05:14:48Z</cp:lastPrinted>
  <dcterms:created xsi:type="dcterms:W3CDTF">2006-09-13T11:21:00Z</dcterms:created>
  <dcterms:modified xsi:type="dcterms:W3CDTF">2026-06-25T05:14:14Z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