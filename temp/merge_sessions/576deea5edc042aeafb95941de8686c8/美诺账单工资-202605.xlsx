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工资明细" sheetId="2" r:id="rId1"/>
  </sheets>
  <externalReferences>
    <externalReference r:id="rId2"/>
  </externalReferences>
  <definedNames>
    <definedName name="_xlnm._FilterDatabase" localSheetId="0" hidden="1">工资明细!$A$1:$AU$97</definedName>
    <definedName name="Dept">'[1]1_New Hire'!#REF!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yang.wu</author>
  </authors>
  <commentList>
    <comment ref="I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I8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S9" authorId="0">
      <text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宋体"/>
            <charset val="134"/>
          </rPr>
          <t>月</t>
        </r>
        <r>
          <rPr>
            <b/>
            <sz val="9"/>
            <rFont val="Tahoma"/>
            <charset val="134"/>
          </rPr>
          <t>7.5</t>
        </r>
        <r>
          <rPr>
            <b/>
            <sz val="9"/>
            <rFont val="宋体"/>
            <charset val="134"/>
          </rPr>
          <t>天病假</t>
        </r>
      </text>
    </comment>
    <comment ref="G1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1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H1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1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1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1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2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2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H2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2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2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2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I2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2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2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Z3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产假期间公司垫付工资共计：</t>
        </r>
        <r>
          <rPr>
            <sz val="9"/>
            <rFont val="Tahoma"/>
            <charset val="134"/>
          </rPr>
          <t>695.67</t>
        </r>
        <r>
          <rPr>
            <sz val="9"/>
            <rFont val="宋体"/>
            <charset val="134"/>
          </rPr>
          <t>元和</t>
        </r>
        <r>
          <rPr>
            <sz val="9"/>
            <rFont val="Tahoma"/>
            <charset val="134"/>
          </rPr>
          <t>7970.36</t>
        </r>
        <r>
          <rPr>
            <sz val="9"/>
            <rFont val="宋体"/>
            <charset val="134"/>
          </rPr>
          <t>的社保垫付，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354.62</t>
        </r>
        <r>
          <rPr>
            <sz val="9"/>
            <rFont val="宋体"/>
            <charset val="134"/>
          </rPr>
          <t>元，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341.05</t>
        </r>
        <r>
          <rPr>
            <sz val="9"/>
            <rFont val="宋体"/>
            <charset val="134"/>
          </rPr>
          <t>元；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375.98</t>
        </r>
        <r>
          <rPr>
            <sz val="9"/>
            <rFont val="宋体"/>
            <charset val="134"/>
          </rPr>
          <t>；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403.24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月扣回</t>
        </r>
        <r>
          <rPr>
            <sz val="9"/>
            <rFont val="Tahoma"/>
            <charset val="134"/>
          </rPr>
          <t>354.62</t>
        </r>
      </text>
    </comment>
    <comment ref="H3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2080</t>
        </r>
      </text>
    </comment>
    <comment ref="H3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2080</t>
        </r>
      </text>
    </comment>
    <comment ref="H3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3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H4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4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F4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月调整岗位</t>
        </r>
      </text>
    </comment>
    <comment ref="I5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I5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日转签合杰杭州分</t>
        </r>
      </text>
    </comment>
    <comment ref="I5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2026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日转合杰合肥分公司</t>
        </r>
      </text>
    </comment>
    <comment ref="I6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6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63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I6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G6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日变更到广州</t>
        </r>
      </text>
    </comment>
    <comment ref="H6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2500</t>
        </r>
      </text>
    </comment>
    <comment ref="I6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  <comment ref="H6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6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F6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24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月调整岗位</t>
        </r>
      </text>
    </comment>
    <comment ref="I6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7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7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7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日实施</t>
        </r>
      </text>
    </comment>
    <comment ref="I7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日转合杰重庆</t>
        </r>
      </text>
    </comment>
    <comment ref="I74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H7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日开始实施</t>
        </r>
      </text>
    </comment>
    <comment ref="I7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7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日转合杰份工资</t>
        </r>
      </text>
    </comment>
    <comment ref="H77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I81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日转签合杰武汉分</t>
        </r>
      </text>
    </comment>
    <comment ref="I82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8</t>
        </r>
        <r>
          <rPr>
            <sz val="9"/>
            <rFont val="宋体"/>
            <charset val="134"/>
          </rPr>
          <t>月转合杰武汉</t>
        </r>
      </text>
    </comment>
    <comment ref="H85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H89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H90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日起</t>
        </r>
        <r>
          <rPr>
            <sz val="9"/>
            <rFont val="Tahoma"/>
            <charset val="134"/>
          </rPr>
          <t>2520</t>
        </r>
      </text>
    </comment>
    <comment ref="I96" authorId="0">
      <text>
        <r>
          <rPr>
            <b/>
            <sz val="9"/>
            <rFont val="Tahoma"/>
            <charset val="134"/>
          </rPr>
          <t>yang.wu:</t>
        </r>
        <r>
          <rPr>
            <sz val="9"/>
            <rFont val="Tahoma"/>
            <charset val="134"/>
          </rPr>
          <t xml:space="preserve">
2025</t>
        </r>
        <r>
          <rPr>
            <sz val="9"/>
            <rFont val="宋体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宋体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日转广州合杰</t>
        </r>
      </text>
    </comment>
  </commentList>
</comments>
</file>

<file path=xl/sharedStrings.xml><?xml version="1.0" encoding="utf-8"?>
<sst xmlns="http://schemas.openxmlformats.org/spreadsheetml/2006/main" count="720" uniqueCount="368">
  <si>
    <t>序号</t>
  </si>
  <si>
    <t>月份</t>
  </si>
  <si>
    <t>员工编码</t>
  </si>
  <si>
    <t>中文姓名</t>
  </si>
  <si>
    <t>身份证号码</t>
  </si>
  <si>
    <t>岗位</t>
  </si>
  <si>
    <t>工作地</t>
  </si>
  <si>
    <t>最低工资</t>
  </si>
  <si>
    <t>入职时间</t>
  </si>
  <si>
    <t>离职日期</t>
  </si>
  <si>
    <t>基本工资</t>
  </si>
  <si>
    <t>出勤工资调整</t>
  </si>
  <si>
    <t>职位津贴</t>
  </si>
  <si>
    <t>店员工龄津贴</t>
  </si>
  <si>
    <t>延时加班</t>
  </si>
  <si>
    <t>周末加班</t>
  </si>
  <si>
    <t>节假日加班</t>
  </si>
  <si>
    <t>加班工资</t>
  </si>
  <si>
    <t>病假扣资</t>
  </si>
  <si>
    <t>事假扣资</t>
  </si>
  <si>
    <t>产假扣资</t>
  </si>
  <si>
    <t>月度销售提成</t>
  </si>
  <si>
    <t>绩效评估奖金</t>
  </si>
  <si>
    <t>税前调整</t>
  </si>
  <si>
    <t>未休年假折算</t>
  </si>
  <si>
    <t>公司垫付社保工资</t>
  </si>
  <si>
    <t>公司承担税</t>
  </si>
  <si>
    <t>最低工资标准</t>
  </si>
  <si>
    <t>应发工资</t>
  </si>
  <si>
    <t>个人养老</t>
  </si>
  <si>
    <t>个人医疗</t>
  </si>
  <si>
    <t>个人失业</t>
  </si>
  <si>
    <t>个人公积金</t>
  </si>
  <si>
    <t>税前工资</t>
  </si>
  <si>
    <t>工资个税</t>
  </si>
  <si>
    <t>计税调整项</t>
  </si>
  <si>
    <t>13薪奖金/年终奖</t>
  </si>
  <si>
    <t>奖金个税</t>
  </si>
  <si>
    <t>收入合计</t>
  </si>
  <si>
    <t>离职补偿金</t>
  </si>
  <si>
    <t>生育津贴/一次性伤残就业补助金</t>
  </si>
  <si>
    <t>实发工资</t>
  </si>
  <si>
    <t>当年累计发放月数</t>
  </si>
  <si>
    <t>当年累计收入</t>
  </si>
  <si>
    <t>当年累计税</t>
  </si>
  <si>
    <t>专项抵扣</t>
  </si>
  <si>
    <t>备注</t>
  </si>
  <si>
    <t>s</t>
  </si>
  <si>
    <t>202604</t>
  </si>
  <si>
    <t>MNCN00246</t>
  </si>
  <si>
    <r>
      <rPr>
        <sz val="10"/>
        <color indexed="8"/>
        <rFont val="宋体"/>
        <charset val="134"/>
        <scheme val="minor"/>
      </rPr>
      <t>沈国伟</t>
    </r>
  </si>
  <si>
    <t>330184198807080319</t>
  </si>
  <si>
    <t>高级销售顾问</t>
  </si>
  <si>
    <t>杭州</t>
  </si>
  <si>
    <t>合杰区域分</t>
  </si>
  <si>
    <t>MNCN00101</t>
  </si>
  <si>
    <r>
      <rPr>
        <sz val="10"/>
        <color indexed="8"/>
        <rFont val="宋体"/>
        <charset val="134"/>
        <scheme val="minor"/>
      </rPr>
      <t>傅禄杰</t>
    </r>
  </si>
  <si>
    <t>310103198112094018</t>
  </si>
  <si>
    <t>上海</t>
  </si>
  <si>
    <t>上海合杰</t>
  </si>
  <si>
    <t>MNCN00226</t>
  </si>
  <si>
    <t>韩英</t>
  </si>
  <si>
    <t>320123197712131022</t>
  </si>
  <si>
    <t>销售主管</t>
  </si>
  <si>
    <t>南京</t>
  </si>
  <si>
    <t>MNCN00163</t>
  </si>
  <si>
    <r>
      <rPr>
        <sz val="10"/>
        <color indexed="8"/>
        <rFont val="宋体"/>
        <charset val="134"/>
        <scheme val="minor"/>
      </rPr>
      <t>王金栋</t>
    </r>
  </si>
  <si>
    <t>110223198702142714</t>
  </si>
  <si>
    <t>销售顾问</t>
  </si>
  <si>
    <t>北京</t>
  </si>
  <si>
    <t>北京合杰</t>
  </si>
  <si>
    <t>MNCN00238</t>
  </si>
  <si>
    <r>
      <rPr>
        <sz val="10"/>
        <color indexed="8"/>
        <rFont val="宋体"/>
        <charset val="134"/>
        <scheme val="minor"/>
      </rPr>
      <t>徐乐</t>
    </r>
  </si>
  <si>
    <t>110222198702056027</t>
  </si>
  <si>
    <t>MNCN00263</t>
  </si>
  <si>
    <t>刘星全</t>
  </si>
  <si>
    <t>37292519890401691X</t>
  </si>
  <si>
    <t>MNCN00281</t>
  </si>
  <si>
    <t>周华荣</t>
  </si>
  <si>
    <t>420822198801105563</t>
  </si>
  <si>
    <t>天津</t>
  </si>
  <si>
    <t>MNCN00300</t>
  </si>
  <si>
    <t>李爱芳</t>
  </si>
  <si>
    <t>320981197710083482</t>
  </si>
  <si>
    <t>苏州</t>
  </si>
  <si>
    <t>MNCN00355</t>
  </si>
  <si>
    <t>程琪</t>
  </si>
  <si>
    <t>42010219880908082X</t>
  </si>
  <si>
    <t>武汉</t>
  </si>
  <si>
    <t>MNCN00369</t>
  </si>
  <si>
    <t>秦懿</t>
  </si>
  <si>
    <t>310105198108060045</t>
  </si>
  <si>
    <t>MNCN00381</t>
  </si>
  <si>
    <t>贾锐</t>
  </si>
  <si>
    <t>510104198710260016</t>
  </si>
  <si>
    <t>成都</t>
  </si>
  <si>
    <t>成都合杰</t>
  </si>
  <si>
    <t>MNCN00390</t>
  </si>
  <si>
    <t>周之绮</t>
  </si>
  <si>
    <t>310107198302217221</t>
  </si>
  <si>
    <t>MNCN00391</t>
  </si>
  <si>
    <t>卢晓香</t>
  </si>
  <si>
    <t>422324198009156823</t>
  </si>
  <si>
    <t>MNCN00399</t>
  </si>
  <si>
    <t>李旻天</t>
  </si>
  <si>
    <t>310107198503120944</t>
  </si>
  <si>
    <t>资深销售主管</t>
  </si>
  <si>
    <t>MNCN00400</t>
  </si>
  <si>
    <t>胡伟</t>
  </si>
  <si>
    <t>513029198606282471</t>
  </si>
  <si>
    <t>重庆</t>
  </si>
  <si>
    <t>MNCN00412</t>
  </si>
  <si>
    <t>王李赫</t>
  </si>
  <si>
    <t>610102198811072314</t>
  </si>
  <si>
    <t>西安</t>
  </si>
  <si>
    <t>MNCN00414</t>
  </si>
  <si>
    <t>陆立琴</t>
  </si>
  <si>
    <t>320924198001065721</t>
  </si>
  <si>
    <t>MNCN00424</t>
  </si>
  <si>
    <t>王平</t>
  </si>
  <si>
    <t>610424199508080038</t>
  </si>
  <si>
    <t>MNCN00444</t>
  </si>
  <si>
    <t>祝荣丹</t>
  </si>
  <si>
    <t>440923199101235762</t>
  </si>
  <si>
    <t>广州</t>
  </si>
  <si>
    <t>MNCN00447</t>
  </si>
  <si>
    <t>刘明杰</t>
  </si>
  <si>
    <t>500108199010022613</t>
  </si>
  <si>
    <t>MNCN00448</t>
  </si>
  <si>
    <t>王译</t>
  </si>
  <si>
    <t>500109199008271924</t>
  </si>
  <si>
    <t>MNCN00445</t>
  </si>
  <si>
    <t>孙亮</t>
  </si>
  <si>
    <t>370205198604191016</t>
  </si>
  <si>
    <t>青岛</t>
  </si>
  <si>
    <t>MNCN00446</t>
  </si>
  <si>
    <t>胡蔷薇</t>
  </si>
  <si>
    <t>420921198704155525</t>
  </si>
  <si>
    <t>MNCN00450</t>
  </si>
  <si>
    <t>沈鸿鹏</t>
  </si>
  <si>
    <t>220284198807302313</t>
  </si>
  <si>
    <t>MNCN00452</t>
  </si>
  <si>
    <t>张洁</t>
  </si>
  <si>
    <t>320106198205172442</t>
  </si>
  <si>
    <t>MNCN00459</t>
  </si>
  <si>
    <t>王广春</t>
  </si>
  <si>
    <t>320922199702083617</t>
  </si>
  <si>
    <t>MNCN00461</t>
  </si>
  <si>
    <t>吕静雯</t>
  </si>
  <si>
    <t>130181198905025229</t>
  </si>
  <si>
    <t>MNCN00477</t>
  </si>
  <si>
    <t>王雪娇</t>
  </si>
  <si>
    <t>340823198402105888</t>
  </si>
  <si>
    <t>张家港</t>
  </si>
  <si>
    <t>MNCN00478</t>
  </si>
  <si>
    <t>赵徐</t>
  </si>
  <si>
    <t>340421198706282854</t>
  </si>
  <si>
    <t>MNCN00479</t>
  </si>
  <si>
    <t>郭思玉</t>
  </si>
  <si>
    <t>622827199610250384</t>
  </si>
  <si>
    <t>MNCN00480</t>
  </si>
  <si>
    <t>葛梦影</t>
  </si>
  <si>
    <t>320283199108137568</t>
  </si>
  <si>
    <t>前台</t>
  </si>
  <si>
    <t>MNCN00488</t>
  </si>
  <si>
    <t>聂贝</t>
  </si>
  <si>
    <t>430221199003075221</t>
  </si>
  <si>
    <t>MNCN00490</t>
  </si>
  <si>
    <t>黄炳金</t>
  </si>
  <si>
    <t>45042119951105101X</t>
  </si>
  <si>
    <t>佛山</t>
  </si>
  <si>
    <t>MNCN00491</t>
  </si>
  <si>
    <t>张露文</t>
  </si>
  <si>
    <t>441283199312171024</t>
  </si>
  <si>
    <t>MNCN00515</t>
  </si>
  <si>
    <t>林辉</t>
  </si>
  <si>
    <t>310115197803192515</t>
  </si>
  <si>
    <t>MNCN00517</t>
  </si>
  <si>
    <t>刘丽微</t>
  </si>
  <si>
    <t>210323198908074066</t>
  </si>
  <si>
    <t>大连</t>
  </si>
  <si>
    <t>MNCN00521</t>
  </si>
  <si>
    <t>姚远</t>
  </si>
  <si>
    <t>211302198202250020</t>
  </si>
  <si>
    <t>MNCN00536</t>
  </si>
  <si>
    <t>赵凌云</t>
  </si>
  <si>
    <t>511321198801061483</t>
  </si>
  <si>
    <t>MNCN00537</t>
  </si>
  <si>
    <t>陈世益</t>
  </si>
  <si>
    <t>500224199208282854</t>
  </si>
  <si>
    <t>MNCN00541</t>
  </si>
  <si>
    <t>罗丽丽</t>
  </si>
  <si>
    <t>513023198808152183</t>
  </si>
  <si>
    <t>MNCN00542</t>
  </si>
  <si>
    <t>汤黎</t>
  </si>
  <si>
    <t>513001198108140220</t>
  </si>
  <si>
    <t>MNCN00547</t>
  </si>
  <si>
    <t>王玉婷</t>
  </si>
  <si>
    <t>210282198711178747</t>
  </si>
  <si>
    <t>MNCN00553</t>
  </si>
  <si>
    <t>张晨</t>
  </si>
  <si>
    <t>11010219811008041X</t>
  </si>
  <si>
    <t>MNCN00552</t>
  </si>
  <si>
    <t>贾璞</t>
  </si>
  <si>
    <t>130624198708032411</t>
  </si>
  <si>
    <t>MNCN00559</t>
  </si>
  <si>
    <t>李思帆</t>
  </si>
  <si>
    <t>411503199709176324</t>
  </si>
  <si>
    <t>电商客服</t>
  </si>
  <si>
    <t>MNCN00564</t>
  </si>
  <si>
    <t>刘培培</t>
  </si>
  <si>
    <t>320623198910194368</t>
  </si>
  <si>
    <t>MNCN00567</t>
  </si>
  <si>
    <t>黄蕾</t>
  </si>
  <si>
    <t>310108197808254048</t>
  </si>
  <si>
    <t>MNCN00576</t>
  </si>
  <si>
    <t>张陆敏</t>
  </si>
  <si>
    <t>31011019830528513X</t>
  </si>
  <si>
    <t>MNCN00577</t>
  </si>
  <si>
    <t>黄欢</t>
  </si>
  <si>
    <t>34012319851229364X</t>
  </si>
  <si>
    <t>MNCN00578</t>
  </si>
  <si>
    <t>张春彩</t>
  </si>
  <si>
    <t>341021198002026720</t>
  </si>
  <si>
    <t>MNCN00580</t>
  </si>
  <si>
    <t>苏敏</t>
  </si>
  <si>
    <t>532123200004070025</t>
  </si>
  <si>
    <t>MNCN00590</t>
  </si>
  <si>
    <t>杨吕明</t>
  </si>
  <si>
    <t>340825198510252319</t>
  </si>
  <si>
    <t>合肥</t>
  </si>
  <si>
    <t>MNCN00593</t>
  </si>
  <si>
    <t>李玉文</t>
  </si>
  <si>
    <t>220421199508174147</t>
  </si>
  <si>
    <t>MNCN00595</t>
  </si>
  <si>
    <t>胡敏</t>
  </si>
  <si>
    <t>310110198101283722</t>
  </si>
  <si>
    <t>MNCN00602</t>
  </si>
  <si>
    <t>杜文伟</t>
  </si>
  <si>
    <t>310115198212077755</t>
  </si>
  <si>
    <t>MNCN00603</t>
  </si>
  <si>
    <t>张燕</t>
  </si>
  <si>
    <t>36252519820225002X</t>
  </si>
  <si>
    <t>MNCN00608</t>
  </si>
  <si>
    <t>白雪杰</t>
  </si>
  <si>
    <t>130824198307310047</t>
  </si>
  <si>
    <t>MNCN00617</t>
  </si>
  <si>
    <t>李磊</t>
  </si>
  <si>
    <t>510322198910194715</t>
  </si>
  <si>
    <t>MNCN00618</t>
  </si>
  <si>
    <t>魏园园</t>
  </si>
  <si>
    <t>420325199710041927</t>
  </si>
  <si>
    <t>MNCN00625</t>
  </si>
  <si>
    <t>阳杰</t>
  </si>
  <si>
    <t>429006199501020014</t>
  </si>
  <si>
    <t>MNCN00643</t>
  </si>
  <si>
    <t>刘倩</t>
  </si>
  <si>
    <t>370203198404073848</t>
  </si>
  <si>
    <t>MNCN00642</t>
  </si>
  <si>
    <t>孙海波</t>
  </si>
  <si>
    <t>320382199712234216</t>
  </si>
  <si>
    <t>MNCN00644</t>
  </si>
  <si>
    <t>傅洁</t>
  </si>
  <si>
    <t>370202198306022223</t>
  </si>
  <si>
    <t>MNCN00646</t>
  </si>
  <si>
    <t>肖若竹</t>
  </si>
  <si>
    <t>130225199509230043</t>
  </si>
  <si>
    <t>MNCN00656</t>
  </si>
  <si>
    <t>何雯</t>
  </si>
  <si>
    <t>510106198710121449</t>
  </si>
  <si>
    <t>MNCN00661</t>
  </si>
  <si>
    <t>李芳</t>
  </si>
  <si>
    <t>360121199309283548</t>
  </si>
  <si>
    <t>南昌</t>
  </si>
  <si>
    <t>MNCN00663</t>
  </si>
  <si>
    <t>朱健</t>
  </si>
  <si>
    <t>360481198502284030</t>
  </si>
  <si>
    <t>MNCN00667</t>
  </si>
  <si>
    <t>董琪</t>
  </si>
  <si>
    <t>421181198909180429</t>
  </si>
  <si>
    <t>MNCN00668</t>
  </si>
  <si>
    <t>王琳</t>
  </si>
  <si>
    <t>230119198905161023</t>
  </si>
  <si>
    <t>MNCN00673</t>
  </si>
  <si>
    <t>周峰</t>
  </si>
  <si>
    <t>500382198603225336</t>
  </si>
  <si>
    <t>MNCN00677</t>
  </si>
  <si>
    <t>王丹</t>
  </si>
  <si>
    <t>131121199101201441</t>
  </si>
  <si>
    <t>MNCN00679</t>
  </si>
  <si>
    <t>熊蒙蒙</t>
  </si>
  <si>
    <t>321323199806203649</t>
  </si>
  <si>
    <t>MNCN00681</t>
  </si>
  <si>
    <t>陈传波</t>
  </si>
  <si>
    <t>420683198510200554</t>
  </si>
  <si>
    <t>MNCN00689</t>
  </si>
  <si>
    <t>张瑜婷</t>
  </si>
  <si>
    <t>360734199804210025</t>
  </si>
  <si>
    <t>MNCN00695</t>
  </si>
  <si>
    <t>罗莎莎</t>
  </si>
  <si>
    <t>51072419900424082X</t>
  </si>
  <si>
    <t>MNCN00696</t>
  </si>
  <si>
    <t>姚顾周</t>
  </si>
  <si>
    <t>42108719830930323X</t>
  </si>
  <si>
    <t>深圳</t>
  </si>
  <si>
    <t>深圳合杰</t>
  </si>
  <si>
    <t>MNCN00697</t>
  </si>
  <si>
    <t>张嵩扬</t>
  </si>
  <si>
    <t>220521198212290027</t>
  </si>
  <si>
    <t>MNCN00699</t>
  </si>
  <si>
    <t>周丹</t>
  </si>
  <si>
    <t>110222198511116824</t>
  </si>
  <si>
    <t>MNCN00704</t>
  </si>
  <si>
    <t>邓怡青</t>
  </si>
  <si>
    <t>360105199208251213</t>
  </si>
  <si>
    <t>MNCN00707</t>
  </si>
  <si>
    <t>李琳</t>
  </si>
  <si>
    <t>420116199710180487</t>
  </si>
  <si>
    <t>MNCN00712</t>
  </si>
  <si>
    <t>张劲松</t>
  </si>
  <si>
    <t>420923198809010130</t>
  </si>
  <si>
    <t>MNCN00717</t>
  </si>
  <si>
    <t>徐殊</t>
  </si>
  <si>
    <t>36012120000506144X</t>
  </si>
  <si>
    <t>MNCN00718</t>
  </si>
  <si>
    <t>郭圣杰</t>
  </si>
  <si>
    <t>420116200212250011</t>
  </si>
  <si>
    <t>MNCN00285</t>
  </si>
  <si>
    <t>鲁业全</t>
  </si>
  <si>
    <t>513030198906301035</t>
  </si>
  <si>
    <t>MNCN00723</t>
  </si>
  <si>
    <t>王永维</t>
  </si>
  <si>
    <t>130721199007055830</t>
  </si>
  <si>
    <t>MNCN00725</t>
  </si>
  <si>
    <t>张欢欢</t>
  </si>
  <si>
    <t>342221199203055081</t>
  </si>
  <si>
    <t>MNCN00727</t>
  </si>
  <si>
    <t>杨利芳</t>
  </si>
  <si>
    <t>410326198808163746</t>
  </si>
  <si>
    <t>MNCN00729</t>
  </si>
  <si>
    <t>江婷婷</t>
  </si>
  <si>
    <t>445281199201232120</t>
  </si>
  <si>
    <t>MNCN00734</t>
  </si>
  <si>
    <t>韩冬冬</t>
  </si>
  <si>
    <t>511621199409307750</t>
  </si>
  <si>
    <t>MNCN00737</t>
  </si>
  <si>
    <t>潘莉文</t>
  </si>
  <si>
    <t>341124199404044023</t>
  </si>
  <si>
    <t>MNCN00739</t>
  </si>
  <si>
    <t>冯莉</t>
  </si>
  <si>
    <t>420114198702065422</t>
  </si>
  <si>
    <t>MNCN00740</t>
  </si>
  <si>
    <t>丁家恒</t>
  </si>
  <si>
    <t>420923199511134397</t>
  </si>
  <si>
    <t>MNCN00741</t>
  </si>
  <si>
    <t>魏华</t>
  </si>
  <si>
    <t>210114198602035120</t>
  </si>
  <si>
    <t>沈阳</t>
  </si>
  <si>
    <t>MNCN00742</t>
  </si>
  <si>
    <t>刘玉栋</t>
  </si>
  <si>
    <t>120105199601302115</t>
  </si>
  <si>
    <t>MNCN00385</t>
  </si>
  <si>
    <t>王运连</t>
  </si>
  <si>
    <t>432824197601134580</t>
  </si>
  <si>
    <t>CNSD2000</t>
  </si>
  <si>
    <t>程伟</t>
  </si>
  <si>
    <t>310112198208301823</t>
  </si>
  <si>
    <t>项目助理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</si>
</sst>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name val="微软雅黑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0">
    <xf numFmtId="176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176" fontId="5" fillId="6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2" xfId="0" applyNumberFormat="1" applyFont="1" applyFill="1" applyBorder="1" applyAlignment="1">
      <alignment vertical="center"/>
    </xf>
    <xf numFmtId="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_2008年4月司机工资" xfId="49"/>
    <cellStyle name="千位分隔 2" xfId="50"/>
    <cellStyle name="千位分隔 3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y%20files\MetLife\Removing%20from%20Z\Monthly%20Salary\&#24037;&#36164;\ZJ(63200)\201408\Payroll%20Data%20Collection%20%20Checking%20Sheet_ZJ%202014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_New Hire"/>
      <sheetName val="2_Terminated"/>
      <sheetName val="3_Change of Status"/>
      <sheetName val="4_OT"/>
      <sheetName val="5_Other Items"/>
      <sheetName val="6_EE"/>
      <sheetName val="7_Balance Sh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9"/>
  <sheetViews>
    <sheetView tabSelected="1" zoomScale="106" zoomScaleNormal="106" workbookViewId="0">
      <pane xSplit="5" ySplit="2" topLeftCell="AG82" activePane="bottomRight" state="frozen"/>
      <selection/>
      <selection pane="topRight"/>
      <selection pane="bottomLeft"/>
      <selection pane="bottomRight" activeCell="AJ102" sqref="AJ102"/>
    </sheetView>
  </sheetViews>
  <sheetFormatPr defaultColWidth="9" defaultRowHeight="13"/>
  <cols>
    <col min="1" max="1" width="6.10909090909091" style="4" customWidth="1"/>
    <col min="2" max="2" width="9" style="4"/>
    <col min="3" max="3" width="10.4454545454545" style="4" customWidth="1"/>
    <col min="4" max="4" width="8" style="5" customWidth="1"/>
    <col min="5" max="5" width="18.2181818181818" style="4" customWidth="1"/>
    <col min="6" max="6" width="12.1090909090909" style="5" customWidth="1"/>
    <col min="7" max="7" width="8.33636363636364" style="4" customWidth="1"/>
    <col min="8" max="8" width="8.33636363636364" style="6" customWidth="1"/>
    <col min="9" max="9" width="16.8909090909091" style="7" customWidth="1"/>
    <col min="10" max="10" width="13.6636363636364" style="7" customWidth="1"/>
    <col min="11" max="11" width="10" style="6" customWidth="1"/>
    <col min="12" max="13" width="13.7818181818182" style="6" customWidth="1"/>
    <col min="14" max="17" width="13.4454545454545" style="6" customWidth="1"/>
    <col min="18" max="21" width="11" style="6" customWidth="1"/>
    <col min="22" max="22" width="13.3363636363636" style="6" customWidth="1"/>
    <col min="23" max="25" width="12.4454545454545" style="6" customWidth="1"/>
    <col min="26" max="26" width="12.1090909090909" style="6" customWidth="1"/>
    <col min="27" max="28" width="12.1090909090909" style="8" customWidth="1"/>
    <col min="29" max="29" width="12.8909090909091" style="6" customWidth="1"/>
    <col min="30" max="32" width="12.4454545454545" style="6" customWidth="1"/>
    <col min="33" max="34" width="10.3363636363636" style="6" customWidth="1"/>
    <col min="35" max="35" width="10.5545454545455" style="6" customWidth="1"/>
    <col min="36" max="36" width="10.6636363636364" style="6" customWidth="1"/>
    <col min="37" max="39" width="12" style="6" customWidth="1"/>
    <col min="40" max="40" width="11.3363636363636" style="6" customWidth="1"/>
    <col min="41" max="41" width="11" style="6" customWidth="1"/>
    <col min="42" max="42" width="13.6636363636364" style="6" customWidth="1"/>
    <col min="43" max="45" width="9" style="6" customWidth="1"/>
    <col min="46" max="46" width="9" style="9" customWidth="1"/>
    <col min="47" max="47" width="10.3363636363636" style="10" customWidth="1"/>
    <col min="48" max="16384" width="9" style="4"/>
  </cols>
  <sheetData>
    <row r="1" s="1" customFormat="1" ht="36" customHeight="1" spans="1:48">
      <c r="A1" s="11" t="s">
        <v>0</v>
      </c>
      <c r="B1" s="11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  <c r="P1" s="17" t="s">
        <v>15</v>
      </c>
      <c r="Q1" s="17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9" t="s">
        <v>34</v>
      </c>
      <c r="AJ1" s="18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20" t="s">
        <v>42</v>
      </c>
      <c r="AR1" s="20" t="s">
        <v>43</v>
      </c>
      <c r="AS1" s="20" t="s">
        <v>44</v>
      </c>
      <c r="AT1" s="21" t="s">
        <v>45</v>
      </c>
      <c r="AU1" s="22" t="s">
        <v>46</v>
      </c>
      <c r="AV1" s="1" t="s">
        <v>47</v>
      </c>
    </row>
    <row r="2" s="2" customFormat="1" ht="16.5" customHeight="1" spans="1:48">
      <c r="A2" s="23">
        <v>1</v>
      </c>
      <c r="B2" s="23" t="s">
        <v>48</v>
      </c>
      <c r="C2" s="23" t="s">
        <v>49</v>
      </c>
      <c r="D2" s="23" t="s">
        <v>50</v>
      </c>
      <c r="E2" s="40" t="s">
        <v>51</v>
      </c>
      <c r="F2" s="23" t="s">
        <v>52</v>
      </c>
      <c r="G2" s="23" t="s">
        <v>53</v>
      </c>
      <c r="H2" s="25">
        <v>2660</v>
      </c>
      <c r="I2" s="26">
        <v>42430</v>
      </c>
      <c r="J2" s="26"/>
      <c r="K2" s="25">
        <v>5000</v>
      </c>
      <c r="L2" s="25"/>
      <c r="M2" s="25"/>
      <c r="N2" s="25">
        <v>1000</v>
      </c>
      <c r="O2" s="25">
        <v>0</v>
      </c>
      <c r="P2" s="25"/>
      <c r="Q2" s="25">
        <v>8</v>
      </c>
      <c r="R2" s="25">
        <f t="shared" ref="R2:R33" si="0">ROUND(K2/174*SUM(O2*1.5+P2*2+Q2*3),2)</f>
        <v>689.66</v>
      </c>
      <c r="S2" s="27"/>
      <c r="T2" s="25"/>
      <c r="U2" s="25"/>
      <c r="V2" s="25">
        <v>5235.84</v>
      </c>
      <c r="W2" s="25"/>
      <c r="X2" s="25"/>
      <c r="Y2" s="25"/>
      <c r="Z2" s="25"/>
      <c r="AA2" s="25"/>
      <c r="AB2" s="27"/>
      <c r="AC2" s="25">
        <f t="shared" ref="AC2:AC33" si="1">ROUND(SUM(SUM(K2:N2)+SUM(R2:AB2)),2)</f>
        <v>11925.5</v>
      </c>
      <c r="AD2" s="25">
        <v>1359.83</v>
      </c>
      <c r="AE2" s="23">
        <v>339.96</v>
      </c>
      <c r="AF2" s="25">
        <v>84.99</v>
      </c>
      <c r="AG2" s="25">
        <v>1575</v>
      </c>
      <c r="AH2" s="25">
        <f t="shared" ref="AH2:AH57" si="2">AC2-AD2-AE2-AF2-AG2</f>
        <v>8565.72</v>
      </c>
      <c r="AI2" s="25">
        <f>MAX(ROUND(MAX((AH2+AR2-5000*AQ2-AT2)*{0.03,0.1,0.2,0.25,0.3,0.35,0.45}-{0,2520,16920,31920,52920,85920,181920},0)-AS2,2),0)</f>
        <v>0</v>
      </c>
      <c r="AJ2" s="27"/>
      <c r="AK2" s="25"/>
      <c r="AL2" s="25">
        <f>ROUND(LOOKUP(MAX(0.0001,AK2/12),{0;6;24;50;70;110;160}*500+0.0001,5*MAX(0,AK2)*{0.6;2;4;5;6;7;9}%-10*{0;21;141;266;441;716;1516}),2)</f>
        <v>0</v>
      </c>
      <c r="AM2" s="25">
        <f t="shared" ref="AM2:AM33" si="3">AC2+AK2+AJ2</f>
        <v>11925.5</v>
      </c>
      <c r="AN2" s="25"/>
      <c r="AO2" s="25"/>
      <c r="AP2" s="25">
        <f t="shared" ref="AP2:AP33" si="4">ROUND(AH2-AI2+AK2-AL2+AO2+AN2,2)</f>
        <v>8565.72</v>
      </c>
      <c r="AQ2" s="9">
        <v>5</v>
      </c>
      <c r="AR2" s="9">
        <v>49753.45</v>
      </c>
      <c r="AS2" s="9">
        <v>491.4</v>
      </c>
      <c r="AT2" s="9">
        <v>35000</v>
      </c>
      <c r="AU2" s="28" t="s">
        <v>54</v>
      </c>
    </row>
    <row r="3" s="2" customFormat="1" ht="16.5" customHeight="1" spans="1:48">
      <c r="A3" s="23">
        <v>2</v>
      </c>
      <c r="B3" s="23" t="s">
        <v>48</v>
      </c>
      <c r="C3" s="23" t="s">
        <v>55</v>
      </c>
      <c r="D3" s="23" t="s">
        <v>56</v>
      </c>
      <c r="E3" s="40" t="s">
        <v>57</v>
      </c>
      <c r="F3" s="23" t="s">
        <v>52</v>
      </c>
      <c r="G3" s="23" t="s">
        <v>58</v>
      </c>
      <c r="H3" s="25">
        <v>2740</v>
      </c>
      <c r="I3" s="26">
        <v>42430</v>
      </c>
      <c r="J3" s="26"/>
      <c r="K3" s="25">
        <v>4600</v>
      </c>
      <c r="L3" s="25"/>
      <c r="M3" s="25"/>
      <c r="N3" s="25">
        <v>1000</v>
      </c>
      <c r="O3" s="25">
        <v>0</v>
      </c>
      <c r="P3" s="25"/>
      <c r="Q3" s="25">
        <v>10</v>
      </c>
      <c r="R3" s="25">
        <f t="shared" si="0"/>
        <v>793.1</v>
      </c>
      <c r="S3" s="27"/>
      <c r="T3" s="25"/>
      <c r="U3" s="25"/>
      <c r="V3" s="25">
        <v>1992.33</v>
      </c>
      <c r="W3" s="25"/>
      <c r="X3" s="25"/>
      <c r="Y3" s="25"/>
      <c r="Z3" s="25"/>
      <c r="AA3" s="25"/>
      <c r="AB3" s="29"/>
      <c r="AC3" s="25">
        <f t="shared" si="1"/>
        <v>8385.43</v>
      </c>
      <c r="AD3" s="25">
        <v>792.21</v>
      </c>
      <c r="AE3" s="23">
        <v>198.05</v>
      </c>
      <c r="AF3" s="25">
        <v>49.51</v>
      </c>
      <c r="AG3" s="25">
        <v>693</v>
      </c>
      <c r="AH3" s="25">
        <f t="shared" si="2"/>
        <v>6652.66</v>
      </c>
      <c r="AI3" s="25">
        <f>MAX(ROUND(MAX((AH3+AR3-5000*AQ3-AT3)*{0.03,0.1,0.2,0.25,0.3,0.35,0.45}-{0,2520,16920,31920,52920,85920,181920},0)-AS3,2),0)</f>
        <v>19.18</v>
      </c>
      <c r="AJ3" s="27"/>
      <c r="AK3" s="25"/>
      <c r="AL3" s="25">
        <f>ROUND(LOOKUP(MAX(0.0001,AK3/12),{0;6;24;50;70;110;160}*500+0.0001,5*MAX(0,AK3)*{0.6;2;4;5;6;7;9}%-10*{0;21;141;266;441;716;1516}),2)</f>
        <v>0</v>
      </c>
      <c r="AM3" s="25">
        <f t="shared" si="3"/>
        <v>8385.43</v>
      </c>
      <c r="AN3" s="25"/>
      <c r="AO3" s="25"/>
      <c r="AP3" s="25">
        <f t="shared" si="4"/>
        <v>6633.48</v>
      </c>
      <c r="AQ3" s="9">
        <v>5</v>
      </c>
      <c r="AR3" s="9">
        <v>24617.05</v>
      </c>
      <c r="AS3" s="9">
        <v>168.91</v>
      </c>
      <c r="AT3" s="9">
        <v>0</v>
      </c>
      <c r="AU3" s="28" t="s">
        <v>59</v>
      </c>
    </row>
    <row r="4" s="2" customFormat="1" ht="16.5" customHeight="1" spans="1:48">
      <c r="A4" s="23">
        <v>3</v>
      </c>
      <c r="B4" s="23" t="s">
        <v>48</v>
      </c>
      <c r="C4" s="23" t="s">
        <v>60</v>
      </c>
      <c r="D4" s="23" t="s">
        <v>61</v>
      </c>
      <c r="E4" s="40" t="s">
        <v>62</v>
      </c>
      <c r="F4" s="23" t="s">
        <v>63</v>
      </c>
      <c r="G4" s="23" t="s">
        <v>64</v>
      </c>
      <c r="H4" s="25">
        <v>2660</v>
      </c>
      <c r="I4" s="26">
        <v>42430</v>
      </c>
      <c r="J4" s="26"/>
      <c r="K4" s="25">
        <v>7300</v>
      </c>
      <c r="L4" s="25"/>
      <c r="M4" s="25"/>
      <c r="N4" s="25">
        <v>1000</v>
      </c>
      <c r="O4" s="25">
        <v>9</v>
      </c>
      <c r="P4" s="25"/>
      <c r="Q4" s="25">
        <v>8.5</v>
      </c>
      <c r="R4" s="25">
        <f t="shared" si="0"/>
        <v>1636.21</v>
      </c>
      <c r="S4" s="27"/>
      <c r="T4" s="25"/>
      <c r="U4" s="25"/>
      <c r="V4" s="25">
        <v>5039.53</v>
      </c>
      <c r="W4" s="25"/>
      <c r="X4" s="25"/>
      <c r="Y4" s="25"/>
      <c r="Z4" s="25"/>
      <c r="AA4" s="25"/>
      <c r="AB4" s="27"/>
      <c r="AC4" s="25">
        <f t="shared" si="1"/>
        <v>14975.74</v>
      </c>
      <c r="AD4" s="25">
        <v>1909.12</v>
      </c>
      <c r="AE4" s="23">
        <v>487.28</v>
      </c>
      <c r="AF4" s="25">
        <v>119.32</v>
      </c>
      <c r="AG4" s="25">
        <v>2604</v>
      </c>
      <c r="AH4" s="25">
        <f t="shared" si="2"/>
        <v>9856.02</v>
      </c>
      <c r="AI4" s="25">
        <f>MAX(ROUND(MAX((AH4+AR4-5000*AQ4-AT4)*{0.03,0.1,0.2,0.25,0.3,0.35,0.45}-{0,2520,16920,31920,52920,85920,181920},0)-AS4,2),0)</f>
        <v>59.2</v>
      </c>
      <c r="AJ4" s="27"/>
      <c r="AK4" s="25"/>
      <c r="AL4" s="25">
        <f>ROUND(LOOKUP(MAX(0.0001,AK4/12),{0;6;24;50;70;110;160}*500+0.0001,5*MAX(0,AK4)*{0.6;2;4;5;6;7;9}%-10*{0;21;141;266;441;716;1516}),2)</f>
        <v>0</v>
      </c>
      <c r="AM4" s="25">
        <f t="shared" si="3"/>
        <v>14975.74</v>
      </c>
      <c r="AN4" s="25"/>
      <c r="AO4" s="25"/>
      <c r="AP4" s="25">
        <f t="shared" si="4"/>
        <v>9796.82</v>
      </c>
      <c r="AQ4" s="9">
        <v>5</v>
      </c>
      <c r="AR4" s="9">
        <v>68981.06</v>
      </c>
      <c r="AS4" s="9">
        <v>1304.51</v>
      </c>
      <c r="AT4" s="9">
        <v>15000</v>
      </c>
      <c r="AU4" s="28" t="s">
        <v>59</v>
      </c>
    </row>
    <row r="5" s="2" customFormat="1" ht="16.5" customHeight="1" spans="1:48">
      <c r="A5" s="23">
        <v>4</v>
      </c>
      <c r="B5" s="23" t="s">
        <v>48</v>
      </c>
      <c r="C5" s="23" t="s">
        <v>65</v>
      </c>
      <c r="D5" s="23" t="s">
        <v>66</v>
      </c>
      <c r="E5" s="40" t="s">
        <v>67</v>
      </c>
      <c r="F5" s="23" t="s">
        <v>68</v>
      </c>
      <c r="G5" s="23" t="s">
        <v>69</v>
      </c>
      <c r="H5" s="25">
        <v>2540</v>
      </c>
      <c r="I5" s="26">
        <v>42430</v>
      </c>
      <c r="J5" s="26"/>
      <c r="K5" s="25">
        <v>3800</v>
      </c>
      <c r="L5" s="25"/>
      <c r="M5" s="25"/>
      <c r="N5" s="25">
        <v>1000</v>
      </c>
      <c r="O5" s="25">
        <v>36</v>
      </c>
      <c r="P5" s="25"/>
      <c r="Q5" s="25">
        <v>6</v>
      </c>
      <c r="R5" s="25">
        <f t="shared" si="0"/>
        <v>1572.41</v>
      </c>
      <c r="S5" s="27"/>
      <c r="T5" s="25"/>
      <c r="U5" s="25"/>
      <c r="V5" s="25">
        <v>14617.95</v>
      </c>
      <c r="W5" s="25"/>
      <c r="X5" s="25"/>
      <c r="Y5" s="25"/>
      <c r="Z5" s="25"/>
      <c r="AA5" s="25"/>
      <c r="AB5" s="29"/>
      <c r="AC5" s="25">
        <f t="shared" si="1"/>
        <v>20990.36</v>
      </c>
      <c r="AD5" s="25">
        <v>2347.84</v>
      </c>
      <c r="AE5" s="23">
        <v>589.96</v>
      </c>
      <c r="AF5" s="25">
        <v>146.74</v>
      </c>
      <c r="AG5" s="25">
        <v>3522</v>
      </c>
      <c r="AH5" s="25">
        <f t="shared" si="2"/>
        <v>14383.82</v>
      </c>
      <c r="AI5" s="25">
        <f>MAX(ROUND(MAX((AH5+AR5-5000*AQ5-AT5)*{0.03,0.1,0.2,0.25,0.3,0.35,0.45}-{0,2520,16920,31920,52920,85920,181920},0)-AS5,2),0)</f>
        <v>0</v>
      </c>
      <c r="AJ5" s="27"/>
      <c r="AK5" s="25"/>
      <c r="AL5" s="25">
        <f>ROUND(LOOKUP(MAX(0.0001,AK5/12),{0;6;24;50;70;110;160}*500+0.0001,5*MAX(0,AK5)*{0.6;2;4;5;6;7;9}%-10*{0;21;141;266;441;716;1516}),2)</f>
        <v>0</v>
      </c>
      <c r="AM5" s="25">
        <f t="shared" si="3"/>
        <v>20990.36</v>
      </c>
      <c r="AN5" s="25"/>
      <c r="AO5" s="25"/>
      <c r="AP5" s="25">
        <f t="shared" si="4"/>
        <v>14383.82</v>
      </c>
      <c r="AQ5" s="9">
        <v>5</v>
      </c>
      <c r="AR5" s="9">
        <v>29382.12</v>
      </c>
      <c r="AS5" s="9">
        <v>231.42</v>
      </c>
      <c r="AT5" s="9">
        <v>15000</v>
      </c>
      <c r="AU5" s="28" t="s">
        <v>70</v>
      </c>
    </row>
    <row r="6" s="2" customFormat="1" ht="16.5" customHeight="1" spans="1:48">
      <c r="A6" s="23">
        <v>5</v>
      </c>
      <c r="B6" s="23" t="s">
        <v>48</v>
      </c>
      <c r="C6" s="23" t="s">
        <v>71</v>
      </c>
      <c r="D6" s="23" t="s">
        <v>72</v>
      </c>
      <c r="E6" s="40" t="s">
        <v>73</v>
      </c>
      <c r="F6" s="23" t="s">
        <v>52</v>
      </c>
      <c r="G6" s="23" t="s">
        <v>69</v>
      </c>
      <c r="H6" s="25">
        <v>2540</v>
      </c>
      <c r="I6" s="26">
        <v>42430</v>
      </c>
      <c r="J6" s="26"/>
      <c r="K6" s="25">
        <v>7300</v>
      </c>
      <c r="L6" s="25"/>
      <c r="M6" s="25"/>
      <c r="N6" s="25">
        <v>1000</v>
      </c>
      <c r="O6" s="25">
        <v>36</v>
      </c>
      <c r="P6" s="25"/>
      <c r="Q6" s="25">
        <v>6.5</v>
      </c>
      <c r="R6" s="25">
        <f t="shared" si="0"/>
        <v>3083.62</v>
      </c>
      <c r="S6" s="27"/>
      <c r="T6" s="25"/>
      <c r="U6" s="25"/>
      <c r="V6" s="25">
        <v>4392.92</v>
      </c>
      <c r="W6" s="25"/>
      <c r="X6" s="25"/>
      <c r="Y6" s="25"/>
      <c r="Z6" s="25"/>
      <c r="AA6" s="25"/>
      <c r="AB6" s="29"/>
      <c r="AC6" s="25">
        <f t="shared" si="1"/>
        <v>15776.54</v>
      </c>
      <c r="AD6" s="25">
        <v>2187.68</v>
      </c>
      <c r="AE6" s="23">
        <v>549.92</v>
      </c>
      <c r="AF6" s="25">
        <v>136.73</v>
      </c>
      <c r="AG6" s="25">
        <v>3282</v>
      </c>
      <c r="AH6" s="25">
        <f t="shared" si="2"/>
        <v>9620.21</v>
      </c>
      <c r="AI6" s="25">
        <f>MAX(ROUND(MAX((AH6+AR6-5000*AQ6-AT6)*{0.03,0.1,0.2,0.25,0.3,0.35,0.45}-{0,2520,16920,31920,52920,85920,181920},0)-AS6,2),0)</f>
        <v>138.61</v>
      </c>
      <c r="AJ6" s="27"/>
      <c r="AK6" s="25"/>
      <c r="AL6" s="25">
        <f>ROUND(LOOKUP(MAX(0.0001,AK6/12),{0;6;24;50;70;110;160}*500+0.0001,5*MAX(0,AK6)*{0.6;2;4;5;6;7;9}%-10*{0;21;141;266;441;716;1516}),2)</f>
        <v>0</v>
      </c>
      <c r="AM6" s="25">
        <f t="shared" si="3"/>
        <v>15776.54</v>
      </c>
      <c r="AN6" s="25"/>
      <c r="AO6" s="25"/>
      <c r="AP6" s="25">
        <f t="shared" si="4"/>
        <v>9481.6</v>
      </c>
      <c r="AQ6" s="9">
        <v>5</v>
      </c>
      <c r="AR6" s="9">
        <v>44910.49</v>
      </c>
      <c r="AS6" s="9">
        <v>747.31</v>
      </c>
      <c r="AT6" s="9">
        <v>0</v>
      </c>
      <c r="AU6" s="28" t="s">
        <v>70</v>
      </c>
    </row>
    <row r="7" s="2" customFormat="1" ht="16.5" customHeight="1" spans="1:48">
      <c r="A7" s="23">
        <v>6</v>
      </c>
      <c r="B7" s="23" t="s">
        <v>48</v>
      </c>
      <c r="C7" s="23" t="s">
        <v>74</v>
      </c>
      <c r="D7" s="23" t="s">
        <v>75</v>
      </c>
      <c r="E7" s="40" t="s">
        <v>76</v>
      </c>
      <c r="F7" s="23" t="s">
        <v>68</v>
      </c>
      <c r="G7" s="23" t="s">
        <v>58</v>
      </c>
      <c r="H7" s="25">
        <v>2740</v>
      </c>
      <c r="I7" s="26">
        <v>42473</v>
      </c>
      <c r="J7" s="26"/>
      <c r="K7" s="25">
        <v>3800</v>
      </c>
      <c r="L7" s="25"/>
      <c r="M7" s="25"/>
      <c r="N7" s="25">
        <v>1000</v>
      </c>
      <c r="O7" s="25">
        <v>13</v>
      </c>
      <c r="P7" s="25"/>
      <c r="Q7" s="25">
        <v>11.5</v>
      </c>
      <c r="R7" s="25">
        <f t="shared" si="0"/>
        <v>1179.31</v>
      </c>
      <c r="S7" s="27"/>
      <c r="T7" s="25"/>
      <c r="U7" s="25"/>
      <c r="V7" s="25">
        <v>1633.35</v>
      </c>
      <c r="W7" s="25"/>
      <c r="X7" s="25"/>
      <c r="Y7" s="25"/>
      <c r="Z7" s="25"/>
      <c r="AA7" s="25"/>
      <c r="AB7" s="29"/>
      <c r="AC7" s="25">
        <f t="shared" si="1"/>
        <v>7612.66</v>
      </c>
      <c r="AD7" s="25">
        <v>1171.98</v>
      </c>
      <c r="AE7" s="23">
        <v>293</v>
      </c>
      <c r="AF7" s="25">
        <v>73.25</v>
      </c>
      <c r="AG7" s="25">
        <v>1025</v>
      </c>
      <c r="AH7" s="25">
        <f t="shared" si="2"/>
        <v>5049.43</v>
      </c>
      <c r="AI7" s="25">
        <f>MAX(ROUND(MAX((AH7+AR7-5000*AQ7-AT7)*{0.03,0.1,0.2,0.25,0.3,0.35,0.45}-{0,2520,16920,31920,52920,85920,181920},0)-AS7,2),0)</f>
        <v>0</v>
      </c>
      <c r="AJ7" s="27"/>
      <c r="AK7" s="25"/>
      <c r="AL7" s="25">
        <f>ROUND(LOOKUP(MAX(0.0001,AK7/12),{0;6;24;50;70;110;160}*500+0.0001,5*MAX(0,AK7)*{0.6;2;4;5;6;7;9}%-10*{0;21;141;266;441;716;1516}),2)</f>
        <v>0</v>
      </c>
      <c r="AM7" s="25">
        <f t="shared" si="3"/>
        <v>7612.66</v>
      </c>
      <c r="AN7" s="25"/>
      <c r="AO7" s="25"/>
      <c r="AP7" s="25">
        <f t="shared" si="4"/>
        <v>5049.43</v>
      </c>
      <c r="AQ7" s="9">
        <v>5</v>
      </c>
      <c r="AR7" s="9">
        <v>34602.58</v>
      </c>
      <c r="AS7" s="9">
        <v>192.23</v>
      </c>
      <c r="AT7" s="9">
        <v>22500</v>
      </c>
      <c r="AU7" s="28" t="s">
        <v>59</v>
      </c>
    </row>
    <row r="8" s="2" customFormat="1" ht="16.5" customHeight="1" spans="1:48">
      <c r="A8" s="23">
        <v>7</v>
      </c>
      <c r="B8" s="23" t="s">
        <v>48</v>
      </c>
      <c r="C8" s="23" t="s">
        <v>77</v>
      </c>
      <c r="D8" s="23" t="s">
        <v>78</v>
      </c>
      <c r="E8" s="40" t="s">
        <v>79</v>
      </c>
      <c r="F8" s="23" t="s">
        <v>68</v>
      </c>
      <c r="G8" s="23" t="s">
        <v>80</v>
      </c>
      <c r="H8" s="25">
        <v>2510</v>
      </c>
      <c r="I8" s="26">
        <v>42552</v>
      </c>
      <c r="J8" s="26"/>
      <c r="K8" s="25">
        <v>4000</v>
      </c>
      <c r="L8" s="25"/>
      <c r="M8" s="25"/>
      <c r="N8" s="25">
        <v>900</v>
      </c>
      <c r="O8" s="25">
        <v>0</v>
      </c>
      <c r="P8" s="25"/>
      <c r="Q8" s="25">
        <v>6.5</v>
      </c>
      <c r="R8" s="25">
        <f t="shared" si="0"/>
        <v>448.28</v>
      </c>
      <c r="S8" s="27"/>
      <c r="T8" s="25"/>
      <c r="U8" s="25"/>
      <c r="V8" s="25">
        <v>253.5</v>
      </c>
      <c r="W8" s="25"/>
      <c r="X8" s="25"/>
      <c r="Y8" s="25"/>
      <c r="Z8" s="25"/>
      <c r="AA8" s="25"/>
      <c r="AB8" s="27"/>
      <c r="AC8" s="25">
        <f t="shared" si="1"/>
        <v>5601.78</v>
      </c>
      <c r="AD8" s="25">
        <v>597.12</v>
      </c>
      <c r="AE8" s="23">
        <v>170.28</v>
      </c>
      <c r="AF8" s="25">
        <v>37.32</v>
      </c>
      <c r="AG8" s="25">
        <v>873</v>
      </c>
      <c r="AH8" s="25">
        <f t="shared" si="2"/>
        <v>3924.06</v>
      </c>
      <c r="AI8" s="25">
        <f>MAX(ROUND(MAX((AH8+AR8-5000*AQ8-AT8)*{0.03,0.1,0.2,0.25,0.3,0.35,0.45}-{0,2520,16920,31920,52920,85920,181920},0)-AS8,2),0)</f>
        <v>0</v>
      </c>
      <c r="AJ8" s="27"/>
      <c r="AK8" s="25"/>
      <c r="AL8" s="25">
        <f>ROUND(LOOKUP(MAX(0.0001,AK8/12),{0;6;24;50;70;110;160}*500+0.0001,5*MAX(0,AK8)*{0.6;2;4;5;6;7;9}%-10*{0;21;141;266;441;716;1516}),2)</f>
        <v>0</v>
      </c>
      <c r="AM8" s="25">
        <f t="shared" si="3"/>
        <v>5601.78</v>
      </c>
      <c r="AN8" s="25"/>
      <c r="AO8" s="25"/>
      <c r="AP8" s="25">
        <f t="shared" si="4"/>
        <v>3924.06</v>
      </c>
      <c r="AQ8" s="9">
        <v>5</v>
      </c>
      <c r="AR8" s="9">
        <v>20169.56</v>
      </c>
      <c r="AS8" s="9">
        <v>47.01</v>
      </c>
      <c r="AT8" s="9">
        <v>5000</v>
      </c>
      <c r="AU8" s="28" t="s">
        <v>54</v>
      </c>
    </row>
    <row r="9" s="2" customFormat="1" ht="16.5" customHeight="1" spans="1:48">
      <c r="A9" s="23">
        <v>8</v>
      </c>
      <c r="B9" s="23" t="s">
        <v>48</v>
      </c>
      <c r="C9" s="23" t="s">
        <v>81</v>
      </c>
      <c r="D9" s="23" t="s">
        <v>82</v>
      </c>
      <c r="E9" s="40" t="s">
        <v>83</v>
      </c>
      <c r="F9" s="23" t="s">
        <v>68</v>
      </c>
      <c r="G9" s="23" t="s">
        <v>84</v>
      </c>
      <c r="H9" s="25">
        <v>2660</v>
      </c>
      <c r="I9" s="26">
        <v>42721</v>
      </c>
      <c r="J9" s="26"/>
      <c r="K9" s="25">
        <v>3600</v>
      </c>
      <c r="L9" s="25"/>
      <c r="M9" s="25"/>
      <c r="N9" s="25">
        <v>900</v>
      </c>
      <c r="O9" s="25">
        <v>7.5</v>
      </c>
      <c r="P9" s="25"/>
      <c r="Q9" s="25">
        <v>12</v>
      </c>
      <c r="R9" s="25">
        <f t="shared" si="0"/>
        <v>977.59</v>
      </c>
      <c r="S9" s="27"/>
      <c r="T9" s="25"/>
      <c r="U9" s="25"/>
      <c r="V9" s="25">
        <v>402.04</v>
      </c>
      <c r="W9" s="25">
        <v>1500</v>
      </c>
      <c r="X9" s="25"/>
      <c r="Y9" s="25"/>
      <c r="Z9" s="25"/>
      <c r="AA9" s="25"/>
      <c r="AB9" s="27"/>
      <c r="AC9" s="25">
        <f t="shared" si="1"/>
        <v>7379.63</v>
      </c>
      <c r="AD9" s="25">
        <v>759.04</v>
      </c>
      <c r="AE9" s="23">
        <v>194.76</v>
      </c>
      <c r="AF9" s="25">
        <v>47.44</v>
      </c>
      <c r="AG9" s="25">
        <v>576.29</v>
      </c>
      <c r="AH9" s="25">
        <f t="shared" si="2"/>
        <v>5802.1</v>
      </c>
      <c r="AI9" s="25">
        <f>MAX(ROUND(MAX((AH9+AR9-5000*AQ9-AT9)*{0.03,0.1,0.2,0.25,0.3,0.35,0.45}-{0,2520,16920,31920,52920,85920,181920},0)-AS9,2),0)</f>
        <v>0</v>
      </c>
      <c r="AJ9" s="27"/>
      <c r="AK9" s="25"/>
      <c r="AL9" s="25">
        <f>ROUND(LOOKUP(MAX(0.0001,AK9/12),{0;6;24;50;70;110;160}*500+0.0001,5*MAX(0,AK9)*{0.6;2;4;5;6;7;9}%-10*{0;21;141;266;441;716;1516}),2)</f>
        <v>0</v>
      </c>
      <c r="AM9" s="25">
        <f t="shared" si="3"/>
        <v>7379.63</v>
      </c>
      <c r="AN9" s="25"/>
      <c r="AO9" s="25"/>
      <c r="AP9" s="25">
        <f t="shared" si="4"/>
        <v>5802.1</v>
      </c>
      <c r="AQ9" s="9">
        <v>5</v>
      </c>
      <c r="AR9" s="9">
        <v>25742.26</v>
      </c>
      <c r="AS9" s="9">
        <v>225.25</v>
      </c>
      <c r="AT9" s="9">
        <v>0</v>
      </c>
      <c r="AU9" s="28" t="s">
        <v>59</v>
      </c>
    </row>
    <row r="10" s="2" customFormat="1" ht="16.5" customHeight="1" spans="1:48">
      <c r="A10" s="23">
        <v>9</v>
      </c>
      <c r="B10" s="23" t="s">
        <v>48</v>
      </c>
      <c r="C10" s="23" t="s">
        <v>85</v>
      </c>
      <c r="D10" s="23" t="s">
        <v>86</v>
      </c>
      <c r="E10" s="40" t="s">
        <v>87</v>
      </c>
      <c r="F10" s="23" t="s">
        <v>52</v>
      </c>
      <c r="G10" s="23" t="s">
        <v>88</v>
      </c>
      <c r="H10" s="25">
        <v>2400</v>
      </c>
      <c r="I10" s="26">
        <v>42963</v>
      </c>
      <c r="J10" s="26"/>
      <c r="K10" s="25">
        <v>5000</v>
      </c>
      <c r="L10" s="25"/>
      <c r="M10" s="25"/>
      <c r="N10" s="25">
        <v>800</v>
      </c>
      <c r="O10" s="25">
        <v>0</v>
      </c>
      <c r="P10" s="25"/>
      <c r="Q10" s="25">
        <v>11.5</v>
      </c>
      <c r="R10" s="25">
        <f t="shared" si="0"/>
        <v>991.38</v>
      </c>
      <c r="S10" s="27"/>
      <c r="T10" s="25"/>
      <c r="U10" s="25"/>
      <c r="V10" s="25">
        <v>25.55</v>
      </c>
      <c r="W10" s="25"/>
      <c r="X10" s="25"/>
      <c r="Y10" s="25"/>
      <c r="Z10" s="27"/>
      <c r="AA10" s="25"/>
      <c r="AB10" s="27"/>
      <c r="AC10" s="25">
        <f t="shared" si="1"/>
        <v>6816.93</v>
      </c>
      <c r="AD10" s="25">
        <v>933.28</v>
      </c>
      <c r="AE10" s="23">
        <v>240.32</v>
      </c>
      <c r="AF10" s="25">
        <v>35</v>
      </c>
      <c r="AG10" s="25">
        <v>933.29</v>
      </c>
      <c r="AH10" s="25">
        <f t="shared" si="2"/>
        <v>4675.04</v>
      </c>
      <c r="AI10" s="25">
        <f>MAX(ROUND(MAX((AH10+AR10-5000*AQ10-AT10)*{0.03,0.1,0.2,0.25,0.3,0.35,0.45}-{0,2520,16920,31920,52920,85920,181920},0)-AS10,2),0)</f>
        <v>0</v>
      </c>
      <c r="AJ10" s="27"/>
      <c r="AK10" s="25"/>
      <c r="AL10" s="25">
        <f>ROUND(LOOKUP(MAX(0.0001,AK10/12),{0;6;24;50;70;110;160}*500+0.0001,5*MAX(0,AK10)*{0.6;2;4;5;6;7;9}%-10*{0;21;141;266;441;716;1516}),2)</f>
        <v>0</v>
      </c>
      <c r="AM10" s="25">
        <f t="shared" si="3"/>
        <v>6816.93</v>
      </c>
      <c r="AN10" s="25"/>
      <c r="AO10" s="25"/>
      <c r="AP10" s="25">
        <f t="shared" si="4"/>
        <v>4675.04</v>
      </c>
      <c r="AQ10" s="9">
        <v>5</v>
      </c>
      <c r="AR10" s="9">
        <v>22687.31</v>
      </c>
      <c r="AS10" s="9">
        <v>80.62</v>
      </c>
      <c r="AT10" s="9">
        <v>0</v>
      </c>
      <c r="AU10" s="28" t="s">
        <v>54</v>
      </c>
    </row>
    <row r="11" s="2" customFormat="1" ht="16.5" customHeight="1" spans="1:48">
      <c r="A11" s="23">
        <v>10</v>
      </c>
      <c r="B11" s="23" t="s">
        <v>48</v>
      </c>
      <c r="C11" s="23" t="s">
        <v>89</v>
      </c>
      <c r="D11" s="23" t="s">
        <v>90</v>
      </c>
      <c r="E11" s="40" t="s">
        <v>91</v>
      </c>
      <c r="F11" s="23" t="s">
        <v>52</v>
      </c>
      <c r="G11" s="23" t="s">
        <v>58</v>
      </c>
      <c r="H11" s="25">
        <v>2740</v>
      </c>
      <c r="I11" s="26">
        <v>43017</v>
      </c>
      <c r="J11" s="26"/>
      <c r="K11" s="25">
        <v>4600</v>
      </c>
      <c r="L11" s="25"/>
      <c r="M11" s="25"/>
      <c r="N11" s="25">
        <v>800</v>
      </c>
      <c r="O11" s="25">
        <v>13</v>
      </c>
      <c r="P11" s="25"/>
      <c r="Q11" s="25">
        <v>11</v>
      </c>
      <c r="R11" s="25">
        <f t="shared" si="0"/>
        <v>1387.93</v>
      </c>
      <c r="S11" s="27"/>
      <c r="T11" s="25"/>
      <c r="U11" s="25"/>
      <c r="V11" s="25">
        <v>117.72</v>
      </c>
      <c r="W11" s="25"/>
      <c r="X11" s="25"/>
      <c r="Y11" s="25"/>
      <c r="Z11" s="25"/>
      <c r="AA11" s="25"/>
      <c r="AB11" s="27"/>
      <c r="AC11" s="25">
        <f t="shared" si="1"/>
        <v>6905.65</v>
      </c>
      <c r="AD11" s="25">
        <v>784.25</v>
      </c>
      <c r="AE11" s="23">
        <v>196.06</v>
      </c>
      <c r="AF11" s="25">
        <v>49.02</v>
      </c>
      <c r="AG11" s="25">
        <v>686</v>
      </c>
      <c r="AH11" s="25">
        <f t="shared" si="2"/>
        <v>5190.32</v>
      </c>
      <c r="AI11" s="25">
        <f>MAX(ROUND(MAX((AH11+AR11-5000*AQ11-AT11)*{0.03,0.1,0.2,0.25,0.3,0.35,0.45}-{0,2520,16920,31920,52920,85920,181920},0)-AS11,2),0)</f>
        <v>0</v>
      </c>
      <c r="AJ11" s="27"/>
      <c r="AK11" s="25"/>
      <c r="AL11" s="25">
        <f>ROUND(LOOKUP(MAX(0.0001,AK11/12),{0;6;24;50;70;110;160}*500+0.0001,5*MAX(0,AK11)*{0.6;2;4;5;6;7;9}%-10*{0;21;141;266;441;716;1516}),2)</f>
        <v>0</v>
      </c>
      <c r="AM11" s="25">
        <f t="shared" si="3"/>
        <v>6905.65</v>
      </c>
      <c r="AN11" s="25"/>
      <c r="AO11" s="25"/>
      <c r="AP11" s="25">
        <f t="shared" si="4"/>
        <v>5190.32</v>
      </c>
      <c r="AQ11" s="9">
        <v>5</v>
      </c>
      <c r="AR11" s="9">
        <v>31147.79</v>
      </c>
      <c r="AS11" s="9">
        <v>276.67</v>
      </c>
      <c r="AT11" s="9">
        <v>15000</v>
      </c>
      <c r="AU11" s="28" t="s">
        <v>59</v>
      </c>
    </row>
    <row r="12" s="2" customFormat="1" ht="16.5" customHeight="1" spans="1:48">
      <c r="A12" s="23">
        <v>11</v>
      </c>
      <c r="B12" s="23" t="s">
        <v>48</v>
      </c>
      <c r="C12" s="23" t="s">
        <v>92</v>
      </c>
      <c r="D12" s="23" t="s">
        <v>93</v>
      </c>
      <c r="E12" s="40" t="s">
        <v>94</v>
      </c>
      <c r="F12" s="23" t="s">
        <v>68</v>
      </c>
      <c r="G12" s="23" t="s">
        <v>95</v>
      </c>
      <c r="H12" s="25">
        <v>2330</v>
      </c>
      <c r="I12" s="26">
        <v>43103</v>
      </c>
      <c r="J12" s="26"/>
      <c r="K12" s="25">
        <v>3600</v>
      </c>
      <c r="L12" s="25"/>
      <c r="M12" s="25"/>
      <c r="N12" s="25">
        <v>800</v>
      </c>
      <c r="O12" s="25">
        <v>0</v>
      </c>
      <c r="P12" s="25"/>
      <c r="Q12" s="25">
        <v>8</v>
      </c>
      <c r="R12" s="25">
        <f t="shared" si="0"/>
        <v>496.55</v>
      </c>
      <c r="S12" s="27"/>
      <c r="T12" s="25"/>
      <c r="U12" s="25"/>
      <c r="V12" s="25">
        <v>748.88</v>
      </c>
      <c r="W12" s="25">
        <v>1500</v>
      </c>
      <c r="X12" s="25"/>
      <c r="Y12" s="25"/>
      <c r="Z12" s="25"/>
      <c r="AA12" s="25"/>
      <c r="AB12" s="27"/>
      <c r="AC12" s="25">
        <f t="shared" si="1"/>
        <v>7145.43</v>
      </c>
      <c r="AD12" s="25">
        <v>418.48</v>
      </c>
      <c r="AE12" s="23">
        <v>104.62</v>
      </c>
      <c r="AF12" s="25">
        <v>20.92</v>
      </c>
      <c r="AG12" s="25">
        <v>639</v>
      </c>
      <c r="AH12" s="25">
        <f t="shared" si="2"/>
        <v>5962.41</v>
      </c>
      <c r="AI12" s="25">
        <f>MAX(ROUND(MAX((AH12+AR12-5000*AQ12-AT12)*{0.03,0.1,0.2,0.25,0.3,0.35,0.45}-{0,2520,16920,31920,52920,85920,181920},0)-AS12,2),0)</f>
        <v>16.55</v>
      </c>
      <c r="AJ12" s="27"/>
      <c r="AK12" s="25"/>
      <c r="AL12" s="25">
        <f>ROUND(LOOKUP(MAX(0.0001,AK12/12),{0;6;24;50;70;110;160}*500+0.0001,5*MAX(0,AK12)*{0.6;2;4;5;6;7;9}%-10*{0;21;141;266;441;716;1516}),2)</f>
        <v>0</v>
      </c>
      <c r="AM12" s="25">
        <f t="shared" si="3"/>
        <v>7145.43</v>
      </c>
      <c r="AN12" s="25"/>
      <c r="AO12" s="25"/>
      <c r="AP12" s="25">
        <f t="shared" si="4"/>
        <v>5945.86</v>
      </c>
      <c r="AQ12" s="9">
        <v>5</v>
      </c>
      <c r="AR12" s="9">
        <v>24642.69</v>
      </c>
      <c r="AS12" s="9">
        <v>151.6</v>
      </c>
      <c r="AT12" s="9">
        <v>0</v>
      </c>
      <c r="AU12" s="28" t="s">
        <v>96</v>
      </c>
    </row>
    <row r="13" s="2" customFormat="1" ht="16.5" customHeight="1" spans="1:48">
      <c r="A13" s="23">
        <v>12</v>
      </c>
      <c r="B13" s="23" t="s">
        <v>48</v>
      </c>
      <c r="C13" s="23" t="s">
        <v>97</v>
      </c>
      <c r="D13" s="23" t="s">
        <v>98</v>
      </c>
      <c r="E13" s="40" t="s">
        <v>99</v>
      </c>
      <c r="F13" s="23" t="s">
        <v>68</v>
      </c>
      <c r="G13" s="23" t="s">
        <v>58</v>
      </c>
      <c r="H13" s="25">
        <v>2740</v>
      </c>
      <c r="I13" s="26">
        <v>43136</v>
      </c>
      <c r="J13" s="26"/>
      <c r="K13" s="25">
        <v>3800</v>
      </c>
      <c r="L13" s="25"/>
      <c r="M13" s="25"/>
      <c r="N13" s="25">
        <v>800</v>
      </c>
      <c r="O13" s="25">
        <v>19</v>
      </c>
      <c r="P13" s="25"/>
      <c r="Q13" s="25">
        <v>0</v>
      </c>
      <c r="R13" s="25">
        <f t="shared" si="0"/>
        <v>622.41</v>
      </c>
      <c r="S13" s="27"/>
      <c r="T13" s="25"/>
      <c r="U13" s="25"/>
      <c r="V13" s="25">
        <v>4274.86</v>
      </c>
      <c r="W13" s="25"/>
      <c r="X13" s="25"/>
      <c r="Y13" s="25"/>
      <c r="Z13" s="25"/>
      <c r="AA13" s="25"/>
      <c r="AB13" s="27"/>
      <c r="AC13" s="25">
        <f t="shared" si="1"/>
        <v>9497.27</v>
      </c>
      <c r="AD13" s="25">
        <v>1405.78</v>
      </c>
      <c r="AE13" s="23">
        <v>351.45</v>
      </c>
      <c r="AF13" s="25">
        <v>87.86</v>
      </c>
      <c r="AG13" s="25">
        <v>1230</v>
      </c>
      <c r="AH13" s="25">
        <f t="shared" si="2"/>
        <v>6422.18</v>
      </c>
      <c r="AI13" s="25">
        <f>MAX(ROUND(MAX((AH13+AR13-5000*AQ13-AT13)*{0.03,0.1,0.2,0.25,0.3,0.35,0.45}-{0,2520,16920,31920,52920,85920,181920},0)-AS13,2),0)</f>
        <v>0</v>
      </c>
      <c r="AJ13" s="27"/>
      <c r="AK13" s="25"/>
      <c r="AL13" s="25">
        <f>ROUND(LOOKUP(MAX(0.0001,AK13/12),{0;6;24;50;70;110;160}*500+0.0001,5*MAX(0,AK13)*{0.6;2;4;5;6;7;9}%-10*{0;21;141;266;441;716;1516}),2)</f>
        <v>0</v>
      </c>
      <c r="AM13" s="25">
        <f t="shared" si="3"/>
        <v>9497.27</v>
      </c>
      <c r="AN13" s="25"/>
      <c r="AO13" s="25"/>
      <c r="AP13" s="25">
        <f t="shared" si="4"/>
        <v>6422.18</v>
      </c>
      <c r="AQ13" s="9">
        <v>5</v>
      </c>
      <c r="AR13" s="9">
        <v>39360.62</v>
      </c>
      <c r="AS13" s="9">
        <v>447.8</v>
      </c>
      <c r="AT13" s="9">
        <v>15000</v>
      </c>
      <c r="AU13" s="28" t="s">
        <v>59</v>
      </c>
    </row>
    <row r="14" s="2" customFormat="1" ht="16.5" customHeight="1" spans="1:48">
      <c r="A14" s="23">
        <v>13</v>
      </c>
      <c r="B14" s="23" t="s">
        <v>48</v>
      </c>
      <c r="C14" s="23" t="s">
        <v>100</v>
      </c>
      <c r="D14" s="23" t="s">
        <v>101</v>
      </c>
      <c r="E14" s="40" t="s">
        <v>102</v>
      </c>
      <c r="F14" s="23" t="s">
        <v>52</v>
      </c>
      <c r="G14" s="23" t="s">
        <v>58</v>
      </c>
      <c r="H14" s="25">
        <v>2740</v>
      </c>
      <c r="I14" s="26">
        <v>43138</v>
      </c>
      <c r="J14" s="26"/>
      <c r="K14" s="25">
        <v>4600</v>
      </c>
      <c r="L14" s="25"/>
      <c r="M14" s="25"/>
      <c r="N14" s="25">
        <v>800</v>
      </c>
      <c r="O14" s="25">
        <v>0</v>
      </c>
      <c r="P14" s="25"/>
      <c r="Q14" s="25">
        <v>10</v>
      </c>
      <c r="R14" s="25">
        <f t="shared" si="0"/>
        <v>793.1</v>
      </c>
      <c r="S14" s="27"/>
      <c r="T14" s="25"/>
      <c r="U14" s="25"/>
      <c r="V14" s="25">
        <v>2284.31</v>
      </c>
      <c r="W14" s="25"/>
      <c r="X14" s="25"/>
      <c r="Y14" s="25"/>
      <c r="Z14" s="25"/>
      <c r="AA14" s="25"/>
      <c r="AB14" s="27"/>
      <c r="AC14" s="25">
        <f t="shared" si="1"/>
        <v>8477.41</v>
      </c>
      <c r="AD14" s="25">
        <v>893.39</v>
      </c>
      <c r="AE14" s="23">
        <v>223.35</v>
      </c>
      <c r="AF14" s="25">
        <v>55.84</v>
      </c>
      <c r="AG14" s="25">
        <v>782</v>
      </c>
      <c r="AH14" s="25">
        <f t="shared" si="2"/>
        <v>6522.83</v>
      </c>
      <c r="AI14" s="25">
        <f>MAX(ROUND(MAX((AH14+AR14-5000*AQ14-AT14)*{0.03,0.1,0.2,0.25,0.3,0.35,0.45}-{0,2520,16920,31920,52920,85920,181920},0)-AS14,2),0)</f>
        <v>0</v>
      </c>
      <c r="AJ14" s="27"/>
      <c r="AK14" s="25"/>
      <c r="AL14" s="25">
        <f>ROUND(LOOKUP(MAX(0.0001,AK14/12),{0;6;24;50;70;110;160}*500+0.0001,5*MAX(0,AK14)*{0.6;2;4;5;6;7;9}%-10*{0;21;141;266;441;716;1516}),2)</f>
        <v>0</v>
      </c>
      <c r="AM14" s="25">
        <f t="shared" si="3"/>
        <v>8477.41</v>
      </c>
      <c r="AN14" s="25"/>
      <c r="AO14" s="25"/>
      <c r="AP14" s="25">
        <f t="shared" si="4"/>
        <v>6522.83</v>
      </c>
      <c r="AQ14" s="9">
        <v>5</v>
      </c>
      <c r="AR14" s="9">
        <v>28868.21</v>
      </c>
      <c r="AS14" s="9">
        <v>115.66</v>
      </c>
      <c r="AT14" s="9">
        <v>12500</v>
      </c>
      <c r="AU14" s="28" t="s">
        <v>59</v>
      </c>
    </row>
    <row r="15" s="2" customFormat="1" ht="16.5" customHeight="1" spans="1:48">
      <c r="A15" s="23">
        <v>14</v>
      </c>
      <c r="B15" s="23" t="s">
        <v>48</v>
      </c>
      <c r="C15" s="23" t="s">
        <v>103</v>
      </c>
      <c r="D15" s="23" t="s">
        <v>104</v>
      </c>
      <c r="E15" s="40" t="s">
        <v>105</v>
      </c>
      <c r="F15" s="23" t="s">
        <v>106</v>
      </c>
      <c r="G15" s="23" t="s">
        <v>58</v>
      </c>
      <c r="H15" s="25">
        <v>2740</v>
      </c>
      <c r="I15" s="26">
        <v>43189</v>
      </c>
      <c r="J15" s="26"/>
      <c r="K15" s="25">
        <v>7800</v>
      </c>
      <c r="L15" s="25"/>
      <c r="M15" s="25"/>
      <c r="N15" s="25">
        <v>800</v>
      </c>
      <c r="O15" s="25">
        <v>15</v>
      </c>
      <c r="P15" s="25"/>
      <c r="Q15" s="25">
        <v>9</v>
      </c>
      <c r="R15" s="25">
        <f t="shared" si="0"/>
        <v>2218.97</v>
      </c>
      <c r="S15" s="27"/>
      <c r="T15" s="25"/>
      <c r="U15" s="25"/>
      <c r="V15" s="25">
        <v>2481.57</v>
      </c>
      <c r="W15" s="25"/>
      <c r="X15" s="25"/>
      <c r="Y15" s="25"/>
      <c r="Z15" s="25"/>
      <c r="AA15" s="25"/>
      <c r="AB15" s="27"/>
      <c r="AC15" s="25">
        <f t="shared" si="1"/>
        <v>13300.54</v>
      </c>
      <c r="AD15" s="25">
        <v>1288.96</v>
      </c>
      <c r="AE15" s="23">
        <v>322.24</v>
      </c>
      <c r="AF15" s="25">
        <v>80.56</v>
      </c>
      <c r="AG15" s="25">
        <v>1128</v>
      </c>
      <c r="AH15" s="25">
        <f t="shared" si="2"/>
        <v>10480.78</v>
      </c>
      <c r="AI15" s="25">
        <f>MAX(ROUND(MAX((AH15+AR15-5000*AQ15-AT15)*{0.03,0.1,0.2,0.25,0.3,0.35,0.45}-{0,2520,16920,31920,52920,85920,181920},0)-AS15,2),0)</f>
        <v>74.43</v>
      </c>
      <c r="AJ15" s="27"/>
      <c r="AK15" s="25"/>
      <c r="AL15" s="25">
        <f>ROUND(LOOKUP(MAX(0.0001,AK15/12),{0;6;24;50;70;110;160}*500+0.0001,5*MAX(0,AK15)*{0.6;2;4;5;6;7;9}%-10*{0;21;141;266;441;716;1516}),2)</f>
        <v>0</v>
      </c>
      <c r="AM15" s="25">
        <f t="shared" si="3"/>
        <v>13300.54</v>
      </c>
      <c r="AN15" s="25"/>
      <c r="AO15" s="25"/>
      <c r="AP15" s="25">
        <f t="shared" si="4"/>
        <v>10406.35</v>
      </c>
      <c r="AQ15" s="9">
        <v>5</v>
      </c>
      <c r="AR15" s="9">
        <v>59730.47</v>
      </c>
      <c r="AS15" s="9">
        <v>831.91</v>
      </c>
      <c r="AT15" s="9">
        <v>15000</v>
      </c>
      <c r="AU15" s="28" t="s">
        <v>59</v>
      </c>
    </row>
    <row r="16" s="2" customFormat="1" ht="16.5" customHeight="1" spans="1:48">
      <c r="A16" s="23">
        <v>15</v>
      </c>
      <c r="B16" s="23" t="s">
        <v>48</v>
      </c>
      <c r="C16" s="23" t="s">
        <v>107</v>
      </c>
      <c r="D16" s="23" t="s">
        <v>108</v>
      </c>
      <c r="E16" s="40" t="s">
        <v>109</v>
      </c>
      <c r="F16" s="23" t="s">
        <v>68</v>
      </c>
      <c r="G16" s="23" t="s">
        <v>110</v>
      </c>
      <c r="H16" s="25">
        <v>2330</v>
      </c>
      <c r="I16" s="26">
        <v>43199</v>
      </c>
      <c r="J16" s="26"/>
      <c r="K16" s="25">
        <v>4000</v>
      </c>
      <c r="L16" s="25"/>
      <c r="M16" s="25"/>
      <c r="N16" s="25">
        <v>800</v>
      </c>
      <c r="O16" s="25"/>
      <c r="P16" s="25"/>
      <c r="Q16" s="25"/>
      <c r="R16" s="25">
        <f t="shared" si="0"/>
        <v>0</v>
      </c>
      <c r="S16" s="27"/>
      <c r="T16" s="25"/>
      <c r="U16" s="25"/>
      <c r="V16" s="25">
        <v>2992.45</v>
      </c>
      <c r="W16" s="25"/>
      <c r="X16" s="25"/>
      <c r="Y16" s="25"/>
      <c r="Z16" s="25"/>
      <c r="AA16" s="25"/>
      <c r="AB16" s="27"/>
      <c r="AC16" s="25">
        <f t="shared" si="1"/>
        <v>7792.45</v>
      </c>
      <c r="AD16" s="25">
        <v>719.52</v>
      </c>
      <c r="AE16" s="23">
        <v>184.88</v>
      </c>
      <c r="AF16" s="25">
        <v>44.97</v>
      </c>
      <c r="AG16" s="25">
        <v>498</v>
      </c>
      <c r="AH16" s="25">
        <f t="shared" si="2"/>
        <v>6345.08</v>
      </c>
      <c r="AI16" s="25">
        <f>MAX(ROUND(MAX((AH16+AR16-5000*AQ16-AT16)*{0.03,0.1,0.2,0.25,0.3,0.35,0.45}-{0,2520,16920,31920,52920,85920,181920},0)-AS16,2),0)</f>
        <v>0</v>
      </c>
      <c r="AJ16" s="27"/>
      <c r="AK16" s="25"/>
      <c r="AL16" s="25">
        <f>ROUND(LOOKUP(MAX(0.0001,AK16/12),{0;6;24;50;70;110;160}*500+0.0001,5*MAX(0,AK16)*{0.6;2;4;5;6;7;9}%-10*{0;21;141;266;441;716;1516}),2)</f>
        <v>0</v>
      </c>
      <c r="AM16" s="25">
        <f t="shared" si="3"/>
        <v>7792.45</v>
      </c>
      <c r="AN16" s="25"/>
      <c r="AO16" s="25"/>
      <c r="AP16" s="25">
        <f t="shared" si="4"/>
        <v>6345.08</v>
      </c>
      <c r="AQ16" s="9">
        <v>5</v>
      </c>
      <c r="AR16" s="9">
        <v>26505.95</v>
      </c>
      <c r="AS16" s="9">
        <v>277.93</v>
      </c>
      <c r="AT16" s="9">
        <v>22500</v>
      </c>
      <c r="AU16" s="28" t="s">
        <v>54</v>
      </c>
    </row>
    <row r="17" s="2" customFormat="1" ht="16.5" customHeight="1" spans="1:47">
      <c r="A17" s="23">
        <v>16</v>
      </c>
      <c r="B17" s="23" t="s">
        <v>48</v>
      </c>
      <c r="C17" s="23" t="s">
        <v>111</v>
      </c>
      <c r="D17" s="23" t="s">
        <v>112</v>
      </c>
      <c r="E17" s="40" t="s">
        <v>113</v>
      </c>
      <c r="F17" s="23" t="s">
        <v>63</v>
      </c>
      <c r="G17" s="23" t="s">
        <v>114</v>
      </c>
      <c r="H17" s="25">
        <v>2376</v>
      </c>
      <c r="I17" s="26">
        <v>43224</v>
      </c>
      <c r="J17" s="26"/>
      <c r="K17" s="25">
        <v>7800</v>
      </c>
      <c r="L17" s="25"/>
      <c r="M17" s="25"/>
      <c r="N17" s="25">
        <v>790.32</v>
      </c>
      <c r="O17" s="25">
        <v>8</v>
      </c>
      <c r="P17" s="25"/>
      <c r="Q17" s="25">
        <v>7</v>
      </c>
      <c r="R17" s="25">
        <f t="shared" si="0"/>
        <v>1479.31</v>
      </c>
      <c r="S17" s="27"/>
      <c r="T17" s="25"/>
      <c r="U17" s="25"/>
      <c r="V17" s="25">
        <v>3281.94</v>
      </c>
      <c r="W17" s="25"/>
      <c r="X17" s="25"/>
      <c r="Y17" s="25"/>
      <c r="Z17" s="25"/>
      <c r="AA17" s="25"/>
      <c r="AB17" s="27"/>
      <c r="AC17" s="25">
        <f t="shared" si="1"/>
        <v>13351.57</v>
      </c>
      <c r="AD17" s="25">
        <v>1192.97</v>
      </c>
      <c r="AE17" s="23">
        <v>299.84</v>
      </c>
      <c r="AF17" s="25">
        <v>44.74</v>
      </c>
      <c r="AG17" s="25">
        <v>855</v>
      </c>
      <c r="AH17" s="25">
        <f t="shared" si="2"/>
        <v>10959.02</v>
      </c>
      <c r="AI17" s="25">
        <f>MAX(ROUND(MAX((AH17+AR17-5000*AQ17-AT17)*{0.03,0.1,0.2,0.25,0.3,0.35,0.45}-{0,2520,16920,31920,52920,85920,181920},0)-AS17,2),0)</f>
        <v>0</v>
      </c>
      <c r="AJ17" s="27"/>
      <c r="AK17" s="25"/>
      <c r="AL17" s="25">
        <f>ROUND(LOOKUP(MAX(0.0001,AK17/12),{0;6;24;50;70;110;160}*500+0.0001,5*MAX(0,AK17)*{0.6;2;4;5;6;7;9}%-10*{0;21;141;266;441;716;1516}),2)</f>
        <v>0</v>
      </c>
      <c r="AM17" s="25">
        <f t="shared" si="3"/>
        <v>13351.57</v>
      </c>
      <c r="AN17" s="25"/>
      <c r="AO17" s="25"/>
      <c r="AP17" s="25">
        <f t="shared" si="4"/>
        <v>10959.02</v>
      </c>
      <c r="AQ17" s="9">
        <v>5</v>
      </c>
      <c r="AR17" s="9">
        <v>44758.28</v>
      </c>
      <c r="AS17" s="9">
        <v>22.75</v>
      </c>
      <c r="AT17" s="9">
        <v>30000</v>
      </c>
      <c r="AU17" s="28" t="s">
        <v>54</v>
      </c>
    </row>
    <row r="18" s="2" customFormat="1" ht="16.5" customHeight="1" spans="1:47">
      <c r="A18" s="23">
        <v>17</v>
      </c>
      <c r="B18" s="23" t="s">
        <v>48</v>
      </c>
      <c r="C18" s="23" t="s">
        <v>115</v>
      </c>
      <c r="D18" s="23" t="s">
        <v>116</v>
      </c>
      <c r="E18" s="40" t="s">
        <v>117</v>
      </c>
      <c r="F18" s="23" t="s">
        <v>68</v>
      </c>
      <c r="G18" s="23" t="s">
        <v>58</v>
      </c>
      <c r="H18" s="25">
        <v>2740</v>
      </c>
      <c r="I18" s="26">
        <v>43236</v>
      </c>
      <c r="J18" s="26"/>
      <c r="K18" s="25">
        <v>3800</v>
      </c>
      <c r="L18" s="25"/>
      <c r="M18" s="25"/>
      <c r="N18" s="25">
        <v>751.61</v>
      </c>
      <c r="O18" s="25">
        <v>13</v>
      </c>
      <c r="P18" s="25"/>
      <c r="Q18" s="25">
        <v>0</v>
      </c>
      <c r="R18" s="25">
        <f t="shared" si="0"/>
        <v>425.86</v>
      </c>
      <c r="S18" s="27"/>
      <c r="T18" s="25"/>
      <c r="U18" s="25"/>
      <c r="V18" s="25">
        <v>56.72</v>
      </c>
      <c r="W18" s="25"/>
      <c r="X18" s="25"/>
      <c r="Y18" s="25"/>
      <c r="Z18" s="25"/>
      <c r="AA18" s="25"/>
      <c r="AB18" s="27"/>
      <c r="AC18" s="25">
        <f t="shared" si="1"/>
        <v>5034.19</v>
      </c>
      <c r="AD18" s="25">
        <v>596.8</v>
      </c>
      <c r="AE18" s="23">
        <v>149.2</v>
      </c>
      <c r="AF18" s="25">
        <v>37.3</v>
      </c>
      <c r="AG18" s="25">
        <v>518</v>
      </c>
      <c r="AH18" s="25">
        <f t="shared" si="2"/>
        <v>3732.89</v>
      </c>
      <c r="AI18" s="25">
        <f>MAX(ROUND(MAX((AH18+AR18-5000*AQ18-AT18)*{0.03,0.1,0.2,0.25,0.3,0.35,0.45}-{0,2520,16920,31920,52920,85920,181920},0)-AS18,2),0)</f>
        <v>0</v>
      </c>
      <c r="AJ18" s="27"/>
      <c r="AK18" s="25"/>
      <c r="AL18" s="25">
        <f>ROUND(LOOKUP(MAX(0.0001,AK18/12),{0;6;24;50;70;110;160}*500+0.0001,5*MAX(0,AK18)*{0.6;2;4;5;6;7;9}%-10*{0;21;141;266;441;716;1516}),2)</f>
        <v>0</v>
      </c>
      <c r="AM18" s="25">
        <f t="shared" si="3"/>
        <v>5034.19</v>
      </c>
      <c r="AN18" s="25"/>
      <c r="AO18" s="25"/>
      <c r="AP18" s="25">
        <f t="shared" si="4"/>
        <v>3732.89</v>
      </c>
      <c r="AQ18" s="9">
        <v>5</v>
      </c>
      <c r="AR18" s="9">
        <v>23154.14</v>
      </c>
      <c r="AS18" s="9">
        <v>184.52</v>
      </c>
      <c r="AT18" s="9">
        <v>0</v>
      </c>
      <c r="AU18" s="28" t="s">
        <v>59</v>
      </c>
    </row>
    <row r="19" s="2" customFormat="1" ht="16.5" customHeight="1" spans="1:47">
      <c r="A19" s="23">
        <v>18</v>
      </c>
      <c r="B19" s="23" t="s">
        <v>48</v>
      </c>
      <c r="C19" s="23" t="s">
        <v>118</v>
      </c>
      <c r="D19" s="23" t="s">
        <v>119</v>
      </c>
      <c r="E19" s="40" t="s">
        <v>120</v>
      </c>
      <c r="F19" s="23" t="s">
        <v>68</v>
      </c>
      <c r="G19" s="23" t="s">
        <v>114</v>
      </c>
      <c r="H19" s="25">
        <v>2376</v>
      </c>
      <c r="I19" s="26">
        <v>43244</v>
      </c>
      <c r="J19" s="26"/>
      <c r="K19" s="25">
        <v>4000</v>
      </c>
      <c r="L19" s="25"/>
      <c r="M19" s="25"/>
      <c r="N19" s="25">
        <v>725.81</v>
      </c>
      <c r="O19" s="25">
        <v>4</v>
      </c>
      <c r="P19" s="25"/>
      <c r="Q19" s="25">
        <v>7</v>
      </c>
      <c r="R19" s="25">
        <f t="shared" si="0"/>
        <v>620.69</v>
      </c>
      <c r="S19" s="27"/>
      <c r="T19" s="25"/>
      <c r="U19" s="25"/>
      <c r="V19" s="25">
        <v>3197.83</v>
      </c>
      <c r="W19" s="25"/>
      <c r="X19" s="25"/>
      <c r="Y19" s="25"/>
      <c r="Z19" s="25"/>
      <c r="AA19" s="25"/>
      <c r="AB19" s="27"/>
      <c r="AC19" s="25">
        <f t="shared" si="1"/>
        <v>8544.33</v>
      </c>
      <c r="AD19" s="25">
        <v>769.32</v>
      </c>
      <c r="AE19" s="23">
        <v>193.93</v>
      </c>
      <c r="AF19" s="25">
        <v>28.85</v>
      </c>
      <c r="AG19" s="25">
        <v>578</v>
      </c>
      <c r="AH19" s="25">
        <f t="shared" si="2"/>
        <v>6974.23</v>
      </c>
      <c r="AI19" s="25">
        <f>MAX(ROUND(MAX((AH19+AR19-5000*AQ19-AT19)*{0.03,0.1,0.2,0.25,0.3,0.35,0.45}-{0,2520,16920,31920,52920,85920,181920},0)-AS19,2),0)</f>
        <v>59.23</v>
      </c>
      <c r="AJ19" s="27"/>
      <c r="AK19" s="25"/>
      <c r="AL19" s="25">
        <f>ROUND(LOOKUP(MAX(0.0001,AK19/12),{0;6;24;50;70;110;160}*500+0.0001,5*MAX(0,AK19)*{0.6;2;4;5;6;7;9}%-10*{0;21;141;266;441;716;1516}),2)</f>
        <v>0</v>
      </c>
      <c r="AM19" s="25">
        <f t="shared" si="3"/>
        <v>8544.33</v>
      </c>
      <c r="AN19" s="25"/>
      <c r="AO19" s="25"/>
      <c r="AP19" s="25">
        <f t="shared" si="4"/>
        <v>6915</v>
      </c>
      <c r="AQ19" s="9">
        <v>5</v>
      </c>
      <c r="AR19" s="9">
        <v>23974.47</v>
      </c>
      <c r="AS19" s="9">
        <v>119.23</v>
      </c>
      <c r="AT19" s="9">
        <v>0</v>
      </c>
      <c r="AU19" s="28" t="s">
        <v>54</v>
      </c>
    </row>
    <row r="20" s="2" customFormat="1" ht="16.5" customHeight="1" spans="1:47">
      <c r="A20" s="23">
        <v>19</v>
      </c>
      <c r="B20" s="23" t="s">
        <v>48</v>
      </c>
      <c r="C20" s="23" t="s">
        <v>121</v>
      </c>
      <c r="D20" s="23" t="s">
        <v>122</v>
      </c>
      <c r="E20" s="40" t="s">
        <v>123</v>
      </c>
      <c r="F20" s="23" t="s">
        <v>68</v>
      </c>
      <c r="G20" s="23" t="s">
        <v>124</v>
      </c>
      <c r="H20" s="25">
        <v>2500</v>
      </c>
      <c r="I20" s="26">
        <v>43359</v>
      </c>
      <c r="J20" s="26"/>
      <c r="K20" s="25">
        <v>4200</v>
      </c>
      <c r="L20" s="25"/>
      <c r="M20" s="25"/>
      <c r="N20" s="25">
        <v>700</v>
      </c>
      <c r="O20" s="25">
        <v>0</v>
      </c>
      <c r="P20" s="25"/>
      <c r="Q20" s="25">
        <v>8</v>
      </c>
      <c r="R20" s="25">
        <f t="shared" si="0"/>
        <v>579.31</v>
      </c>
      <c r="S20" s="27"/>
      <c r="T20" s="25"/>
      <c r="U20" s="25"/>
      <c r="V20" s="25">
        <v>492</v>
      </c>
      <c r="W20" s="25"/>
      <c r="X20" s="25"/>
      <c r="Y20" s="25"/>
      <c r="Z20" s="25"/>
      <c r="AA20" s="25"/>
      <c r="AB20" s="27"/>
      <c r="AC20" s="25">
        <f t="shared" si="1"/>
        <v>5971.31</v>
      </c>
      <c r="AD20" s="25">
        <v>754.88</v>
      </c>
      <c r="AE20" s="23">
        <v>188.72</v>
      </c>
      <c r="AF20" s="25">
        <v>18.87</v>
      </c>
      <c r="AG20" s="25">
        <v>661</v>
      </c>
      <c r="AH20" s="25">
        <f t="shared" si="2"/>
        <v>4347.84</v>
      </c>
      <c r="AI20" s="25">
        <f>MAX(ROUND(MAX((AH20+AR20-5000*AQ20-AT20)*{0.03,0.1,0.2,0.25,0.3,0.35,0.45}-{0,2520,16920,31920,52920,85920,181920},0)-AS20,2),0)</f>
        <v>0</v>
      </c>
      <c r="AJ20" s="27"/>
      <c r="AK20" s="25"/>
      <c r="AL20" s="25">
        <f>ROUND(LOOKUP(MAX(0.0001,AK20/12),{0;6;24;50;70;110;160}*500+0.0001,5*MAX(0,AK20)*{0.6;2;4;5;6;7;9}%-10*{0;21;141;266;441;716;1516}),2)</f>
        <v>0</v>
      </c>
      <c r="AM20" s="25">
        <f t="shared" si="3"/>
        <v>5971.31</v>
      </c>
      <c r="AN20" s="25"/>
      <c r="AO20" s="25"/>
      <c r="AP20" s="25">
        <f t="shared" si="4"/>
        <v>4347.84</v>
      </c>
      <c r="AQ20" s="9">
        <v>5</v>
      </c>
      <c r="AR20" s="9">
        <v>29257.62</v>
      </c>
      <c r="AS20" s="9">
        <v>314.67</v>
      </c>
      <c r="AT20" s="9">
        <v>0</v>
      </c>
      <c r="AU20" s="28" t="s">
        <v>54</v>
      </c>
    </row>
    <row r="21" s="2" customFormat="1" ht="16.5" customHeight="1" spans="1:47">
      <c r="A21" s="23">
        <v>20</v>
      </c>
      <c r="B21" s="23" t="s">
        <v>48</v>
      </c>
      <c r="C21" s="23" t="s">
        <v>125</v>
      </c>
      <c r="D21" s="23" t="s">
        <v>126</v>
      </c>
      <c r="E21" s="40" t="s">
        <v>127</v>
      </c>
      <c r="F21" s="23" t="s">
        <v>106</v>
      </c>
      <c r="G21" s="23" t="s">
        <v>110</v>
      </c>
      <c r="H21" s="25">
        <v>2330</v>
      </c>
      <c r="I21" s="26">
        <v>43360</v>
      </c>
      <c r="J21" s="26"/>
      <c r="K21" s="25">
        <v>7900</v>
      </c>
      <c r="L21" s="25"/>
      <c r="M21" s="27"/>
      <c r="N21" s="25">
        <v>700</v>
      </c>
      <c r="O21" s="25">
        <v>37</v>
      </c>
      <c r="P21" s="25"/>
      <c r="Q21" s="25">
        <v>8</v>
      </c>
      <c r="R21" s="25">
        <f t="shared" si="0"/>
        <v>3609.48</v>
      </c>
      <c r="S21" s="27"/>
      <c r="T21" s="25"/>
      <c r="U21" s="25"/>
      <c r="V21" s="25">
        <v>456.46</v>
      </c>
      <c r="W21" s="25"/>
      <c r="X21" s="25"/>
      <c r="Y21" s="25"/>
      <c r="Z21" s="25"/>
      <c r="AA21" s="25">
        <v>16.03</v>
      </c>
      <c r="AB21" s="27"/>
      <c r="AC21" s="25">
        <f t="shared" si="1"/>
        <v>12681.97</v>
      </c>
      <c r="AD21" s="25">
        <v>1363.84</v>
      </c>
      <c r="AE21" s="23">
        <v>345.96</v>
      </c>
      <c r="AF21" s="25">
        <v>85.24</v>
      </c>
      <c r="AG21" s="25">
        <v>924</v>
      </c>
      <c r="AH21" s="25">
        <f t="shared" si="2"/>
        <v>9962.93</v>
      </c>
      <c r="AI21" s="25">
        <f>MAX(ROUND(MAX((AH21+AR21-5000*AQ21-AT21)*{0.03,0.1,0.2,0.25,0.3,0.35,0.45}-{0,2520,16920,31920,52920,85920,181920},0)-AS21,2),0)</f>
        <v>256.94</v>
      </c>
      <c r="AJ21" s="27"/>
      <c r="AK21" s="25"/>
      <c r="AL21" s="25">
        <f>ROUND(LOOKUP(MAX(0.0001,AK21/12),{0;6;24;50;70;110;160}*500+0.0001,5*MAX(0,AK21)*{0.6;2;4;5;6;7;9}%-10*{0;21;141;266;441;716;1516}),2)</f>
        <v>0</v>
      </c>
      <c r="AM21" s="25">
        <f t="shared" si="3"/>
        <v>12681.97</v>
      </c>
      <c r="AN21" s="25"/>
      <c r="AO21" s="25"/>
      <c r="AP21" s="25">
        <f t="shared" si="4"/>
        <v>9705.99</v>
      </c>
      <c r="AQ21" s="9">
        <v>5</v>
      </c>
      <c r="AR21" s="9">
        <v>52580.69</v>
      </c>
      <c r="AS21" s="9">
        <v>977.42</v>
      </c>
      <c r="AT21" s="9">
        <v>0</v>
      </c>
      <c r="AU21" s="28" t="s">
        <v>54</v>
      </c>
    </row>
    <row r="22" s="2" customFormat="1" ht="16.5" customHeight="1" spans="1:47">
      <c r="A22" s="23">
        <v>21</v>
      </c>
      <c r="B22" s="23" t="s">
        <v>48</v>
      </c>
      <c r="C22" s="23" t="s">
        <v>128</v>
      </c>
      <c r="D22" s="23" t="s">
        <v>129</v>
      </c>
      <c r="E22" s="40" t="s">
        <v>130</v>
      </c>
      <c r="F22" s="23" t="s">
        <v>68</v>
      </c>
      <c r="G22" s="23" t="s">
        <v>110</v>
      </c>
      <c r="H22" s="25">
        <v>2330</v>
      </c>
      <c r="I22" s="26">
        <v>43360</v>
      </c>
      <c r="J22" s="26"/>
      <c r="K22" s="25">
        <v>3600</v>
      </c>
      <c r="L22" s="25"/>
      <c r="M22" s="25"/>
      <c r="N22" s="25">
        <v>700</v>
      </c>
      <c r="O22" s="25">
        <v>2</v>
      </c>
      <c r="P22" s="25"/>
      <c r="Q22" s="25">
        <v>0</v>
      </c>
      <c r="R22" s="25">
        <f t="shared" si="0"/>
        <v>62.07</v>
      </c>
      <c r="S22" s="27"/>
      <c r="T22" s="25"/>
      <c r="U22" s="25"/>
      <c r="V22" s="25"/>
      <c r="W22" s="25"/>
      <c r="X22" s="25"/>
      <c r="Y22" s="25"/>
      <c r="Z22" s="25"/>
      <c r="AA22" s="25"/>
      <c r="AB22" s="27"/>
      <c r="AC22" s="25">
        <f t="shared" si="1"/>
        <v>4362.07</v>
      </c>
      <c r="AD22" s="25">
        <v>478.48</v>
      </c>
      <c r="AE22" s="23">
        <v>124.62</v>
      </c>
      <c r="AF22" s="25">
        <v>29.91</v>
      </c>
      <c r="AG22" s="25">
        <v>377</v>
      </c>
      <c r="AH22" s="25">
        <f t="shared" si="2"/>
        <v>3352.06</v>
      </c>
      <c r="AI22" s="25">
        <f>MAX(ROUND(MAX((AH22+AR22-5000*AQ22-AT22)*{0.03,0.1,0.2,0.25,0.3,0.35,0.45}-{0,2520,16920,31920,52920,85920,181920},0)-AS22,2),0)</f>
        <v>0</v>
      </c>
      <c r="AJ22" s="27"/>
      <c r="AK22" s="25"/>
      <c r="AL22" s="25">
        <f>ROUND(LOOKUP(MAX(0.0001,AK22/12),{0;6;24;50;70;110;160}*500+0.0001,5*MAX(0,AK22)*{0.6;2;4;5;6;7;9}%-10*{0;21;141;266;441;716;1516}),2)</f>
        <v>0</v>
      </c>
      <c r="AM22" s="25">
        <f t="shared" si="3"/>
        <v>4362.07</v>
      </c>
      <c r="AN22" s="25"/>
      <c r="AO22" s="25"/>
      <c r="AP22" s="25">
        <f t="shared" si="4"/>
        <v>3352.06</v>
      </c>
      <c r="AQ22" s="9">
        <v>5</v>
      </c>
      <c r="AR22" s="9">
        <v>19551.67</v>
      </c>
      <c r="AS22" s="9">
        <v>84.65</v>
      </c>
      <c r="AT22" s="9">
        <v>0</v>
      </c>
      <c r="AU22" s="28" t="s">
        <v>54</v>
      </c>
    </row>
    <row r="23" s="2" customFormat="1" ht="16.5" customHeight="1" spans="1:47">
      <c r="A23" s="23">
        <v>22</v>
      </c>
      <c r="B23" s="23" t="s">
        <v>48</v>
      </c>
      <c r="C23" s="23" t="s">
        <v>131</v>
      </c>
      <c r="D23" s="23" t="s">
        <v>132</v>
      </c>
      <c r="E23" s="40" t="s">
        <v>133</v>
      </c>
      <c r="F23" s="23" t="s">
        <v>106</v>
      </c>
      <c r="G23" s="23" t="s">
        <v>134</v>
      </c>
      <c r="H23" s="25">
        <v>2400</v>
      </c>
      <c r="I23" s="26">
        <v>43360</v>
      </c>
      <c r="J23" s="26"/>
      <c r="K23" s="25">
        <v>8800</v>
      </c>
      <c r="L23" s="25"/>
      <c r="M23" s="25"/>
      <c r="N23" s="25">
        <v>700</v>
      </c>
      <c r="O23" s="25">
        <v>6</v>
      </c>
      <c r="P23" s="25"/>
      <c r="Q23" s="25">
        <v>6.5</v>
      </c>
      <c r="R23" s="25">
        <f t="shared" si="0"/>
        <v>1441.38</v>
      </c>
      <c r="S23" s="27"/>
      <c r="T23" s="25"/>
      <c r="U23" s="25"/>
      <c r="V23" s="25">
        <v>1011.34</v>
      </c>
      <c r="W23" s="25"/>
      <c r="X23" s="25"/>
      <c r="Y23" s="25"/>
      <c r="Z23" s="25"/>
      <c r="AA23" s="25"/>
      <c r="AB23" s="27"/>
      <c r="AC23" s="25">
        <f t="shared" si="1"/>
        <v>11952.72</v>
      </c>
      <c r="AD23" s="25">
        <v>1163.2</v>
      </c>
      <c r="AE23" s="23">
        <v>290.8</v>
      </c>
      <c r="AF23" s="25">
        <v>43.62</v>
      </c>
      <c r="AG23" s="25">
        <v>759</v>
      </c>
      <c r="AH23" s="25">
        <f t="shared" si="2"/>
        <v>9696.1</v>
      </c>
      <c r="AI23" s="25">
        <f>MAX(ROUND(MAX((AH23+AR23-5000*AQ23-AT23)*{0.03,0.1,0.2,0.25,0.3,0.35,0.45}-{0,2520,16920,31920,52920,85920,181920},0)-AS23,2),0)</f>
        <v>0</v>
      </c>
      <c r="AJ23" s="27"/>
      <c r="AK23" s="25"/>
      <c r="AL23" s="25">
        <f>ROUND(LOOKUP(MAX(0.0001,AK23/12),{0;6;24;50;70;110;160}*500+0.0001,5*MAX(0,AK23)*{0.6;2;4;5;6;7;9}%-10*{0;21;141;266;441;716;1516}),2)</f>
        <v>0</v>
      </c>
      <c r="AM23" s="25">
        <f t="shared" si="3"/>
        <v>11952.72</v>
      </c>
      <c r="AN23" s="25"/>
      <c r="AO23" s="25"/>
      <c r="AP23" s="25">
        <f t="shared" si="4"/>
        <v>9696.1</v>
      </c>
      <c r="AQ23" s="9">
        <v>5</v>
      </c>
      <c r="AR23" s="9">
        <v>49493.05</v>
      </c>
      <c r="AS23" s="9">
        <v>324.78</v>
      </c>
      <c r="AT23" s="9">
        <v>25000</v>
      </c>
      <c r="AU23" s="28" t="s">
        <v>54</v>
      </c>
    </row>
    <row r="24" s="2" customFormat="1" ht="16.5" customHeight="1" spans="1:47">
      <c r="A24" s="23">
        <v>23</v>
      </c>
      <c r="B24" s="23" t="s">
        <v>48</v>
      </c>
      <c r="C24" s="23" t="s">
        <v>135</v>
      </c>
      <c r="D24" s="23" t="s">
        <v>136</v>
      </c>
      <c r="E24" s="40" t="s">
        <v>137</v>
      </c>
      <c r="F24" s="23" t="s">
        <v>52</v>
      </c>
      <c r="G24" s="23" t="s">
        <v>134</v>
      </c>
      <c r="H24" s="25">
        <v>2400</v>
      </c>
      <c r="I24" s="26">
        <v>43360</v>
      </c>
      <c r="J24" s="26"/>
      <c r="K24" s="25">
        <v>4400</v>
      </c>
      <c r="L24" s="25"/>
      <c r="M24" s="25"/>
      <c r="N24" s="25">
        <v>700</v>
      </c>
      <c r="O24" s="25">
        <v>0</v>
      </c>
      <c r="P24" s="25"/>
      <c r="Q24" s="25">
        <v>6.5</v>
      </c>
      <c r="R24" s="25">
        <f t="shared" si="0"/>
        <v>493.1</v>
      </c>
      <c r="S24" s="27"/>
      <c r="T24" s="25"/>
      <c r="U24" s="25"/>
      <c r="V24" s="25">
        <v>2161.4</v>
      </c>
      <c r="W24" s="25"/>
      <c r="X24" s="25"/>
      <c r="Y24" s="25"/>
      <c r="Z24" s="25"/>
      <c r="AA24" s="25"/>
      <c r="AB24" s="27"/>
      <c r="AC24" s="25">
        <f t="shared" si="1"/>
        <v>7754.5</v>
      </c>
      <c r="AD24" s="25">
        <v>800.56</v>
      </c>
      <c r="AE24" s="23">
        <v>200.14</v>
      </c>
      <c r="AF24" s="25">
        <v>30.02</v>
      </c>
      <c r="AG24" s="25">
        <v>558</v>
      </c>
      <c r="AH24" s="25">
        <f t="shared" si="2"/>
        <v>6165.78</v>
      </c>
      <c r="AI24" s="25">
        <f>MAX(ROUND(MAX((AH24+AR24-5000*AQ24-AT24)*{0.03,0.1,0.2,0.25,0.3,0.35,0.45}-{0,2520,16920,31920,52920,85920,181920},0)-AS24,2),0)</f>
        <v>0</v>
      </c>
      <c r="AJ24" s="27"/>
      <c r="AK24" s="25"/>
      <c r="AL24" s="25">
        <f>ROUND(LOOKUP(MAX(0.0001,AK24/12),{0;6;24;50;70;110;160}*500+0.0001,5*MAX(0,AK24)*{0.6;2;4;5;6;7;9}%-10*{0;21;141;266;441;716;1516}),2)</f>
        <v>0</v>
      </c>
      <c r="AM24" s="25">
        <f t="shared" si="3"/>
        <v>7754.5</v>
      </c>
      <c r="AN24" s="25"/>
      <c r="AO24" s="25"/>
      <c r="AP24" s="25">
        <f t="shared" si="4"/>
        <v>6165.78</v>
      </c>
      <c r="AQ24" s="9">
        <v>5</v>
      </c>
      <c r="AR24" s="9">
        <v>33164.27</v>
      </c>
      <c r="AS24" s="9">
        <v>172.26</v>
      </c>
      <c r="AT24" s="9">
        <v>12500</v>
      </c>
      <c r="AU24" s="28" t="s">
        <v>54</v>
      </c>
    </row>
    <row r="25" s="2" customFormat="1" ht="16.5" customHeight="1" spans="1:47">
      <c r="A25" s="23">
        <v>24</v>
      </c>
      <c r="B25" s="23" t="s">
        <v>48</v>
      </c>
      <c r="C25" s="23" t="s">
        <v>138</v>
      </c>
      <c r="D25" s="23" t="s">
        <v>139</v>
      </c>
      <c r="E25" s="40" t="s">
        <v>140</v>
      </c>
      <c r="F25" s="23" t="s">
        <v>68</v>
      </c>
      <c r="G25" s="23" t="s">
        <v>134</v>
      </c>
      <c r="H25" s="25">
        <v>2400</v>
      </c>
      <c r="I25" s="26">
        <v>43372</v>
      </c>
      <c r="J25" s="26"/>
      <c r="K25" s="25">
        <v>4000</v>
      </c>
      <c r="L25" s="25"/>
      <c r="M25" s="25"/>
      <c r="N25" s="25">
        <v>700</v>
      </c>
      <c r="O25" s="25">
        <v>0</v>
      </c>
      <c r="P25" s="25"/>
      <c r="Q25" s="25">
        <v>6.5</v>
      </c>
      <c r="R25" s="25">
        <f t="shared" si="0"/>
        <v>448.28</v>
      </c>
      <c r="S25" s="27"/>
      <c r="T25" s="25"/>
      <c r="U25" s="25"/>
      <c r="V25" s="25">
        <v>2250.4</v>
      </c>
      <c r="W25" s="25"/>
      <c r="X25" s="25"/>
      <c r="Y25" s="25"/>
      <c r="Z25" s="25"/>
      <c r="AA25" s="25"/>
      <c r="AB25" s="27"/>
      <c r="AC25" s="25">
        <f t="shared" si="1"/>
        <v>7398.68</v>
      </c>
      <c r="AD25" s="25">
        <v>813.84</v>
      </c>
      <c r="AE25" s="23">
        <v>203.46</v>
      </c>
      <c r="AF25" s="25">
        <v>30.52</v>
      </c>
      <c r="AG25" s="25">
        <v>502</v>
      </c>
      <c r="AH25" s="25">
        <f t="shared" si="2"/>
        <v>5848.86</v>
      </c>
      <c r="AI25" s="25">
        <f>MAX(ROUND(MAX((AH25+AR25-5000*AQ25-AT25)*{0.03,0.1,0.2,0.25,0.3,0.35,0.45}-{0,2520,16920,31920,52920,85920,181920},0)-AS25,2),0)</f>
        <v>0</v>
      </c>
      <c r="AJ25" s="27"/>
      <c r="AK25" s="25"/>
      <c r="AL25" s="25">
        <f>ROUND(LOOKUP(MAX(0.0001,AK25/12),{0;6;24;50;70;110;160}*500+0.0001,5*MAX(0,AK25)*{0.6;2;4;5;6;7;9}%-10*{0;21;141;266;441;716;1516}),2)</f>
        <v>0</v>
      </c>
      <c r="AM25" s="25">
        <f t="shared" si="3"/>
        <v>7398.68</v>
      </c>
      <c r="AN25" s="25"/>
      <c r="AO25" s="25"/>
      <c r="AP25" s="25">
        <f t="shared" si="4"/>
        <v>5848.86</v>
      </c>
      <c r="AQ25" s="9">
        <v>5</v>
      </c>
      <c r="AR25" s="9">
        <v>26963.59</v>
      </c>
      <c r="AS25" s="9">
        <v>94.55</v>
      </c>
      <c r="AT25" s="9">
        <v>15000</v>
      </c>
      <c r="AU25" s="28" t="s">
        <v>54</v>
      </c>
    </row>
    <row r="26" s="2" customFormat="1" ht="16.5" customHeight="1" spans="1:47">
      <c r="A26" s="23">
        <v>25</v>
      </c>
      <c r="B26" s="23" t="s">
        <v>48</v>
      </c>
      <c r="C26" s="23" t="s">
        <v>141</v>
      </c>
      <c r="D26" s="23" t="s">
        <v>142</v>
      </c>
      <c r="E26" s="40" t="s">
        <v>143</v>
      </c>
      <c r="F26" s="23" t="s">
        <v>68</v>
      </c>
      <c r="G26" s="23" t="s">
        <v>64</v>
      </c>
      <c r="H26" s="25">
        <v>2660</v>
      </c>
      <c r="I26" s="26">
        <v>43382</v>
      </c>
      <c r="J26" s="26"/>
      <c r="K26" s="25">
        <v>3600</v>
      </c>
      <c r="L26" s="25"/>
      <c r="M26" s="25"/>
      <c r="N26" s="25">
        <v>700</v>
      </c>
      <c r="O26" s="25">
        <v>8</v>
      </c>
      <c r="P26" s="25"/>
      <c r="Q26" s="25">
        <v>8</v>
      </c>
      <c r="R26" s="25">
        <f t="shared" si="0"/>
        <v>744.83</v>
      </c>
      <c r="S26" s="27"/>
      <c r="T26" s="25"/>
      <c r="U26" s="25"/>
      <c r="V26" s="25">
        <v>5845.4</v>
      </c>
      <c r="W26" s="25"/>
      <c r="X26" s="25"/>
      <c r="Y26" s="25"/>
      <c r="Z26" s="25"/>
      <c r="AA26" s="25"/>
      <c r="AB26" s="27"/>
      <c r="AC26" s="25">
        <f t="shared" si="1"/>
        <v>10890.23</v>
      </c>
      <c r="AD26" s="25">
        <v>1153.6</v>
      </c>
      <c r="AE26" s="23">
        <v>298.4</v>
      </c>
      <c r="AF26" s="25">
        <v>72.1</v>
      </c>
      <c r="AG26" s="25">
        <v>1613</v>
      </c>
      <c r="AH26" s="25">
        <f t="shared" si="2"/>
        <v>7753.13</v>
      </c>
      <c r="AI26" s="25">
        <f>MAX(ROUND(MAX((AH26+AR26-5000*AQ26-AT26)*{0.03,0.1,0.2,0.25,0.3,0.35,0.45}-{0,2520,16920,31920,52920,85920,181920},0)-AS26,2),0)</f>
        <v>0</v>
      </c>
      <c r="AJ26" s="27"/>
      <c r="AK26" s="25"/>
      <c r="AL26" s="25">
        <f>ROUND(LOOKUP(MAX(0.0001,AK26/12),{0;6;24;50;70;110;160}*500+0.0001,5*MAX(0,AK26)*{0.6;2;4;5;6;7;9}%-10*{0;21;141;266;441;716;1516}),2)</f>
        <v>0</v>
      </c>
      <c r="AM26" s="25">
        <f t="shared" si="3"/>
        <v>10890.23</v>
      </c>
      <c r="AN26" s="25"/>
      <c r="AO26" s="25"/>
      <c r="AP26" s="25">
        <f t="shared" si="4"/>
        <v>7753.13</v>
      </c>
      <c r="AQ26" s="9">
        <v>5</v>
      </c>
      <c r="AR26" s="9">
        <v>32866.97</v>
      </c>
      <c r="AS26" s="9">
        <v>413.88</v>
      </c>
      <c r="AT26" s="9">
        <v>17500</v>
      </c>
      <c r="AU26" s="28" t="s">
        <v>59</v>
      </c>
    </row>
    <row r="27" s="2" customFormat="1" ht="16.5" customHeight="1" spans="1:47">
      <c r="A27" s="23">
        <v>26</v>
      </c>
      <c r="B27" s="23" t="s">
        <v>48</v>
      </c>
      <c r="C27" s="23" t="s">
        <v>144</v>
      </c>
      <c r="D27" s="23" t="s">
        <v>145</v>
      </c>
      <c r="E27" s="40" t="s">
        <v>146</v>
      </c>
      <c r="F27" s="23" t="s">
        <v>68</v>
      </c>
      <c r="G27" s="23" t="s">
        <v>64</v>
      </c>
      <c r="H27" s="25">
        <v>2660</v>
      </c>
      <c r="I27" s="26">
        <v>43524</v>
      </c>
      <c r="J27" s="26"/>
      <c r="K27" s="25">
        <v>3600</v>
      </c>
      <c r="L27" s="25"/>
      <c r="M27" s="25"/>
      <c r="N27" s="25">
        <v>700</v>
      </c>
      <c r="O27" s="25">
        <v>0</v>
      </c>
      <c r="P27" s="25"/>
      <c r="Q27" s="25">
        <v>8</v>
      </c>
      <c r="R27" s="25">
        <f t="shared" si="0"/>
        <v>496.55</v>
      </c>
      <c r="S27" s="27"/>
      <c r="T27" s="25"/>
      <c r="U27" s="25"/>
      <c r="V27" s="25">
        <v>16791.93</v>
      </c>
      <c r="W27" s="25"/>
      <c r="X27" s="25"/>
      <c r="Y27" s="25"/>
      <c r="Z27" s="25"/>
      <c r="AA27" s="25"/>
      <c r="AB27" s="27"/>
      <c r="AC27" s="25">
        <f t="shared" si="1"/>
        <v>21588.48</v>
      </c>
      <c r="AD27" s="25">
        <v>1233.44</v>
      </c>
      <c r="AE27" s="23">
        <v>318.36</v>
      </c>
      <c r="AF27" s="25">
        <v>77.09</v>
      </c>
      <c r="AG27" s="25">
        <v>1929</v>
      </c>
      <c r="AH27" s="25">
        <f t="shared" si="2"/>
        <v>18030.59</v>
      </c>
      <c r="AI27" s="25">
        <f>MAX(ROUND(MAX((AH27+AR27-5000*AQ27-AT27)*{0.03,0.1,0.2,0.25,0.3,0.35,0.45}-{0,2520,16920,31920,52920,85920,181920},0)-AS27,2),0)</f>
        <v>0</v>
      </c>
      <c r="AJ27" s="27"/>
      <c r="AK27" s="25"/>
      <c r="AL27" s="25">
        <f>ROUND(LOOKUP(MAX(0.0001,AK27/12),{0;6;24;50;70;110;160}*500+0.0001,5*MAX(0,AK27)*{0.6;2;4;5;6;7;9}%-10*{0;21;141;266;441;716;1516}),2)</f>
        <v>0</v>
      </c>
      <c r="AM27" s="25">
        <f t="shared" si="3"/>
        <v>21588.48</v>
      </c>
      <c r="AN27" s="25"/>
      <c r="AO27" s="25"/>
      <c r="AP27" s="25">
        <f t="shared" si="4"/>
        <v>18030.59</v>
      </c>
      <c r="AQ27" s="9">
        <v>5</v>
      </c>
      <c r="AR27" s="9">
        <v>28948.52</v>
      </c>
      <c r="AS27" s="9">
        <v>398.06</v>
      </c>
      <c r="AT27" s="9">
        <v>15000</v>
      </c>
      <c r="AU27" s="28" t="s">
        <v>59</v>
      </c>
    </row>
    <row r="28" s="2" customFormat="1" ht="16.5" customHeight="1" spans="1:47">
      <c r="A28" s="23">
        <v>27</v>
      </c>
      <c r="B28" s="23" t="s">
        <v>48</v>
      </c>
      <c r="C28" s="23" t="s">
        <v>147</v>
      </c>
      <c r="D28" s="23" t="s">
        <v>148</v>
      </c>
      <c r="E28" s="40" t="s">
        <v>149</v>
      </c>
      <c r="F28" s="23" t="s">
        <v>52</v>
      </c>
      <c r="G28" s="23" t="s">
        <v>69</v>
      </c>
      <c r="H28" s="25">
        <v>2540</v>
      </c>
      <c r="I28" s="26">
        <v>43542</v>
      </c>
      <c r="J28" s="26"/>
      <c r="K28" s="25">
        <v>4600</v>
      </c>
      <c r="L28" s="25"/>
      <c r="M28" s="25"/>
      <c r="N28" s="25">
        <v>700</v>
      </c>
      <c r="O28" s="25">
        <v>36</v>
      </c>
      <c r="P28" s="25"/>
      <c r="Q28" s="25">
        <v>6</v>
      </c>
      <c r="R28" s="25">
        <f t="shared" si="0"/>
        <v>1903.45</v>
      </c>
      <c r="S28" s="27"/>
      <c r="T28" s="25"/>
      <c r="U28" s="25"/>
      <c r="V28" s="25">
        <v>12392.3</v>
      </c>
      <c r="W28" s="25"/>
      <c r="X28" s="25"/>
      <c r="Y28" s="25"/>
      <c r="Z28" s="25"/>
      <c r="AA28" s="25"/>
      <c r="AB28" s="29"/>
      <c r="AC28" s="25">
        <f t="shared" si="1"/>
        <v>19595.75</v>
      </c>
      <c r="AD28" s="25">
        <v>2374.24</v>
      </c>
      <c r="AE28" s="23">
        <v>596.56</v>
      </c>
      <c r="AF28" s="25">
        <v>148.39</v>
      </c>
      <c r="AG28" s="25">
        <v>3561</v>
      </c>
      <c r="AH28" s="25">
        <f t="shared" si="2"/>
        <v>12915.56</v>
      </c>
      <c r="AI28" s="25">
        <f>MAX(ROUND(MAX((AH28+AR28-5000*AQ28-AT28)*{0.03,0.1,0.2,0.25,0.3,0.35,0.45}-{0,2520,16920,31920,52920,85920,181920},0)-AS28,2),0)</f>
        <v>237.46</v>
      </c>
      <c r="AJ28" s="27"/>
      <c r="AK28" s="25"/>
      <c r="AL28" s="25">
        <f>ROUND(LOOKUP(MAX(0.0001,AK28/12),{0;6;24;50;70;110;160}*500+0.0001,5*MAX(0,AK28)*{0.6;2;4;5;6;7;9}%-10*{0;21;141;266;441;716;1516}),2)</f>
        <v>0</v>
      </c>
      <c r="AM28" s="25">
        <f t="shared" si="3"/>
        <v>19595.75</v>
      </c>
      <c r="AN28" s="25"/>
      <c r="AO28" s="25"/>
      <c r="AP28" s="25">
        <f t="shared" si="4"/>
        <v>12678.1</v>
      </c>
      <c r="AQ28" s="9">
        <v>5</v>
      </c>
      <c r="AR28" s="9">
        <v>43906.2</v>
      </c>
      <c r="AS28" s="9">
        <v>717.19</v>
      </c>
      <c r="AT28" s="9">
        <v>0</v>
      </c>
      <c r="AU28" s="28" t="s">
        <v>70</v>
      </c>
    </row>
    <row r="29" s="2" customFormat="1" ht="16.5" customHeight="1" spans="1:47">
      <c r="A29" s="23">
        <v>28</v>
      </c>
      <c r="B29" s="23" t="s">
        <v>48</v>
      </c>
      <c r="C29" s="23" t="s">
        <v>150</v>
      </c>
      <c r="D29" s="23" t="s">
        <v>151</v>
      </c>
      <c r="E29" s="40" t="s">
        <v>152</v>
      </c>
      <c r="F29" s="23" t="s">
        <v>68</v>
      </c>
      <c r="G29" s="23" t="s">
        <v>153</v>
      </c>
      <c r="H29" s="25">
        <v>2660</v>
      </c>
      <c r="I29" s="26">
        <v>43689</v>
      </c>
      <c r="J29" s="26"/>
      <c r="K29" s="25">
        <v>4000</v>
      </c>
      <c r="L29" s="25"/>
      <c r="M29" s="25"/>
      <c r="N29" s="25">
        <v>600</v>
      </c>
      <c r="O29" s="25">
        <v>40</v>
      </c>
      <c r="P29" s="25"/>
      <c r="Q29" s="25">
        <v>12</v>
      </c>
      <c r="R29" s="25">
        <f t="shared" si="0"/>
        <v>2206.9</v>
      </c>
      <c r="S29" s="27"/>
      <c r="T29" s="25"/>
      <c r="U29" s="25"/>
      <c r="V29" s="25">
        <v>5073.74</v>
      </c>
      <c r="W29" s="25"/>
      <c r="X29" s="25"/>
      <c r="Y29" s="25"/>
      <c r="Z29" s="25"/>
      <c r="AA29" s="25"/>
      <c r="AB29" s="27"/>
      <c r="AC29" s="25">
        <f t="shared" si="1"/>
        <v>11880.64</v>
      </c>
      <c r="AD29" s="25">
        <v>1700.24</v>
      </c>
      <c r="AE29" s="23">
        <v>430.06</v>
      </c>
      <c r="AF29" s="25">
        <v>106.27</v>
      </c>
      <c r="AG29" s="25">
        <v>1994</v>
      </c>
      <c r="AH29" s="25">
        <f t="shared" si="2"/>
        <v>7650.07</v>
      </c>
      <c r="AI29" s="25">
        <f>MAX(ROUND(MAX((AH29+AR29-5000*AQ29-AT29)*{0.03,0.1,0.2,0.25,0.3,0.35,0.45}-{0,2520,16920,31920,52920,85920,181920},0)-AS29,2),0)</f>
        <v>33.07</v>
      </c>
      <c r="AJ29" s="27"/>
      <c r="AK29" s="25"/>
      <c r="AL29" s="25">
        <f>ROUND(LOOKUP(MAX(0.0001,AK29/12),{0;6;24;50;70;110;160}*500+0.0001,5*MAX(0,AK29)*{0.6;2;4;5;6;7;9}%-10*{0;21;141;266;441;716;1516}),2)</f>
        <v>0</v>
      </c>
      <c r="AM29" s="25">
        <f t="shared" si="3"/>
        <v>11880.64</v>
      </c>
      <c r="AN29" s="25"/>
      <c r="AO29" s="25"/>
      <c r="AP29" s="25">
        <f t="shared" si="4"/>
        <v>7617</v>
      </c>
      <c r="AQ29" s="9">
        <v>5</v>
      </c>
      <c r="AR29" s="9">
        <v>41921.26</v>
      </c>
      <c r="AS29" s="9">
        <v>704.07</v>
      </c>
      <c r="AT29" s="9">
        <v>0</v>
      </c>
      <c r="AU29" s="28" t="s">
        <v>59</v>
      </c>
    </row>
    <row r="30" s="2" customFormat="1" ht="16.5" customHeight="1" spans="1:47">
      <c r="A30" s="23">
        <v>29</v>
      </c>
      <c r="B30" s="23" t="s">
        <v>48</v>
      </c>
      <c r="C30" s="23" t="s">
        <v>154</v>
      </c>
      <c r="D30" s="23" t="s">
        <v>155</v>
      </c>
      <c r="E30" s="40" t="s">
        <v>156</v>
      </c>
      <c r="F30" s="23" t="s">
        <v>68</v>
      </c>
      <c r="G30" s="23" t="s">
        <v>153</v>
      </c>
      <c r="H30" s="25">
        <v>2660</v>
      </c>
      <c r="I30" s="26">
        <v>43690</v>
      </c>
      <c r="J30" s="26"/>
      <c r="K30" s="25">
        <v>4000</v>
      </c>
      <c r="L30" s="25"/>
      <c r="M30" s="25"/>
      <c r="N30" s="25">
        <v>600</v>
      </c>
      <c r="O30" s="25">
        <v>40</v>
      </c>
      <c r="P30" s="25"/>
      <c r="Q30" s="25">
        <v>12</v>
      </c>
      <c r="R30" s="25">
        <f t="shared" si="0"/>
        <v>2206.9</v>
      </c>
      <c r="S30" s="27"/>
      <c r="T30" s="25"/>
      <c r="U30" s="25"/>
      <c r="V30" s="25">
        <v>4150.34</v>
      </c>
      <c r="W30" s="25"/>
      <c r="X30" s="25"/>
      <c r="Y30" s="25"/>
      <c r="Z30" s="25"/>
      <c r="AA30" s="25">
        <v>3.18</v>
      </c>
      <c r="AB30" s="27"/>
      <c r="AC30" s="25">
        <f t="shared" si="1"/>
        <v>10960.42</v>
      </c>
      <c r="AD30" s="25">
        <v>1969.52</v>
      </c>
      <c r="AE30" s="23">
        <v>497.38</v>
      </c>
      <c r="AF30" s="25">
        <v>123.1</v>
      </c>
      <c r="AG30" s="25">
        <v>2122</v>
      </c>
      <c r="AH30" s="25">
        <f t="shared" si="2"/>
        <v>6248.42</v>
      </c>
      <c r="AI30" s="25">
        <f>MAX(ROUND(MAX((AH30+AR30-5000*AQ30-AT30)*{0.03,0.1,0.2,0.25,0.3,0.35,0.45}-{0,2520,16920,31920,52920,85920,181920},0)-AS30,2),0)</f>
        <v>40.55</v>
      </c>
      <c r="AJ30" s="27"/>
      <c r="AK30" s="25"/>
      <c r="AL30" s="25">
        <f>ROUND(LOOKUP(MAX(0.0001,AK30/12),{0;6;24;50;70;110;160}*500+0.0001,5*MAX(0,AK30)*{0.6;2;4;5;6;7;9}%-10*{0;21;141;266;441;716;1516}),2)</f>
        <v>0</v>
      </c>
      <c r="AM30" s="25">
        <f t="shared" si="3"/>
        <v>10960.42</v>
      </c>
      <c r="AN30" s="25"/>
      <c r="AO30" s="25"/>
      <c r="AP30" s="25">
        <f t="shared" si="4"/>
        <v>6207.87</v>
      </c>
      <c r="AQ30" s="9">
        <v>5</v>
      </c>
      <c r="AR30" s="9">
        <v>54795.76</v>
      </c>
      <c r="AS30" s="9">
        <v>1043.87</v>
      </c>
      <c r="AT30" s="9">
        <v>0</v>
      </c>
      <c r="AU30" s="28" t="s">
        <v>59</v>
      </c>
    </row>
    <row r="31" s="2" customFormat="1" ht="16.5" customHeight="1" spans="1:47">
      <c r="A31" s="23">
        <v>30</v>
      </c>
      <c r="B31" s="23" t="s">
        <v>48</v>
      </c>
      <c r="C31" s="23" t="s">
        <v>157</v>
      </c>
      <c r="D31" s="23" t="s">
        <v>158</v>
      </c>
      <c r="E31" s="40" t="s">
        <v>159</v>
      </c>
      <c r="F31" s="23" t="s">
        <v>52</v>
      </c>
      <c r="G31" s="23" t="s">
        <v>114</v>
      </c>
      <c r="H31" s="25">
        <v>2376</v>
      </c>
      <c r="I31" s="26">
        <v>43697</v>
      </c>
      <c r="J31" s="26"/>
      <c r="K31" s="25">
        <v>4400</v>
      </c>
      <c r="L31" s="25"/>
      <c r="M31" s="25"/>
      <c r="N31" s="25">
        <v>600</v>
      </c>
      <c r="O31" s="25">
        <v>5</v>
      </c>
      <c r="P31" s="25"/>
      <c r="Q31" s="25">
        <v>7</v>
      </c>
      <c r="R31" s="25">
        <f t="shared" si="0"/>
        <v>720.69</v>
      </c>
      <c r="S31" s="27"/>
      <c r="T31" s="25"/>
      <c r="U31" s="25"/>
      <c r="V31" s="25">
        <v>8745.55</v>
      </c>
      <c r="W31" s="25"/>
      <c r="X31" s="25"/>
      <c r="Y31" s="25"/>
      <c r="Z31" s="25"/>
      <c r="AA31" s="25"/>
      <c r="AB31" s="27"/>
      <c r="AC31" s="25">
        <f t="shared" si="1"/>
        <v>14466.24</v>
      </c>
      <c r="AD31" s="25">
        <v>927.33</v>
      </c>
      <c r="AE31" s="23">
        <v>233.43</v>
      </c>
      <c r="AF31" s="25">
        <v>34.77</v>
      </c>
      <c r="AG31" s="25">
        <v>564</v>
      </c>
      <c r="AH31" s="25">
        <f t="shared" si="2"/>
        <v>12706.71</v>
      </c>
      <c r="AI31" s="25">
        <f>MAX(ROUND(MAX((AH31+AR31-5000*AQ31-AT31)*{0.03,0.1,0.2,0.25,0.3,0.35,0.45}-{0,2520,16920,31920,52920,85920,181920},0)-AS31,2),0)</f>
        <v>231.21</v>
      </c>
      <c r="AJ31" s="27"/>
      <c r="AK31" s="25"/>
      <c r="AL31" s="25">
        <f>ROUND(LOOKUP(MAX(0.0001,AK31/12),{0;6;24;50;70;110;160}*500+0.0001,5*MAX(0,AK31)*{0.6;2;4;5;6;7;9}%-10*{0;21;141;266;441;716;1516}),2)</f>
        <v>0</v>
      </c>
      <c r="AM31" s="25">
        <f t="shared" si="3"/>
        <v>14466.24</v>
      </c>
      <c r="AN31" s="25"/>
      <c r="AO31" s="25"/>
      <c r="AP31" s="25">
        <f t="shared" si="4"/>
        <v>12475.5</v>
      </c>
      <c r="AQ31" s="9">
        <v>5</v>
      </c>
      <c r="AR31" s="9">
        <v>32999.16</v>
      </c>
      <c r="AS31" s="9">
        <v>389.97</v>
      </c>
      <c r="AT31" s="9">
        <v>0</v>
      </c>
      <c r="AU31" s="28" t="s">
        <v>54</v>
      </c>
    </row>
    <row r="32" s="2" customFormat="1" ht="16.5" customHeight="1" spans="1:47">
      <c r="A32" s="23">
        <v>31</v>
      </c>
      <c r="B32" s="23" t="s">
        <v>48</v>
      </c>
      <c r="C32" s="23" t="s">
        <v>160</v>
      </c>
      <c r="D32" s="23" t="s">
        <v>161</v>
      </c>
      <c r="E32" s="40" t="s">
        <v>162</v>
      </c>
      <c r="F32" s="23" t="s">
        <v>163</v>
      </c>
      <c r="G32" s="23" t="s">
        <v>58</v>
      </c>
      <c r="H32" s="25">
        <v>2740</v>
      </c>
      <c r="I32" s="26">
        <v>43697</v>
      </c>
      <c r="J32" s="26"/>
      <c r="K32" s="25">
        <v>6000</v>
      </c>
      <c r="L32" s="25"/>
      <c r="M32" s="25"/>
      <c r="N32" s="25"/>
      <c r="O32" s="25"/>
      <c r="P32" s="25"/>
      <c r="Q32" s="25"/>
      <c r="R32" s="25">
        <f t="shared" si="0"/>
        <v>0</v>
      </c>
      <c r="S32" s="27"/>
      <c r="T32" s="25"/>
      <c r="U32" s="25"/>
      <c r="V32" s="25"/>
      <c r="W32" s="25"/>
      <c r="X32" s="25"/>
      <c r="Y32" s="25"/>
      <c r="Z32" s="25"/>
      <c r="AA32" s="25"/>
      <c r="AB32" s="27"/>
      <c r="AC32" s="25">
        <f t="shared" si="1"/>
        <v>6000</v>
      </c>
      <c r="AD32" s="25">
        <v>596.8</v>
      </c>
      <c r="AE32" s="23">
        <v>149.2</v>
      </c>
      <c r="AF32" s="25">
        <v>37.3</v>
      </c>
      <c r="AG32" s="25">
        <v>473</v>
      </c>
      <c r="AH32" s="25">
        <f t="shared" si="2"/>
        <v>4743.7</v>
      </c>
      <c r="AI32" s="25">
        <f>MAX(ROUND(MAX((AH32+AR32-5000*AQ32-AT32)*{0.03,0.1,0.2,0.25,0.3,0.35,0.45}-{0,2520,16920,31920,52920,85920,181920},0)-AS32,2),0)</f>
        <v>0</v>
      </c>
      <c r="AJ32" s="27"/>
      <c r="AK32" s="25"/>
      <c r="AL32" s="25">
        <f>ROUND(LOOKUP(MAX(0.0001,AK32/12),{0;6;24;50;70;110;160}*500+0.0001,5*MAX(0,AK32)*{0.6;2;4;5;6;7;9}%-10*{0;21;141;266;441;716;1516}),2)</f>
        <v>0</v>
      </c>
      <c r="AM32" s="25">
        <f t="shared" si="3"/>
        <v>6000</v>
      </c>
      <c r="AN32" s="25"/>
      <c r="AO32" s="25"/>
      <c r="AP32" s="25">
        <f t="shared" si="4"/>
        <v>4743.7</v>
      </c>
      <c r="AQ32" s="9">
        <v>5</v>
      </c>
      <c r="AR32" s="9">
        <v>22031.91</v>
      </c>
      <c r="AS32" s="9">
        <v>76.34</v>
      </c>
      <c r="AT32" s="9">
        <v>0</v>
      </c>
      <c r="AU32" s="28" t="s">
        <v>59</v>
      </c>
    </row>
    <row r="33" s="2" customFormat="1" ht="16.5" customHeight="1" spans="1:47">
      <c r="A33" s="23">
        <v>32</v>
      </c>
      <c r="B33" s="23" t="s">
        <v>48</v>
      </c>
      <c r="C33" s="23" t="s">
        <v>164</v>
      </c>
      <c r="D33" s="23" t="s">
        <v>165</v>
      </c>
      <c r="E33" s="40" t="s">
        <v>166</v>
      </c>
      <c r="F33" s="23" t="s">
        <v>68</v>
      </c>
      <c r="G33" s="23" t="s">
        <v>58</v>
      </c>
      <c r="H33" s="25">
        <v>2740</v>
      </c>
      <c r="I33" s="26">
        <v>43728</v>
      </c>
      <c r="J33" s="26"/>
      <c r="K33" s="25">
        <v>4200</v>
      </c>
      <c r="L33" s="25"/>
      <c r="M33" s="25"/>
      <c r="N33" s="25">
        <v>600</v>
      </c>
      <c r="O33" s="25">
        <v>6</v>
      </c>
      <c r="P33" s="25"/>
      <c r="Q33" s="25">
        <v>10</v>
      </c>
      <c r="R33" s="25">
        <f t="shared" si="0"/>
        <v>941.38</v>
      </c>
      <c r="S33" s="27"/>
      <c r="T33" s="27"/>
      <c r="U33" s="27"/>
      <c r="V33" s="25"/>
      <c r="W33" s="25"/>
      <c r="X33" s="25"/>
      <c r="Y33" s="25"/>
      <c r="Z33" s="27">
        <v>-354.62</v>
      </c>
      <c r="AA33" s="25"/>
      <c r="AB33" s="29"/>
      <c r="AC33" s="25">
        <f t="shared" si="1"/>
        <v>5386.76</v>
      </c>
      <c r="AD33" s="25">
        <v>779.72</v>
      </c>
      <c r="AE33" s="23">
        <v>194.93</v>
      </c>
      <c r="AF33" s="25">
        <v>48.73</v>
      </c>
      <c r="AG33" s="25">
        <v>682</v>
      </c>
      <c r="AH33" s="25">
        <f t="shared" si="2"/>
        <v>3681.38</v>
      </c>
      <c r="AI33" s="25">
        <f>MAX(ROUND(MAX((AH33+AR33-5000*AQ33-AT33)*{0.03,0.1,0.2,0.25,0.3,0.35,0.45}-{0,2520,16920,31920,52920,85920,181920},0)-AS33,2),0)</f>
        <v>0</v>
      </c>
      <c r="AJ33" s="27"/>
      <c r="AK33" s="25"/>
      <c r="AL33" s="25">
        <f>ROUND(LOOKUP(MAX(0.0001,AK33/12),{0;6;24;50;70;110;160}*500+0.0001,5*MAX(0,AK33)*{0.6;2;4;5;6;7;9}%-10*{0;21;141;266;441;716;1516}),2)</f>
        <v>0</v>
      </c>
      <c r="AM33" s="25">
        <f t="shared" si="3"/>
        <v>5386.76</v>
      </c>
      <c r="AN33" s="25"/>
      <c r="AO33" s="25"/>
      <c r="AP33" s="25">
        <f t="shared" si="4"/>
        <v>3681.38</v>
      </c>
      <c r="AQ33" s="9">
        <v>5</v>
      </c>
      <c r="AR33" s="9">
        <v>14247.24</v>
      </c>
      <c r="AS33" s="9">
        <v>0</v>
      </c>
      <c r="AT33" s="9">
        <v>22500</v>
      </c>
      <c r="AU33" s="28" t="s">
        <v>59</v>
      </c>
    </row>
    <row r="34" s="2" customFormat="1" ht="16.5" customHeight="1" spans="1:47">
      <c r="A34" s="23">
        <v>33</v>
      </c>
      <c r="B34" s="23" t="s">
        <v>48</v>
      </c>
      <c r="C34" s="23" t="s">
        <v>167</v>
      </c>
      <c r="D34" s="23" t="s">
        <v>168</v>
      </c>
      <c r="E34" s="40" t="s">
        <v>169</v>
      </c>
      <c r="F34" s="23" t="s">
        <v>68</v>
      </c>
      <c r="G34" s="23" t="s">
        <v>170</v>
      </c>
      <c r="H34" s="25">
        <v>2080</v>
      </c>
      <c r="I34" s="26">
        <v>43747</v>
      </c>
      <c r="J34" s="26"/>
      <c r="K34" s="25">
        <v>4000</v>
      </c>
      <c r="L34" s="25"/>
      <c r="M34" s="25"/>
      <c r="N34" s="25">
        <v>600</v>
      </c>
      <c r="O34" s="25">
        <v>8</v>
      </c>
      <c r="P34" s="25"/>
      <c r="Q34" s="25">
        <v>8</v>
      </c>
      <c r="R34" s="25">
        <f t="shared" ref="R34:R65" si="5">ROUND(K34/174*SUM(O34*1.5+P34*2+Q34*3),2)</f>
        <v>827.59</v>
      </c>
      <c r="S34" s="27"/>
      <c r="T34" s="25"/>
      <c r="U34" s="25"/>
      <c r="V34" s="25">
        <v>4359.4</v>
      </c>
      <c r="W34" s="25"/>
      <c r="X34" s="25"/>
      <c r="Y34" s="25"/>
      <c r="Z34" s="25"/>
      <c r="AA34" s="25"/>
      <c r="AB34" s="27"/>
      <c r="AC34" s="25">
        <f t="shared" ref="AC34:AC65" si="6">ROUND(SUM(SUM(K34:N34)+SUM(R34:AB34)),2)</f>
        <v>9786.99</v>
      </c>
      <c r="AD34" s="25">
        <v>654.56</v>
      </c>
      <c r="AE34" s="23">
        <v>163.64</v>
      </c>
      <c r="AF34" s="25">
        <v>16.36</v>
      </c>
      <c r="AG34" s="25">
        <v>409</v>
      </c>
      <c r="AH34" s="25">
        <f t="shared" si="2"/>
        <v>8543.43</v>
      </c>
      <c r="AI34" s="25">
        <f>MAX(ROUND(MAX((AH34+AR34-5000*AQ34-AT34)*{0.03,0.1,0.2,0.25,0.3,0.35,0.45}-{0,2520,16920,31920,52920,85920,181920},0)-AS34,2),0)</f>
        <v>0</v>
      </c>
      <c r="AJ34" s="27"/>
      <c r="AK34" s="25"/>
      <c r="AL34" s="25">
        <f>ROUND(LOOKUP(MAX(0.0001,AK34/12),{0;6;24;50;70;110;160}*500+0.0001,5*MAX(0,AK34)*{0.6;2;4;5;6;7;9}%-10*{0;21;141;266;441;716;1516}),2)</f>
        <v>0</v>
      </c>
      <c r="AM34" s="25">
        <f t="shared" ref="AM34:AM65" si="7">AC34+AK34+AJ34</f>
        <v>9786.99</v>
      </c>
      <c r="AN34" s="25"/>
      <c r="AO34" s="25"/>
      <c r="AP34" s="25">
        <f t="shared" ref="AP34:AP65" si="8">ROUND(AH34-AI34+AK34-AL34+AO34+AN34,2)</f>
        <v>8543.43</v>
      </c>
      <c r="AQ34" s="9">
        <v>5</v>
      </c>
      <c r="AR34" s="9">
        <v>25768.53</v>
      </c>
      <c r="AS34" s="9">
        <v>135.82</v>
      </c>
      <c r="AT34" s="9">
        <v>15000</v>
      </c>
      <c r="AU34" s="28" t="s">
        <v>59</v>
      </c>
    </row>
    <row r="35" s="2" customFormat="1" ht="16.5" customHeight="1" spans="1:47">
      <c r="A35" s="23">
        <v>34</v>
      </c>
      <c r="B35" s="23" t="s">
        <v>48</v>
      </c>
      <c r="C35" s="23" t="s">
        <v>171</v>
      </c>
      <c r="D35" s="23" t="s">
        <v>172</v>
      </c>
      <c r="E35" s="40" t="s">
        <v>173</v>
      </c>
      <c r="F35" s="23" t="s">
        <v>68</v>
      </c>
      <c r="G35" s="23" t="s">
        <v>170</v>
      </c>
      <c r="H35" s="25">
        <v>2080</v>
      </c>
      <c r="I35" s="26">
        <v>43751</v>
      </c>
      <c r="J35" s="26"/>
      <c r="K35" s="25">
        <v>4000</v>
      </c>
      <c r="L35" s="25"/>
      <c r="M35" s="25"/>
      <c r="N35" s="25">
        <v>600</v>
      </c>
      <c r="O35" s="25">
        <v>3.5</v>
      </c>
      <c r="P35" s="25"/>
      <c r="Q35" s="25">
        <v>8</v>
      </c>
      <c r="R35" s="25">
        <f t="shared" si="5"/>
        <v>672.41</v>
      </c>
      <c r="S35" s="27"/>
      <c r="T35" s="25"/>
      <c r="U35" s="25"/>
      <c r="V35" s="25">
        <v>900.26</v>
      </c>
      <c r="W35" s="25"/>
      <c r="X35" s="25"/>
      <c r="Y35" s="25"/>
      <c r="Z35" s="27"/>
      <c r="AA35" s="25"/>
      <c r="AB35" s="27"/>
      <c r="AC35" s="25">
        <f t="shared" si="6"/>
        <v>6172.67</v>
      </c>
      <c r="AD35" s="25">
        <v>623.04</v>
      </c>
      <c r="AE35" s="23">
        <v>155.76</v>
      </c>
      <c r="AF35" s="25">
        <v>15.58</v>
      </c>
      <c r="AG35" s="25">
        <v>389</v>
      </c>
      <c r="AH35" s="25">
        <f t="shared" si="2"/>
        <v>4989.29</v>
      </c>
      <c r="AI35" s="25">
        <f>MAX(ROUND(MAX((AH35+AR35-5000*AQ35-AT35)*{0.03,0.1,0.2,0.25,0.3,0.35,0.45}-{0,2520,16920,31920,52920,85920,181920},0)-AS35,2),0)</f>
        <v>0</v>
      </c>
      <c r="AJ35" s="27"/>
      <c r="AK35" s="25"/>
      <c r="AL35" s="25">
        <f>ROUND(LOOKUP(MAX(0.0001,AK35/12),{0;6;24;50;70;110;160}*500+0.0001,5*MAX(0,AK35)*{0.6;2;4;5;6;7;9}%-10*{0;21;141;266;441;716;1516}),2)</f>
        <v>0</v>
      </c>
      <c r="AM35" s="25">
        <f t="shared" si="7"/>
        <v>6172.67</v>
      </c>
      <c r="AN35" s="25"/>
      <c r="AO35" s="25"/>
      <c r="AP35" s="25">
        <f t="shared" si="8"/>
        <v>4989.29</v>
      </c>
      <c r="AQ35" s="9">
        <v>5</v>
      </c>
      <c r="AR35" s="9">
        <v>23029.33</v>
      </c>
      <c r="AS35" s="9">
        <v>104.9</v>
      </c>
      <c r="AT35" s="9">
        <v>0</v>
      </c>
      <c r="AU35" s="28" t="s">
        <v>59</v>
      </c>
    </row>
    <row r="36" s="2" customFormat="1" ht="16.5" customHeight="1" spans="1:47">
      <c r="A36" s="23">
        <v>35</v>
      </c>
      <c r="B36" s="23" t="s">
        <v>48</v>
      </c>
      <c r="C36" s="23" t="s">
        <v>174</v>
      </c>
      <c r="D36" s="23" t="s">
        <v>175</v>
      </c>
      <c r="E36" s="40" t="s">
        <v>176</v>
      </c>
      <c r="F36" s="23" t="s">
        <v>68</v>
      </c>
      <c r="G36" s="23" t="s">
        <v>58</v>
      </c>
      <c r="H36" s="25">
        <v>2740</v>
      </c>
      <c r="I36" s="26">
        <v>44004</v>
      </c>
      <c r="J36" s="26"/>
      <c r="K36" s="25">
        <v>4200</v>
      </c>
      <c r="L36" s="25"/>
      <c r="M36" s="25"/>
      <c r="N36" s="25">
        <v>500</v>
      </c>
      <c r="O36" s="25">
        <v>32.5</v>
      </c>
      <c r="P36" s="25"/>
      <c r="Q36" s="25">
        <v>0</v>
      </c>
      <c r="R36" s="25">
        <f t="shared" si="5"/>
        <v>1176.72</v>
      </c>
      <c r="S36" s="27"/>
      <c r="T36" s="25"/>
      <c r="U36" s="25"/>
      <c r="V36" s="25">
        <v>9053.52</v>
      </c>
      <c r="W36" s="25"/>
      <c r="X36" s="25"/>
      <c r="Y36" s="25"/>
      <c r="Z36" s="25"/>
      <c r="AA36" s="25"/>
      <c r="AB36" s="27"/>
      <c r="AC36" s="25">
        <f t="shared" si="6"/>
        <v>14930.24</v>
      </c>
      <c r="AD36" s="25">
        <v>1081.27</v>
      </c>
      <c r="AE36" s="23">
        <v>270.32</v>
      </c>
      <c r="AF36" s="25">
        <v>67.58</v>
      </c>
      <c r="AG36" s="25">
        <v>946</v>
      </c>
      <c r="AH36" s="25">
        <f t="shared" si="2"/>
        <v>12565.07</v>
      </c>
      <c r="AI36" s="25">
        <f>MAX(ROUND(MAX((AH36+AR36-5000*AQ36-AT36)*{0.03,0.1,0.2,0.25,0.3,0.35,0.45}-{0,2520,16920,31920,52920,85920,181920},0)-AS36,2),0)</f>
        <v>31.7</v>
      </c>
      <c r="AJ36" s="27"/>
      <c r="AK36" s="25"/>
      <c r="AL36" s="25">
        <f>ROUND(LOOKUP(MAX(0.0001,AK36/12),{0;6;24;50;70;110;160}*500+0.0001,5*MAX(0,AK36)*{0.6;2;4;5;6;7;9}%-10*{0;21;141;266;441;716;1516}),2)</f>
        <v>0</v>
      </c>
      <c r="AM36" s="25">
        <f t="shared" si="7"/>
        <v>14930.24</v>
      </c>
      <c r="AN36" s="25"/>
      <c r="AO36" s="25"/>
      <c r="AP36" s="25">
        <f t="shared" si="8"/>
        <v>12533.37</v>
      </c>
      <c r="AQ36" s="9">
        <v>5</v>
      </c>
      <c r="AR36" s="9">
        <v>59489.74</v>
      </c>
      <c r="AS36" s="9">
        <v>779.94</v>
      </c>
      <c r="AT36" s="9">
        <v>20000</v>
      </c>
      <c r="AU36" s="28" t="s">
        <v>59</v>
      </c>
    </row>
    <row r="37" s="2" customFormat="1" ht="16.5" customHeight="1" spans="1:47">
      <c r="A37" s="23">
        <v>36</v>
      </c>
      <c r="B37" s="23" t="s">
        <v>48</v>
      </c>
      <c r="C37" s="23" t="s">
        <v>177</v>
      </c>
      <c r="D37" s="23" t="s">
        <v>178</v>
      </c>
      <c r="E37" s="40" t="s">
        <v>179</v>
      </c>
      <c r="F37" s="23" t="s">
        <v>68</v>
      </c>
      <c r="G37" s="23" t="s">
        <v>180</v>
      </c>
      <c r="H37" s="25">
        <v>2230</v>
      </c>
      <c r="I37" s="26">
        <v>44004</v>
      </c>
      <c r="J37" s="26"/>
      <c r="K37" s="25">
        <v>4000</v>
      </c>
      <c r="L37" s="25"/>
      <c r="M37" s="25"/>
      <c r="N37" s="25">
        <v>500</v>
      </c>
      <c r="O37" s="25">
        <v>0</v>
      </c>
      <c r="P37" s="25"/>
      <c r="Q37" s="25">
        <v>8.5</v>
      </c>
      <c r="R37" s="25">
        <f t="shared" si="5"/>
        <v>586.21</v>
      </c>
      <c r="S37" s="27"/>
      <c r="T37" s="25"/>
      <c r="U37" s="25"/>
      <c r="V37" s="25">
        <v>2016.98</v>
      </c>
      <c r="W37" s="25"/>
      <c r="X37" s="25"/>
      <c r="Y37" s="25"/>
      <c r="Z37" s="25"/>
      <c r="AA37" s="25"/>
      <c r="AB37" s="27"/>
      <c r="AC37" s="25">
        <f t="shared" si="6"/>
        <v>7103.19</v>
      </c>
      <c r="AD37" s="25">
        <v>695.05</v>
      </c>
      <c r="AE37" s="23">
        <v>182.45</v>
      </c>
      <c r="AF37" s="25">
        <v>43.44</v>
      </c>
      <c r="AG37" s="25">
        <v>603.96</v>
      </c>
      <c r="AH37" s="25">
        <f t="shared" si="2"/>
        <v>5578.29</v>
      </c>
      <c r="AI37" s="25">
        <f>MAX(ROUND(MAX((AH37+AR37-5000*AQ37-AT37)*{0.03,0.1,0.2,0.25,0.3,0.35,0.45}-{0,2520,16920,31920,52920,85920,181920},0)-AS37,2),0)</f>
        <v>0</v>
      </c>
      <c r="AJ37" s="27"/>
      <c r="AK37" s="25"/>
      <c r="AL37" s="25">
        <f>ROUND(LOOKUP(MAX(0.0001,AK37/12),{0;6;24;50;70;110;160}*500+0.0001,5*MAX(0,AK37)*{0.6;2;4;5;6;7;9}%-10*{0;21;141;266;441;716;1516}),2)</f>
        <v>0</v>
      </c>
      <c r="AM37" s="25">
        <f t="shared" si="7"/>
        <v>7103.19</v>
      </c>
      <c r="AN37" s="25"/>
      <c r="AO37" s="25"/>
      <c r="AP37" s="25">
        <f t="shared" si="8"/>
        <v>5578.29</v>
      </c>
      <c r="AQ37" s="9">
        <v>5</v>
      </c>
      <c r="AR37" s="9">
        <v>23238.02</v>
      </c>
      <c r="AS37" s="9">
        <v>123.3</v>
      </c>
      <c r="AT37" s="9">
        <v>0</v>
      </c>
      <c r="AU37" s="28" t="s">
        <v>59</v>
      </c>
    </row>
    <row r="38" s="2" customFormat="1" ht="16.5" customHeight="1" spans="1:47">
      <c r="A38" s="23">
        <v>37</v>
      </c>
      <c r="B38" s="23" t="s">
        <v>48</v>
      </c>
      <c r="C38" s="23" t="s">
        <v>181</v>
      </c>
      <c r="D38" s="23" t="s">
        <v>182</v>
      </c>
      <c r="E38" s="40" t="s">
        <v>183</v>
      </c>
      <c r="F38" s="23" t="s">
        <v>63</v>
      </c>
      <c r="G38" s="23" t="s">
        <v>180</v>
      </c>
      <c r="H38" s="25">
        <v>2230</v>
      </c>
      <c r="I38" s="26">
        <v>44013</v>
      </c>
      <c r="J38" s="26"/>
      <c r="K38" s="25">
        <v>7000</v>
      </c>
      <c r="L38" s="25"/>
      <c r="M38" s="25"/>
      <c r="N38" s="25">
        <v>500</v>
      </c>
      <c r="O38" s="25">
        <v>5</v>
      </c>
      <c r="P38" s="25"/>
      <c r="Q38" s="25">
        <v>8.5</v>
      </c>
      <c r="R38" s="25">
        <f t="shared" si="5"/>
        <v>1327.59</v>
      </c>
      <c r="S38" s="27"/>
      <c r="T38" s="25"/>
      <c r="U38" s="25"/>
      <c r="V38" s="25">
        <v>929.49</v>
      </c>
      <c r="W38" s="25"/>
      <c r="X38" s="25"/>
      <c r="Y38" s="25"/>
      <c r="Z38" s="25"/>
      <c r="AA38" s="25"/>
      <c r="AB38" s="27"/>
      <c r="AC38" s="25">
        <f t="shared" si="6"/>
        <v>9757.08</v>
      </c>
      <c r="AD38" s="25">
        <v>971.79</v>
      </c>
      <c r="AE38" s="23">
        <v>255.1</v>
      </c>
      <c r="AF38" s="25">
        <v>60.74</v>
      </c>
      <c r="AG38" s="25">
        <v>833.07</v>
      </c>
      <c r="AH38" s="25">
        <f t="shared" si="2"/>
        <v>7636.38</v>
      </c>
      <c r="AI38" s="25">
        <f>MAX(ROUND(MAX((AH38+AR38-5000*AQ38-AT38)*{0.03,0.1,0.2,0.25,0.3,0.35,0.45}-{0,2520,16920,31920,52920,85920,181920},0)-AS38,2),0)</f>
        <v>79.09</v>
      </c>
      <c r="AJ38" s="27"/>
      <c r="AK38" s="25"/>
      <c r="AL38" s="25">
        <f>ROUND(LOOKUP(MAX(0.0001,AK38/12),{0;6;24;50;70;110;160}*500+0.0001,5*MAX(0,AK38)*{0.6;2;4;5;6;7;9}%-10*{0;21;141;266;441;716;1516}),2)</f>
        <v>0</v>
      </c>
      <c r="AM38" s="25">
        <f t="shared" si="7"/>
        <v>9757.08</v>
      </c>
      <c r="AN38" s="25"/>
      <c r="AO38" s="25"/>
      <c r="AP38" s="25">
        <f t="shared" si="8"/>
        <v>7557.29</v>
      </c>
      <c r="AQ38" s="9">
        <v>5</v>
      </c>
      <c r="AR38" s="9">
        <v>40985.45</v>
      </c>
      <c r="AS38" s="9">
        <v>629.56</v>
      </c>
      <c r="AT38" s="9">
        <v>0</v>
      </c>
      <c r="AU38" s="28" t="s">
        <v>59</v>
      </c>
    </row>
    <row r="39" s="2" customFormat="1" ht="16.5" customHeight="1" spans="1:47">
      <c r="A39" s="23">
        <v>38</v>
      </c>
      <c r="B39" s="23" t="s">
        <v>48</v>
      </c>
      <c r="C39" s="23" t="s">
        <v>184</v>
      </c>
      <c r="D39" s="23" t="s">
        <v>185</v>
      </c>
      <c r="E39" s="40" t="s">
        <v>186</v>
      </c>
      <c r="F39" s="23" t="s">
        <v>68</v>
      </c>
      <c r="G39" s="23" t="s">
        <v>110</v>
      </c>
      <c r="H39" s="25">
        <v>2330</v>
      </c>
      <c r="I39" s="26">
        <v>44130</v>
      </c>
      <c r="J39" s="26"/>
      <c r="K39" s="25">
        <v>3600</v>
      </c>
      <c r="L39" s="25"/>
      <c r="M39" s="25"/>
      <c r="N39" s="25">
        <v>500</v>
      </c>
      <c r="O39" s="25">
        <v>0</v>
      </c>
      <c r="P39" s="25"/>
      <c r="Q39" s="25">
        <v>11</v>
      </c>
      <c r="R39" s="25">
        <f t="shared" si="5"/>
        <v>682.76</v>
      </c>
      <c r="S39" s="27"/>
      <c r="T39" s="25"/>
      <c r="U39" s="25"/>
      <c r="V39" s="25">
        <v>2090.24</v>
      </c>
      <c r="W39" s="25"/>
      <c r="X39" s="25"/>
      <c r="Y39" s="25"/>
      <c r="Z39" s="25"/>
      <c r="AA39" s="25"/>
      <c r="AB39" s="27"/>
      <c r="AC39" s="25">
        <f t="shared" si="6"/>
        <v>6873</v>
      </c>
      <c r="AD39" s="25">
        <v>654.48</v>
      </c>
      <c r="AE39" s="23">
        <v>168.62</v>
      </c>
      <c r="AF39" s="25">
        <v>40.91</v>
      </c>
      <c r="AG39" s="25">
        <v>440</v>
      </c>
      <c r="AH39" s="25">
        <f t="shared" si="2"/>
        <v>5568.99</v>
      </c>
      <c r="AI39" s="25">
        <f>MAX(ROUND(MAX((AH39+AR39-5000*AQ39-AT39)*{0.03,0.1,0.2,0.25,0.3,0.35,0.45}-{0,2520,16920,31920,52920,85920,181920},0)-AS39,2),0)</f>
        <v>0</v>
      </c>
      <c r="AJ39" s="27"/>
      <c r="AK39" s="25"/>
      <c r="AL39" s="25">
        <f>ROUND(LOOKUP(MAX(0.0001,AK39/12),{0;6;24;50;70;110;160}*500+0.0001,5*MAX(0,AK39)*{0.6;2;4;5;6;7;9}%-10*{0;21;141;266;441;716;1516}),2)</f>
        <v>0</v>
      </c>
      <c r="AM39" s="25">
        <f t="shared" si="7"/>
        <v>6873</v>
      </c>
      <c r="AN39" s="25"/>
      <c r="AO39" s="25"/>
      <c r="AP39" s="25">
        <f t="shared" si="8"/>
        <v>5568.99</v>
      </c>
      <c r="AQ39" s="9">
        <v>5</v>
      </c>
      <c r="AR39" s="9">
        <v>21730.22</v>
      </c>
      <c r="AS39" s="9">
        <v>171.39</v>
      </c>
      <c r="AT39" s="9">
        <v>0</v>
      </c>
      <c r="AU39" s="28" t="s">
        <v>54</v>
      </c>
    </row>
    <row r="40" s="2" customFormat="1" ht="16.5" customHeight="1" spans="1:47">
      <c r="A40" s="23">
        <v>39</v>
      </c>
      <c r="B40" s="23" t="s">
        <v>48</v>
      </c>
      <c r="C40" s="23" t="s">
        <v>187</v>
      </c>
      <c r="D40" s="23" t="s">
        <v>188</v>
      </c>
      <c r="E40" s="40" t="s">
        <v>189</v>
      </c>
      <c r="F40" s="23" t="s">
        <v>68</v>
      </c>
      <c r="G40" s="23" t="s">
        <v>110</v>
      </c>
      <c r="H40" s="25">
        <v>2330</v>
      </c>
      <c r="I40" s="26">
        <v>44130</v>
      </c>
      <c r="J40" s="26"/>
      <c r="K40" s="25">
        <v>4000</v>
      </c>
      <c r="L40" s="25"/>
      <c r="M40" s="25"/>
      <c r="N40" s="25">
        <v>500</v>
      </c>
      <c r="O40" s="25">
        <v>0</v>
      </c>
      <c r="P40" s="25"/>
      <c r="Q40" s="25">
        <v>11</v>
      </c>
      <c r="R40" s="25">
        <f t="shared" si="5"/>
        <v>758.62</v>
      </c>
      <c r="S40" s="27"/>
      <c r="T40" s="25"/>
      <c r="U40" s="25"/>
      <c r="V40" s="25">
        <v>4490.5</v>
      </c>
      <c r="W40" s="25"/>
      <c r="X40" s="25"/>
      <c r="Y40" s="25"/>
      <c r="Z40" s="25"/>
      <c r="AA40" s="25"/>
      <c r="AB40" s="27"/>
      <c r="AC40" s="25">
        <f t="shared" si="6"/>
        <v>9749.12</v>
      </c>
      <c r="AD40" s="25">
        <v>784.96</v>
      </c>
      <c r="AE40" s="23">
        <v>201.24</v>
      </c>
      <c r="AF40" s="25">
        <v>49.06</v>
      </c>
      <c r="AG40" s="25">
        <v>561</v>
      </c>
      <c r="AH40" s="25">
        <f t="shared" si="2"/>
        <v>8152.86</v>
      </c>
      <c r="AI40" s="25">
        <f>MAX(ROUND(MAX((AH40+AR40-5000*AQ40-AT40)*{0.03,0.1,0.2,0.25,0.3,0.35,0.45}-{0,2520,16920,31920,52920,85920,181920},0)-AS40,2),0)</f>
        <v>61.87</v>
      </c>
      <c r="AJ40" s="27"/>
      <c r="AK40" s="25"/>
      <c r="AL40" s="25">
        <f>ROUND(LOOKUP(MAX(0.0001,AK40/12),{0;6;24;50;70;110;160}*500+0.0001,5*MAX(0,AK40)*{0.6;2;4;5;6;7;9}%-10*{0;21;141;266;441;716;1516}),2)</f>
        <v>0</v>
      </c>
      <c r="AM40" s="25">
        <f t="shared" si="7"/>
        <v>9749.12</v>
      </c>
      <c r="AN40" s="25"/>
      <c r="AO40" s="25"/>
      <c r="AP40" s="25">
        <f t="shared" si="8"/>
        <v>8090.99</v>
      </c>
      <c r="AQ40" s="9">
        <v>5</v>
      </c>
      <c r="AR40" s="9">
        <v>25328.04</v>
      </c>
      <c r="AS40" s="9">
        <v>192.56</v>
      </c>
      <c r="AT40" s="9">
        <v>0</v>
      </c>
      <c r="AU40" s="28" t="s">
        <v>54</v>
      </c>
    </row>
    <row r="41" s="2" customFormat="1" ht="16.5" customHeight="1" spans="1:47">
      <c r="A41" s="23">
        <v>40</v>
      </c>
      <c r="B41" s="23" t="s">
        <v>48</v>
      </c>
      <c r="C41" s="23" t="s">
        <v>190</v>
      </c>
      <c r="D41" s="23" t="s">
        <v>191</v>
      </c>
      <c r="E41" s="40" t="s">
        <v>192</v>
      </c>
      <c r="F41" s="23" t="s">
        <v>68</v>
      </c>
      <c r="G41" s="23" t="s">
        <v>110</v>
      </c>
      <c r="H41" s="25">
        <v>2330</v>
      </c>
      <c r="I41" s="26">
        <v>44197</v>
      </c>
      <c r="J41" s="26"/>
      <c r="K41" s="25">
        <v>3600</v>
      </c>
      <c r="L41" s="25"/>
      <c r="M41" s="25"/>
      <c r="N41" s="25">
        <v>500</v>
      </c>
      <c r="O41" s="25">
        <v>0</v>
      </c>
      <c r="P41" s="25"/>
      <c r="Q41" s="25">
        <v>11</v>
      </c>
      <c r="R41" s="25">
        <f t="shared" si="5"/>
        <v>682.76</v>
      </c>
      <c r="S41" s="27"/>
      <c r="T41" s="25"/>
      <c r="U41" s="25"/>
      <c r="V41" s="25">
        <v>449.07</v>
      </c>
      <c r="W41" s="25"/>
      <c r="X41" s="25"/>
      <c r="Y41" s="25"/>
      <c r="Z41" s="25"/>
      <c r="AA41" s="25"/>
      <c r="AB41" s="27"/>
      <c r="AC41" s="25">
        <f t="shared" si="6"/>
        <v>5231.83</v>
      </c>
      <c r="AD41" s="25">
        <v>471.92</v>
      </c>
      <c r="AE41" s="23">
        <v>122.98</v>
      </c>
      <c r="AF41" s="25">
        <v>29.5</v>
      </c>
      <c r="AG41" s="25">
        <v>307</v>
      </c>
      <c r="AH41" s="25">
        <f t="shared" si="2"/>
        <v>4300.43</v>
      </c>
      <c r="AI41" s="25">
        <f>MAX(ROUND(MAX((AH41+AR41-5000*AQ41-AT41)*{0.03,0.1,0.2,0.25,0.3,0.35,0.45}-{0,2520,16920,31920,52920,85920,181920},0)-AS41,2),0)</f>
        <v>0</v>
      </c>
      <c r="AJ41" s="27"/>
      <c r="AK41" s="25"/>
      <c r="AL41" s="25">
        <f>ROUND(LOOKUP(MAX(0.0001,AK41/12),{0;6;24;50;70;110;160}*500+0.0001,5*MAX(0,AK41)*{0.6;2;4;5;6;7;9}%-10*{0;21;141;266;441;716;1516}),2)</f>
        <v>0</v>
      </c>
      <c r="AM41" s="25">
        <f t="shared" si="7"/>
        <v>5231.83</v>
      </c>
      <c r="AN41" s="25"/>
      <c r="AO41" s="25"/>
      <c r="AP41" s="25">
        <f t="shared" si="8"/>
        <v>4300.43</v>
      </c>
      <c r="AQ41" s="9">
        <v>5</v>
      </c>
      <c r="AR41" s="9">
        <v>22556.58</v>
      </c>
      <c r="AS41" s="9">
        <v>168.16</v>
      </c>
      <c r="AT41" s="9">
        <v>0</v>
      </c>
      <c r="AU41" s="28" t="s">
        <v>54</v>
      </c>
    </row>
    <row r="42" s="2" customFormat="1" ht="16.5" customHeight="1" spans="1:47">
      <c r="A42" s="23">
        <v>41</v>
      </c>
      <c r="B42" s="23" t="s">
        <v>48</v>
      </c>
      <c r="C42" s="23" t="s">
        <v>193</v>
      </c>
      <c r="D42" s="23" t="s">
        <v>194</v>
      </c>
      <c r="E42" s="40" t="s">
        <v>195</v>
      </c>
      <c r="F42" s="23" t="s">
        <v>68</v>
      </c>
      <c r="G42" s="23" t="s">
        <v>110</v>
      </c>
      <c r="H42" s="25">
        <v>2330</v>
      </c>
      <c r="I42" s="26">
        <v>44197</v>
      </c>
      <c r="J42" s="26"/>
      <c r="K42" s="25">
        <v>3600</v>
      </c>
      <c r="L42" s="25"/>
      <c r="M42" s="25"/>
      <c r="N42" s="25">
        <v>500</v>
      </c>
      <c r="O42" s="25"/>
      <c r="P42" s="25"/>
      <c r="Q42" s="25"/>
      <c r="R42" s="25">
        <f t="shared" si="5"/>
        <v>0</v>
      </c>
      <c r="S42" s="27"/>
      <c r="T42" s="25"/>
      <c r="U42" s="25"/>
      <c r="V42" s="25">
        <v>8.85</v>
      </c>
      <c r="W42" s="25"/>
      <c r="X42" s="25"/>
      <c r="Y42" s="25"/>
      <c r="Z42" s="25"/>
      <c r="AA42" s="25"/>
      <c r="AB42" s="27"/>
      <c r="AC42" s="25">
        <f t="shared" si="6"/>
        <v>4108.85</v>
      </c>
      <c r="AD42" s="25">
        <v>477.04</v>
      </c>
      <c r="AE42" s="23">
        <v>124.26</v>
      </c>
      <c r="AF42" s="25">
        <v>29.82</v>
      </c>
      <c r="AG42" s="25">
        <v>381</v>
      </c>
      <c r="AH42" s="25">
        <f t="shared" si="2"/>
        <v>3096.73</v>
      </c>
      <c r="AI42" s="25">
        <f>MAX(ROUND(MAX((AH42+AR42-5000*AQ42-AT42)*{0.03,0.1,0.2,0.25,0.3,0.35,0.45}-{0,2520,16920,31920,52920,85920,181920},0)-AS42,2),0)</f>
        <v>0</v>
      </c>
      <c r="AJ42" s="27"/>
      <c r="AK42" s="25"/>
      <c r="AL42" s="25">
        <f>ROUND(LOOKUP(MAX(0.0001,AK42/12),{0;6;24;50;70;110;160}*500+0.0001,5*MAX(0,AK42)*{0.6;2;4;5;6;7;9}%-10*{0;21;141;266;441;716;1516}),2)</f>
        <v>0</v>
      </c>
      <c r="AM42" s="25">
        <f t="shared" si="7"/>
        <v>4108.85</v>
      </c>
      <c r="AN42" s="25"/>
      <c r="AO42" s="25"/>
      <c r="AP42" s="25">
        <f t="shared" si="8"/>
        <v>3096.73</v>
      </c>
      <c r="AQ42" s="9">
        <v>5</v>
      </c>
      <c r="AR42" s="9">
        <v>23682.27</v>
      </c>
      <c r="AS42" s="9">
        <v>110.47</v>
      </c>
      <c r="AT42" s="9">
        <v>0</v>
      </c>
      <c r="AU42" s="28" t="s">
        <v>54</v>
      </c>
    </row>
    <row r="43" s="2" customFormat="1" ht="16.5" customHeight="1" spans="1:47">
      <c r="A43" s="23">
        <v>42</v>
      </c>
      <c r="B43" s="23" t="s">
        <v>48</v>
      </c>
      <c r="C43" s="23" t="s">
        <v>196</v>
      </c>
      <c r="D43" s="23" t="s">
        <v>197</v>
      </c>
      <c r="E43" s="40" t="s">
        <v>198</v>
      </c>
      <c r="F43" s="23" t="s">
        <v>68</v>
      </c>
      <c r="G43" s="23" t="s">
        <v>180</v>
      </c>
      <c r="H43" s="25">
        <v>2230</v>
      </c>
      <c r="I43" s="26">
        <v>44262</v>
      </c>
      <c r="J43" s="26"/>
      <c r="K43" s="25">
        <v>4000</v>
      </c>
      <c r="L43" s="25"/>
      <c r="M43" s="25"/>
      <c r="N43" s="25">
        <v>500</v>
      </c>
      <c r="O43" s="25">
        <v>0</v>
      </c>
      <c r="P43" s="25"/>
      <c r="Q43" s="25">
        <v>12</v>
      </c>
      <c r="R43" s="25">
        <f t="shared" si="5"/>
        <v>827.59</v>
      </c>
      <c r="S43" s="27"/>
      <c r="T43" s="25"/>
      <c r="U43" s="25"/>
      <c r="V43" s="25">
        <v>510.14</v>
      </c>
      <c r="W43" s="25"/>
      <c r="X43" s="25"/>
      <c r="Y43" s="25"/>
      <c r="Z43" s="25"/>
      <c r="AA43" s="25"/>
      <c r="AB43" s="27"/>
      <c r="AC43" s="25">
        <f t="shared" si="6"/>
        <v>5837.73</v>
      </c>
      <c r="AD43" s="25">
        <v>622.12</v>
      </c>
      <c r="AE43" s="23">
        <v>163.31</v>
      </c>
      <c r="AF43" s="25">
        <v>38.88</v>
      </c>
      <c r="AG43" s="25">
        <v>532.14</v>
      </c>
      <c r="AH43" s="25">
        <f t="shared" si="2"/>
        <v>4481.28</v>
      </c>
      <c r="AI43" s="25">
        <f>MAX(ROUND(MAX((AH43+AR43-5000*AQ43-AT43)*{0.03,0.1,0.2,0.25,0.3,0.35,0.45}-{0,2520,16920,31920,52920,85920,181920},0)-AS43,2),0)</f>
        <v>0</v>
      </c>
      <c r="AJ43" s="27"/>
      <c r="AK43" s="25"/>
      <c r="AL43" s="25">
        <f>ROUND(LOOKUP(MAX(0.0001,AK43/12),{0;6;24;50;70;110;160}*500+0.0001,5*MAX(0,AK43)*{0.6;2;4;5;6;7;9}%-10*{0;21;141;266;441;716;1516}),2)</f>
        <v>0</v>
      </c>
      <c r="AM43" s="25">
        <f t="shared" si="7"/>
        <v>5837.73</v>
      </c>
      <c r="AN43" s="25"/>
      <c r="AO43" s="25"/>
      <c r="AP43" s="25">
        <f t="shared" si="8"/>
        <v>4481.28</v>
      </c>
      <c r="AQ43" s="9">
        <v>5</v>
      </c>
      <c r="AR43" s="9">
        <v>25932.53</v>
      </c>
      <c r="AS43" s="9">
        <v>198.71</v>
      </c>
      <c r="AT43" s="9">
        <v>5000</v>
      </c>
      <c r="AU43" s="28" t="s">
        <v>59</v>
      </c>
    </row>
    <row r="44" s="2" customFormat="1" ht="16.5" customHeight="1" spans="1:47">
      <c r="A44" s="23">
        <v>43</v>
      </c>
      <c r="B44" s="23" t="s">
        <v>48</v>
      </c>
      <c r="C44" s="23" t="s">
        <v>199</v>
      </c>
      <c r="D44" s="23" t="s">
        <v>200</v>
      </c>
      <c r="E44" s="40" t="s">
        <v>201</v>
      </c>
      <c r="F44" s="23" t="s">
        <v>52</v>
      </c>
      <c r="G44" s="23" t="s">
        <v>69</v>
      </c>
      <c r="H44" s="25">
        <v>2540</v>
      </c>
      <c r="I44" s="26">
        <v>44301</v>
      </c>
      <c r="J44" s="26"/>
      <c r="K44" s="25">
        <v>4600</v>
      </c>
      <c r="L44" s="25"/>
      <c r="M44" s="25"/>
      <c r="N44" s="25">
        <v>500</v>
      </c>
      <c r="O44" s="25">
        <v>40</v>
      </c>
      <c r="P44" s="25"/>
      <c r="Q44" s="25">
        <v>8</v>
      </c>
      <c r="R44" s="25">
        <f t="shared" si="5"/>
        <v>2220.69</v>
      </c>
      <c r="S44" s="27"/>
      <c r="T44" s="25"/>
      <c r="U44" s="25"/>
      <c r="V44" s="25">
        <v>402</v>
      </c>
      <c r="W44" s="25">
        <v>1500</v>
      </c>
      <c r="X44" s="25"/>
      <c r="Y44" s="25"/>
      <c r="Z44" s="25"/>
      <c r="AA44" s="25"/>
      <c r="AB44" s="27"/>
      <c r="AC44" s="25">
        <f t="shared" si="6"/>
        <v>9222.69</v>
      </c>
      <c r="AD44" s="25">
        <v>578.4</v>
      </c>
      <c r="AE44" s="23">
        <v>147.6</v>
      </c>
      <c r="AF44" s="25">
        <v>36.15</v>
      </c>
      <c r="AG44" s="25">
        <v>868</v>
      </c>
      <c r="AH44" s="25">
        <f t="shared" si="2"/>
        <v>7592.54</v>
      </c>
      <c r="AI44" s="25">
        <f>MAX(ROUND(MAX((AH44+AR44-5000*AQ44-AT44)*{0.03,0.1,0.2,0.25,0.3,0.35,0.45}-{0,2520,16920,31920,52920,85920,181920},0)-AS44,2),0)</f>
        <v>0</v>
      </c>
      <c r="AJ44" s="27"/>
      <c r="AK44" s="25"/>
      <c r="AL44" s="25">
        <f>ROUND(LOOKUP(MAX(0.0001,AK44/12),{0;6;24;50;70;110;160}*500+0.0001,5*MAX(0,AK44)*{0.6;2;4;5;6;7;9}%-10*{0;21;141;266;441;716;1516}),2)</f>
        <v>0</v>
      </c>
      <c r="AM44" s="25">
        <f t="shared" si="7"/>
        <v>9222.69</v>
      </c>
      <c r="AN44" s="25"/>
      <c r="AO44" s="25"/>
      <c r="AP44" s="25">
        <f t="shared" si="8"/>
        <v>7592.54</v>
      </c>
      <c r="AQ44" s="9">
        <v>5</v>
      </c>
      <c r="AR44" s="9">
        <v>39969.46</v>
      </c>
      <c r="AS44" s="9">
        <v>303.38</v>
      </c>
      <c r="AT44" s="9">
        <v>25000</v>
      </c>
      <c r="AU44" s="28" t="s">
        <v>70</v>
      </c>
    </row>
    <row r="45" s="2" customFormat="1" ht="16.5" customHeight="1" spans="1:47">
      <c r="A45" s="23">
        <v>44</v>
      </c>
      <c r="B45" s="23" t="s">
        <v>48</v>
      </c>
      <c r="C45" s="23" t="s">
        <v>202</v>
      </c>
      <c r="D45" s="23" t="s">
        <v>203</v>
      </c>
      <c r="E45" s="40" t="s">
        <v>204</v>
      </c>
      <c r="F45" s="23" t="s">
        <v>63</v>
      </c>
      <c r="G45" s="23" t="s">
        <v>69</v>
      </c>
      <c r="H45" s="25">
        <v>2540</v>
      </c>
      <c r="I45" s="26">
        <v>44301</v>
      </c>
      <c r="J45" s="26"/>
      <c r="K45" s="25">
        <v>8300</v>
      </c>
      <c r="L45" s="25"/>
      <c r="M45" s="25"/>
      <c r="N45" s="25">
        <v>500</v>
      </c>
      <c r="O45" s="25">
        <v>40</v>
      </c>
      <c r="P45" s="25"/>
      <c r="Q45" s="25">
        <v>8</v>
      </c>
      <c r="R45" s="25">
        <f t="shared" si="5"/>
        <v>4006.9</v>
      </c>
      <c r="S45" s="27"/>
      <c r="T45" s="25"/>
      <c r="U45" s="25"/>
      <c r="V45" s="25">
        <v>471.05</v>
      </c>
      <c r="W45" s="25">
        <v>1500</v>
      </c>
      <c r="X45" s="25"/>
      <c r="Y45" s="25"/>
      <c r="Z45" s="25"/>
      <c r="AA45" s="25">
        <v>16.03</v>
      </c>
      <c r="AB45" s="29"/>
      <c r="AC45" s="25">
        <f t="shared" si="6"/>
        <v>14793.98</v>
      </c>
      <c r="AD45" s="25">
        <v>1000.16</v>
      </c>
      <c r="AE45" s="23">
        <v>253.04</v>
      </c>
      <c r="AF45" s="25">
        <v>62.51</v>
      </c>
      <c r="AG45" s="25">
        <v>1500</v>
      </c>
      <c r="AH45" s="25">
        <f t="shared" si="2"/>
        <v>11978.27</v>
      </c>
      <c r="AI45" s="25">
        <f>MAX(ROUND(MAX((AH45+AR45-5000*AQ45-AT45)*{0.03,0.1,0.2,0.25,0.3,0.35,0.45}-{0,2520,16920,31920,52920,85920,181920},0)-AS45,2),0)</f>
        <v>677.84</v>
      </c>
      <c r="AJ45" s="27"/>
      <c r="AK45" s="25"/>
      <c r="AL45" s="25">
        <f>ROUND(LOOKUP(MAX(0.0001,AK45/12),{0;6;24;50;70;110;160}*500+0.0001,5*MAX(0,AK45)*{0.6;2;4;5;6;7;9}%-10*{0;21;141;266;441;716;1516}),2)</f>
        <v>0</v>
      </c>
      <c r="AM45" s="25">
        <f t="shared" si="7"/>
        <v>14793.98</v>
      </c>
      <c r="AN45" s="25"/>
      <c r="AO45" s="25"/>
      <c r="AP45" s="25">
        <f t="shared" si="8"/>
        <v>11300.43</v>
      </c>
      <c r="AQ45" s="9">
        <v>5</v>
      </c>
      <c r="AR45" s="9">
        <v>55714.47</v>
      </c>
      <c r="AS45" s="9">
        <v>1071.43</v>
      </c>
      <c r="AT45" s="9">
        <v>0</v>
      </c>
      <c r="AU45" s="28" t="s">
        <v>70</v>
      </c>
    </row>
    <row r="46" s="2" customFormat="1" ht="16.5" customHeight="1" spans="1:47">
      <c r="A46" s="23">
        <v>45</v>
      </c>
      <c r="B46" s="23" t="s">
        <v>48</v>
      </c>
      <c r="C46" s="23" t="s">
        <v>205</v>
      </c>
      <c r="D46" s="23" t="s">
        <v>206</v>
      </c>
      <c r="E46" s="40" t="s">
        <v>207</v>
      </c>
      <c r="F46" s="23" t="s">
        <v>208</v>
      </c>
      <c r="G46" s="23" t="s">
        <v>58</v>
      </c>
      <c r="H46" s="25">
        <v>2740</v>
      </c>
      <c r="I46" s="26">
        <v>44333</v>
      </c>
      <c r="J46" s="26"/>
      <c r="K46" s="25">
        <v>5500</v>
      </c>
      <c r="L46" s="25"/>
      <c r="M46" s="25"/>
      <c r="N46" s="25"/>
      <c r="O46" s="25">
        <v>0</v>
      </c>
      <c r="P46" s="25"/>
      <c r="Q46" s="25">
        <v>16</v>
      </c>
      <c r="R46" s="25">
        <f t="shared" si="5"/>
        <v>1517.24</v>
      </c>
      <c r="S46" s="27"/>
      <c r="T46" s="25"/>
      <c r="U46" s="25"/>
      <c r="V46" s="25">
        <v>3000</v>
      </c>
      <c r="W46" s="25"/>
      <c r="X46" s="25"/>
      <c r="Y46" s="25"/>
      <c r="Z46" s="25"/>
      <c r="AA46" s="25"/>
      <c r="AB46" s="29"/>
      <c r="AC46" s="25">
        <f t="shared" si="6"/>
        <v>10017.24</v>
      </c>
      <c r="AD46" s="25">
        <v>1415.71</v>
      </c>
      <c r="AE46" s="23">
        <v>353.93</v>
      </c>
      <c r="AF46" s="25">
        <v>88.48</v>
      </c>
      <c r="AG46" s="25">
        <v>1239</v>
      </c>
      <c r="AH46" s="25">
        <f t="shared" si="2"/>
        <v>6920.12</v>
      </c>
      <c r="AI46" s="25">
        <f>MAX(ROUND(MAX((AH46+AR46-5000*AQ46-AT46)*{0.03,0.1,0.2,0.25,0.3,0.35,0.45}-{0,2520,16920,31920,52920,85920,181920},0)-AS46,2),0)</f>
        <v>192.01</v>
      </c>
      <c r="AJ46" s="27"/>
      <c r="AK46" s="25"/>
      <c r="AL46" s="25">
        <f>ROUND(LOOKUP(MAX(0.0001,AK46/12),{0;6;24;50;70;110;160}*500+0.0001,5*MAX(0,AK46)*{0.6;2;4;5;6;7;9}%-10*{0;21;141;266;441;716;1516}),2)</f>
        <v>0</v>
      </c>
      <c r="AM46" s="25">
        <f t="shared" si="7"/>
        <v>10017.24</v>
      </c>
      <c r="AN46" s="25"/>
      <c r="AO46" s="25"/>
      <c r="AP46" s="25">
        <f t="shared" si="8"/>
        <v>6728.11</v>
      </c>
      <c r="AQ46" s="9">
        <v>5</v>
      </c>
      <c r="AR46" s="9">
        <v>88654.98</v>
      </c>
      <c r="AS46" s="9">
        <v>4345.5</v>
      </c>
      <c r="AT46" s="9">
        <v>0</v>
      </c>
      <c r="AU46" s="28" t="s">
        <v>59</v>
      </c>
    </row>
    <row r="47" s="2" customFormat="1" ht="16.5" customHeight="1" spans="1:47">
      <c r="A47" s="23">
        <v>46</v>
      </c>
      <c r="B47" s="23" t="s">
        <v>48</v>
      </c>
      <c r="C47" s="23" t="s">
        <v>209</v>
      </c>
      <c r="D47" s="23" t="s">
        <v>210</v>
      </c>
      <c r="E47" s="40" t="s">
        <v>211</v>
      </c>
      <c r="F47" s="23" t="s">
        <v>68</v>
      </c>
      <c r="G47" s="23" t="s">
        <v>58</v>
      </c>
      <c r="H47" s="25">
        <v>2740</v>
      </c>
      <c r="I47" s="26">
        <v>44351</v>
      </c>
      <c r="J47" s="26"/>
      <c r="K47" s="25">
        <v>4200</v>
      </c>
      <c r="L47" s="25"/>
      <c r="M47" s="25"/>
      <c r="N47" s="25">
        <v>400</v>
      </c>
      <c r="O47" s="25"/>
      <c r="P47" s="25"/>
      <c r="Q47" s="25"/>
      <c r="R47" s="25">
        <f t="shared" si="5"/>
        <v>0</v>
      </c>
      <c r="S47" s="27"/>
      <c r="T47" s="25"/>
      <c r="U47" s="25"/>
      <c r="V47" s="25">
        <v>1544.33</v>
      </c>
      <c r="W47" s="25"/>
      <c r="X47" s="25"/>
      <c r="Y47" s="25"/>
      <c r="Z47" s="25"/>
      <c r="AA47" s="25"/>
      <c r="AB47" s="29"/>
      <c r="AC47" s="25">
        <f t="shared" si="6"/>
        <v>6144.33</v>
      </c>
      <c r="AD47" s="25">
        <v>753.49</v>
      </c>
      <c r="AE47" s="23">
        <v>188.37</v>
      </c>
      <c r="AF47" s="25">
        <v>47.09</v>
      </c>
      <c r="AG47" s="25">
        <v>659</v>
      </c>
      <c r="AH47" s="25">
        <f t="shared" si="2"/>
        <v>4496.38</v>
      </c>
      <c r="AI47" s="25">
        <f>MAX(ROUND(MAX((AH47+AR47-5000*AQ47-AT47)*{0.03,0.1,0.2,0.25,0.3,0.35,0.45}-{0,2520,16920,31920,52920,85920,181920},0)-AS47,2),0)</f>
        <v>0</v>
      </c>
      <c r="AJ47" s="27"/>
      <c r="AK47" s="25"/>
      <c r="AL47" s="25">
        <f>ROUND(LOOKUP(MAX(0.0001,AK47/12),{0;6;24;50;70;110;160}*500+0.0001,5*MAX(0,AK47)*{0.6;2;4;5;6;7;9}%-10*{0;21;141;266;441;716;1516}),2)</f>
        <v>0</v>
      </c>
      <c r="AM47" s="25">
        <f t="shared" si="7"/>
        <v>6144.33</v>
      </c>
      <c r="AN47" s="25"/>
      <c r="AO47" s="25"/>
      <c r="AP47" s="25">
        <f t="shared" si="8"/>
        <v>4496.38</v>
      </c>
      <c r="AQ47" s="9">
        <v>5</v>
      </c>
      <c r="AR47" s="9">
        <v>17002.74</v>
      </c>
      <c r="AS47" s="9">
        <v>72.74</v>
      </c>
      <c r="AT47" s="9">
        <v>0</v>
      </c>
      <c r="AU47" s="28" t="s">
        <v>59</v>
      </c>
    </row>
    <row r="48" s="2" customFormat="1" ht="16.5" customHeight="1" spans="1:47">
      <c r="A48" s="23">
        <v>47</v>
      </c>
      <c r="B48" s="23" t="s">
        <v>48</v>
      </c>
      <c r="C48" s="23" t="s">
        <v>212</v>
      </c>
      <c r="D48" s="23" t="s">
        <v>213</v>
      </c>
      <c r="E48" s="40" t="s">
        <v>214</v>
      </c>
      <c r="F48" s="23" t="s">
        <v>68</v>
      </c>
      <c r="G48" s="23" t="s">
        <v>58</v>
      </c>
      <c r="H48" s="25">
        <v>2740</v>
      </c>
      <c r="I48" s="26">
        <v>44350</v>
      </c>
      <c r="J48" s="26"/>
      <c r="K48" s="25">
        <v>4200</v>
      </c>
      <c r="L48" s="25"/>
      <c r="M48" s="25"/>
      <c r="N48" s="25">
        <v>400</v>
      </c>
      <c r="O48" s="25">
        <v>22</v>
      </c>
      <c r="P48" s="25"/>
      <c r="Q48" s="25">
        <v>12.5</v>
      </c>
      <c r="R48" s="25">
        <f t="shared" si="5"/>
        <v>1701.72</v>
      </c>
      <c r="S48" s="27"/>
      <c r="T48" s="25"/>
      <c r="U48" s="25"/>
      <c r="V48" s="25">
        <v>161.33</v>
      </c>
      <c r="W48" s="25"/>
      <c r="X48" s="25"/>
      <c r="Y48" s="25"/>
      <c r="Z48" s="25"/>
      <c r="AA48" s="25"/>
      <c r="AB48" s="29"/>
      <c r="AC48" s="25">
        <f t="shared" si="6"/>
        <v>6463.05</v>
      </c>
      <c r="AD48" s="25">
        <v>777.19</v>
      </c>
      <c r="AE48" s="23">
        <v>194.3</v>
      </c>
      <c r="AF48" s="25">
        <v>48.57</v>
      </c>
      <c r="AG48" s="25">
        <v>680</v>
      </c>
      <c r="AH48" s="25">
        <f t="shared" si="2"/>
        <v>4762.99</v>
      </c>
      <c r="AI48" s="25">
        <f>MAX(ROUND(MAX((AH48+AR48-5000*AQ48-AT48)*{0.03,0.1,0.2,0.25,0.3,0.35,0.45}-{0,2520,16920,31920,52920,85920,181920},0)-AS48,2),0)</f>
        <v>0</v>
      </c>
      <c r="AJ48" s="27"/>
      <c r="AK48" s="25"/>
      <c r="AL48" s="25">
        <f>ROUND(LOOKUP(MAX(0.0001,AK48/12),{0;6;24;50;70;110;160}*500+0.0001,5*MAX(0,AK48)*{0.6;2;4;5;6;7;9}%-10*{0;21;141;266;441;716;1516}),2)</f>
        <v>0</v>
      </c>
      <c r="AM48" s="25">
        <f t="shared" si="7"/>
        <v>6463.05</v>
      </c>
      <c r="AN48" s="25"/>
      <c r="AO48" s="25"/>
      <c r="AP48" s="25">
        <f t="shared" si="8"/>
        <v>4762.99</v>
      </c>
      <c r="AQ48" s="9">
        <v>5</v>
      </c>
      <c r="AR48" s="9">
        <v>27538.43</v>
      </c>
      <c r="AS48" s="9">
        <v>242.86</v>
      </c>
      <c r="AT48" s="9">
        <v>10000</v>
      </c>
      <c r="AU48" s="28" t="s">
        <v>59</v>
      </c>
    </row>
    <row r="49" s="2" customFormat="1" ht="16.5" customHeight="1" spans="1:47">
      <c r="A49" s="23">
        <v>48</v>
      </c>
      <c r="B49" s="23" t="s">
        <v>48</v>
      </c>
      <c r="C49" s="23" t="s">
        <v>215</v>
      </c>
      <c r="D49" s="23" t="s">
        <v>216</v>
      </c>
      <c r="E49" s="40" t="s">
        <v>217</v>
      </c>
      <c r="F49" s="23" t="s">
        <v>68</v>
      </c>
      <c r="G49" s="23" t="s">
        <v>58</v>
      </c>
      <c r="H49" s="25">
        <v>2740</v>
      </c>
      <c r="I49" s="26">
        <v>44378</v>
      </c>
      <c r="J49" s="26"/>
      <c r="K49" s="25">
        <v>4200</v>
      </c>
      <c r="L49" s="25"/>
      <c r="M49" s="25"/>
      <c r="N49" s="25">
        <v>400</v>
      </c>
      <c r="O49" s="25">
        <v>20.75</v>
      </c>
      <c r="P49" s="25"/>
      <c r="Q49" s="25">
        <v>0</v>
      </c>
      <c r="R49" s="25">
        <f t="shared" si="5"/>
        <v>751.29</v>
      </c>
      <c r="S49" s="27"/>
      <c r="T49" s="25"/>
      <c r="U49" s="25"/>
      <c r="V49" s="25">
        <v>3.56</v>
      </c>
      <c r="W49" s="25"/>
      <c r="X49" s="25"/>
      <c r="Y49" s="25"/>
      <c r="Z49" s="25"/>
      <c r="AA49" s="25"/>
      <c r="AB49" s="29"/>
      <c r="AC49" s="25">
        <f t="shared" si="6"/>
        <v>5354.85</v>
      </c>
      <c r="AD49" s="25">
        <v>624.98</v>
      </c>
      <c r="AE49" s="23">
        <v>156.24</v>
      </c>
      <c r="AF49" s="25">
        <v>39.06</v>
      </c>
      <c r="AG49" s="25">
        <v>547</v>
      </c>
      <c r="AH49" s="25">
        <f t="shared" si="2"/>
        <v>3987.57</v>
      </c>
      <c r="AI49" s="25">
        <f>MAX(ROUND(MAX((AH49+AR49-5000*AQ49-AT49)*{0.03,0.1,0.2,0.25,0.3,0.35,0.45}-{0,2520,16920,31920,52920,85920,181920},0)-AS49,2),0)</f>
        <v>0</v>
      </c>
      <c r="AJ49" s="27"/>
      <c r="AK49" s="25"/>
      <c r="AL49" s="25">
        <f>ROUND(LOOKUP(MAX(0.0001,AK49/12),{0;6;24;50;70;110;160}*500+0.0001,5*MAX(0,AK49)*{0.6;2;4;5;6;7;9}%-10*{0;21;141;266;441;716;1516}),2)</f>
        <v>0</v>
      </c>
      <c r="AM49" s="25">
        <f t="shared" si="7"/>
        <v>5354.85</v>
      </c>
      <c r="AN49" s="25"/>
      <c r="AO49" s="25"/>
      <c r="AP49" s="25">
        <f t="shared" si="8"/>
        <v>3987.57</v>
      </c>
      <c r="AQ49" s="9">
        <v>5</v>
      </c>
      <c r="AR49" s="9">
        <v>23339</v>
      </c>
      <c r="AS49" s="9">
        <v>140.91</v>
      </c>
      <c r="AT49" s="9">
        <v>0</v>
      </c>
      <c r="AU49" s="28" t="s">
        <v>59</v>
      </c>
    </row>
    <row r="50" s="2" customFormat="1" ht="16.5" customHeight="1" spans="1:47">
      <c r="A50" s="23">
        <v>49</v>
      </c>
      <c r="B50" s="23" t="s">
        <v>48</v>
      </c>
      <c r="C50" s="23" t="s">
        <v>218</v>
      </c>
      <c r="D50" s="23" t="s">
        <v>219</v>
      </c>
      <c r="E50" s="40" t="s">
        <v>220</v>
      </c>
      <c r="F50" s="23" t="s">
        <v>68</v>
      </c>
      <c r="G50" s="23" t="s">
        <v>53</v>
      </c>
      <c r="H50" s="25">
        <v>2660</v>
      </c>
      <c r="I50" s="26">
        <v>44383</v>
      </c>
      <c r="J50" s="26"/>
      <c r="K50" s="25">
        <v>4000</v>
      </c>
      <c r="L50" s="25"/>
      <c r="M50" s="25"/>
      <c r="N50" s="25">
        <v>400</v>
      </c>
      <c r="O50" s="25">
        <v>0</v>
      </c>
      <c r="P50" s="25"/>
      <c r="Q50" s="25">
        <v>8</v>
      </c>
      <c r="R50" s="25">
        <f t="shared" si="5"/>
        <v>551.72</v>
      </c>
      <c r="S50" s="27"/>
      <c r="T50" s="25"/>
      <c r="U50" s="25"/>
      <c r="V50" s="25">
        <v>11572.91</v>
      </c>
      <c r="W50" s="25"/>
      <c r="X50" s="25"/>
      <c r="Y50" s="25"/>
      <c r="Z50" s="25"/>
      <c r="AA50" s="25">
        <v>16.03</v>
      </c>
      <c r="AB50" s="29"/>
      <c r="AC50" s="25">
        <f t="shared" si="6"/>
        <v>16540.66</v>
      </c>
      <c r="AD50" s="25">
        <v>1087.93</v>
      </c>
      <c r="AE50" s="23">
        <v>271.98</v>
      </c>
      <c r="AF50" s="25">
        <v>68</v>
      </c>
      <c r="AG50" s="25">
        <v>1496</v>
      </c>
      <c r="AH50" s="25">
        <f t="shared" si="2"/>
        <v>13616.75</v>
      </c>
      <c r="AI50" s="25">
        <f>MAX(ROUND(MAX((AH50+AR50-5000*AQ50-AT50)*{0.03,0.1,0.2,0.25,0.3,0.35,0.45}-{0,2520,16920,31920,52920,85920,181920},0)-AS50,2),0)</f>
        <v>329.05</v>
      </c>
      <c r="AJ50" s="27"/>
      <c r="AK50" s="25"/>
      <c r="AL50" s="25">
        <f>ROUND(LOOKUP(MAX(0.0001,AK50/12),{0;6;24;50;70;110;160}*500+0.0001,5*MAX(0,AK50)*{0.6;2;4;5;6;7;9}%-10*{0;21;141;266;441;716;1516}),2)</f>
        <v>0</v>
      </c>
      <c r="AM50" s="25">
        <f t="shared" si="7"/>
        <v>16540.66</v>
      </c>
      <c r="AN50" s="25"/>
      <c r="AO50" s="25"/>
      <c r="AP50" s="25">
        <f t="shared" si="8"/>
        <v>13287.7</v>
      </c>
      <c r="AQ50" s="9">
        <v>5</v>
      </c>
      <c r="AR50" s="9">
        <v>48391.04</v>
      </c>
      <c r="AS50" s="9">
        <v>851.73</v>
      </c>
      <c r="AT50" s="9">
        <v>0</v>
      </c>
      <c r="AU50" s="28" t="s">
        <v>54</v>
      </c>
    </row>
    <row r="51" s="2" customFormat="1" ht="16.5" customHeight="1" spans="1:47">
      <c r="A51" s="23">
        <v>50</v>
      </c>
      <c r="B51" s="23" t="s">
        <v>48</v>
      </c>
      <c r="C51" s="23" t="s">
        <v>221</v>
      </c>
      <c r="D51" s="23" t="s">
        <v>222</v>
      </c>
      <c r="E51" s="40" t="s">
        <v>223</v>
      </c>
      <c r="F51" s="23" t="s">
        <v>68</v>
      </c>
      <c r="G51" s="23" t="s">
        <v>53</v>
      </c>
      <c r="H51" s="25">
        <v>2660</v>
      </c>
      <c r="I51" s="26">
        <v>44383</v>
      </c>
      <c r="J51" s="26"/>
      <c r="K51" s="25">
        <v>4000</v>
      </c>
      <c r="L51" s="25"/>
      <c r="M51" s="25"/>
      <c r="N51" s="25">
        <v>400</v>
      </c>
      <c r="O51" s="25">
        <v>5.5</v>
      </c>
      <c r="P51" s="25"/>
      <c r="Q51" s="25">
        <v>8</v>
      </c>
      <c r="R51" s="25">
        <f t="shared" si="5"/>
        <v>741.38</v>
      </c>
      <c r="S51" s="27"/>
      <c r="T51" s="25"/>
      <c r="U51" s="25"/>
      <c r="V51" s="25">
        <v>12907.09</v>
      </c>
      <c r="W51" s="25"/>
      <c r="X51" s="25"/>
      <c r="Y51" s="25"/>
      <c r="Z51" s="25"/>
      <c r="AA51" s="25"/>
      <c r="AB51" s="29"/>
      <c r="AC51" s="25">
        <f t="shared" si="6"/>
        <v>18048.47</v>
      </c>
      <c r="AD51" s="25">
        <v>1107.96</v>
      </c>
      <c r="AE51" s="23">
        <v>276.99</v>
      </c>
      <c r="AF51" s="25">
        <v>69.25</v>
      </c>
      <c r="AG51" s="25">
        <v>1379</v>
      </c>
      <c r="AH51" s="25">
        <f t="shared" si="2"/>
        <v>15215.27</v>
      </c>
      <c r="AI51" s="25">
        <f>MAX(ROUND(MAX((AH51+AR51-5000*AQ51-AT51)*{0.03,0.1,0.2,0.25,0.3,0.35,0.45}-{0,2520,16920,31920,52920,85920,181920},0)-AS51,2),0)</f>
        <v>306.46</v>
      </c>
      <c r="AJ51" s="27"/>
      <c r="AK51" s="25"/>
      <c r="AL51" s="25">
        <f>ROUND(LOOKUP(MAX(0.0001,AK51/12),{0;6;24;50;70;110;160}*500+0.0001,5*MAX(0,AK51)*{0.6;2;4;5;6;7;9}%-10*{0;21;141;266;441;716;1516}),2)</f>
        <v>0</v>
      </c>
      <c r="AM51" s="25">
        <f t="shared" si="7"/>
        <v>18048.47</v>
      </c>
      <c r="AN51" s="25"/>
      <c r="AO51" s="25"/>
      <c r="AP51" s="25">
        <f t="shared" si="8"/>
        <v>14908.81</v>
      </c>
      <c r="AQ51" s="9">
        <v>5</v>
      </c>
      <c r="AR51" s="9">
        <v>44953.69</v>
      </c>
      <c r="AS51" s="9">
        <v>748.61</v>
      </c>
      <c r="AT51" s="9">
        <v>0</v>
      </c>
      <c r="AU51" s="28" t="s">
        <v>54</v>
      </c>
    </row>
    <row r="52" s="2" customFormat="1" ht="16.5" customHeight="1" spans="1:47">
      <c r="A52" s="23">
        <v>51</v>
      </c>
      <c r="B52" s="23" t="s">
        <v>48</v>
      </c>
      <c r="C52" s="23" t="s">
        <v>224</v>
      </c>
      <c r="D52" s="23" t="s">
        <v>225</v>
      </c>
      <c r="E52" s="40" t="s">
        <v>226</v>
      </c>
      <c r="F52" s="23" t="s">
        <v>208</v>
      </c>
      <c r="G52" s="23" t="s">
        <v>58</v>
      </c>
      <c r="H52" s="25">
        <v>2740</v>
      </c>
      <c r="I52" s="26">
        <v>44397</v>
      </c>
      <c r="J52" s="26"/>
      <c r="K52" s="25">
        <v>5000</v>
      </c>
      <c r="L52" s="25"/>
      <c r="M52" s="25"/>
      <c r="N52" s="25"/>
      <c r="O52" s="25"/>
      <c r="P52" s="25"/>
      <c r="Q52" s="25"/>
      <c r="R52" s="25">
        <f t="shared" si="5"/>
        <v>0</v>
      </c>
      <c r="S52" s="27"/>
      <c r="T52" s="25"/>
      <c r="U52" s="25"/>
      <c r="V52" s="25">
        <v>3000</v>
      </c>
      <c r="W52" s="25"/>
      <c r="X52" s="25"/>
      <c r="Y52" s="25"/>
      <c r="Z52" s="25"/>
      <c r="AA52" s="25"/>
      <c r="AB52" s="29"/>
      <c r="AC52" s="25">
        <f t="shared" si="6"/>
        <v>8000</v>
      </c>
      <c r="AD52" s="25">
        <v>1250.43</v>
      </c>
      <c r="AE52" s="23">
        <v>312.61</v>
      </c>
      <c r="AF52" s="25">
        <v>78.15</v>
      </c>
      <c r="AG52" s="25">
        <v>1094</v>
      </c>
      <c r="AH52" s="25">
        <f t="shared" si="2"/>
        <v>5264.81</v>
      </c>
      <c r="AI52" s="25">
        <f>MAX(ROUND(MAX((AH52+AR52-5000*AQ52-AT52)*{0.03,0.1,0.2,0.25,0.3,0.35,0.45}-{0,2520,16920,31920,52920,85920,181920},0)-AS52,2),0)</f>
        <v>26.48</v>
      </c>
      <c r="AJ52" s="27"/>
      <c r="AK52" s="25"/>
      <c r="AL52" s="25">
        <f>ROUND(LOOKUP(MAX(0.0001,AK52/12),{0;6;24;50;70;110;160}*500+0.0001,5*MAX(0,AK52)*{0.6;2;4;5;6;7;9}%-10*{0;21;141;266;441;716;1516}),2)</f>
        <v>0</v>
      </c>
      <c r="AM52" s="25">
        <f t="shared" si="7"/>
        <v>8000</v>
      </c>
      <c r="AN52" s="25"/>
      <c r="AO52" s="25"/>
      <c r="AP52" s="25">
        <f t="shared" si="8"/>
        <v>5238.33</v>
      </c>
      <c r="AQ52" s="9">
        <v>5</v>
      </c>
      <c r="AR52" s="9">
        <v>59234.62</v>
      </c>
      <c r="AS52" s="9">
        <v>1403.46</v>
      </c>
      <c r="AT52" s="9">
        <v>0</v>
      </c>
      <c r="AU52" s="28" t="s">
        <v>59</v>
      </c>
    </row>
    <row r="53" s="2" customFormat="1" ht="16.5" customHeight="1" spans="1:47">
      <c r="A53" s="23">
        <v>52</v>
      </c>
      <c r="B53" s="23" t="s">
        <v>48</v>
      </c>
      <c r="C53" s="23" t="s">
        <v>227</v>
      </c>
      <c r="D53" s="23" t="s">
        <v>228</v>
      </c>
      <c r="E53" s="40" t="s">
        <v>229</v>
      </c>
      <c r="F53" s="23" t="s">
        <v>52</v>
      </c>
      <c r="G53" s="23" t="s">
        <v>230</v>
      </c>
      <c r="H53" s="25">
        <v>2320</v>
      </c>
      <c r="I53" s="26">
        <v>44441</v>
      </c>
      <c r="J53" s="26"/>
      <c r="K53" s="25">
        <v>4400</v>
      </c>
      <c r="L53" s="25"/>
      <c r="M53" s="25"/>
      <c r="N53" s="25">
        <v>400</v>
      </c>
      <c r="O53" s="25">
        <v>0</v>
      </c>
      <c r="P53" s="25"/>
      <c r="Q53" s="25">
        <v>12</v>
      </c>
      <c r="R53" s="25">
        <f t="shared" si="5"/>
        <v>910.34</v>
      </c>
      <c r="S53" s="27"/>
      <c r="T53" s="25"/>
      <c r="U53" s="25"/>
      <c r="V53" s="25"/>
      <c r="W53" s="25">
        <v>1500</v>
      </c>
      <c r="X53" s="25"/>
      <c r="Y53" s="25"/>
      <c r="Z53" s="25"/>
      <c r="AA53" s="25"/>
      <c r="AB53" s="29"/>
      <c r="AC53" s="25">
        <f t="shared" si="6"/>
        <v>7210.34</v>
      </c>
      <c r="AD53" s="25">
        <v>717.19</v>
      </c>
      <c r="AE53" s="23">
        <v>179.3</v>
      </c>
      <c r="AF53" s="25">
        <v>44.82</v>
      </c>
      <c r="AG53" s="25">
        <v>448</v>
      </c>
      <c r="AH53" s="25">
        <f t="shared" si="2"/>
        <v>5821.03</v>
      </c>
      <c r="AI53" s="25">
        <f>MAX(ROUND(MAX((AH53+AR53-5000*AQ53-AT53)*{0.03,0.1,0.2,0.25,0.3,0.35,0.45}-{0,2520,16920,31920,52920,85920,181920},0)-AS53,2),0)</f>
        <v>24.63</v>
      </c>
      <c r="AJ53" s="27"/>
      <c r="AK53" s="25"/>
      <c r="AL53" s="25">
        <f>ROUND(LOOKUP(MAX(0.0001,AK53/12),{0;6;24;50;70;110;160}*500+0.0001,5*MAX(0,AK53)*{0.6;2;4;5;6;7;9}%-10*{0;21;141;266;441;716;1516}),2)</f>
        <v>0</v>
      </c>
      <c r="AM53" s="25">
        <f t="shared" si="7"/>
        <v>7210.34</v>
      </c>
      <c r="AN53" s="25"/>
      <c r="AO53" s="25"/>
      <c r="AP53" s="25">
        <f t="shared" si="8"/>
        <v>5796.4</v>
      </c>
      <c r="AQ53" s="9">
        <v>3</v>
      </c>
      <c r="AR53" s="9">
        <v>13381.35</v>
      </c>
      <c r="AS53" s="9">
        <v>101.44</v>
      </c>
      <c r="AT53" s="9">
        <v>0</v>
      </c>
      <c r="AU53" s="28" t="s">
        <v>54</v>
      </c>
    </row>
    <row r="54" s="2" customFormat="1" ht="16.5" customHeight="1" spans="1:47">
      <c r="A54" s="23">
        <v>53</v>
      </c>
      <c r="B54" s="23" t="s">
        <v>48</v>
      </c>
      <c r="C54" s="23" t="s">
        <v>231</v>
      </c>
      <c r="D54" s="23" t="s">
        <v>232</v>
      </c>
      <c r="E54" s="40" t="s">
        <v>233</v>
      </c>
      <c r="F54" s="23" t="s">
        <v>68</v>
      </c>
      <c r="G54" s="23" t="s">
        <v>69</v>
      </c>
      <c r="H54" s="25">
        <v>2540</v>
      </c>
      <c r="I54" s="26">
        <v>44453</v>
      </c>
      <c r="J54" s="26">
        <v>46155</v>
      </c>
      <c r="K54" s="25">
        <v>3800</v>
      </c>
      <c r="L54" s="25">
        <v>-1790.8</v>
      </c>
      <c r="M54" s="25"/>
      <c r="N54" s="25">
        <v>211.49</v>
      </c>
      <c r="O54" s="25"/>
      <c r="P54" s="25"/>
      <c r="Q54" s="25"/>
      <c r="R54" s="25">
        <f t="shared" si="5"/>
        <v>0</v>
      </c>
      <c r="S54" s="27"/>
      <c r="T54" s="27"/>
      <c r="U54" s="25"/>
      <c r="V54" s="25">
        <v>0.78</v>
      </c>
      <c r="W54" s="25"/>
      <c r="X54" s="25"/>
      <c r="Y54" s="25"/>
      <c r="Z54" s="25"/>
      <c r="AA54" s="25"/>
      <c r="AB54" s="29"/>
      <c r="AC54" s="25">
        <f t="shared" si="6"/>
        <v>2221.47</v>
      </c>
      <c r="AD54" s="25">
        <v>572.96</v>
      </c>
      <c r="AE54" s="23">
        <v>146.24</v>
      </c>
      <c r="AF54" s="25">
        <v>35.81</v>
      </c>
      <c r="AG54" s="25">
        <v>644</v>
      </c>
      <c r="AH54" s="25">
        <f t="shared" si="2"/>
        <v>822.46</v>
      </c>
      <c r="AI54" s="25">
        <f>MAX(ROUND(MAX((AH54+AR54-5000*AQ54-AT54)*{0.03,0.1,0.2,0.25,0.3,0.35,0.45}-{0,2520,16920,31920,52920,85920,181920},0)-AS54,2),0)</f>
        <v>0</v>
      </c>
      <c r="AJ54" s="27"/>
      <c r="AK54" s="25"/>
      <c r="AL54" s="25">
        <f>ROUND(LOOKUP(MAX(0.0001,AK54/12),{0;6;24;50;70;110;160}*500+0.0001,5*MAX(0,AK54)*{0.6;2;4;5;6;7;9}%-10*{0;21;141;266;441;716;1516}),2)</f>
        <v>0</v>
      </c>
      <c r="AM54" s="25">
        <f t="shared" si="7"/>
        <v>2221.47</v>
      </c>
      <c r="AN54" s="25">
        <v>28712.85</v>
      </c>
      <c r="AO54" s="25"/>
      <c r="AP54" s="25">
        <f t="shared" si="8"/>
        <v>29535.31</v>
      </c>
      <c r="AQ54" s="9">
        <v>5</v>
      </c>
      <c r="AR54" s="9">
        <v>18143.02</v>
      </c>
      <c r="AS54" s="9">
        <v>50.67</v>
      </c>
      <c r="AT54" s="9">
        <v>0</v>
      </c>
      <c r="AU54" s="28" t="s">
        <v>70</v>
      </c>
    </row>
    <row r="55" s="2" customFormat="1" ht="16.5" customHeight="1" spans="1:47">
      <c r="A55" s="23">
        <v>54</v>
      </c>
      <c r="B55" s="23" t="s">
        <v>48</v>
      </c>
      <c r="C55" s="23" t="s">
        <v>234</v>
      </c>
      <c r="D55" s="23" t="s">
        <v>235</v>
      </c>
      <c r="E55" s="40" t="s">
        <v>236</v>
      </c>
      <c r="F55" s="23" t="s">
        <v>68</v>
      </c>
      <c r="G55" s="23" t="s">
        <v>58</v>
      </c>
      <c r="H55" s="25">
        <v>2740</v>
      </c>
      <c r="I55" s="26">
        <v>44453</v>
      </c>
      <c r="J55" s="26"/>
      <c r="K55" s="25">
        <v>4200</v>
      </c>
      <c r="L55" s="25"/>
      <c r="M55" s="25"/>
      <c r="N55" s="25">
        <v>400</v>
      </c>
      <c r="O55" s="25">
        <v>15</v>
      </c>
      <c r="P55" s="25"/>
      <c r="Q55" s="25">
        <v>9</v>
      </c>
      <c r="R55" s="25">
        <f t="shared" si="5"/>
        <v>1194.83</v>
      </c>
      <c r="S55" s="27"/>
      <c r="T55" s="25"/>
      <c r="U55" s="25"/>
      <c r="V55" s="25">
        <v>2679.75</v>
      </c>
      <c r="W55" s="25"/>
      <c r="X55" s="25"/>
      <c r="Y55" s="25"/>
      <c r="Z55" s="25"/>
      <c r="AA55" s="25"/>
      <c r="AB55" s="27"/>
      <c r="AC55" s="25">
        <f t="shared" si="6"/>
        <v>8474.58</v>
      </c>
      <c r="AD55" s="25">
        <v>1178.34</v>
      </c>
      <c r="AE55" s="23">
        <v>294.59</v>
      </c>
      <c r="AF55" s="25">
        <v>73.65</v>
      </c>
      <c r="AG55" s="25">
        <v>1031</v>
      </c>
      <c r="AH55" s="25">
        <f t="shared" si="2"/>
        <v>5897</v>
      </c>
      <c r="AI55" s="25">
        <f>MAX(ROUND(MAX((AH55+AR55-5000*AQ55-AT55)*{0.03,0.1,0.2,0.25,0.3,0.35,0.45}-{0,2520,16920,31920,52920,85920,181920},0)-AS55,2),0)</f>
        <v>0</v>
      </c>
      <c r="AJ55" s="27"/>
      <c r="AK55" s="25"/>
      <c r="AL55" s="25">
        <f>ROUND(LOOKUP(MAX(0.0001,AK55/12),{0;6;24;50;70;110;160}*500+0.0001,5*MAX(0,AK55)*{0.6;2;4;5;6;7;9}%-10*{0;21;141;266;441;716;1516}),2)</f>
        <v>0</v>
      </c>
      <c r="AM55" s="25">
        <f t="shared" si="7"/>
        <v>8474.58</v>
      </c>
      <c r="AN55" s="25"/>
      <c r="AO55" s="25"/>
      <c r="AP55" s="25">
        <f t="shared" si="8"/>
        <v>5897</v>
      </c>
      <c r="AQ55" s="9">
        <v>5</v>
      </c>
      <c r="AR55" s="9">
        <v>46576.2</v>
      </c>
      <c r="AS55" s="9">
        <v>556.62</v>
      </c>
      <c r="AT55" s="9">
        <v>15000</v>
      </c>
      <c r="AU55" s="28" t="s">
        <v>59</v>
      </c>
    </row>
    <row r="56" s="2" customFormat="1" ht="16.5" customHeight="1" spans="1:47">
      <c r="A56" s="23">
        <v>55</v>
      </c>
      <c r="B56" s="23" t="s">
        <v>48</v>
      </c>
      <c r="C56" s="23" t="s">
        <v>237</v>
      </c>
      <c r="D56" s="23" t="s">
        <v>238</v>
      </c>
      <c r="E56" s="40" t="s">
        <v>239</v>
      </c>
      <c r="F56" s="23" t="s">
        <v>68</v>
      </c>
      <c r="G56" s="23" t="s">
        <v>58</v>
      </c>
      <c r="H56" s="25">
        <v>2740</v>
      </c>
      <c r="I56" s="26">
        <v>44501</v>
      </c>
      <c r="J56" s="26"/>
      <c r="K56" s="25">
        <v>3800</v>
      </c>
      <c r="L56" s="25"/>
      <c r="M56" s="25"/>
      <c r="N56" s="25">
        <v>400</v>
      </c>
      <c r="O56" s="25">
        <v>66</v>
      </c>
      <c r="P56" s="25"/>
      <c r="Q56" s="25">
        <v>10</v>
      </c>
      <c r="R56" s="25">
        <f t="shared" si="5"/>
        <v>2817.24</v>
      </c>
      <c r="S56" s="27"/>
      <c r="T56" s="25"/>
      <c r="U56" s="25"/>
      <c r="V56" s="25">
        <v>14631.73</v>
      </c>
      <c r="W56" s="25"/>
      <c r="X56" s="25"/>
      <c r="Y56" s="25"/>
      <c r="Z56" s="25"/>
      <c r="AA56" s="25"/>
      <c r="AB56" s="27"/>
      <c r="AC56" s="25">
        <f t="shared" si="6"/>
        <v>21648.97</v>
      </c>
      <c r="AD56" s="25">
        <v>1785.64</v>
      </c>
      <c r="AE56" s="23">
        <v>446.41</v>
      </c>
      <c r="AF56" s="25">
        <v>111.6</v>
      </c>
      <c r="AG56" s="25">
        <v>1562</v>
      </c>
      <c r="AH56" s="25">
        <f t="shared" si="2"/>
        <v>17743.32</v>
      </c>
      <c r="AI56" s="25">
        <f>MAX(ROUND(MAX((AH56+AR56-5000*AQ56-AT56)*{0.03,0.1,0.2,0.25,0.3,0.35,0.45}-{0,2520,16920,31920,52920,85920,181920},0)-AS56,2),0)</f>
        <v>1274.33</v>
      </c>
      <c r="AJ56" s="27"/>
      <c r="AK56" s="25"/>
      <c r="AL56" s="25">
        <f>ROUND(LOOKUP(MAX(0.0001,AK56/12),{0;6;24;50;70;110;160}*500+0.0001,5*MAX(0,AK56)*{0.6;2;4;5;6;7;9}%-10*{0;21;141;266;441;716;1516}),2)</f>
        <v>0</v>
      </c>
      <c r="AM56" s="25">
        <f t="shared" si="7"/>
        <v>21648.97</v>
      </c>
      <c r="AN56" s="25"/>
      <c r="AO56" s="25"/>
      <c r="AP56" s="25">
        <f t="shared" si="8"/>
        <v>16468.99</v>
      </c>
      <c r="AQ56" s="9">
        <v>5</v>
      </c>
      <c r="AR56" s="9">
        <v>77912.76</v>
      </c>
      <c r="AS56" s="9">
        <v>3271.28</v>
      </c>
      <c r="AT56" s="9">
        <v>0</v>
      </c>
      <c r="AU56" s="28" t="s">
        <v>59</v>
      </c>
    </row>
    <row r="57" s="2" customFormat="1" ht="16.5" customHeight="1" spans="1:47">
      <c r="A57" s="23">
        <v>56</v>
      </c>
      <c r="B57" s="23" t="s">
        <v>48</v>
      </c>
      <c r="C57" s="23" t="s">
        <v>240</v>
      </c>
      <c r="D57" s="23" t="s">
        <v>241</v>
      </c>
      <c r="E57" s="40" t="s">
        <v>242</v>
      </c>
      <c r="F57" s="23" t="s">
        <v>68</v>
      </c>
      <c r="G57" s="23" t="s">
        <v>58</v>
      </c>
      <c r="H57" s="25">
        <v>2740</v>
      </c>
      <c r="I57" s="26">
        <v>44504</v>
      </c>
      <c r="J57" s="26"/>
      <c r="K57" s="25">
        <v>4200</v>
      </c>
      <c r="L57" s="25"/>
      <c r="M57" s="25"/>
      <c r="N57" s="25">
        <v>400</v>
      </c>
      <c r="O57" s="25">
        <v>21.5</v>
      </c>
      <c r="P57" s="25"/>
      <c r="Q57" s="25">
        <v>0</v>
      </c>
      <c r="R57" s="25">
        <f t="shared" si="5"/>
        <v>778.45</v>
      </c>
      <c r="S57" s="27"/>
      <c r="T57" s="25"/>
      <c r="U57" s="25"/>
      <c r="V57" s="25">
        <v>2263.24</v>
      </c>
      <c r="W57" s="25"/>
      <c r="X57" s="25"/>
      <c r="Y57" s="25"/>
      <c r="Z57" s="25"/>
      <c r="AA57" s="25"/>
      <c r="AB57" s="29"/>
      <c r="AC57" s="25">
        <f t="shared" si="6"/>
        <v>7641.69</v>
      </c>
      <c r="AD57" s="25">
        <v>1179.21</v>
      </c>
      <c r="AE57" s="23">
        <v>294.8</v>
      </c>
      <c r="AF57" s="25">
        <v>73.7</v>
      </c>
      <c r="AG57" s="25">
        <v>1032</v>
      </c>
      <c r="AH57" s="25">
        <f t="shared" si="2"/>
        <v>5061.98</v>
      </c>
      <c r="AI57" s="25">
        <f>MAX(ROUND(MAX((AH57+AR57-5000*AQ57-AT57)*{0.03,0.1,0.2,0.25,0.3,0.35,0.45}-{0,2520,16920,31920,52920,85920,181920},0)-AS57,2),0)</f>
        <v>0</v>
      </c>
      <c r="AJ57" s="27"/>
      <c r="AK57" s="25"/>
      <c r="AL57" s="25">
        <f>ROUND(LOOKUP(MAX(0.0001,AK57/12),{0;6;24;50;70;110;160}*500+0.0001,5*MAX(0,AK57)*{0.6;2;4;5;6;7;9}%-10*{0;21;141;266;441;716;1516}),2)</f>
        <v>0</v>
      </c>
      <c r="AM57" s="25">
        <f t="shared" si="7"/>
        <v>7641.69</v>
      </c>
      <c r="AN57" s="25"/>
      <c r="AO57" s="25"/>
      <c r="AP57" s="25">
        <f t="shared" si="8"/>
        <v>5061.98</v>
      </c>
      <c r="AQ57" s="9">
        <v>5</v>
      </c>
      <c r="AR57" s="9">
        <v>50015.03</v>
      </c>
      <c r="AS57" s="9">
        <v>671.13</v>
      </c>
      <c r="AT57" s="9">
        <v>17495</v>
      </c>
      <c r="AU57" s="28" t="s">
        <v>59</v>
      </c>
    </row>
    <row r="58" s="2" customFormat="1" ht="16.5" customHeight="1" spans="1:47">
      <c r="A58" s="23">
        <v>57</v>
      </c>
      <c r="B58" s="23" t="s">
        <v>48</v>
      </c>
      <c r="C58" s="23" t="s">
        <v>243</v>
      </c>
      <c r="D58" s="23" t="s">
        <v>244</v>
      </c>
      <c r="E58" s="40" t="s">
        <v>245</v>
      </c>
      <c r="F58" s="23" t="s">
        <v>63</v>
      </c>
      <c r="G58" s="23" t="s">
        <v>69</v>
      </c>
      <c r="H58" s="25">
        <v>2540</v>
      </c>
      <c r="I58" s="26">
        <v>44557</v>
      </c>
      <c r="J58" s="26">
        <v>46155</v>
      </c>
      <c r="K58" s="25">
        <v>8000</v>
      </c>
      <c r="L58" s="25">
        <v>-4251.95</v>
      </c>
      <c r="M58" s="25"/>
      <c r="N58" s="25">
        <v>187.4</v>
      </c>
      <c r="O58" s="25">
        <v>0</v>
      </c>
      <c r="P58" s="25"/>
      <c r="Q58" s="25">
        <v>11</v>
      </c>
      <c r="R58" s="25">
        <f t="shared" si="5"/>
        <v>1517.24</v>
      </c>
      <c r="S58" s="27"/>
      <c r="T58" s="25"/>
      <c r="U58" s="25"/>
      <c r="V58" s="25">
        <v>64.64</v>
      </c>
      <c r="W58" s="25"/>
      <c r="X58" s="25"/>
      <c r="Y58" s="25">
        <v>2206.9</v>
      </c>
      <c r="Z58" s="25"/>
      <c r="AA58" s="25"/>
      <c r="AB58" s="27"/>
      <c r="AC58" s="25">
        <f t="shared" si="6"/>
        <v>7724.23</v>
      </c>
      <c r="AD58" s="25">
        <v>1180.88</v>
      </c>
      <c r="AE58" s="23">
        <v>298.22</v>
      </c>
      <c r="AF58" s="25">
        <v>73.81</v>
      </c>
      <c r="AG58" s="25">
        <v>1771</v>
      </c>
      <c r="AH58" s="25">
        <f t="shared" ref="AH58:AH84" si="9">AC58-AD58-AE58-AF58-AG58</f>
        <v>4400.32</v>
      </c>
      <c r="AI58" s="25">
        <f>MAX(ROUND(MAX((AH58+AR58-5000*AQ58-AT58)*{0.03,0.1,0.2,0.25,0.3,0.35,0.45}-{0,2520,16920,31920,52920,85920,181920},0)-AS58,2),0)</f>
        <v>0</v>
      </c>
      <c r="AJ58" s="27"/>
      <c r="AK58" s="25"/>
      <c r="AL58" s="25">
        <f>ROUND(LOOKUP(MAX(0.0001,AK58/12),{0;6;24;50;70;110;160}*500+0.0001,5*MAX(0,AK58)*{0.6;2;4;5;6;7;9}%-10*{0;21;141;266;441;716;1516}),2)</f>
        <v>0</v>
      </c>
      <c r="AM58" s="25">
        <f t="shared" si="7"/>
        <v>7724.23</v>
      </c>
      <c r="AN58" s="25">
        <v>67690</v>
      </c>
      <c r="AO58" s="25"/>
      <c r="AP58" s="25">
        <f t="shared" si="8"/>
        <v>72090.32</v>
      </c>
      <c r="AQ58" s="9">
        <v>5</v>
      </c>
      <c r="AR58" s="9">
        <v>40605.24</v>
      </c>
      <c r="AS58" s="9">
        <v>618.16</v>
      </c>
      <c r="AT58" s="9">
        <v>0</v>
      </c>
      <c r="AU58" s="28" t="s">
        <v>70</v>
      </c>
    </row>
    <row r="59" s="2" customFormat="1" ht="16.5" customHeight="1" spans="1:47">
      <c r="A59" s="23">
        <v>58</v>
      </c>
      <c r="B59" s="23" t="s">
        <v>48</v>
      </c>
      <c r="C59" s="23" t="s">
        <v>246</v>
      </c>
      <c r="D59" s="23" t="s">
        <v>247</v>
      </c>
      <c r="E59" s="40" t="s">
        <v>248</v>
      </c>
      <c r="F59" s="23" t="s">
        <v>68</v>
      </c>
      <c r="G59" s="23" t="s">
        <v>58</v>
      </c>
      <c r="H59" s="25">
        <v>2740</v>
      </c>
      <c r="I59" s="26">
        <v>44629</v>
      </c>
      <c r="J59" s="26"/>
      <c r="K59" s="25">
        <v>3800</v>
      </c>
      <c r="L59" s="25"/>
      <c r="M59" s="25"/>
      <c r="N59" s="25">
        <v>400</v>
      </c>
      <c r="O59" s="25">
        <v>11</v>
      </c>
      <c r="P59" s="25"/>
      <c r="Q59" s="25">
        <v>11.75</v>
      </c>
      <c r="R59" s="25">
        <f t="shared" si="5"/>
        <v>1130.17</v>
      </c>
      <c r="S59" s="27"/>
      <c r="T59" s="25"/>
      <c r="U59" s="25"/>
      <c r="V59" s="25">
        <v>4025.97</v>
      </c>
      <c r="W59" s="25"/>
      <c r="X59" s="25"/>
      <c r="Y59" s="25"/>
      <c r="Z59" s="25"/>
      <c r="AA59" s="25"/>
      <c r="AB59" s="27"/>
      <c r="AC59" s="25">
        <f t="shared" si="6"/>
        <v>9356.14</v>
      </c>
      <c r="AD59" s="25">
        <v>707.41</v>
      </c>
      <c r="AE59" s="23">
        <v>176.85</v>
      </c>
      <c r="AF59" s="25">
        <v>44.21</v>
      </c>
      <c r="AG59" s="25">
        <v>619</v>
      </c>
      <c r="AH59" s="25">
        <f t="shared" si="9"/>
        <v>7808.67</v>
      </c>
      <c r="AI59" s="25">
        <f>MAX(ROUND(MAX((AH59+AR59-5000*AQ59-AT59)*{0.03,0.1,0.2,0.25,0.3,0.35,0.45}-{0,2520,16920,31920,52920,85920,181920},0)-AS59,2),0)</f>
        <v>84.26</v>
      </c>
      <c r="AJ59" s="27"/>
      <c r="AK59" s="25"/>
      <c r="AL59" s="25">
        <f>ROUND(LOOKUP(MAX(0.0001,AK59/12),{0;6;24;50;70;110;160}*500+0.0001,5*MAX(0,AK59)*{0.6;2;4;5;6;7;9}%-10*{0;21;141;266;441;716;1516}),2)</f>
        <v>0</v>
      </c>
      <c r="AM59" s="25">
        <f t="shared" si="7"/>
        <v>9356.14</v>
      </c>
      <c r="AN59" s="25"/>
      <c r="AO59" s="25"/>
      <c r="AP59" s="25">
        <f t="shared" si="8"/>
        <v>7724.41</v>
      </c>
      <c r="AQ59" s="9">
        <v>5</v>
      </c>
      <c r="AR59" s="9">
        <v>52784.89</v>
      </c>
      <c r="AS59" s="9">
        <v>983.55</v>
      </c>
      <c r="AT59" s="9">
        <v>0</v>
      </c>
      <c r="AU59" s="28" t="s">
        <v>59</v>
      </c>
    </row>
    <row r="60" s="2" customFormat="1" ht="16.5" customHeight="1" spans="1:47">
      <c r="A60" s="23">
        <v>59</v>
      </c>
      <c r="B60" s="23" t="s">
        <v>48</v>
      </c>
      <c r="C60" s="23" t="s">
        <v>249</v>
      </c>
      <c r="D60" s="23" t="s">
        <v>250</v>
      </c>
      <c r="E60" s="40" t="s">
        <v>251</v>
      </c>
      <c r="F60" s="23" t="s">
        <v>68</v>
      </c>
      <c r="G60" s="23" t="s">
        <v>69</v>
      </c>
      <c r="H60" s="25">
        <v>2540</v>
      </c>
      <c r="I60" s="26">
        <v>44630</v>
      </c>
      <c r="J60" s="26">
        <v>46155</v>
      </c>
      <c r="K60" s="25">
        <v>3800</v>
      </c>
      <c r="L60" s="25">
        <v>-1790.8</v>
      </c>
      <c r="M60" s="25"/>
      <c r="N60" s="25">
        <v>211.49</v>
      </c>
      <c r="O60" s="25"/>
      <c r="P60" s="25"/>
      <c r="Q60" s="25"/>
      <c r="R60" s="25">
        <f t="shared" si="5"/>
        <v>0</v>
      </c>
      <c r="S60" s="27"/>
      <c r="T60" s="25"/>
      <c r="U60" s="25"/>
      <c r="V60" s="25"/>
      <c r="W60" s="25"/>
      <c r="X60" s="25"/>
      <c r="Y60" s="25"/>
      <c r="Z60" s="25"/>
      <c r="AA60" s="25"/>
      <c r="AB60" s="29"/>
      <c r="AC60" s="25">
        <f t="shared" si="6"/>
        <v>2220.69</v>
      </c>
      <c r="AD60" s="25">
        <v>572.96</v>
      </c>
      <c r="AE60" s="23">
        <v>146.24</v>
      </c>
      <c r="AF60" s="25">
        <v>35.81</v>
      </c>
      <c r="AG60" s="25">
        <v>801</v>
      </c>
      <c r="AH60" s="25">
        <f t="shared" si="9"/>
        <v>664.68</v>
      </c>
      <c r="AI60" s="25">
        <f>MAX(ROUND(MAX((AH60+AR60-5000*AQ60-AT60)*{0.03,0.1,0.2,0.25,0.3,0.35,0.45}-{0,2520,16920,31920,52920,85920,181920},0)-AS60,2),0)</f>
        <v>0</v>
      </c>
      <c r="AJ60" s="27"/>
      <c r="AK60" s="25"/>
      <c r="AL60" s="25">
        <f>ROUND(LOOKUP(MAX(0.0001,AK60/12),{0;6;24;50;70;110;160}*500+0.0001,5*MAX(0,AK60)*{0.6;2;4;5;6;7;9}%-10*{0;21;141;266;441;716;1516}),2)</f>
        <v>0</v>
      </c>
      <c r="AM60" s="25">
        <f t="shared" si="7"/>
        <v>2220.69</v>
      </c>
      <c r="AN60" s="25">
        <v>26028.68</v>
      </c>
      <c r="AO60" s="25"/>
      <c r="AP60" s="25">
        <f t="shared" si="8"/>
        <v>26693.36</v>
      </c>
      <c r="AQ60" s="9">
        <v>5</v>
      </c>
      <c r="AR60" s="9">
        <v>18141.05</v>
      </c>
      <c r="AS60" s="9">
        <v>53.44</v>
      </c>
      <c r="AT60" s="9">
        <v>0</v>
      </c>
      <c r="AU60" s="28" t="s">
        <v>70</v>
      </c>
    </row>
    <row r="61" s="2" customFormat="1" ht="16.5" customHeight="1" spans="1:47">
      <c r="A61" s="23">
        <v>60</v>
      </c>
      <c r="B61" s="23" t="s">
        <v>48</v>
      </c>
      <c r="C61" s="23" t="s">
        <v>252</v>
      </c>
      <c r="D61" s="23" t="s">
        <v>253</v>
      </c>
      <c r="E61" s="40" t="s">
        <v>254</v>
      </c>
      <c r="F61" s="23" t="s">
        <v>68</v>
      </c>
      <c r="G61" s="23" t="s">
        <v>88</v>
      </c>
      <c r="H61" s="25">
        <v>2400</v>
      </c>
      <c r="I61" s="26">
        <v>44676</v>
      </c>
      <c r="J61" s="26"/>
      <c r="K61" s="25">
        <v>4000</v>
      </c>
      <c r="L61" s="25"/>
      <c r="M61" s="25"/>
      <c r="N61" s="25">
        <v>400</v>
      </c>
      <c r="O61" s="25">
        <v>6</v>
      </c>
      <c r="P61" s="25"/>
      <c r="Q61" s="25">
        <v>0</v>
      </c>
      <c r="R61" s="25">
        <f t="shared" si="5"/>
        <v>206.9</v>
      </c>
      <c r="S61" s="27"/>
      <c r="T61" s="25"/>
      <c r="U61" s="25"/>
      <c r="V61" s="25">
        <v>495.24</v>
      </c>
      <c r="W61" s="25"/>
      <c r="X61" s="25"/>
      <c r="Y61" s="25"/>
      <c r="Z61" s="25"/>
      <c r="AA61" s="25"/>
      <c r="AB61" s="27"/>
      <c r="AC61" s="25">
        <f t="shared" si="6"/>
        <v>5102.14</v>
      </c>
      <c r="AD61" s="25">
        <v>848.72</v>
      </c>
      <c r="AE61" s="23">
        <v>219.18</v>
      </c>
      <c r="AF61" s="25">
        <v>31.83</v>
      </c>
      <c r="AG61" s="25">
        <v>848.74</v>
      </c>
      <c r="AH61" s="25">
        <f t="shared" si="9"/>
        <v>3153.67</v>
      </c>
      <c r="AI61" s="25">
        <f>MAX(ROUND(MAX((AH61+AR61-5000*AQ61-AT61)*{0.03,0.1,0.2,0.25,0.3,0.35,0.45}-{0,2520,16920,31920,52920,85920,181920},0)-AS61,2),0)</f>
        <v>0</v>
      </c>
      <c r="AJ61" s="27"/>
      <c r="AK61" s="25"/>
      <c r="AL61" s="25">
        <f>ROUND(LOOKUP(MAX(0.0001,AK61/12),{0;6;24;50;70;110;160}*500+0.0001,5*MAX(0,AK61)*{0.6;2;4;5;6;7;9}%-10*{0;21;141;266;441;716;1516}),2)</f>
        <v>0</v>
      </c>
      <c r="AM61" s="25">
        <f t="shared" si="7"/>
        <v>5102.14</v>
      </c>
      <c r="AN61" s="25"/>
      <c r="AO61" s="25"/>
      <c r="AP61" s="25">
        <f t="shared" si="8"/>
        <v>3153.67</v>
      </c>
      <c r="AQ61" s="9">
        <v>5</v>
      </c>
      <c r="AR61" s="9">
        <v>35979.76</v>
      </c>
      <c r="AS61" s="9">
        <v>479.39</v>
      </c>
      <c r="AT61" s="9">
        <v>0</v>
      </c>
      <c r="AU61" s="28" t="s">
        <v>54</v>
      </c>
    </row>
    <row r="62" s="2" customFormat="1" ht="16.5" customHeight="1" spans="1:47">
      <c r="A62" s="23">
        <v>61</v>
      </c>
      <c r="B62" s="23" t="s">
        <v>48</v>
      </c>
      <c r="C62" s="23" t="s">
        <v>255</v>
      </c>
      <c r="D62" s="23" t="s">
        <v>256</v>
      </c>
      <c r="E62" s="40" t="s">
        <v>257</v>
      </c>
      <c r="F62" s="23" t="s">
        <v>68</v>
      </c>
      <c r="G62" s="23" t="s">
        <v>134</v>
      </c>
      <c r="H62" s="25">
        <v>2400</v>
      </c>
      <c r="I62" s="26">
        <v>44774</v>
      </c>
      <c r="J62" s="26">
        <v>46142</v>
      </c>
      <c r="K62" s="25">
        <v>3600</v>
      </c>
      <c r="L62" s="25">
        <f>-K62</f>
        <v>-3600</v>
      </c>
      <c r="M62" s="25"/>
      <c r="N62" s="25"/>
      <c r="O62" s="25">
        <v>6</v>
      </c>
      <c r="P62" s="25"/>
      <c r="Q62" s="25">
        <v>6.5</v>
      </c>
      <c r="R62" s="25">
        <f t="shared" si="5"/>
        <v>589.66</v>
      </c>
      <c r="S62" s="27"/>
      <c r="T62" s="25"/>
      <c r="U62" s="25"/>
      <c r="V62" s="25">
        <v>2098.18</v>
      </c>
      <c r="W62" s="25"/>
      <c r="X62" s="25"/>
      <c r="Y62" s="25"/>
      <c r="Z62" s="25"/>
      <c r="AA62" s="25"/>
      <c r="AB62" s="27"/>
      <c r="AC62" s="25">
        <f t="shared" si="6"/>
        <v>2687.84</v>
      </c>
      <c r="AD62" s="25"/>
      <c r="AE62" s="23"/>
      <c r="AF62" s="25"/>
      <c r="AG62" s="25"/>
      <c r="AH62" s="25">
        <f t="shared" si="9"/>
        <v>2687.84</v>
      </c>
      <c r="AI62" s="25">
        <f>MAX(ROUND(MAX((AH62+AR62-5000*AQ62-AT62)*{0.03,0.1,0.2,0.25,0.3,0.35,0.45}-{0,2520,16920,31920,52920,85920,181920},0)-AS62,2),0)</f>
        <v>0</v>
      </c>
      <c r="AJ62" s="27"/>
      <c r="AK62" s="25"/>
      <c r="AL62" s="25">
        <f>ROUND(LOOKUP(MAX(0.0001,AK62/12),{0;6;24;50;70;110;160}*500+0.0001,5*MAX(0,AK62)*{0.6;2;4;5;6;7;9}%-10*{0;21;141;266;441;716;1516}),2)</f>
        <v>0</v>
      </c>
      <c r="AM62" s="25">
        <f t="shared" si="7"/>
        <v>2687.84</v>
      </c>
      <c r="AN62" s="25"/>
      <c r="AO62" s="25"/>
      <c r="AP62" s="25">
        <f t="shared" si="8"/>
        <v>2687.84</v>
      </c>
      <c r="AQ62" s="9">
        <v>5</v>
      </c>
      <c r="AR62" s="9">
        <v>22765.56</v>
      </c>
      <c r="AS62" s="9">
        <v>135.29</v>
      </c>
      <c r="AT62" s="9">
        <v>15000</v>
      </c>
      <c r="AU62" s="28" t="s">
        <v>54</v>
      </c>
    </row>
    <row r="63" s="2" customFormat="1" ht="16.5" customHeight="1" spans="1:47">
      <c r="A63" s="23">
        <v>62</v>
      </c>
      <c r="B63" s="23" t="s">
        <v>48</v>
      </c>
      <c r="C63" s="23" t="s">
        <v>258</v>
      </c>
      <c r="D63" s="23" t="s">
        <v>259</v>
      </c>
      <c r="E63" s="40" t="s">
        <v>260</v>
      </c>
      <c r="F63" s="23" t="s">
        <v>68</v>
      </c>
      <c r="G63" s="23" t="s">
        <v>134</v>
      </c>
      <c r="H63" s="25">
        <v>2400</v>
      </c>
      <c r="I63" s="26">
        <v>44769</v>
      </c>
      <c r="J63" s="26">
        <v>46142</v>
      </c>
      <c r="K63" s="25">
        <v>3600</v>
      </c>
      <c r="L63" s="25">
        <f>-K63</f>
        <v>-3600</v>
      </c>
      <c r="M63" s="25"/>
      <c r="N63" s="25"/>
      <c r="O63" s="25">
        <v>6</v>
      </c>
      <c r="P63" s="25"/>
      <c r="Q63" s="25">
        <v>6.5</v>
      </c>
      <c r="R63" s="25">
        <f t="shared" si="5"/>
        <v>589.66</v>
      </c>
      <c r="S63" s="27"/>
      <c r="T63" s="25"/>
      <c r="U63" s="25"/>
      <c r="V63" s="25">
        <v>1003.06</v>
      </c>
      <c r="W63" s="25"/>
      <c r="X63" s="25"/>
      <c r="Y63" s="25"/>
      <c r="Z63" s="25"/>
      <c r="AA63" s="25"/>
      <c r="AB63" s="27"/>
      <c r="AC63" s="25">
        <f t="shared" si="6"/>
        <v>1592.72</v>
      </c>
      <c r="AD63" s="25"/>
      <c r="AE63" s="23"/>
      <c r="AF63" s="25"/>
      <c r="AG63" s="25"/>
      <c r="AH63" s="25">
        <f t="shared" si="9"/>
        <v>1592.72</v>
      </c>
      <c r="AI63" s="25">
        <f>MAX(ROUND(MAX((AH63+AR63-5000*AQ63-AT63)*{0.03,0.1,0.2,0.25,0.3,0.35,0.45}-{0,2520,16920,31920,52920,85920,181920},0)-AS63,2),0)</f>
        <v>0</v>
      </c>
      <c r="AJ63" s="27"/>
      <c r="AK63" s="25"/>
      <c r="AL63" s="25">
        <f>ROUND(LOOKUP(MAX(0.0001,AK63/12),{0;6;24;50;70;110;160}*500+0.0001,5*MAX(0,AK63)*{0.6;2;4;5;6;7;9}%-10*{0;21;141;266;441;716;1516}),2)</f>
        <v>0</v>
      </c>
      <c r="AM63" s="25">
        <f t="shared" si="7"/>
        <v>1592.72</v>
      </c>
      <c r="AN63" s="25"/>
      <c r="AO63" s="25"/>
      <c r="AP63" s="25">
        <f t="shared" si="8"/>
        <v>1592.72</v>
      </c>
      <c r="AQ63" s="9">
        <v>5</v>
      </c>
      <c r="AR63" s="9">
        <v>20150.93</v>
      </c>
      <c r="AS63" s="9">
        <v>90.31</v>
      </c>
      <c r="AT63" s="9">
        <v>0</v>
      </c>
      <c r="AU63" s="28" t="s">
        <v>54</v>
      </c>
    </row>
    <row r="64" s="2" customFormat="1" ht="16.5" customHeight="1" spans="1:47">
      <c r="A64" s="23">
        <v>63</v>
      </c>
      <c r="B64" s="23" t="s">
        <v>48</v>
      </c>
      <c r="C64" s="23" t="s">
        <v>261</v>
      </c>
      <c r="D64" s="23" t="s">
        <v>262</v>
      </c>
      <c r="E64" s="40" t="s">
        <v>263</v>
      </c>
      <c r="F64" s="23" t="s">
        <v>68</v>
      </c>
      <c r="G64" s="23" t="s">
        <v>134</v>
      </c>
      <c r="H64" s="25">
        <v>2400</v>
      </c>
      <c r="I64" s="26">
        <v>44774</v>
      </c>
      <c r="J64" s="26">
        <v>46142</v>
      </c>
      <c r="K64" s="25">
        <v>4000</v>
      </c>
      <c r="L64" s="25">
        <f>-K64</f>
        <v>-4000</v>
      </c>
      <c r="M64" s="25"/>
      <c r="N64" s="25"/>
      <c r="O64" s="25">
        <v>6</v>
      </c>
      <c r="P64" s="25"/>
      <c r="Q64" s="25">
        <v>6.5</v>
      </c>
      <c r="R64" s="25">
        <f t="shared" si="5"/>
        <v>655.17</v>
      </c>
      <c r="S64" s="27"/>
      <c r="T64" s="25"/>
      <c r="U64" s="25"/>
      <c r="V64" s="25">
        <v>3337.68</v>
      </c>
      <c r="W64" s="25"/>
      <c r="X64" s="25"/>
      <c r="Y64" s="25"/>
      <c r="Z64" s="25"/>
      <c r="AA64" s="25"/>
      <c r="AB64" s="27"/>
      <c r="AC64" s="25">
        <f t="shared" si="6"/>
        <v>3992.85</v>
      </c>
      <c r="AD64" s="25"/>
      <c r="AE64" s="23"/>
      <c r="AF64" s="25"/>
      <c r="AG64" s="25"/>
      <c r="AH64" s="25">
        <f t="shared" si="9"/>
        <v>3992.85</v>
      </c>
      <c r="AI64" s="25">
        <f>MAX(ROUND(MAX((AH64+AR64-5000*AQ64-AT64)*{0.03,0.1,0.2,0.25,0.3,0.35,0.45}-{0,2520,16920,31920,52920,85920,181920},0)-AS64,2),0)</f>
        <v>0</v>
      </c>
      <c r="AJ64" s="27"/>
      <c r="AK64" s="25"/>
      <c r="AL64" s="25">
        <f>ROUND(LOOKUP(MAX(0.0001,AK64/12),{0;6;24;50;70;110;160}*500+0.0001,5*MAX(0,AK64)*{0.6;2;4;5;6;7;9}%-10*{0;21;141;266;441;716;1516}),2)</f>
        <v>0</v>
      </c>
      <c r="AM64" s="25">
        <f t="shared" si="7"/>
        <v>3992.85</v>
      </c>
      <c r="AN64" s="25"/>
      <c r="AO64" s="25"/>
      <c r="AP64" s="25">
        <f t="shared" si="8"/>
        <v>3992.85</v>
      </c>
      <c r="AQ64" s="9">
        <v>5</v>
      </c>
      <c r="AR64" s="9">
        <v>23059.53</v>
      </c>
      <c r="AS64" s="9">
        <v>93.99</v>
      </c>
      <c r="AT64" s="9">
        <v>0</v>
      </c>
      <c r="AU64" s="28" t="s">
        <v>54</v>
      </c>
    </row>
    <row r="65" s="2" customFormat="1" ht="16.5" customHeight="1" spans="1:47">
      <c r="A65" s="23">
        <v>64</v>
      </c>
      <c r="B65" s="23" t="s">
        <v>48</v>
      </c>
      <c r="C65" s="23" t="s">
        <v>264</v>
      </c>
      <c r="D65" s="23" t="s">
        <v>265</v>
      </c>
      <c r="E65" s="40" t="s">
        <v>266</v>
      </c>
      <c r="F65" s="23" t="s">
        <v>68</v>
      </c>
      <c r="G65" s="23" t="s">
        <v>124</v>
      </c>
      <c r="H65" s="25">
        <v>2500</v>
      </c>
      <c r="I65" s="26">
        <v>44783</v>
      </c>
      <c r="J65" s="26"/>
      <c r="K65" s="25">
        <v>3800</v>
      </c>
      <c r="L65" s="25"/>
      <c r="M65" s="25"/>
      <c r="N65" s="25">
        <v>300</v>
      </c>
      <c r="O65" s="25">
        <v>0</v>
      </c>
      <c r="P65" s="25"/>
      <c r="Q65" s="25">
        <v>8</v>
      </c>
      <c r="R65" s="25">
        <f t="shared" si="5"/>
        <v>524.14</v>
      </c>
      <c r="S65" s="27"/>
      <c r="T65" s="25"/>
      <c r="U65" s="25"/>
      <c r="V65" s="25">
        <v>920.8</v>
      </c>
      <c r="W65" s="25">
        <v>1500</v>
      </c>
      <c r="X65" s="25"/>
      <c r="Y65" s="25"/>
      <c r="Z65" s="25"/>
      <c r="AA65" s="25"/>
      <c r="AB65" s="27"/>
      <c r="AC65" s="25">
        <f t="shared" si="6"/>
        <v>7044.94</v>
      </c>
      <c r="AD65" s="25">
        <v>614.72</v>
      </c>
      <c r="AE65" s="23">
        <v>153.68</v>
      </c>
      <c r="AF65" s="25">
        <v>15.37</v>
      </c>
      <c r="AG65" s="25">
        <v>538</v>
      </c>
      <c r="AH65" s="25">
        <f t="shared" si="9"/>
        <v>5723.17</v>
      </c>
      <c r="AI65" s="25">
        <f>MAX(ROUND(MAX((AH65+AR65-5000*AQ65-AT65)*{0.03,0.1,0.2,0.25,0.3,0.35,0.45}-{0,2520,16920,31920,52920,85920,181920},0)-AS65,2),0)</f>
        <v>0.04</v>
      </c>
      <c r="AJ65" s="27"/>
      <c r="AK65" s="25"/>
      <c r="AL65" s="25">
        <f>ROUND(LOOKUP(MAX(0.0001,AK65/12),{0;6;24;50;70;110;160}*500+0.0001,5*MAX(0,AK65)*{0.6;2;4;5;6;7;9}%-10*{0;21;141;266;441;716;1516}),2)</f>
        <v>0</v>
      </c>
      <c r="AM65" s="25">
        <f t="shared" si="7"/>
        <v>7044.94</v>
      </c>
      <c r="AN65" s="25"/>
      <c r="AO65" s="25"/>
      <c r="AP65" s="25">
        <f t="shared" si="8"/>
        <v>5723.13</v>
      </c>
      <c r="AQ65" s="9">
        <v>5</v>
      </c>
      <c r="AR65" s="9">
        <v>23979.42</v>
      </c>
      <c r="AS65" s="9">
        <v>141.04</v>
      </c>
      <c r="AT65" s="9">
        <v>0</v>
      </c>
      <c r="AU65" s="28" t="s">
        <v>54</v>
      </c>
    </row>
    <row r="66" s="2" customFormat="1" ht="16.5" customHeight="1" spans="1:47">
      <c r="A66" s="23">
        <v>65</v>
      </c>
      <c r="B66" s="23" t="s">
        <v>48</v>
      </c>
      <c r="C66" s="23" t="s">
        <v>267</v>
      </c>
      <c r="D66" s="23" t="s">
        <v>268</v>
      </c>
      <c r="E66" s="40" t="s">
        <v>269</v>
      </c>
      <c r="F66" s="23" t="s">
        <v>68</v>
      </c>
      <c r="G66" s="23" t="s">
        <v>95</v>
      </c>
      <c r="H66" s="25">
        <v>2330</v>
      </c>
      <c r="I66" s="26">
        <v>44823</v>
      </c>
      <c r="J66" s="26"/>
      <c r="K66" s="25">
        <v>3600</v>
      </c>
      <c r="L66" s="25"/>
      <c r="M66" s="25"/>
      <c r="N66" s="25">
        <v>300</v>
      </c>
      <c r="O66" s="25">
        <v>43</v>
      </c>
      <c r="P66" s="25"/>
      <c r="Q66" s="25">
        <v>8</v>
      </c>
      <c r="R66" s="25">
        <f t="shared" ref="R66:R95" si="10">ROUND(K66/174*SUM(O66*1.5+P66*2+Q66*3),2)</f>
        <v>1831.03</v>
      </c>
      <c r="S66" s="27"/>
      <c r="T66" s="25"/>
      <c r="U66" s="25"/>
      <c r="V66" s="25">
        <v>7062.15</v>
      </c>
      <c r="W66" s="25"/>
      <c r="X66" s="25"/>
      <c r="Y66" s="25"/>
      <c r="Z66" s="25"/>
      <c r="AA66" s="25"/>
      <c r="AB66" s="27"/>
      <c r="AC66" s="25">
        <f t="shared" ref="AC66:AC97" si="11">ROUND(SUM(SUM(K66:N66)+SUM(R66:AB66)),2)</f>
        <v>12793.18</v>
      </c>
      <c r="AD66" s="25">
        <v>626.88</v>
      </c>
      <c r="AE66" s="23">
        <v>156.72</v>
      </c>
      <c r="AF66" s="25">
        <v>31.34</v>
      </c>
      <c r="AG66" s="25">
        <v>493</v>
      </c>
      <c r="AH66" s="25">
        <f t="shared" si="9"/>
        <v>11485.24</v>
      </c>
      <c r="AI66" s="25">
        <f>MAX(ROUND(MAX((AH66+AR66-5000*AQ66-AT66)*{0.03,0.1,0.2,0.25,0.3,0.35,0.45}-{0,2520,16920,31920,52920,85920,181920},0)-AS66,2),0)</f>
        <v>194.56</v>
      </c>
      <c r="AJ66" s="27"/>
      <c r="AK66" s="25"/>
      <c r="AL66" s="25">
        <f>ROUND(LOOKUP(MAX(0.0001,AK66/12),{0;6;24;50;70;110;160}*500+0.0001,5*MAX(0,AK66)*{0.6;2;4;5;6;7;9}%-10*{0;21;141;266;441;716;1516}),2)</f>
        <v>0</v>
      </c>
      <c r="AM66" s="25">
        <f t="shared" ref="AM66:AM97" si="12">AC66+AK66+AJ66</f>
        <v>12793.18</v>
      </c>
      <c r="AN66" s="25"/>
      <c r="AO66" s="25"/>
      <c r="AP66" s="25">
        <f t="shared" ref="AP66:AP97" si="13">ROUND(AH66-AI66+AK66-AL66+AO66+AN66,2)</f>
        <v>11290.68</v>
      </c>
      <c r="AQ66" s="9">
        <v>5</v>
      </c>
      <c r="AR66" s="9">
        <v>30184.75</v>
      </c>
      <c r="AS66" s="9">
        <v>305.54</v>
      </c>
      <c r="AT66" s="9">
        <v>0</v>
      </c>
      <c r="AU66" s="28" t="s">
        <v>96</v>
      </c>
    </row>
    <row r="67" s="2" customFormat="1" ht="16.5" customHeight="1" spans="1:47">
      <c r="A67" s="23">
        <v>66</v>
      </c>
      <c r="B67" s="23" t="s">
        <v>48</v>
      </c>
      <c r="C67" s="23" t="s">
        <v>270</v>
      </c>
      <c r="D67" s="23" t="s">
        <v>271</v>
      </c>
      <c r="E67" s="40" t="s">
        <v>272</v>
      </c>
      <c r="F67" s="23" t="s">
        <v>52</v>
      </c>
      <c r="G67" s="23" t="s">
        <v>273</v>
      </c>
      <c r="H67" s="25">
        <v>2240</v>
      </c>
      <c r="I67" s="26">
        <v>44833</v>
      </c>
      <c r="J67" s="26"/>
      <c r="K67" s="25">
        <v>4400</v>
      </c>
      <c r="L67" s="25"/>
      <c r="M67" s="25"/>
      <c r="N67" s="25">
        <v>300</v>
      </c>
      <c r="O67" s="25">
        <v>19.5</v>
      </c>
      <c r="P67" s="25"/>
      <c r="Q67" s="25">
        <v>8.5</v>
      </c>
      <c r="R67" s="25">
        <f t="shared" si="10"/>
        <v>1384.48</v>
      </c>
      <c r="S67" s="27"/>
      <c r="T67" s="25"/>
      <c r="U67" s="25"/>
      <c r="V67" s="25">
        <v>679.02</v>
      </c>
      <c r="W67" s="25"/>
      <c r="X67" s="25"/>
      <c r="Y67" s="25"/>
      <c r="Z67" s="25"/>
      <c r="AA67" s="25"/>
      <c r="AB67" s="27"/>
      <c r="AC67" s="25">
        <f t="shared" si="11"/>
        <v>6763.5</v>
      </c>
      <c r="AD67" s="25">
        <v>715.33</v>
      </c>
      <c r="AE67" s="23">
        <v>194.65</v>
      </c>
      <c r="AF67" s="25">
        <v>44.71</v>
      </c>
      <c r="AG67" s="25">
        <v>1073</v>
      </c>
      <c r="AH67" s="25">
        <f t="shared" si="9"/>
        <v>4735.81</v>
      </c>
      <c r="AI67" s="25">
        <f>MAX(ROUND(MAX((AH67+AR67-5000*AQ67-AT67)*{0.03,0.1,0.2,0.25,0.3,0.35,0.45}-{0,2520,16920,31920,52920,85920,181920},0)-AS67,2),0)</f>
        <v>0</v>
      </c>
      <c r="AJ67" s="27"/>
      <c r="AK67" s="25"/>
      <c r="AL67" s="25">
        <f>ROUND(LOOKUP(MAX(0.0001,AK67/12),{0;6;24;50;70;110;160}*500+0.0001,5*MAX(0,AK67)*{0.6;2;4;5;6;7;9}%-10*{0;21;141;266;441;716;1516}),2)</f>
        <v>0</v>
      </c>
      <c r="AM67" s="25">
        <f t="shared" si="12"/>
        <v>6763.5</v>
      </c>
      <c r="AN67" s="25"/>
      <c r="AO67" s="25"/>
      <c r="AP67" s="25">
        <f t="shared" si="13"/>
        <v>4735.81</v>
      </c>
      <c r="AQ67" s="9">
        <v>5</v>
      </c>
      <c r="AR67" s="9">
        <v>28314.24</v>
      </c>
      <c r="AS67" s="9">
        <v>249.43</v>
      </c>
      <c r="AT67" s="9">
        <v>0</v>
      </c>
      <c r="AU67" s="28" t="s">
        <v>54</v>
      </c>
    </row>
    <row r="68" s="2" customFormat="1" ht="16.5" customHeight="1" spans="1:47">
      <c r="A68" s="23">
        <v>67</v>
      </c>
      <c r="B68" s="23" t="s">
        <v>48</v>
      </c>
      <c r="C68" s="23" t="s">
        <v>274</v>
      </c>
      <c r="D68" s="23" t="s">
        <v>275</v>
      </c>
      <c r="E68" s="40" t="s">
        <v>276</v>
      </c>
      <c r="F68" s="23" t="s">
        <v>68</v>
      </c>
      <c r="G68" s="23" t="s">
        <v>273</v>
      </c>
      <c r="H68" s="25">
        <v>2240</v>
      </c>
      <c r="I68" s="26">
        <v>44845</v>
      </c>
      <c r="J68" s="26"/>
      <c r="K68" s="25">
        <v>3600</v>
      </c>
      <c r="L68" s="25"/>
      <c r="M68" s="25"/>
      <c r="N68" s="25">
        <v>300</v>
      </c>
      <c r="O68" s="25">
        <v>2</v>
      </c>
      <c r="P68" s="25"/>
      <c r="Q68" s="25">
        <v>12</v>
      </c>
      <c r="R68" s="25">
        <f t="shared" si="10"/>
        <v>806.9</v>
      </c>
      <c r="S68" s="27"/>
      <c r="T68" s="25"/>
      <c r="U68" s="25"/>
      <c r="V68" s="25"/>
      <c r="W68" s="25"/>
      <c r="X68" s="25"/>
      <c r="Y68" s="25"/>
      <c r="Z68" s="25"/>
      <c r="AA68" s="25"/>
      <c r="AB68" s="27"/>
      <c r="AC68" s="25">
        <f t="shared" si="11"/>
        <v>4706.9</v>
      </c>
      <c r="AD68" s="25">
        <v>616.26</v>
      </c>
      <c r="AE68" s="23">
        <v>169.89</v>
      </c>
      <c r="AF68" s="25">
        <v>38.52</v>
      </c>
      <c r="AG68" s="25">
        <v>924</v>
      </c>
      <c r="AH68" s="25">
        <f t="shared" si="9"/>
        <v>2958.23</v>
      </c>
      <c r="AI68" s="25">
        <f>MAX(ROUND(MAX((AH68+AR68-5000*AQ68-AT68)*{0.03,0.1,0.2,0.25,0.3,0.35,0.45}-{0,2520,16920,31920,52920,85920,181920},0)-AS68,2),0)</f>
        <v>0</v>
      </c>
      <c r="AJ68" s="27"/>
      <c r="AK68" s="25"/>
      <c r="AL68" s="25">
        <f>ROUND(LOOKUP(MAX(0.0001,AK68/12),{0;6;24;50;70;110;160}*500+0.0001,5*MAX(0,AK68)*{0.6;2;4;5;6;7;9}%-10*{0;21;141;266;441;716;1516}),2)</f>
        <v>0</v>
      </c>
      <c r="AM68" s="25">
        <f t="shared" si="12"/>
        <v>4706.9</v>
      </c>
      <c r="AN68" s="25"/>
      <c r="AO68" s="25"/>
      <c r="AP68" s="25">
        <f t="shared" si="13"/>
        <v>2958.23</v>
      </c>
      <c r="AQ68" s="9">
        <v>5</v>
      </c>
      <c r="AR68" s="9">
        <v>20984.87</v>
      </c>
      <c r="AS68" s="9">
        <v>111.76</v>
      </c>
      <c r="AT68" s="9">
        <v>0</v>
      </c>
      <c r="AU68" s="28" t="s">
        <v>54</v>
      </c>
    </row>
    <row r="69" s="2" customFormat="1" ht="16.5" customHeight="1" spans="1:47">
      <c r="A69" s="23">
        <v>68</v>
      </c>
      <c r="B69" s="23" t="s">
        <v>48</v>
      </c>
      <c r="C69" s="23" t="s">
        <v>277</v>
      </c>
      <c r="D69" s="23" t="s">
        <v>278</v>
      </c>
      <c r="E69" s="40" t="s">
        <v>279</v>
      </c>
      <c r="F69" s="23" t="s">
        <v>68</v>
      </c>
      <c r="G69" s="23" t="s">
        <v>88</v>
      </c>
      <c r="H69" s="25">
        <v>2400</v>
      </c>
      <c r="I69" s="26">
        <v>44878</v>
      </c>
      <c r="J69" s="26"/>
      <c r="K69" s="25">
        <v>3600</v>
      </c>
      <c r="L69" s="25"/>
      <c r="M69" s="25"/>
      <c r="N69" s="25">
        <v>300</v>
      </c>
      <c r="O69" s="25">
        <v>1</v>
      </c>
      <c r="P69" s="25"/>
      <c r="Q69" s="25">
        <v>10</v>
      </c>
      <c r="R69" s="25">
        <f t="shared" si="10"/>
        <v>651.72</v>
      </c>
      <c r="S69" s="27"/>
      <c r="T69" s="25"/>
      <c r="U69" s="25"/>
      <c r="V69" s="25">
        <v>2040.12</v>
      </c>
      <c r="W69" s="25"/>
      <c r="X69" s="25"/>
      <c r="Y69" s="25"/>
      <c r="Z69" s="25"/>
      <c r="AA69" s="25"/>
      <c r="AB69" s="27"/>
      <c r="AC69" s="25">
        <f t="shared" si="11"/>
        <v>6591.84</v>
      </c>
      <c r="AD69" s="25">
        <v>657.36</v>
      </c>
      <c r="AE69" s="23">
        <v>171.34</v>
      </c>
      <c r="AF69" s="25">
        <v>24.65</v>
      </c>
      <c r="AG69" s="25">
        <v>657.39</v>
      </c>
      <c r="AH69" s="25">
        <f t="shared" si="9"/>
        <v>5081.1</v>
      </c>
      <c r="AI69" s="25">
        <f>MAX(ROUND(MAX((AH69+AR69-5000*AQ69-AT69)*{0.03,0.1,0.2,0.25,0.3,0.35,0.45}-{0,2520,16920,31920,52920,85920,181920},0)-AS69,2),0)</f>
        <v>2.43</v>
      </c>
      <c r="AJ69" s="27"/>
      <c r="AK69" s="25"/>
      <c r="AL69" s="25">
        <f>ROUND(LOOKUP(MAX(0.0001,AK69/12),{0;6;24;50;70;110;160}*500+0.0001,5*MAX(0,AK69)*{0.6;2;4;5;6;7;9}%-10*{0;21;141;266;441;716;1516}),2)</f>
        <v>0</v>
      </c>
      <c r="AM69" s="25">
        <f t="shared" si="12"/>
        <v>6591.84</v>
      </c>
      <c r="AN69" s="25"/>
      <c r="AO69" s="25"/>
      <c r="AP69" s="25">
        <f t="shared" si="13"/>
        <v>5078.67</v>
      </c>
      <c r="AQ69" s="9">
        <v>5</v>
      </c>
      <c r="AR69" s="9">
        <v>28000.63</v>
      </c>
      <c r="AS69" s="9">
        <v>240.02</v>
      </c>
      <c r="AT69" s="9">
        <v>0</v>
      </c>
      <c r="AU69" s="28" t="s">
        <v>54</v>
      </c>
    </row>
    <row r="70" s="2" customFormat="1" ht="16.5" customHeight="1" spans="1:47">
      <c r="A70" s="23">
        <v>69</v>
      </c>
      <c r="B70" s="23" t="s">
        <v>48</v>
      </c>
      <c r="C70" s="23" t="s">
        <v>280</v>
      </c>
      <c r="D70" s="23" t="s">
        <v>281</v>
      </c>
      <c r="E70" s="40" t="s">
        <v>282</v>
      </c>
      <c r="F70" s="23" t="s">
        <v>68</v>
      </c>
      <c r="G70" s="23" t="s">
        <v>95</v>
      </c>
      <c r="H70" s="25">
        <v>2330</v>
      </c>
      <c r="I70" s="26">
        <v>44879</v>
      </c>
      <c r="J70" s="26"/>
      <c r="K70" s="25">
        <v>3600</v>
      </c>
      <c r="L70" s="25"/>
      <c r="M70" s="25"/>
      <c r="N70" s="25">
        <v>300</v>
      </c>
      <c r="O70" s="25">
        <v>60</v>
      </c>
      <c r="P70" s="25"/>
      <c r="Q70" s="25">
        <v>8</v>
      </c>
      <c r="R70" s="25">
        <f t="shared" si="10"/>
        <v>2358.62</v>
      </c>
      <c r="S70" s="27"/>
      <c r="T70" s="25"/>
      <c r="U70" s="25"/>
      <c r="V70" s="25">
        <v>5741.47</v>
      </c>
      <c r="W70" s="25"/>
      <c r="X70" s="25"/>
      <c r="Y70" s="25"/>
      <c r="Z70" s="25"/>
      <c r="AA70" s="25"/>
      <c r="AB70" s="27"/>
      <c r="AC70" s="25">
        <f t="shared" si="11"/>
        <v>12000.09</v>
      </c>
      <c r="AD70" s="25">
        <v>1376.24</v>
      </c>
      <c r="AE70" s="23">
        <v>344.06</v>
      </c>
      <c r="AF70" s="25">
        <v>68.81</v>
      </c>
      <c r="AG70" s="25">
        <v>631</v>
      </c>
      <c r="AH70" s="25">
        <f t="shared" si="9"/>
        <v>9579.98</v>
      </c>
      <c r="AI70" s="25">
        <f>MAX(ROUND(MAX((AH70+AR70-5000*AQ70-AT70)*{0.03,0.1,0.2,0.25,0.3,0.35,0.45}-{0,2520,16920,31920,52920,85920,181920},0)-AS70,2),0)</f>
        <v>137.4</v>
      </c>
      <c r="AJ70" s="27"/>
      <c r="AK70" s="25"/>
      <c r="AL70" s="25">
        <f>ROUND(LOOKUP(MAX(0.0001,AK70/12),{0;6;24;50;70;110;160}*500+0.0001,5*MAX(0,AK70)*{0.6;2;4;5;6;7;9}%-10*{0;21;141;266;441;716;1516}),2)</f>
        <v>0</v>
      </c>
      <c r="AM70" s="25">
        <f t="shared" si="12"/>
        <v>12000.09</v>
      </c>
      <c r="AN70" s="25"/>
      <c r="AO70" s="25"/>
      <c r="AP70" s="25">
        <f t="shared" si="13"/>
        <v>9442.58</v>
      </c>
      <c r="AQ70" s="9">
        <v>5</v>
      </c>
      <c r="AR70" s="9">
        <v>44189.99</v>
      </c>
      <c r="AS70" s="9">
        <v>725.7</v>
      </c>
      <c r="AT70" s="9">
        <v>0</v>
      </c>
      <c r="AU70" s="28" t="s">
        <v>96</v>
      </c>
    </row>
    <row r="71" s="2" customFormat="1" ht="16.5" customHeight="1" spans="1:47">
      <c r="A71" s="23">
        <v>70</v>
      </c>
      <c r="B71" s="23" t="s">
        <v>48</v>
      </c>
      <c r="C71" s="23" t="s">
        <v>283</v>
      </c>
      <c r="D71" s="23" t="s">
        <v>284</v>
      </c>
      <c r="E71" s="40" t="s">
        <v>285</v>
      </c>
      <c r="F71" s="23" t="s">
        <v>68</v>
      </c>
      <c r="G71" s="23" t="s">
        <v>110</v>
      </c>
      <c r="H71" s="25">
        <v>2330</v>
      </c>
      <c r="I71" s="26">
        <v>44922</v>
      </c>
      <c r="J71" s="26"/>
      <c r="K71" s="25">
        <v>3600</v>
      </c>
      <c r="L71" s="25"/>
      <c r="M71" s="25"/>
      <c r="N71" s="25">
        <v>300</v>
      </c>
      <c r="O71" s="25">
        <v>5</v>
      </c>
      <c r="P71" s="25"/>
      <c r="Q71" s="25">
        <v>11</v>
      </c>
      <c r="R71" s="25">
        <f t="shared" si="10"/>
        <v>837.93</v>
      </c>
      <c r="S71" s="27"/>
      <c r="T71" s="25"/>
      <c r="U71" s="25"/>
      <c r="V71" s="25"/>
      <c r="W71" s="25"/>
      <c r="X71" s="25"/>
      <c r="Y71" s="25"/>
      <c r="Z71" s="25"/>
      <c r="AA71" s="25"/>
      <c r="AB71" s="27"/>
      <c r="AC71" s="25">
        <f t="shared" si="11"/>
        <v>4737.93</v>
      </c>
      <c r="AD71" s="25">
        <v>583.92</v>
      </c>
      <c r="AE71" s="23">
        <v>150.98</v>
      </c>
      <c r="AF71" s="25">
        <v>36.5</v>
      </c>
      <c r="AG71" s="25">
        <v>421</v>
      </c>
      <c r="AH71" s="25">
        <f t="shared" si="9"/>
        <v>3545.53</v>
      </c>
      <c r="AI71" s="25">
        <f>MAX(ROUND(MAX((AH71+AR71-5000*AQ71-AT71)*{0.03,0.1,0.2,0.25,0.3,0.35,0.45}-{0,2520,16920,31920,52920,85920,181920},0)-AS71,2),0)</f>
        <v>0</v>
      </c>
      <c r="AJ71" s="27"/>
      <c r="AK71" s="25"/>
      <c r="AL71" s="25">
        <f>ROUND(LOOKUP(MAX(0.0001,AK71/12),{0;6;24;50;70;110;160}*500+0.0001,5*MAX(0,AK71)*{0.6;2;4;5;6;7;9}%-10*{0;21;141;266;441;716;1516}),2)</f>
        <v>0</v>
      </c>
      <c r="AM71" s="25">
        <f t="shared" si="12"/>
        <v>4737.93</v>
      </c>
      <c r="AN71" s="25"/>
      <c r="AO71" s="25"/>
      <c r="AP71" s="25">
        <f t="shared" si="13"/>
        <v>3545.53</v>
      </c>
      <c r="AQ71" s="9">
        <v>5</v>
      </c>
      <c r="AR71" s="9">
        <v>22728.42</v>
      </c>
      <c r="AS71" s="9">
        <v>175.64</v>
      </c>
      <c r="AT71" s="9">
        <v>0</v>
      </c>
      <c r="AU71" s="28" t="s">
        <v>54</v>
      </c>
    </row>
    <row r="72" s="2" customFormat="1" ht="16.5" customHeight="1" spans="1:47">
      <c r="A72" s="23">
        <v>71</v>
      </c>
      <c r="B72" s="23" t="s">
        <v>48</v>
      </c>
      <c r="C72" s="23" t="s">
        <v>286</v>
      </c>
      <c r="D72" s="23" t="s">
        <v>287</v>
      </c>
      <c r="E72" s="40" t="s">
        <v>288</v>
      </c>
      <c r="F72" s="23" t="s">
        <v>52</v>
      </c>
      <c r="G72" s="23" t="s">
        <v>69</v>
      </c>
      <c r="H72" s="25">
        <v>2540</v>
      </c>
      <c r="I72" s="26">
        <v>44986</v>
      </c>
      <c r="J72" s="26"/>
      <c r="K72" s="25">
        <v>4600</v>
      </c>
      <c r="L72" s="25"/>
      <c r="M72" s="25"/>
      <c r="N72" s="25">
        <v>300</v>
      </c>
      <c r="O72" s="25">
        <v>0</v>
      </c>
      <c r="P72" s="25"/>
      <c r="Q72" s="25">
        <v>12</v>
      </c>
      <c r="R72" s="25">
        <f t="shared" si="10"/>
        <v>951.72</v>
      </c>
      <c r="S72" s="27"/>
      <c r="T72" s="25"/>
      <c r="U72" s="25"/>
      <c r="V72" s="25"/>
      <c r="W72" s="25"/>
      <c r="X72" s="25"/>
      <c r="Y72" s="25"/>
      <c r="Z72" s="25"/>
      <c r="AA72" s="25"/>
      <c r="AB72" s="27"/>
      <c r="AC72" s="25">
        <f t="shared" si="11"/>
        <v>5851.72</v>
      </c>
      <c r="AD72" s="25">
        <v>681.6</v>
      </c>
      <c r="AE72" s="23">
        <v>173.4</v>
      </c>
      <c r="AF72" s="25">
        <v>42.6</v>
      </c>
      <c r="AG72" s="25">
        <v>1022</v>
      </c>
      <c r="AH72" s="25">
        <f t="shared" si="9"/>
        <v>3932.12</v>
      </c>
      <c r="AI72" s="25">
        <f>MAX(ROUND(MAX((AH72+AR72-5000*AQ72-AT72)*{0.03,0.1,0.2,0.25,0.3,0.35,0.45}-{0,2520,16920,31920,52920,85920,181920},0)-AS72,2),0)</f>
        <v>0</v>
      </c>
      <c r="AJ72" s="27"/>
      <c r="AK72" s="25"/>
      <c r="AL72" s="25">
        <f>ROUND(LOOKUP(MAX(0.0001,AK72/12),{0;6;24;50;70;110;160}*500+0.0001,5*MAX(0,AK72)*{0.6;2;4;5;6;7;9}%-10*{0;21;141;266;441;716;1516}),2)</f>
        <v>0</v>
      </c>
      <c r="AM72" s="25">
        <f t="shared" si="12"/>
        <v>5851.72</v>
      </c>
      <c r="AN72" s="25"/>
      <c r="AO72" s="25"/>
      <c r="AP72" s="25">
        <f t="shared" si="13"/>
        <v>3932.12</v>
      </c>
      <c r="AQ72" s="9">
        <v>5</v>
      </c>
      <c r="AR72" s="9">
        <v>19417</v>
      </c>
      <c r="AS72" s="9">
        <v>111.24</v>
      </c>
      <c r="AT72" s="9">
        <v>0</v>
      </c>
      <c r="AU72" s="28" t="s">
        <v>70</v>
      </c>
    </row>
    <row r="73" s="2" customFormat="1" ht="16.5" customHeight="1" spans="1:47">
      <c r="A73" s="23">
        <v>72</v>
      </c>
      <c r="B73" s="23" t="s">
        <v>48</v>
      </c>
      <c r="C73" s="23" t="s">
        <v>289</v>
      </c>
      <c r="D73" s="23" t="s">
        <v>290</v>
      </c>
      <c r="E73" s="40" t="s">
        <v>291</v>
      </c>
      <c r="F73" s="23" t="s">
        <v>208</v>
      </c>
      <c r="G73" s="23" t="s">
        <v>58</v>
      </c>
      <c r="H73" s="25">
        <v>2740</v>
      </c>
      <c r="I73" s="26">
        <v>44999</v>
      </c>
      <c r="J73" s="26"/>
      <c r="K73" s="25">
        <v>5500</v>
      </c>
      <c r="L73" s="25"/>
      <c r="M73" s="25"/>
      <c r="N73" s="25"/>
      <c r="O73" s="25">
        <v>0</v>
      </c>
      <c r="P73" s="25"/>
      <c r="Q73" s="25">
        <v>8</v>
      </c>
      <c r="R73" s="25">
        <f t="shared" si="10"/>
        <v>758.62</v>
      </c>
      <c r="S73" s="27"/>
      <c r="T73" s="25"/>
      <c r="U73" s="25"/>
      <c r="V73" s="25">
        <v>3000</v>
      </c>
      <c r="W73" s="25"/>
      <c r="X73" s="25"/>
      <c r="Y73" s="25"/>
      <c r="Z73" s="25"/>
      <c r="AA73" s="25"/>
      <c r="AB73" s="29"/>
      <c r="AC73" s="25">
        <f t="shared" si="11"/>
        <v>9258.62</v>
      </c>
      <c r="AD73" s="25">
        <v>1305.8</v>
      </c>
      <c r="AE73" s="23">
        <v>326.45</v>
      </c>
      <c r="AF73" s="25">
        <v>81.61</v>
      </c>
      <c r="AG73" s="25">
        <v>1143</v>
      </c>
      <c r="AH73" s="25">
        <f t="shared" si="9"/>
        <v>6401.76</v>
      </c>
      <c r="AI73" s="25">
        <f>MAX(ROUND(MAX((AH73+AR73-5000*AQ73-AT73)*{0.03,0.1,0.2,0.25,0.3,0.35,0.45}-{0,2520,16920,31920,52920,85920,181920},0)-AS73,2),0)</f>
        <v>140.17</v>
      </c>
      <c r="AJ73" s="27"/>
      <c r="AK73" s="25"/>
      <c r="AL73" s="25">
        <f>ROUND(LOOKUP(MAX(0.0001,AK73/12),{0;6;24;50;70;110;160}*500+0.0001,5*MAX(0,AK73)*{0.6;2;4;5;6;7;9}%-10*{0;21;141;266;441;716;1516}),2)</f>
        <v>0</v>
      </c>
      <c r="AM73" s="25">
        <f t="shared" si="12"/>
        <v>9258.62</v>
      </c>
      <c r="AN73" s="25"/>
      <c r="AO73" s="25"/>
      <c r="AP73" s="25">
        <f t="shared" si="13"/>
        <v>6261.59</v>
      </c>
      <c r="AQ73" s="9">
        <v>5</v>
      </c>
      <c r="AR73" s="9">
        <v>58944.36</v>
      </c>
      <c r="AS73" s="9">
        <v>1374.44</v>
      </c>
      <c r="AT73" s="9">
        <v>0</v>
      </c>
      <c r="AU73" s="28" t="s">
        <v>59</v>
      </c>
    </row>
    <row r="74" s="2" customFormat="1" ht="16.5" customHeight="1" spans="1:47">
      <c r="A74" s="23">
        <v>73</v>
      </c>
      <c r="B74" s="23" t="s">
        <v>48</v>
      </c>
      <c r="C74" s="23" t="s">
        <v>292</v>
      </c>
      <c r="D74" s="23" t="s">
        <v>293</v>
      </c>
      <c r="E74" s="40" t="s">
        <v>294</v>
      </c>
      <c r="F74" s="23" t="s">
        <v>68</v>
      </c>
      <c r="G74" s="23" t="s">
        <v>88</v>
      </c>
      <c r="H74" s="25">
        <v>2400</v>
      </c>
      <c r="I74" s="26">
        <v>45017</v>
      </c>
      <c r="J74" s="26"/>
      <c r="K74" s="25">
        <v>3600</v>
      </c>
      <c r="L74" s="25"/>
      <c r="M74" s="25"/>
      <c r="N74" s="25">
        <v>300</v>
      </c>
      <c r="O74" s="25">
        <v>24</v>
      </c>
      <c r="P74" s="25"/>
      <c r="Q74" s="25">
        <v>8</v>
      </c>
      <c r="R74" s="25">
        <f t="shared" si="10"/>
        <v>1241.38</v>
      </c>
      <c r="S74" s="27"/>
      <c r="T74" s="25"/>
      <c r="U74" s="25"/>
      <c r="V74" s="25">
        <v>1997.9</v>
      </c>
      <c r="W74" s="25">
        <v>1500</v>
      </c>
      <c r="X74" s="25"/>
      <c r="Y74" s="25"/>
      <c r="Z74" s="25"/>
      <c r="AA74" s="25"/>
      <c r="AB74" s="27"/>
      <c r="AC74" s="25">
        <f t="shared" si="11"/>
        <v>8639.28</v>
      </c>
      <c r="AD74" s="25">
        <v>654.48</v>
      </c>
      <c r="AE74" s="23">
        <v>170.62</v>
      </c>
      <c r="AF74" s="25">
        <v>24.54</v>
      </c>
      <c r="AG74" s="25">
        <v>654.44</v>
      </c>
      <c r="AH74" s="25">
        <f t="shared" si="9"/>
        <v>7135.2</v>
      </c>
      <c r="AI74" s="25">
        <f>MAX(ROUND(MAX((AH74+AR74-5000*AQ74-AT74)*{0.03,0.1,0.2,0.25,0.3,0.35,0.45}-{0,2520,16920,31920,52920,85920,181920},0)-AS74,2),0)</f>
        <v>0</v>
      </c>
      <c r="AJ74" s="27"/>
      <c r="AK74" s="25"/>
      <c r="AL74" s="25">
        <f>ROUND(LOOKUP(MAX(0.0001,AK74/12),{0;6;24;50;70;110;160}*500+0.0001,5*MAX(0,AK74)*{0.6;2;4;5;6;7;9}%-10*{0;21;141;266;441;716;1516}),2)</f>
        <v>0</v>
      </c>
      <c r="AM74" s="25">
        <f t="shared" si="12"/>
        <v>8639.28</v>
      </c>
      <c r="AN74" s="25"/>
      <c r="AO74" s="25"/>
      <c r="AP74" s="25">
        <f t="shared" si="13"/>
        <v>7135.2</v>
      </c>
      <c r="AQ74" s="9">
        <v>5</v>
      </c>
      <c r="AR74" s="9">
        <v>23635.36</v>
      </c>
      <c r="AS74" s="9">
        <v>79.35</v>
      </c>
      <c r="AT74" s="9">
        <v>12492.5</v>
      </c>
      <c r="AU74" s="28" t="s">
        <v>54</v>
      </c>
    </row>
    <row r="75" s="2" customFormat="1" ht="16.95" customHeight="1" spans="1:47">
      <c r="A75" s="23">
        <v>74</v>
      </c>
      <c r="B75" s="23" t="s">
        <v>48</v>
      </c>
      <c r="C75" s="23" t="s">
        <v>295</v>
      </c>
      <c r="D75" s="23" t="s">
        <v>296</v>
      </c>
      <c r="E75" s="40" t="s">
        <v>297</v>
      </c>
      <c r="F75" s="23" t="s">
        <v>68</v>
      </c>
      <c r="G75" s="23" t="s">
        <v>273</v>
      </c>
      <c r="H75" s="25">
        <v>2240</v>
      </c>
      <c r="I75" s="26">
        <v>45108</v>
      </c>
      <c r="J75" s="26">
        <v>46173</v>
      </c>
      <c r="K75" s="25">
        <v>3600</v>
      </c>
      <c r="L75" s="25">
        <v>0</v>
      </c>
      <c r="M75" s="25"/>
      <c r="N75" s="25">
        <v>200</v>
      </c>
      <c r="O75" s="25">
        <v>19</v>
      </c>
      <c r="P75" s="25"/>
      <c r="Q75" s="25">
        <v>8.5</v>
      </c>
      <c r="R75" s="25">
        <f t="shared" si="10"/>
        <v>1117.24</v>
      </c>
      <c r="S75" s="27"/>
      <c r="T75" s="25"/>
      <c r="U75" s="27"/>
      <c r="V75" s="25">
        <v>513.4</v>
      </c>
      <c r="W75" s="25"/>
      <c r="X75" s="25"/>
      <c r="Y75" s="25">
        <v>662.07</v>
      </c>
      <c r="Z75" s="25"/>
      <c r="AA75" s="25"/>
      <c r="AB75" s="27"/>
      <c r="AC75" s="25">
        <f t="shared" si="11"/>
        <v>6092.71</v>
      </c>
      <c r="AD75" s="25">
        <v>450.52</v>
      </c>
      <c r="AE75" s="23">
        <v>128.45</v>
      </c>
      <c r="AF75" s="25">
        <v>28.16</v>
      </c>
      <c r="AG75" s="25">
        <v>676</v>
      </c>
      <c r="AH75" s="25">
        <f t="shared" si="9"/>
        <v>4809.58</v>
      </c>
      <c r="AI75" s="25">
        <f>MAX(ROUND(MAX((AH75+AR75-5000*AQ75-AT75)*{0.03,0.1,0.2,0.25,0.3,0.35,0.45}-{0,2520,16920,31920,52920,85920,181920},0)-AS75,2),0)</f>
        <v>0</v>
      </c>
      <c r="AJ75" s="27"/>
      <c r="AK75" s="25"/>
      <c r="AL75" s="25">
        <f>ROUND(LOOKUP(MAX(0.0001,AK75/12),{0;6;24;50;70;110;160}*500+0.0001,5*MAX(0,AK75)*{0.6;2;4;5;6;7;9}%-10*{0;21;141;266;441;716;1516}),2)</f>
        <v>0</v>
      </c>
      <c r="AM75" s="25">
        <f t="shared" si="12"/>
        <v>6092.71</v>
      </c>
      <c r="AN75" s="25">
        <v>25001.04</v>
      </c>
      <c r="AO75" s="25"/>
      <c r="AP75" s="25">
        <f t="shared" si="13"/>
        <v>29810.62</v>
      </c>
      <c r="AQ75" s="9">
        <v>5</v>
      </c>
      <c r="AR75" s="9">
        <v>23127.74</v>
      </c>
      <c r="AS75" s="9">
        <v>128.82</v>
      </c>
      <c r="AT75" s="9">
        <v>0</v>
      </c>
      <c r="AU75" s="28" t="s">
        <v>54</v>
      </c>
    </row>
    <row r="76" s="2" customFormat="1" ht="16.5" customHeight="1" spans="1:47">
      <c r="A76" s="23">
        <v>75</v>
      </c>
      <c r="B76" s="23" t="s">
        <v>48</v>
      </c>
      <c r="C76" s="23" t="s">
        <v>298</v>
      </c>
      <c r="D76" s="23" t="s">
        <v>299</v>
      </c>
      <c r="E76" s="40" t="s">
        <v>300</v>
      </c>
      <c r="F76" s="23" t="s">
        <v>63</v>
      </c>
      <c r="G76" s="23" t="s">
        <v>95</v>
      </c>
      <c r="H76" s="25">
        <v>2330</v>
      </c>
      <c r="I76" s="26">
        <v>45231</v>
      </c>
      <c r="J76" s="26"/>
      <c r="K76" s="25">
        <v>8000</v>
      </c>
      <c r="L76" s="25"/>
      <c r="M76" s="25"/>
      <c r="N76" s="25">
        <v>200</v>
      </c>
      <c r="O76" s="25">
        <v>62</v>
      </c>
      <c r="P76" s="25"/>
      <c r="Q76" s="25">
        <v>8</v>
      </c>
      <c r="R76" s="25">
        <f t="shared" si="10"/>
        <v>5379.31</v>
      </c>
      <c r="S76" s="27"/>
      <c r="T76" s="25"/>
      <c r="U76" s="25"/>
      <c r="V76" s="25">
        <v>1353.25</v>
      </c>
      <c r="W76" s="25"/>
      <c r="X76" s="25"/>
      <c r="Y76" s="25"/>
      <c r="Z76" s="25"/>
      <c r="AA76" s="25"/>
      <c r="AB76" s="27"/>
      <c r="AC76" s="25">
        <f t="shared" si="11"/>
        <v>14932.56</v>
      </c>
      <c r="AD76" s="25">
        <v>1175.12</v>
      </c>
      <c r="AE76" s="23">
        <v>293.78</v>
      </c>
      <c r="AF76" s="25">
        <v>58.76</v>
      </c>
      <c r="AG76" s="25">
        <v>737</v>
      </c>
      <c r="AH76" s="25">
        <f t="shared" si="9"/>
        <v>12667.9</v>
      </c>
      <c r="AI76" s="25">
        <f>MAX(ROUND(MAX((AH76+AR76-5000*AQ76-AT76)*{0.03,0.1,0.2,0.25,0.3,0.35,0.45}-{0,2520,16920,31920,52920,85920,181920},0)-AS76,2),0)</f>
        <v>189.32</v>
      </c>
      <c r="AJ76" s="27"/>
      <c r="AK76" s="25"/>
      <c r="AL76" s="25">
        <f>ROUND(LOOKUP(MAX(0.0001,AK76/12),{0;6;24;50;70;110;160}*500+0.0001,5*MAX(0,AK76)*{0.6;2;4;5;6;7;9}%-10*{0;21;141;266;441;716;1516}),2)</f>
        <v>0</v>
      </c>
      <c r="AM76" s="25">
        <f t="shared" si="12"/>
        <v>14932.56</v>
      </c>
      <c r="AN76" s="25"/>
      <c r="AO76" s="25"/>
      <c r="AP76" s="25">
        <f t="shared" si="13"/>
        <v>12478.58</v>
      </c>
      <c r="AQ76" s="9">
        <v>5</v>
      </c>
      <c r="AR76" s="9">
        <v>48792.05</v>
      </c>
      <c r="AS76" s="9">
        <v>754.48</v>
      </c>
      <c r="AT76" s="9">
        <v>5000</v>
      </c>
      <c r="AU76" s="28" t="s">
        <v>96</v>
      </c>
    </row>
    <row r="77" s="2" customFormat="1" ht="16.5" customHeight="1" spans="1:47">
      <c r="A77" s="23">
        <v>76</v>
      </c>
      <c r="B77" s="23" t="s">
        <v>48</v>
      </c>
      <c r="C77" s="23" t="s">
        <v>301</v>
      </c>
      <c r="D77" s="23" t="s">
        <v>302</v>
      </c>
      <c r="E77" s="40" t="s">
        <v>303</v>
      </c>
      <c r="F77" s="23" t="s">
        <v>68</v>
      </c>
      <c r="G77" s="23" t="s">
        <v>304</v>
      </c>
      <c r="H77" s="25">
        <v>2520</v>
      </c>
      <c r="I77" s="26">
        <v>45231</v>
      </c>
      <c r="J77" s="26"/>
      <c r="K77" s="25">
        <v>4200</v>
      </c>
      <c r="L77" s="25"/>
      <c r="M77" s="25"/>
      <c r="N77" s="25">
        <v>200</v>
      </c>
      <c r="O77" s="25">
        <v>0</v>
      </c>
      <c r="P77" s="25"/>
      <c r="Q77" s="25">
        <v>8</v>
      </c>
      <c r="R77" s="25">
        <f t="shared" si="10"/>
        <v>579.31</v>
      </c>
      <c r="S77" s="27"/>
      <c r="T77" s="25"/>
      <c r="U77" s="25"/>
      <c r="V77" s="25">
        <v>3123.25</v>
      </c>
      <c r="W77" s="25"/>
      <c r="X77" s="25"/>
      <c r="Y77" s="25"/>
      <c r="Z77" s="25"/>
      <c r="AA77" s="25"/>
      <c r="AB77" s="27"/>
      <c r="AC77" s="25">
        <f t="shared" si="11"/>
        <v>8102.56</v>
      </c>
      <c r="AD77" s="25">
        <v>721.64</v>
      </c>
      <c r="AE77" s="23">
        <v>180.41</v>
      </c>
      <c r="AF77" s="25">
        <v>18.04</v>
      </c>
      <c r="AG77" s="25">
        <v>631.44</v>
      </c>
      <c r="AH77" s="25">
        <f t="shared" si="9"/>
        <v>6551.03</v>
      </c>
      <c r="AI77" s="25">
        <f>MAX(ROUND(MAX((AH77+AR77-5000*AQ77-AT77)*{0.03,0.1,0.2,0.25,0.3,0.35,0.45}-{0,2520,16920,31920,52920,85920,181920},0)-AS77,2),0)</f>
        <v>0</v>
      </c>
      <c r="AJ77" s="27"/>
      <c r="AK77" s="25"/>
      <c r="AL77" s="25">
        <f>ROUND(LOOKUP(MAX(0.0001,AK77/12),{0;6;24;50;70;110;160}*500+0.0001,5*MAX(0,AK77)*{0.6;2;4;5;6;7;9}%-10*{0;21;141;266;441;716;1516}),2)</f>
        <v>0</v>
      </c>
      <c r="AM77" s="25">
        <f t="shared" si="12"/>
        <v>8102.56</v>
      </c>
      <c r="AN77" s="25"/>
      <c r="AO77" s="25"/>
      <c r="AP77" s="25">
        <f t="shared" si="13"/>
        <v>6551.03</v>
      </c>
      <c r="AQ77" s="9">
        <v>5</v>
      </c>
      <c r="AR77" s="9">
        <v>47805.7</v>
      </c>
      <c r="AS77" s="9">
        <v>711.21</v>
      </c>
      <c r="AT77" s="9">
        <v>7500</v>
      </c>
      <c r="AU77" s="28" t="s">
        <v>305</v>
      </c>
    </row>
    <row r="78" s="2" customFormat="1" ht="16.5" customHeight="1" spans="1:47">
      <c r="A78" s="23">
        <v>77</v>
      </c>
      <c r="B78" s="23" t="s">
        <v>48</v>
      </c>
      <c r="C78" s="23" t="s">
        <v>306</v>
      </c>
      <c r="D78" s="23" t="s">
        <v>307</v>
      </c>
      <c r="E78" s="40" t="s">
        <v>308</v>
      </c>
      <c r="F78" s="23" t="s">
        <v>63</v>
      </c>
      <c r="G78" s="23" t="s">
        <v>69</v>
      </c>
      <c r="H78" s="25">
        <v>2540</v>
      </c>
      <c r="I78" s="26">
        <v>45274</v>
      </c>
      <c r="J78" s="26"/>
      <c r="K78" s="25">
        <v>8000</v>
      </c>
      <c r="L78" s="25"/>
      <c r="M78" s="25"/>
      <c r="N78" s="25">
        <v>200</v>
      </c>
      <c r="O78" s="25"/>
      <c r="P78" s="25"/>
      <c r="Q78" s="25"/>
      <c r="R78" s="25">
        <f t="shared" si="10"/>
        <v>0</v>
      </c>
      <c r="S78" s="27"/>
      <c r="T78" s="25"/>
      <c r="U78" s="25"/>
      <c r="V78" s="25">
        <v>934</v>
      </c>
      <c r="W78" s="25"/>
      <c r="X78" s="25"/>
      <c r="Y78" s="25"/>
      <c r="Z78" s="25"/>
      <c r="AA78" s="25"/>
      <c r="AB78" s="27"/>
      <c r="AC78" s="25">
        <f t="shared" si="11"/>
        <v>9134</v>
      </c>
      <c r="AD78" s="25">
        <v>794.16</v>
      </c>
      <c r="AE78" s="23">
        <v>201.54</v>
      </c>
      <c r="AF78" s="25">
        <v>49.64</v>
      </c>
      <c r="AG78" s="25">
        <v>1191</v>
      </c>
      <c r="AH78" s="25">
        <f t="shared" si="9"/>
        <v>6897.66</v>
      </c>
      <c r="AI78" s="25">
        <f>MAX(ROUND(MAX((AH78+AR78-5000*AQ78-AT78)*{0.03,0.1,0.2,0.25,0.3,0.35,0.45}-{0,2520,16920,31920,52920,85920,181920},0)-AS78,2),0)</f>
        <v>56.93</v>
      </c>
      <c r="AJ78" s="27"/>
      <c r="AK78" s="25"/>
      <c r="AL78" s="25">
        <f>ROUND(LOOKUP(MAX(0.0001,AK78/12),{0;6;24;50;70;110;160}*500+0.0001,5*MAX(0,AK78)*{0.6;2;4;5;6;7;9}%-10*{0;21;141;266;441;716;1516}),2)</f>
        <v>0</v>
      </c>
      <c r="AM78" s="25">
        <f t="shared" si="12"/>
        <v>9134</v>
      </c>
      <c r="AN78" s="25"/>
      <c r="AO78" s="25"/>
      <c r="AP78" s="25">
        <f t="shared" si="13"/>
        <v>6840.73</v>
      </c>
      <c r="AQ78" s="9">
        <v>5</v>
      </c>
      <c r="AR78" s="9">
        <v>33108.96</v>
      </c>
      <c r="AS78" s="9">
        <v>393.27</v>
      </c>
      <c r="AT78" s="9">
        <v>0</v>
      </c>
      <c r="AU78" s="28" t="s">
        <v>70</v>
      </c>
    </row>
    <row r="79" s="2" customFormat="1" ht="16.5" customHeight="1" spans="1:47">
      <c r="A79" s="23">
        <v>78</v>
      </c>
      <c r="B79" s="23" t="s">
        <v>48</v>
      </c>
      <c r="C79" s="23" t="s">
        <v>309</v>
      </c>
      <c r="D79" s="23" t="s">
        <v>310</v>
      </c>
      <c r="E79" s="40" t="s">
        <v>311</v>
      </c>
      <c r="F79" s="23" t="s">
        <v>68</v>
      </c>
      <c r="G79" s="23" t="s">
        <v>69</v>
      </c>
      <c r="H79" s="25">
        <v>2540</v>
      </c>
      <c r="I79" s="26">
        <v>45384</v>
      </c>
      <c r="J79" s="26">
        <v>46155</v>
      </c>
      <c r="K79" s="25">
        <v>3800</v>
      </c>
      <c r="L79" s="25">
        <v>-2019.68</v>
      </c>
      <c r="M79" s="25"/>
      <c r="N79" s="25">
        <v>93.7</v>
      </c>
      <c r="O79" s="25">
        <v>0</v>
      </c>
      <c r="P79" s="25"/>
      <c r="Q79" s="25">
        <v>11</v>
      </c>
      <c r="R79" s="25">
        <f t="shared" si="10"/>
        <v>720.69</v>
      </c>
      <c r="S79" s="27"/>
      <c r="T79" s="25"/>
      <c r="U79" s="25"/>
      <c r="V79" s="25">
        <v>229.45</v>
      </c>
      <c r="W79" s="25"/>
      <c r="X79" s="25"/>
      <c r="Y79" s="25">
        <v>1048.28</v>
      </c>
      <c r="Z79" s="25"/>
      <c r="AA79" s="25"/>
      <c r="AB79" s="29"/>
      <c r="AC79" s="25">
        <f t="shared" si="11"/>
        <v>3872.44</v>
      </c>
      <c r="AD79" s="25">
        <v>572.96</v>
      </c>
      <c r="AE79" s="23">
        <v>146.24</v>
      </c>
      <c r="AF79" s="25">
        <v>35.81</v>
      </c>
      <c r="AG79" s="25">
        <v>733</v>
      </c>
      <c r="AH79" s="25">
        <f t="shared" si="9"/>
        <v>2384.43</v>
      </c>
      <c r="AI79" s="25">
        <f>MAX(ROUND(MAX((AH79+AR79-5000*AQ79-AT79)*{0.03,0.1,0.2,0.25,0.3,0.35,0.45}-{0,2520,16920,31920,52920,85920,181920},0)-AS79,2),0)</f>
        <v>0</v>
      </c>
      <c r="AJ79" s="27"/>
      <c r="AK79" s="25"/>
      <c r="AL79" s="25">
        <f>ROUND(LOOKUP(MAX(0.0001,AK79/12),{0;6;24;50;70;110;160}*500+0.0001,5*MAX(0,AK79)*{0.6;2;4;5;6;7;9}%-10*{0;21;141;266;441;716;1516}),2)</f>
        <v>0</v>
      </c>
      <c r="AM79" s="25">
        <f t="shared" si="12"/>
        <v>3872.44</v>
      </c>
      <c r="AN79" s="25">
        <v>16281.95</v>
      </c>
      <c r="AO79" s="25"/>
      <c r="AP79" s="25">
        <f t="shared" si="13"/>
        <v>18666.38</v>
      </c>
      <c r="AQ79" s="9">
        <v>5</v>
      </c>
      <c r="AR79" s="9">
        <v>29213.95</v>
      </c>
      <c r="AS79" s="9">
        <v>374.37</v>
      </c>
      <c r="AT79" s="9">
        <v>0</v>
      </c>
      <c r="AU79" s="28" t="s">
        <v>70</v>
      </c>
    </row>
    <row r="80" s="2" customFormat="1" ht="16.5" customHeight="1" spans="1:47">
      <c r="A80" s="23">
        <v>79</v>
      </c>
      <c r="B80" s="23" t="s">
        <v>48</v>
      </c>
      <c r="C80" s="23" t="s">
        <v>312</v>
      </c>
      <c r="D80" s="23" t="s">
        <v>313</v>
      </c>
      <c r="E80" s="40" t="s">
        <v>314</v>
      </c>
      <c r="F80" s="23" t="s">
        <v>68</v>
      </c>
      <c r="G80" s="23" t="s">
        <v>273</v>
      </c>
      <c r="H80" s="25">
        <v>2240</v>
      </c>
      <c r="I80" s="26">
        <v>45397</v>
      </c>
      <c r="J80" s="26"/>
      <c r="K80" s="25">
        <v>3600</v>
      </c>
      <c r="L80" s="25"/>
      <c r="M80" s="25"/>
      <c r="N80" s="25">
        <v>200</v>
      </c>
      <c r="O80" s="25">
        <v>29</v>
      </c>
      <c r="P80" s="25"/>
      <c r="Q80" s="25">
        <v>12</v>
      </c>
      <c r="R80" s="25">
        <f t="shared" si="10"/>
        <v>1644.83</v>
      </c>
      <c r="S80" s="27"/>
      <c r="T80" s="25"/>
      <c r="U80" s="25"/>
      <c r="V80" s="25"/>
      <c r="W80" s="25"/>
      <c r="X80" s="25"/>
      <c r="Y80" s="25"/>
      <c r="Z80" s="25"/>
      <c r="AA80" s="25"/>
      <c r="AB80" s="27"/>
      <c r="AC80" s="25">
        <f t="shared" si="11"/>
        <v>5444.83</v>
      </c>
      <c r="AD80" s="25">
        <v>527.69</v>
      </c>
      <c r="AE80" s="23">
        <v>147.74</v>
      </c>
      <c r="AF80" s="25">
        <v>32.98</v>
      </c>
      <c r="AG80" s="25">
        <v>792</v>
      </c>
      <c r="AH80" s="25">
        <f t="shared" si="9"/>
        <v>3944.42</v>
      </c>
      <c r="AI80" s="25">
        <f>MAX(ROUND(MAX((AH80+AR80-5000*AQ80-AT80)*{0.03,0.1,0.2,0.25,0.3,0.35,0.45}-{0,2520,16920,31920,52920,85920,181920},0)-AS80,2),0)</f>
        <v>0</v>
      </c>
      <c r="AJ80" s="27"/>
      <c r="AK80" s="25"/>
      <c r="AL80" s="25">
        <f>ROUND(LOOKUP(MAX(0.0001,AK80/12),{0;6;24;50;70;110;160}*500+0.0001,5*MAX(0,AK80)*{0.6;2;4;5;6;7;9}%-10*{0;21;141;266;441;716;1516}),2)</f>
        <v>0</v>
      </c>
      <c r="AM80" s="25">
        <f t="shared" si="12"/>
        <v>5444.83</v>
      </c>
      <c r="AN80" s="25"/>
      <c r="AO80" s="25"/>
      <c r="AP80" s="25">
        <f t="shared" si="13"/>
        <v>3944.42</v>
      </c>
      <c r="AQ80" s="9">
        <v>5</v>
      </c>
      <c r="AR80" s="9">
        <v>21964.55</v>
      </c>
      <c r="AS80" s="9">
        <v>174.78</v>
      </c>
      <c r="AT80" s="9">
        <v>0</v>
      </c>
      <c r="AU80" s="28" t="s">
        <v>54</v>
      </c>
    </row>
    <row r="81" s="2" customFormat="1" ht="16.5" customHeight="1" spans="1:47">
      <c r="A81" s="23">
        <v>80</v>
      </c>
      <c r="B81" s="23" t="s">
        <v>48</v>
      </c>
      <c r="C81" s="23" t="s">
        <v>315</v>
      </c>
      <c r="D81" s="23" t="s">
        <v>316</v>
      </c>
      <c r="E81" s="40" t="s">
        <v>317</v>
      </c>
      <c r="F81" s="23" t="s">
        <v>52</v>
      </c>
      <c r="G81" s="23" t="s">
        <v>88</v>
      </c>
      <c r="H81" s="25">
        <v>2400</v>
      </c>
      <c r="I81" s="26">
        <v>45434</v>
      </c>
      <c r="J81" s="26"/>
      <c r="K81" s="25">
        <v>4400</v>
      </c>
      <c r="L81" s="25"/>
      <c r="M81" s="25"/>
      <c r="N81" s="25">
        <v>132.26</v>
      </c>
      <c r="O81" s="25">
        <v>32.5</v>
      </c>
      <c r="P81" s="25"/>
      <c r="Q81" s="25">
        <v>11.5</v>
      </c>
      <c r="R81" s="25">
        <f t="shared" si="10"/>
        <v>2105.17</v>
      </c>
      <c r="S81" s="27"/>
      <c r="T81" s="25"/>
      <c r="U81" s="25"/>
      <c r="V81" s="25">
        <v>11833.24</v>
      </c>
      <c r="W81" s="25"/>
      <c r="X81" s="25"/>
      <c r="Y81" s="25"/>
      <c r="Z81" s="25"/>
      <c r="AA81" s="25"/>
      <c r="AB81" s="27"/>
      <c r="AC81" s="25">
        <f t="shared" si="11"/>
        <v>18470.67</v>
      </c>
      <c r="AD81" s="25">
        <v>543.36</v>
      </c>
      <c r="AE81" s="23">
        <v>142.84</v>
      </c>
      <c r="AF81" s="25">
        <v>20.38</v>
      </c>
      <c r="AG81" s="25">
        <v>543.35</v>
      </c>
      <c r="AH81" s="25">
        <f t="shared" si="9"/>
        <v>17220.74</v>
      </c>
      <c r="AI81" s="25">
        <f>MAX(ROUND(MAX((AH81+AR81-5000*AQ81-AT81)*{0.03,0.1,0.2,0.25,0.3,0.35,0.45}-{0,2520,16920,31920,52920,85920,181920},0)-AS81,2),0)</f>
        <v>366.62</v>
      </c>
      <c r="AJ81" s="27"/>
      <c r="AK81" s="25"/>
      <c r="AL81" s="25">
        <f>ROUND(LOOKUP(MAX(0.0001,AK81/12),{0;6;24;50;70;110;160}*500+0.0001,5*MAX(0,AK81)*{0.6;2;4;5;6;7;9}%-10*{0;21;141;266;441;716;1516}),2)</f>
        <v>0</v>
      </c>
      <c r="AM81" s="25">
        <f t="shared" si="12"/>
        <v>18470.67</v>
      </c>
      <c r="AN81" s="25"/>
      <c r="AO81" s="25"/>
      <c r="AP81" s="25">
        <f t="shared" si="13"/>
        <v>16854.12</v>
      </c>
      <c r="AQ81" s="9">
        <v>5</v>
      </c>
      <c r="AR81" s="9">
        <v>35828.53</v>
      </c>
      <c r="AS81" s="9">
        <v>474.86</v>
      </c>
      <c r="AT81" s="9">
        <v>0</v>
      </c>
      <c r="AU81" s="28" t="s">
        <v>54</v>
      </c>
    </row>
    <row r="82" s="2" customFormat="1" ht="16.5" customHeight="1" spans="1:47">
      <c r="A82" s="23">
        <v>81</v>
      </c>
      <c r="B82" s="23" t="s">
        <v>48</v>
      </c>
      <c r="C82" s="23" t="s">
        <v>318</v>
      </c>
      <c r="D82" s="23" t="s">
        <v>319</v>
      </c>
      <c r="E82" s="40" t="s">
        <v>320</v>
      </c>
      <c r="F82" s="23" t="s">
        <v>68</v>
      </c>
      <c r="G82" s="23" t="s">
        <v>88</v>
      </c>
      <c r="H82" s="25">
        <v>2400</v>
      </c>
      <c r="I82" s="26">
        <v>45483</v>
      </c>
      <c r="J82" s="26">
        <v>46142</v>
      </c>
      <c r="K82" s="25">
        <v>3600</v>
      </c>
      <c r="L82" s="25">
        <f>-K82</f>
        <v>-3600</v>
      </c>
      <c r="M82" s="25"/>
      <c r="N82" s="25"/>
      <c r="O82" s="25">
        <v>15</v>
      </c>
      <c r="P82" s="25"/>
      <c r="Q82" s="25">
        <v>0</v>
      </c>
      <c r="R82" s="25">
        <f t="shared" si="10"/>
        <v>465.52</v>
      </c>
      <c r="S82" s="27"/>
      <c r="T82" s="25"/>
      <c r="U82" s="25"/>
      <c r="V82" s="25">
        <v>12036.22</v>
      </c>
      <c r="W82" s="25"/>
      <c r="X82" s="27"/>
      <c r="Y82" s="25">
        <v>331.03</v>
      </c>
      <c r="Z82" s="25"/>
      <c r="AA82" s="25"/>
      <c r="AB82" s="27"/>
      <c r="AC82" s="25">
        <f t="shared" si="11"/>
        <v>12832.77</v>
      </c>
      <c r="AD82" s="25"/>
      <c r="AE82" s="23"/>
      <c r="AF82" s="25"/>
      <c r="AG82" s="25"/>
      <c r="AH82" s="25">
        <f t="shared" si="9"/>
        <v>12832.77</v>
      </c>
      <c r="AI82" s="25">
        <f>MAX(ROUND(MAX((AH82+AR82-5000*AQ82-AT82)*{0.03,0.1,0.2,0.25,0.3,0.35,0.45}-{0,2520,16920,31920,52920,85920,181920},0)-AS82,2),0)</f>
        <v>0</v>
      </c>
      <c r="AJ82" s="27"/>
      <c r="AK82" s="25"/>
      <c r="AL82" s="25">
        <f>ROUND(LOOKUP(MAX(0.0001,AK82/12),{0;6;24;50;70;110;160}*500+0.0001,5*MAX(0,AK82)*{0.6;2;4;5;6;7;9}%-10*{0;21;141;266;441;716;1516}),2)</f>
        <v>0</v>
      </c>
      <c r="AM82" s="25">
        <f t="shared" si="12"/>
        <v>12832.77</v>
      </c>
      <c r="AN82" s="25"/>
      <c r="AO82" s="25"/>
      <c r="AP82" s="25">
        <f t="shared" si="13"/>
        <v>12832.77</v>
      </c>
      <c r="AQ82" s="9">
        <v>5</v>
      </c>
      <c r="AR82" s="9">
        <v>22658.51</v>
      </c>
      <c r="AS82" s="9">
        <v>34.85</v>
      </c>
      <c r="AT82" s="9">
        <v>10000</v>
      </c>
      <c r="AU82" s="28" t="s">
        <v>54</v>
      </c>
    </row>
    <row r="83" s="2" customFormat="1" ht="16.5" customHeight="1" spans="1:47">
      <c r="A83" s="23">
        <v>82</v>
      </c>
      <c r="B83" s="23" t="s">
        <v>48</v>
      </c>
      <c r="C83" s="23" t="s">
        <v>321</v>
      </c>
      <c r="D83" s="23" t="s">
        <v>322</v>
      </c>
      <c r="E83" s="40" t="s">
        <v>323</v>
      </c>
      <c r="F83" s="23" t="s">
        <v>68</v>
      </c>
      <c r="G83" s="23" t="s">
        <v>273</v>
      </c>
      <c r="H83" s="25">
        <v>2240</v>
      </c>
      <c r="I83" s="26">
        <v>45734</v>
      </c>
      <c r="J83" s="26">
        <v>46173</v>
      </c>
      <c r="K83" s="25">
        <v>3600</v>
      </c>
      <c r="L83" s="25">
        <v>0</v>
      </c>
      <c r="M83" s="25"/>
      <c r="N83" s="25">
        <v>100</v>
      </c>
      <c r="O83" s="25">
        <v>19.5</v>
      </c>
      <c r="P83" s="25"/>
      <c r="Q83" s="25">
        <v>9</v>
      </c>
      <c r="R83" s="25">
        <f t="shared" si="10"/>
        <v>1163.79</v>
      </c>
      <c r="S83" s="27"/>
      <c r="T83" s="25"/>
      <c r="U83" s="25"/>
      <c r="V83" s="25">
        <v>342.39</v>
      </c>
      <c r="W83" s="25"/>
      <c r="X83" s="25"/>
      <c r="Y83" s="25">
        <v>662.07</v>
      </c>
      <c r="Z83" s="25"/>
      <c r="AA83" s="25"/>
      <c r="AB83" s="27"/>
      <c r="AC83" s="25">
        <f t="shared" si="11"/>
        <v>5868.25</v>
      </c>
      <c r="AD83" s="25">
        <v>462.88</v>
      </c>
      <c r="AE83" s="23">
        <v>131.54</v>
      </c>
      <c r="AF83" s="25">
        <v>28.93</v>
      </c>
      <c r="AG83" s="25">
        <v>432</v>
      </c>
      <c r="AH83" s="25">
        <f t="shared" si="9"/>
        <v>4812.9</v>
      </c>
      <c r="AI83" s="25">
        <f>MAX(ROUND(MAX((AH83+AR83-5000*AQ83-AT83)*{0.03,0.1,0.2,0.25,0.3,0.35,0.45}-{0,2520,16920,31920,52920,85920,181920},0)-AS83,2),0)</f>
        <v>0</v>
      </c>
      <c r="AJ83" s="27"/>
      <c r="AK83" s="25"/>
      <c r="AL83" s="25">
        <f>ROUND(LOOKUP(MAX(0.0001,AK83/12),{0;6;24;50;70;110;160}*500+0.0001,5*MAX(0,AK83)*{0.6;2;4;5;6;7;9}%-10*{0;21;141;266;441;716;1516}),2)</f>
        <v>0</v>
      </c>
      <c r="AM83" s="25">
        <f t="shared" si="12"/>
        <v>5868.25</v>
      </c>
      <c r="AN83" s="25">
        <v>16221.18</v>
      </c>
      <c r="AO83" s="25"/>
      <c r="AP83" s="25">
        <f t="shared" si="13"/>
        <v>21034.08</v>
      </c>
      <c r="AQ83" s="9">
        <v>5</v>
      </c>
      <c r="AR83" s="9">
        <v>23443.46</v>
      </c>
      <c r="AS83" s="9">
        <v>103.3</v>
      </c>
      <c r="AT83" s="9">
        <v>0</v>
      </c>
      <c r="AU83" s="28" t="s">
        <v>54</v>
      </c>
    </row>
    <row r="84" s="2" customFormat="1" ht="16.5" customHeight="1" spans="1:47">
      <c r="A84" s="23">
        <v>83</v>
      </c>
      <c r="B84" s="23" t="s">
        <v>48</v>
      </c>
      <c r="C84" s="23" t="s">
        <v>324</v>
      </c>
      <c r="D84" s="23" t="s">
        <v>325</v>
      </c>
      <c r="E84" s="40" t="s">
        <v>326</v>
      </c>
      <c r="F84" s="23" t="s">
        <v>68</v>
      </c>
      <c r="G84" s="23" t="s">
        <v>88</v>
      </c>
      <c r="H84" s="25">
        <v>2400</v>
      </c>
      <c r="I84" s="26">
        <v>45761</v>
      </c>
      <c r="J84" s="26"/>
      <c r="K84" s="25">
        <v>3600</v>
      </c>
      <c r="L84" s="25"/>
      <c r="M84" s="25"/>
      <c r="N84" s="25">
        <v>100</v>
      </c>
      <c r="O84" s="25"/>
      <c r="P84" s="25"/>
      <c r="Q84" s="25"/>
      <c r="R84" s="25">
        <f t="shared" si="10"/>
        <v>0</v>
      </c>
      <c r="S84" s="27"/>
      <c r="T84" s="25"/>
      <c r="U84" s="25"/>
      <c r="V84" s="25"/>
      <c r="W84" s="25"/>
      <c r="X84" s="25"/>
      <c r="Y84" s="25"/>
      <c r="Z84" s="25"/>
      <c r="AA84" s="25"/>
      <c r="AB84" s="27"/>
      <c r="AC84" s="25">
        <f t="shared" si="11"/>
        <v>3700</v>
      </c>
      <c r="AD84" s="25">
        <v>359.84</v>
      </c>
      <c r="AE84" s="23">
        <v>96.96</v>
      </c>
      <c r="AF84" s="25">
        <v>13.49</v>
      </c>
      <c r="AG84" s="25">
        <v>288</v>
      </c>
      <c r="AH84" s="25">
        <f t="shared" si="9"/>
        <v>2941.71</v>
      </c>
      <c r="AI84" s="25">
        <f>MAX(ROUND(MAX((AH84+AR84-5000*AQ84-AT84)*{0.03,0.1,0.2,0.25,0.3,0.35,0.45}-{0,2520,16920,31920,52920,85920,181920},0)-AS84,2),0)</f>
        <v>0</v>
      </c>
      <c r="AJ84" s="27"/>
      <c r="AK84" s="25"/>
      <c r="AL84" s="25">
        <f>ROUND(LOOKUP(MAX(0.0001,AK84/12),{0;6;24;50;70;110;160}*500+0.0001,5*MAX(0,AK84)*{0.6;2;4;5;6;7;9}%-10*{0;21;141;266;441;716;1516}),2)</f>
        <v>0</v>
      </c>
      <c r="AM84" s="25">
        <f t="shared" si="12"/>
        <v>3700</v>
      </c>
      <c r="AN84" s="25"/>
      <c r="AO84" s="25"/>
      <c r="AP84" s="25">
        <f t="shared" si="13"/>
        <v>2941.71</v>
      </c>
      <c r="AQ84" s="9">
        <v>5</v>
      </c>
      <c r="AR84" s="9">
        <v>17857.75</v>
      </c>
      <c r="AS84" s="9">
        <v>0</v>
      </c>
      <c r="AT84" s="9">
        <v>0</v>
      </c>
      <c r="AU84" s="28" t="s">
        <v>54</v>
      </c>
    </row>
    <row r="85" s="2" customFormat="1" ht="16.5" customHeight="1" spans="1:47">
      <c r="A85" s="23">
        <v>84</v>
      </c>
      <c r="B85" s="23" t="s">
        <v>48</v>
      </c>
      <c r="C85" s="23" t="s">
        <v>327</v>
      </c>
      <c r="D85" s="23" t="s">
        <v>328</v>
      </c>
      <c r="E85" s="40" t="s">
        <v>329</v>
      </c>
      <c r="F85" s="23" t="s">
        <v>52</v>
      </c>
      <c r="G85" s="23" t="s">
        <v>304</v>
      </c>
      <c r="H85" s="25">
        <v>2520</v>
      </c>
      <c r="I85" s="26">
        <v>45826</v>
      </c>
      <c r="J85" s="26"/>
      <c r="K85" s="25">
        <v>4600</v>
      </c>
      <c r="L85" s="25"/>
      <c r="M85" s="25"/>
      <c r="N85" s="25"/>
      <c r="O85" s="25">
        <v>24</v>
      </c>
      <c r="P85" s="25"/>
      <c r="Q85" s="25">
        <v>8</v>
      </c>
      <c r="R85" s="25">
        <f t="shared" si="10"/>
        <v>1586.21</v>
      </c>
      <c r="S85" s="27"/>
      <c r="T85" s="25"/>
      <c r="U85" s="25"/>
      <c r="V85" s="25">
        <v>1055.1</v>
      </c>
      <c r="W85" s="25">
        <v>1500</v>
      </c>
      <c r="X85" s="25"/>
      <c r="Y85" s="25"/>
      <c r="Z85" s="25"/>
      <c r="AA85" s="25"/>
      <c r="AB85" s="27"/>
      <c r="AC85" s="25">
        <f t="shared" si="11"/>
        <v>8741.31</v>
      </c>
      <c r="AD85" s="25">
        <v>382</v>
      </c>
      <c r="AE85" s="23">
        <v>134.54</v>
      </c>
      <c r="AF85" s="25">
        <v>9.2</v>
      </c>
      <c r="AG85" s="25">
        <v>322</v>
      </c>
      <c r="AH85" s="25">
        <f t="shared" ref="AH85" si="14">AC85-AD85-AE85-AF85-AG85</f>
        <v>7893.57</v>
      </c>
      <c r="AI85" s="25">
        <f>MAX(ROUND(MAX((AH85+AR85-5000*AQ85-AT85)*{0.03,0.1,0.2,0.25,0.3,0.35,0.45}-{0,2520,16920,31920,52920,85920,181920},0)-AS85,2),0)</f>
        <v>0</v>
      </c>
      <c r="AJ85" s="27"/>
      <c r="AK85" s="25"/>
      <c r="AL85" s="25">
        <f>ROUND(LOOKUP(MAX(0.0001,AK85/12),{0;6;24;50;70;110;160}*500+0.0001,5*MAX(0,AK85)*{0.6;2;4;5;6;7;9}%-10*{0;21;141;266;441;716;1516}),2)</f>
        <v>0</v>
      </c>
      <c r="AM85" s="25">
        <f t="shared" si="12"/>
        <v>8741.31</v>
      </c>
      <c r="AN85" s="25"/>
      <c r="AO85" s="25"/>
      <c r="AP85" s="25">
        <f t="shared" si="13"/>
        <v>7893.57</v>
      </c>
      <c r="AQ85" s="9">
        <v>5</v>
      </c>
      <c r="AR85" s="9">
        <v>44807.44</v>
      </c>
      <c r="AS85" s="9">
        <v>640.03</v>
      </c>
      <c r="AT85" s="9">
        <v>29500</v>
      </c>
      <c r="AU85" s="28" t="s">
        <v>305</v>
      </c>
    </row>
    <row r="86" s="2" customFormat="1" ht="16.5" customHeight="1" spans="1:47">
      <c r="A86" s="23">
        <v>85</v>
      </c>
      <c r="B86" s="23" t="s">
        <v>48</v>
      </c>
      <c r="C86" s="23" t="s">
        <v>330</v>
      </c>
      <c r="D86" s="23" t="s">
        <v>331</v>
      </c>
      <c r="E86" s="40" t="s">
        <v>332</v>
      </c>
      <c r="F86" s="23" t="s">
        <v>52</v>
      </c>
      <c r="G86" s="23" t="s">
        <v>69</v>
      </c>
      <c r="H86" s="25">
        <v>2540</v>
      </c>
      <c r="I86" s="26">
        <v>45875</v>
      </c>
      <c r="J86" s="26"/>
      <c r="K86" s="25">
        <v>4600</v>
      </c>
      <c r="L86" s="25"/>
      <c r="M86" s="25"/>
      <c r="N86" s="25"/>
      <c r="O86" s="25"/>
      <c r="P86" s="25"/>
      <c r="Q86" s="25"/>
      <c r="R86" s="25">
        <f t="shared" si="10"/>
        <v>0</v>
      </c>
      <c r="S86" s="27"/>
      <c r="T86" s="25"/>
      <c r="U86" s="25"/>
      <c r="V86" s="25"/>
      <c r="W86" s="25"/>
      <c r="X86" s="25"/>
      <c r="Y86" s="25"/>
      <c r="Z86" s="25"/>
      <c r="AA86" s="25"/>
      <c r="AB86" s="27"/>
      <c r="AC86" s="25">
        <f t="shared" si="11"/>
        <v>4600</v>
      </c>
      <c r="AD86" s="25">
        <v>572.96</v>
      </c>
      <c r="AE86" s="23">
        <v>146.24</v>
      </c>
      <c r="AF86" s="25">
        <v>35.81</v>
      </c>
      <c r="AG86" s="25">
        <v>552</v>
      </c>
      <c r="AH86" s="25">
        <f t="shared" ref="AH86" si="15">AC86-AD86-AE86-AF86-AG86</f>
        <v>3292.99</v>
      </c>
      <c r="AI86" s="25">
        <f>MAX(ROUND(MAX((AH86+AR86-5000*AQ86-AT86)*{0.03,0.1,0.2,0.25,0.3,0.35,0.45}-{0,2520,16920,31920,52920,85920,181920},0)-AS86,2),0)</f>
        <v>0</v>
      </c>
      <c r="AJ86" s="27"/>
      <c r="AK86" s="25"/>
      <c r="AL86" s="25">
        <f>ROUND(LOOKUP(MAX(0.0001,AK86/12),{0;6;24;50;70;110;160}*500+0.0001,5*MAX(0,AK86)*{0.6;2;4;5;6;7;9}%-10*{0;21;141;266;441;716;1516}),2)</f>
        <v>0</v>
      </c>
      <c r="AM86" s="25">
        <f t="shared" si="12"/>
        <v>4600</v>
      </c>
      <c r="AN86" s="25"/>
      <c r="AO86" s="25"/>
      <c r="AP86" s="25">
        <f t="shared" si="13"/>
        <v>3292.99</v>
      </c>
      <c r="AQ86" s="9">
        <v>5</v>
      </c>
      <c r="AR86" s="9">
        <v>16033.29</v>
      </c>
      <c r="AS86" s="9">
        <v>21.56</v>
      </c>
      <c r="AT86" s="9">
        <v>0</v>
      </c>
      <c r="AU86" s="28" t="s">
        <v>70</v>
      </c>
    </row>
    <row r="87" s="2" customFormat="1" ht="16.5" customHeight="1" spans="1:47">
      <c r="A87" s="23">
        <v>86</v>
      </c>
      <c r="B87" s="23" t="s">
        <v>48</v>
      </c>
      <c r="C87" s="23" t="s">
        <v>333</v>
      </c>
      <c r="D87" s="23" t="s">
        <v>334</v>
      </c>
      <c r="E87" s="40" t="s">
        <v>335</v>
      </c>
      <c r="F87" s="23" t="s">
        <v>68</v>
      </c>
      <c r="G87" s="23" t="s">
        <v>153</v>
      </c>
      <c r="H87" s="25">
        <v>2660</v>
      </c>
      <c r="I87" s="26">
        <v>45930</v>
      </c>
      <c r="J87" s="26"/>
      <c r="K87" s="25">
        <v>3600</v>
      </c>
      <c r="L87" s="25"/>
      <c r="M87" s="25"/>
      <c r="N87" s="25"/>
      <c r="O87" s="25">
        <v>18</v>
      </c>
      <c r="P87" s="25"/>
      <c r="Q87" s="25">
        <v>13</v>
      </c>
      <c r="R87" s="25">
        <f t="shared" si="10"/>
        <v>1365.52</v>
      </c>
      <c r="S87" s="27"/>
      <c r="T87" s="25"/>
      <c r="U87" s="25"/>
      <c r="V87" s="25">
        <v>2000</v>
      </c>
      <c r="W87" s="25"/>
      <c r="X87" s="25"/>
      <c r="Y87" s="25"/>
      <c r="Z87" s="25"/>
      <c r="AA87" s="25"/>
      <c r="AB87" s="27"/>
      <c r="AC87" s="25">
        <f t="shared" si="11"/>
        <v>6965.52</v>
      </c>
      <c r="AD87" s="25">
        <v>529.6</v>
      </c>
      <c r="AE87" s="23">
        <v>137.4</v>
      </c>
      <c r="AF87" s="25">
        <v>33.1</v>
      </c>
      <c r="AG87" s="25">
        <v>397</v>
      </c>
      <c r="AH87" s="25">
        <f t="shared" ref="AH87" si="16">AC87-AD87-AE87-AF87-AG87</f>
        <v>5868.42</v>
      </c>
      <c r="AI87" s="25">
        <f>MAX(ROUND(MAX((AH87+AR87-5000*AQ87-AT87)*{0.03,0.1,0.2,0.25,0.3,0.35,0.45}-{0,2520,16920,31920,52920,85920,181920},0)-AS87,2),0)</f>
        <v>26.05</v>
      </c>
      <c r="AJ87" s="27"/>
      <c r="AK87" s="25"/>
      <c r="AL87" s="25">
        <f>ROUND(LOOKUP(MAX(0.0001,AK87/12),{0;6;24;50;70;110;160}*500+0.0001,5*MAX(0,AK87)*{0.6;2;4;5;6;7;9}%-10*{0;21;141;266;441;716;1516}),2)</f>
        <v>0</v>
      </c>
      <c r="AM87" s="25">
        <f t="shared" si="12"/>
        <v>6965.52</v>
      </c>
      <c r="AN87" s="25"/>
      <c r="AO87" s="25"/>
      <c r="AP87" s="25">
        <f t="shared" si="13"/>
        <v>5842.37</v>
      </c>
      <c r="AQ87" s="9">
        <v>5</v>
      </c>
      <c r="AR87" s="9">
        <v>26633.03</v>
      </c>
      <c r="AS87" s="9">
        <v>198.99</v>
      </c>
      <c r="AT87" s="9">
        <v>0</v>
      </c>
      <c r="AU87" s="28" t="s">
        <v>59</v>
      </c>
    </row>
    <row r="88" s="2" customFormat="1" ht="16.5" customHeight="1" spans="1:47">
      <c r="A88" s="23">
        <v>87</v>
      </c>
      <c r="B88" s="23" t="s">
        <v>48</v>
      </c>
      <c r="C88" s="23" t="s">
        <v>336</v>
      </c>
      <c r="D88" s="23" t="s">
        <v>337</v>
      </c>
      <c r="E88" s="40" t="s">
        <v>338</v>
      </c>
      <c r="F88" s="23" t="s">
        <v>68</v>
      </c>
      <c r="G88" s="23" t="s">
        <v>80</v>
      </c>
      <c r="H88" s="25">
        <v>2510</v>
      </c>
      <c r="I88" s="26">
        <v>45992</v>
      </c>
      <c r="J88" s="26"/>
      <c r="K88" s="25">
        <v>3600</v>
      </c>
      <c r="L88" s="25"/>
      <c r="M88" s="25"/>
      <c r="N88" s="25"/>
      <c r="O88" s="25">
        <v>32</v>
      </c>
      <c r="P88" s="25"/>
      <c r="Q88" s="25">
        <v>8</v>
      </c>
      <c r="R88" s="25">
        <f t="shared" si="10"/>
        <v>1489.66</v>
      </c>
      <c r="S88" s="27"/>
      <c r="T88" s="25"/>
      <c r="U88" s="25"/>
      <c r="V88" s="25">
        <v>1000</v>
      </c>
      <c r="W88" s="25">
        <v>1500</v>
      </c>
      <c r="X88" s="25"/>
      <c r="Y88" s="25"/>
      <c r="Z88" s="25"/>
      <c r="AA88" s="25"/>
      <c r="AB88" s="27"/>
      <c r="AC88" s="25">
        <f t="shared" si="11"/>
        <v>7589.66</v>
      </c>
      <c r="AD88" s="25">
        <v>409.92</v>
      </c>
      <c r="AE88" s="23">
        <v>123.48</v>
      </c>
      <c r="AF88" s="25">
        <v>25.62</v>
      </c>
      <c r="AG88" s="25">
        <v>396</v>
      </c>
      <c r="AH88" s="25">
        <f t="shared" ref="AH88" si="17">AC88-AD88-AE88-AF88-AG88</f>
        <v>6634.64</v>
      </c>
      <c r="AI88" s="25">
        <f>MAX(ROUND(MAX((AH88+AR88-5000*AQ88-AT88)*{0.03,0.1,0.2,0.25,0.3,0.35,0.45}-{0,2520,16920,31920,52920,85920,181920},0)-AS88,2),0)</f>
        <v>49.04</v>
      </c>
      <c r="AJ88" s="27"/>
      <c r="AK88" s="25"/>
      <c r="AL88" s="25">
        <f>ROUND(LOOKUP(MAX(0.0001,AK88/12),{0;6;24;50;70;110;160}*500+0.0001,5*MAX(0,AK88)*{0.6;2;4;5;6;7;9}%-10*{0;21;141;266;441;716;1516}),2)</f>
        <v>0</v>
      </c>
      <c r="AM88" s="25">
        <f t="shared" si="12"/>
        <v>7589.66</v>
      </c>
      <c r="AN88" s="25"/>
      <c r="AO88" s="25"/>
      <c r="AP88" s="25">
        <f t="shared" si="13"/>
        <v>6585.6</v>
      </c>
      <c r="AQ88" s="9">
        <v>5</v>
      </c>
      <c r="AR88" s="9">
        <v>26520.99</v>
      </c>
      <c r="AS88" s="9">
        <v>195.63</v>
      </c>
      <c r="AT88" s="9">
        <v>0</v>
      </c>
      <c r="AU88" s="28" t="s">
        <v>54</v>
      </c>
    </row>
    <row r="89" s="2" customFormat="1" ht="16.5" customHeight="1" spans="1:47">
      <c r="A89" s="23">
        <v>88</v>
      </c>
      <c r="B89" s="23" t="s">
        <v>48</v>
      </c>
      <c r="C89" s="23" t="s">
        <v>339</v>
      </c>
      <c r="D89" s="23" t="s">
        <v>340</v>
      </c>
      <c r="E89" s="40" t="s">
        <v>341</v>
      </c>
      <c r="F89" s="23" t="s">
        <v>68</v>
      </c>
      <c r="G89" s="23" t="s">
        <v>304</v>
      </c>
      <c r="H89" s="25">
        <v>2520</v>
      </c>
      <c r="I89" s="26">
        <v>46015</v>
      </c>
      <c r="J89" s="26">
        <v>46157</v>
      </c>
      <c r="K89" s="25">
        <v>3800</v>
      </c>
      <c r="L89" s="25">
        <v>-1878.16</v>
      </c>
      <c r="M89" s="25"/>
      <c r="N89" s="25">
        <v>0</v>
      </c>
      <c r="O89" s="25">
        <v>0</v>
      </c>
      <c r="P89" s="25"/>
      <c r="Q89" s="25">
        <v>8</v>
      </c>
      <c r="R89" s="25">
        <f t="shared" si="10"/>
        <v>524.14</v>
      </c>
      <c r="S89" s="27"/>
      <c r="T89" s="25"/>
      <c r="U89" s="25"/>
      <c r="V89" s="25">
        <v>19.99</v>
      </c>
      <c r="W89" s="25"/>
      <c r="X89" s="25"/>
      <c r="Y89" s="25">
        <v>349.43</v>
      </c>
      <c r="Z89" s="25"/>
      <c r="AA89" s="25"/>
      <c r="AB89" s="27"/>
      <c r="AC89" s="25">
        <f t="shared" si="11"/>
        <v>2815.4</v>
      </c>
      <c r="AD89" s="25">
        <v>382</v>
      </c>
      <c r="AE89" s="23">
        <v>134.54</v>
      </c>
      <c r="AF89" s="25">
        <v>7.6</v>
      </c>
      <c r="AG89" s="25">
        <v>266</v>
      </c>
      <c r="AH89" s="25">
        <f t="shared" ref="AH89:AH97" si="18">AC89-AD89-AE89-AF89-AG89</f>
        <v>2025.26</v>
      </c>
      <c r="AI89" s="25">
        <f>MAX(ROUND(MAX((AH89+AR89-5000*AQ89-AT89)*{0.03,0.1,0.2,0.25,0.3,0.35,0.45}-{0,2520,16920,31920,52920,85920,181920},0)-AS89,2),0)</f>
        <v>0</v>
      </c>
      <c r="AJ89" s="27"/>
      <c r="AK89" s="25"/>
      <c r="AL89" s="25">
        <f>ROUND(LOOKUP(MAX(0.0001,AK89/12),{0;6;24;50;70;110;160}*500+0.0001,5*MAX(0,AK89)*{0.6;2;4;5;6;7;9}%-10*{0;21;141;266;441;716;1516}),2)</f>
        <v>0</v>
      </c>
      <c r="AM89" s="25">
        <f t="shared" si="12"/>
        <v>2815.4</v>
      </c>
      <c r="AN89" s="25"/>
      <c r="AO89" s="25"/>
      <c r="AP89" s="25">
        <f t="shared" si="13"/>
        <v>2025.26</v>
      </c>
      <c r="AQ89" s="9">
        <v>5</v>
      </c>
      <c r="AR89" s="9">
        <v>23541.09</v>
      </c>
      <c r="AS89" s="9">
        <v>106.23</v>
      </c>
      <c r="AT89" s="9">
        <v>0</v>
      </c>
      <c r="AU89" s="28" t="s">
        <v>305</v>
      </c>
    </row>
    <row r="90" s="2" customFormat="1" ht="16.5" customHeight="1" spans="1:47">
      <c r="A90" s="23">
        <v>89</v>
      </c>
      <c r="B90" s="23" t="s">
        <v>48</v>
      </c>
      <c r="C90" s="23" t="s">
        <v>342</v>
      </c>
      <c r="D90" s="23" t="s">
        <v>343</v>
      </c>
      <c r="E90" s="40" t="s">
        <v>344</v>
      </c>
      <c r="F90" s="23" t="s">
        <v>68</v>
      </c>
      <c r="G90" s="23" t="s">
        <v>304</v>
      </c>
      <c r="H90" s="25">
        <v>2520</v>
      </c>
      <c r="I90" s="26">
        <v>46083</v>
      </c>
      <c r="J90" s="26">
        <v>46142</v>
      </c>
      <c r="K90" s="25">
        <v>3800</v>
      </c>
      <c r="L90" s="25">
        <f>-K90</f>
        <v>-3800</v>
      </c>
      <c r="M90" s="25"/>
      <c r="N90" s="25"/>
      <c r="O90" s="25">
        <v>0</v>
      </c>
      <c r="P90" s="25"/>
      <c r="Q90" s="25">
        <v>8</v>
      </c>
      <c r="R90" s="25">
        <f t="shared" si="10"/>
        <v>524.14</v>
      </c>
      <c r="S90" s="27"/>
      <c r="T90" s="25"/>
      <c r="U90" s="25"/>
      <c r="V90" s="25">
        <v>2500</v>
      </c>
      <c r="W90" s="25"/>
      <c r="X90" s="25"/>
      <c r="Y90" s="25"/>
      <c r="Z90" s="25"/>
      <c r="AA90" s="25"/>
      <c r="AB90" s="27"/>
      <c r="AC90" s="25">
        <f t="shared" si="11"/>
        <v>3024.14</v>
      </c>
      <c r="AD90" s="25"/>
      <c r="AE90" s="23"/>
      <c r="AF90" s="25"/>
      <c r="AG90" s="25"/>
      <c r="AH90" s="25">
        <f t="shared" si="18"/>
        <v>3024.14</v>
      </c>
      <c r="AI90" s="25">
        <f>MAX(ROUND(MAX((AH90+AR90-5000*AQ90-AT90)*{0.03,0.1,0.2,0.25,0.3,0.35,0.45}-{0,2520,16920,31920,52920,85920,181920},0)-AS90,2),0)</f>
        <v>0</v>
      </c>
      <c r="AJ90" s="27"/>
      <c r="AK90" s="25"/>
      <c r="AL90" s="25">
        <f>ROUND(LOOKUP(MAX(0.0001,AK90/12),{0;6;24;50;70;110;160}*500+0.0001,5*MAX(0,AK90)*{0.6;2;4;5;6;7;9}%-10*{0;21;141;266;441;716;1516}),2)</f>
        <v>0</v>
      </c>
      <c r="AM90" s="25">
        <f t="shared" si="12"/>
        <v>3024.14</v>
      </c>
      <c r="AN90" s="25"/>
      <c r="AO90" s="25"/>
      <c r="AP90" s="25">
        <f t="shared" si="13"/>
        <v>3024.14</v>
      </c>
      <c r="AQ90" s="9">
        <v>3</v>
      </c>
      <c r="AR90" s="9">
        <v>8519.72</v>
      </c>
      <c r="AS90" s="9">
        <v>0</v>
      </c>
      <c r="AT90" s="9">
        <v>0</v>
      </c>
      <c r="AU90" s="28" t="s">
        <v>305</v>
      </c>
    </row>
    <row r="91" s="2" customFormat="1" ht="16.5" customHeight="1" spans="1:47">
      <c r="A91" s="23">
        <v>90</v>
      </c>
      <c r="B91" s="23" t="s">
        <v>48</v>
      </c>
      <c r="C91" s="23" t="s">
        <v>345</v>
      </c>
      <c r="D91" s="23" t="s">
        <v>346</v>
      </c>
      <c r="E91" s="40" t="s">
        <v>347</v>
      </c>
      <c r="F91" s="23" t="s">
        <v>68</v>
      </c>
      <c r="G91" s="23" t="s">
        <v>58</v>
      </c>
      <c r="H91" s="25">
        <v>2740</v>
      </c>
      <c r="I91" s="30">
        <v>46113</v>
      </c>
      <c r="J91" s="26"/>
      <c r="K91" s="25">
        <v>3800</v>
      </c>
      <c r="L91" s="25"/>
      <c r="M91" s="25"/>
      <c r="N91" s="25"/>
      <c r="O91" s="25"/>
      <c r="P91" s="25"/>
      <c r="Q91" s="25"/>
      <c r="R91" s="25">
        <f t="shared" si="10"/>
        <v>0</v>
      </c>
      <c r="S91" s="27"/>
      <c r="T91" s="25"/>
      <c r="U91" s="25"/>
      <c r="V91" s="25"/>
      <c r="W91" s="25"/>
      <c r="X91" s="25"/>
      <c r="Y91" s="25"/>
      <c r="Z91" s="25"/>
      <c r="AA91" s="25"/>
      <c r="AB91" s="27"/>
      <c r="AC91" s="25">
        <f t="shared" si="11"/>
        <v>3800</v>
      </c>
      <c r="AD91" s="25">
        <v>596.8</v>
      </c>
      <c r="AE91" s="23">
        <v>149.2</v>
      </c>
      <c r="AF91" s="25">
        <v>37.3</v>
      </c>
      <c r="AG91" s="25">
        <v>266</v>
      </c>
      <c r="AH91" s="25">
        <f t="shared" si="18"/>
        <v>2750.7</v>
      </c>
      <c r="AI91" s="25">
        <f>MAX(ROUND(MAX((AH91+AR91-5000*AQ91-AT91)*{0.03,0.1,0.2,0.25,0.3,0.35,0.45}-{0,2520,16920,31920,52920,85920,181920},0)-AS91,2),0)</f>
        <v>0</v>
      </c>
      <c r="AJ91" s="27"/>
      <c r="AK91" s="25"/>
      <c r="AL91" s="25">
        <f>ROUND(LOOKUP(MAX(0.0001,AK91/12),{0;6;24;50;70;110;160}*500+0.0001,5*MAX(0,AK91)*{0.6;2;4;5;6;7;9}%-10*{0;21;141;266;441;716;1516}),2)</f>
        <v>0</v>
      </c>
      <c r="AM91" s="25">
        <f t="shared" si="12"/>
        <v>3800</v>
      </c>
      <c r="AN91" s="25"/>
      <c r="AO91" s="25"/>
      <c r="AP91" s="25">
        <f t="shared" si="13"/>
        <v>2750.7</v>
      </c>
      <c r="AQ91" s="9">
        <v>2</v>
      </c>
      <c r="AR91" s="9">
        <v>2575.99</v>
      </c>
      <c r="AS91" s="9">
        <v>0</v>
      </c>
      <c r="AT91" s="9"/>
      <c r="AU91" s="28" t="s">
        <v>59</v>
      </c>
    </row>
    <row r="92" s="2" customFormat="1" ht="16.5" customHeight="1" spans="1:47">
      <c r="A92" s="23">
        <v>91</v>
      </c>
      <c r="B92" s="23" t="s">
        <v>48</v>
      </c>
      <c r="C92" s="23" t="s">
        <v>348</v>
      </c>
      <c r="D92" s="23" t="s">
        <v>349</v>
      </c>
      <c r="E92" s="40" t="s">
        <v>350</v>
      </c>
      <c r="F92" s="23" t="s">
        <v>68</v>
      </c>
      <c r="G92" s="23" t="s">
        <v>88</v>
      </c>
      <c r="H92" s="25">
        <v>2400</v>
      </c>
      <c r="I92" s="30">
        <v>46129</v>
      </c>
      <c r="J92" s="26"/>
      <c r="K92" s="25">
        <v>3600</v>
      </c>
      <c r="L92" s="25"/>
      <c r="M92" s="25"/>
      <c r="N92" s="25"/>
      <c r="O92" s="25">
        <v>0.5</v>
      </c>
      <c r="P92" s="25"/>
      <c r="Q92" s="25">
        <v>0</v>
      </c>
      <c r="R92" s="25">
        <f t="shared" si="10"/>
        <v>15.52</v>
      </c>
      <c r="S92" s="27"/>
      <c r="T92" s="25"/>
      <c r="U92" s="25"/>
      <c r="V92" s="25">
        <v>933.33</v>
      </c>
      <c r="W92" s="25"/>
      <c r="X92" s="25"/>
      <c r="Y92" s="25"/>
      <c r="Z92" s="25"/>
      <c r="AA92" s="25"/>
      <c r="AB92" s="27"/>
      <c r="AC92" s="25">
        <f t="shared" si="11"/>
        <v>4548.85</v>
      </c>
      <c r="AD92" s="25">
        <v>359.84</v>
      </c>
      <c r="AE92" s="23">
        <v>96.96</v>
      </c>
      <c r="AF92" s="25">
        <v>13.49</v>
      </c>
      <c r="AG92" s="25">
        <v>288</v>
      </c>
      <c r="AH92" s="25">
        <f t="shared" si="18"/>
        <v>3790.56</v>
      </c>
      <c r="AI92" s="25">
        <f>MAX(ROUND(MAX((AH92+AR92-5000*AQ92-AT92)*{0.03,0.1,0.2,0.25,0.3,0.35,0.45}-{0,2520,16920,31920,52920,85920,181920},0)-AS92,2),0)</f>
        <v>0</v>
      </c>
      <c r="AJ92" s="27"/>
      <c r="AK92" s="25"/>
      <c r="AL92" s="25">
        <f>ROUND(LOOKUP(MAX(0.0001,AK92/12),{0;6;24;50;70;110;160}*500+0.0001,5*MAX(0,AK92)*{0.6;2;4;5;6;7;9}%-10*{0;21;141;266;441;716;1516}),2)</f>
        <v>0</v>
      </c>
      <c r="AM92" s="25">
        <f t="shared" si="12"/>
        <v>4548.85</v>
      </c>
      <c r="AN92" s="25"/>
      <c r="AO92" s="25"/>
      <c r="AP92" s="25">
        <f t="shared" si="13"/>
        <v>3790.56</v>
      </c>
      <c r="AQ92" s="9">
        <v>2</v>
      </c>
      <c r="AR92" s="9">
        <v>1062.4</v>
      </c>
      <c r="AS92" s="9">
        <v>0</v>
      </c>
      <c r="AT92" s="9"/>
      <c r="AU92" s="28" t="s">
        <v>54</v>
      </c>
    </row>
    <row r="93" s="2" customFormat="1" ht="16.5" customHeight="1" spans="1:47">
      <c r="A93" s="23">
        <v>92</v>
      </c>
      <c r="B93" s="23" t="s">
        <v>48</v>
      </c>
      <c r="C93" s="23" t="s">
        <v>351</v>
      </c>
      <c r="D93" s="23" t="s">
        <v>352</v>
      </c>
      <c r="E93" s="40" t="s">
        <v>353</v>
      </c>
      <c r="F93" s="23" t="s">
        <v>68</v>
      </c>
      <c r="G93" s="23" t="s">
        <v>88</v>
      </c>
      <c r="H93" s="25">
        <v>2400</v>
      </c>
      <c r="I93" s="30">
        <v>46131</v>
      </c>
      <c r="J93" s="26"/>
      <c r="K93" s="25">
        <v>3600</v>
      </c>
      <c r="L93" s="25"/>
      <c r="M93" s="25"/>
      <c r="N93" s="25"/>
      <c r="O93" s="25"/>
      <c r="P93" s="25"/>
      <c r="Q93" s="25"/>
      <c r="R93" s="25">
        <f t="shared" si="10"/>
        <v>0</v>
      </c>
      <c r="S93" s="27"/>
      <c r="T93" s="25"/>
      <c r="U93" s="25"/>
      <c r="V93" s="25">
        <v>800</v>
      </c>
      <c r="W93" s="25"/>
      <c r="X93" s="25"/>
      <c r="Y93" s="25"/>
      <c r="Z93" s="25"/>
      <c r="AA93" s="25"/>
      <c r="AB93" s="27"/>
      <c r="AC93" s="25">
        <f t="shared" si="11"/>
        <v>4400</v>
      </c>
      <c r="AD93" s="25">
        <v>359.84</v>
      </c>
      <c r="AE93" s="23">
        <v>96.96</v>
      </c>
      <c r="AF93" s="25">
        <v>13.49</v>
      </c>
      <c r="AG93" s="25">
        <v>288</v>
      </c>
      <c r="AH93" s="25">
        <f t="shared" si="18"/>
        <v>3641.71</v>
      </c>
      <c r="AI93" s="25">
        <f>MAX(ROUND(MAX((AH93+AR93-5000*AQ93-AT93)*{0.03,0.1,0.2,0.25,0.3,0.35,0.45}-{0,2520,16920,31920,52920,85920,181920},0)-AS93,2),0)</f>
        <v>0</v>
      </c>
      <c r="AJ93" s="27"/>
      <c r="AK93" s="25"/>
      <c r="AL93" s="25">
        <f>ROUND(LOOKUP(MAX(0.0001,AK93/12),{0;6;24;50;70;110;160}*500+0.0001,5*MAX(0,AK93)*{0.6;2;4;5;6;7;9}%-10*{0;21;141;266;441;716;1516}),2)</f>
        <v>0</v>
      </c>
      <c r="AM93" s="25">
        <f t="shared" si="12"/>
        <v>4400</v>
      </c>
      <c r="AN93" s="25"/>
      <c r="AO93" s="25"/>
      <c r="AP93" s="25">
        <f t="shared" si="13"/>
        <v>3641.71</v>
      </c>
      <c r="AQ93" s="9">
        <v>2</v>
      </c>
      <c r="AR93" s="9">
        <v>814.12</v>
      </c>
      <c r="AS93" s="9">
        <v>0</v>
      </c>
      <c r="AT93" s="9"/>
      <c r="AU93" s="28" t="s">
        <v>54</v>
      </c>
    </row>
    <row r="94" s="2" customFormat="1" ht="16.5" customHeight="1" spans="1:47">
      <c r="A94" s="23">
        <v>93</v>
      </c>
      <c r="B94" s="23" t="s">
        <v>48</v>
      </c>
      <c r="C94" s="23" t="s">
        <v>354</v>
      </c>
      <c r="D94" s="23" t="s">
        <v>355</v>
      </c>
      <c r="E94" s="40" t="s">
        <v>356</v>
      </c>
      <c r="F94" s="23" t="s">
        <v>68</v>
      </c>
      <c r="G94" s="23" t="s">
        <v>357</v>
      </c>
      <c r="H94" s="25">
        <v>2230</v>
      </c>
      <c r="I94" s="30">
        <v>46132</v>
      </c>
      <c r="J94" s="26"/>
      <c r="K94" s="25">
        <v>3600</v>
      </c>
      <c r="L94" s="25"/>
      <c r="M94" s="25"/>
      <c r="N94" s="25"/>
      <c r="O94" s="25"/>
      <c r="P94" s="25"/>
      <c r="Q94" s="25"/>
      <c r="R94" s="25">
        <f t="shared" si="10"/>
        <v>0</v>
      </c>
      <c r="S94" s="27"/>
      <c r="T94" s="25"/>
      <c r="U94" s="25"/>
      <c r="V94" s="25"/>
      <c r="W94" s="25"/>
      <c r="X94" s="25"/>
      <c r="Y94" s="25"/>
      <c r="Z94" s="25"/>
      <c r="AA94" s="25"/>
      <c r="AB94" s="27"/>
      <c r="AC94" s="25">
        <f t="shared" si="11"/>
        <v>3600</v>
      </c>
      <c r="AD94" s="25">
        <v>348.72</v>
      </c>
      <c r="AE94" s="23">
        <v>96.92</v>
      </c>
      <c r="AF94" s="25">
        <v>21.8</v>
      </c>
      <c r="AG94" s="25">
        <v>432</v>
      </c>
      <c r="AH94" s="25">
        <f t="shared" si="18"/>
        <v>2700.56</v>
      </c>
      <c r="AI94" s="25">
        <f>MAX(ROUND(MAX((AH94+AR94-5000*AQ94-AT94)*{0.03,0.1,0.2,0.25,0.3,0.35,0.45}-{0,2520,16920,31920,52920,85920,181920},0)-AS94,2),0)</f>
        <v>0</v>
      </c>
      <c r="AJ94" s="27"/>
      <c r="AK94" s="25"/>
      <c r="AL94" s="25">
        <f>ROUND(LOOKUP(MAX(0.0001,AK94/12),{0;6;24;50;70;110;160}*500+0.0001,5*MAX(0,AK94)*{0.6;2;4;5;6;7;9}%-10*{0;21;141;266;441;716;1516}),2)</f>
        <v>0</v>
      </c>
      <c r="AM94" s="25">
        <f t="shared" si="12"/>
        <v>3600</v>
      </c>
      <c r="AN94" s="25"/>
      <c r="AO94" s="25"/>
      <c r="AP94" s="25">
        <f t="shared" si="13"/>
        <v>2700.56</v>
      </c>
      <c r="AQ94" s="9">
        <v>2</v>
      </c>
      <c r="AR94" s="9">
        <v>524.22</v>
      </c>
      <c r="AS94" s="9">
        <v>0</v>
      </c>
      <c r="AT94" s="9"/>
      <c r="AU94" s="28" t="s">
        <v>54</v>
      </c>
    </row>
    <row r="95" s="2" customFormat="1" ht="16.5" customHeight="1" spans="1:47">
      <c r="A95" s="23">
        <v>94</v>
      </c>
      <c r="B95" s="23" t="s">
        <v>48</v>
      </c>
      <c r="C95" s="23" t="s">
        <v>358</v>
      </c>
      <c r="D95" s="23" t="s">
        <v>359</v>
      </c>
      <c r="E95" s="40" t="s">
        <v>360</v>
      </c>
      <c r="F95" s="23" t="s">
        <v>68</v>
      </c>
      <c r="G95" s="23" t="s">
        <v>80</v>
      </c>
      <c r="H95" s="25">
        <v>2510</v>
      </c>
      <c r="I95" s="30">
        <v>46133</v>
      </c>
      <c r="J95" s="26"/>
      <c r="K95" s="25">
        <v>3600</v>
      </c>
      <c r="L95" s="25"/>
      <c r="M95" s="25"/>
      <c r="N95" s="25"/>
      <c r="O95" s="25"/>
      <c r="P95" s="25"/>
      <c r="Q95" s="25"/>
      <c r="R95" s="25">
        <f t="shared" si="10"/>
        <v>0</v>
      </c>
      <c r="S95" s="27"/>
      <c r="T95" s="25"/>
      <c r="U95" s="25"/>
      <c r="V95" s="25">
        <v>367.82</v>
      </c>
      <c r="W95" s="25">
        <v>330</v>
      </c>
      <c r="X95" s="25"/>
      <c r="Y95" s="25"/>
      <c r="Z95" s="25"/>
      <c r="AA95" s="25"/>
      <c r="AB95" s="27"/>
      <c r="AC95" s="25">
        <f t="shared" si="11"/>
        <v>4297.82</v>
      </c>
      <c r="AD95" s="25">
        <v>409.92</v>
      </c>
      <c r="AE95" s="23">
        <v>123.48</v>
      </c>
      <c r="AF95" s="25">
        <v>25.62</v>
      </c>
      <c r="AG95" s="25">
        <v>396</v>
      </c>
      <c r="AH95" s="25">
        <f t="shared" ref="AH95" si="19">AC95-AD95-AE95-AF95-AG95</f>
        <v>3342.8</v>
      </c>
      <c r="AI95" s="25">
        <f>MAX(ROUND(MAX((AH95+AR95-5000*AQ95-AT95)*{0.03,0.1,0.2,0.25,0.3,0.35,0.45}-{0,2520,16920,31920,52920,85920,181920},0)-AS95,2),0)</f>
        <v>0</v>
      </c>
      <c r="AJ95" s="27"/>
      <c r="AK95" s="25"/>
      <c r="AL95" s="25">
        <f>ROUND(LOOKUP(MAX(0.0001,AK95/12),{0;6;24;50;70;110;160}*500+0.0001,5*MAX(0,AK95)*{0.6;2;4;5;6;7;9}%-10*{0;21;141;266;441;716;1516}),2)</f>
        <v>0</v>
      </c>
      <c r="AM95" s="25">
        <f t="shared" si="12"/>
        <v>4297.82</v>
      </c>
      <c r="AN95" s="25"/>
      <c r="AO95" s="25"/>
      <c r="AP95" s="25">
        <f t="shared" si="13"/>
        <v>3342.8</v>
      </c>
      <c r="AQ95" s="9">
        <v>2</v>
      </c>
      <c r="AR95" s="9">
        <v>1324.14</v>
      </c>
      <c r="AS95" s="9">
        <v>0</v>
      </c>
      <c r="AT95" s="9"/>
      <c r="AU95" s="28" t="s">
        <v>54</v>
      </c>
    </row>
    <row r="96" s="2" customFormat="1" ht="16.5" customHeight="1" spans="1:47">
      <c r="A96" s="23">
        <v>95</v>
      </c>
      <c r="B96" s="23" t="s">
        <v>48</v>
      </c>
      <c r="C96" s="23" t="s">
        <v>361</v>
      </c>
      <c r="D96" s="23" t="s">
        <v>362</v>
      </c>
      <c r="E96" s="40" t="s">
        <v>363</v>
      </c>
      <c r="F96" s="23" t="s">
        <v>68</v>
      </c>
      <c r="G96" s="23" t="s">
        <v>124</v>
      </c>
      <c r="H96" s="25">
        <v>2500</v>
      </c>
      <c r="I96" s="26">
        <v>43101</v>
      </c>
      <c r="J96" s="26">
        <v>46053</v>
      </c>
      <c r="K96" s="25"/>
      <c r="L96" s="25"/>
      <c r="M96" s="25"/>
      <c r="N96" s="25"/>
      <c r="O96" s="25"/>
      <c r="P96" s="25"/>
      <c r="Q96" s="25"/>
      <c r="R96" s="25"/>
      <c r="S96" s="27"/>
      <c r="T96" s="25"/>
      <c r="U96" s="25"/>
      <c r="V96" s="31">
        <v>42.07</v>
      </c>
      <c r="W96" s="25"/>
      <c r="X96" s="25"/>
      <c r="Y96" s="25"/>
      <c r="Z96" s="25"/>
      <c r="AA96" s="25"/>
      <c r="AB96" s="27"/>
      <c r="AC96" s="25">
        <f t="shared" si="11"/>
        <v>42.07</v>
      </c>
      <c r="AD96" s="25"/>
      <c r="AE96" s="23"/>
      <c r="AF96" s="25"/>
      <c r="AG96" s="25"/>
      <c r="AH96" s="25">
        <f t="shared" si="18"/>
        <v>42.07</v>
      </c>
      <c r="AI96" s="25">
        <f>MAX(ROUND(MAX((AH96+AR96-5000*AQ96-AT96)*{0.03,0.1,0.2,0.25,0.3,0.35,0.45}-{0,2520,16920,31920,52920,85920,181920},0)-AS96,2),0)</f>
        <v>0</v>
      </c>
      <c r="AJ96" s="27"/>
      <c r="AK96" s="25"/>
      <c r="AL96" s="25"/>
      <c r="AM96" s="25">
        <f t="shared" si="12"/>
        <v>42.07</v>
      </c>
      <c r="AN96" s="25"/>
      <c r="AO96" s="25"/>
      <c r="AP96" s="25">
        <f t="shared" si="13"/>
        <v>42.07</v>
      </c>
      <c r="AQ96" s="9">
        <v>1</v>
      </c>
      <c r="AR96" s="9">
        <v>1540.59</v>
      </c>
      <c r="AS96" s="9">
        <v>0</v>
      </c>
      <c r="AT96" s="9"/>
      <c r="AU96" s="28" t="s">
        <v>59</v>
      </c>
    </row>
    <row r="97" s="2" customFormat="1" ht="16.5" customHeight="1" spans="1:47">
      <c r="A97" s="23">
        <v>96</v>
      </c>
      <c r="B97" s="23" t="s">
        <v>48</v>
      </c>
      <c r="C97" s="23" t="s">
        <v>364</v>
      </c>
      <c r="D97" s="23" t="s">
        <v>365</v>
      </c>
      <c r="E97" s="40" t="s">
        <v>366</v>
      </c>
      <c r="F97" s="32" t="s">
        <v>367</v>
      </c>
      <c r="G97" s="23" t="s">
        <v>58</v>
      </c>
      <c r="H97" s="25">
        <v>2740</v>
      </c>
      <c r="I97" s="26">
        <v>46020</v>
      </c>
      <c r="J97" s="26"/>
      <c r="K97" s="25">
        <v>550</v>
      </c>
      <c r="L97" s="25"/>
      <c r="M97" s="25"/>
      <c r="N97" s="25"/>
      <c r="O97" s="25"/>
      <c r="P97" s="25"/>
      <c r="Q97" s="25"/>
      <c r="R97" s="25">
        <f>ROUND(K97/174*SUM(O97*1.5+P97*2+Q97*3),2)</f>
        <v>0</v>
      </c>
      <c r="S97" s="27"/>
      <c r="T97" s="25"/>
      <c r="U97" s="25"/>
      <c r="V97" s="25"/>
      <c r="W97" s="25"/>
      <c r="X97" s="25"/>
      <c r="Y97" s="25"/>
      <c r="Z97" s="25"/>
      <c r="AA97" s="25"/>
      <c r="AB97" s="27"/>
      <c r="AC97" s="25">
        <f t="shared" si="11"/>
        <v>550</v>
      </c>
      <c r="AD97" s="25"/>
      <c r="AE97" s="23"/>
      <c r="AF97" s="25"/>
      <c r="AG97" s="25"/>
      <c r="AH97" s="25">
        <f t="shared" si="18"/>
        <v>550</v>
      </c>
      <c r="AI97" s="25">
        <v>0</v>
      </c>
      <c r="AJ97" s="27"/>
      <c r="AK97" s="25"/>
      <c r="AL97" s="25">
        <f>ROUND(LOOKUP(MAX(0.0001,AK97/12),{0;6;24;50;70;110;160}*500+0.0001,5*MAX(0,AK97)*{0.6;2;4;5;6;7;9}%-10*{0;21;141;266;441;716;1516}),2)</f>
        <v>0</v>
      </c>
      <c r="AM97" s="25">
        <f t="shared" si="12"/>
        <v>550</v>
      </c>
      <c r="AN97" s="25"/>
      <c r="AO97" s="25"/>
      <c r="AP97" s="25">
        <f t="shared" si="13"/>
        <v>550</v>
      </c>
      <c r="AQ97" s="9">
        <v>1</v>
      </c>
      <c r="AR97" s="9">
        <v>675</v>
      </c>
      <c r="AS97" s="9">
        <v>0</v>
      </c>
      <c r="AT97" s="9"/>
      <c r="AU97" s="28" t="s">
        <v>59</v>
      </c>
    </row>
    <row r="98" s="3" customFormat="1" ht="16.5" customHeight="1" spans="1:47">
      <c r="A98" s="33"/>
      <c r="B98" s="33"/>
      <c r="C98" s="33"/>
      <c r="D98" s="34"/>
      <c r="F98" s="2"/>
      <c r="H98" s="35"/>
      <c r="I98" s="36"/>
      <c r="J98" s="36"/>
      <c r="K98" s="37">
        <f t="shared" ref="K98:AG98" si="20">SUBTOTAL(9,K2:K97)</f>
        <v>421950</v>
      </c>
      <c r="L98" s="37">
        <f t="shared" si="20"/>
        <v>-30331.39</v>
      </c>
      <c r="M98" s="37">
        <f t="shared" si="20"/>
        <v>0</v>
      </c>
      <c r="N98" s="37">
        <v>39704.08</v>
      </c>
      <c r="O98" s="37">
        <f t="shared" si="20"/>
        <v>1074.25</v>
      </c>
      <c r="P98" s="37">
        <f t="shared" ref="P98" si="21">SUBTOTAL(9,P2:P97)</f>
        <v>0</v>
      </c>
      <c r="Q98" s="37">
        <f t="shared" ref="Q98" si="22">SUBTOTAL(9,Q2:Q97)</f>
        <v>649.25</v>
      </c>
      <c r="R98" s="37">
        <f t="shared" si="20"/>
        <v>94721.14</v>
      </c>
      <c r="S98" s="38">
        <f t="shared" si="20"/>
        <v>0</v>
      </c>
      <c r="T98" s="38">
        <f t="shared" si="20"/>
        <v>0</v>
      </c>
      <c r="U98" s="38">
        <f t="shared" si="20"/>
        <v>0</v>
      </c>
      <c r="V98" s="37">
        <f t="shared" si="20"/>
        <v>261396.11</v>
      </c>
      <c r="W98" s="37">
        <f t="shared" si="20"/>
        <v>13830</v>
      </c>
      <c r="X98" s="37">
        <f t="shared" si="20"/>
        <v>0</v>
      </c>
      <c r="Y98" s="37">
        <f t="shared" si="20"/>
        <v>5259.78</v>
      </c>
      <c r="Z98" s="38">
        <f t="shared" si="20"/>
        <v>-354.62</v>
      </c>
      <c r="AA98" s="37">
        <f t="shared" si="20"/>
        <v>51.27</v>
      </c>
      <c r="AB98" s="37">
        <f t="shared" si="20"/>
        <v>0</v>
      </c>
      <c r="AC98" s="37">
        <f t="shared" si="20"/>
        <v>806226.37</v>
      </c>
      <c r="AD98" s="37">
        <f t="shared" si="20"/>
        <v>78405.41</v>
      </c>
      <c r="AE98" s="37">
        <f t="shared" si="20"/>
        <v>20046.7</v>
      </c>
      <c r="AF98" s="37">
        <f t="shared" si="20"/>
        <v>4438.53</v>
      </c>
      <c r="AG98" s="37">
        <f t="shared" si="20"/>
        <v>79521.11</v>
      </c>
      <c r="AH98" s="37">
        <f t="shared" ref="AH98:AP98" si="23">SUBTOTAL(9,AH2:AH97)</f>
        <v>623814.62</v>
      </c>
      <c r="AI98" s="37">
        <f t="shared" si="23"/>
        <v>5416.71</v>
      </c>
      <c r="AJ98" s="38">
        <f t="shared" si="23"/>
        <v>0</v>
      </c>
      <c r="AK98" s="37">
        <f t="shared" si="23"/>
        <v>0</v>
      </c>
      <c r="AL98" s="37">
        <f t="shared" si="23"/>
        <v>0</v>
      </c>
      <c r="AM98" s="37">
        <f t="shared" si="23"/>
        <v>806226.37</v>
      </c>
      <c r="AN98" s="37">
        <f t="shared" si="23"/>
        <v>179935.7</v>
      </c>
      <c r="AO98" s="37">
        <f t="shared" si="23"/>
        <v>0</v>
      </c>
      <c r="AP98" s="37">
        <f t="shared" si="23"/>
        <v>798333.61</v>
      </c>
      <c r="AQ98" s="9"/>
      <c r="AR98" s="35"/>
      <c r="AS98" s="9"/>
      <c r="AT98" s="9"/>
      <c r="AU98" s="39"/>
    </row>
    <row r="99" spans="1:47">
      <c r="H99" s="35"/>
      <c r="AP99" s="37"/>
    </row>
  </sheetData>
  <conditionalFormatting sqref="E10">
    <cfRule type="duplicateValues" dxfId="0" priority="361"/>
  </conditionalFormatting>
  <conditionalFormatting sqref="E56">
    <cfRule type="duplicateValues" dxfId="1" priority="734"/>
    <cfRule type="duplicateValues" priority="735"/>
    <cfRule type="duplicateValues" dxfId="0" priority="736"/>
  </conditionalFormatting>
  <conditionalFormatting sqref="E60">
    <cfRule type="duplicateValues" dxfId="1" priority="1061"/>
    <cfRule type="duplicateValues" priority="1062"/>
    <cfRule type="duplicateValues" dxfId="0" priority="1063"/>
  </conditionalFormatting>
  <conditionalFormatting sqref="E61">
    <cfRule type="duplicateValues" dxfId="0" priority="64"/>
  </conditionalFormatting>
  <conditionalFormatting sqref="E66">
    <cfRule type="duplicateValues" dxfId="1" priority="107"/>
    <cfRule type="duplicateValues" priority="108"/>
    <cfRule type="duplicateValues" dxfId="0" priority="106"/>
  </conditionalFormatting>
  <conditionalFormatting sqref="E74">
    <cfRule type="duplicateValues" dxfId="1" priority="69"/>
    <cfRule type="duplicateValues" priority="70"/>
    <cfRule type="duplicateValues" dxfId="0" priority="68"/>
  </conditionalFormatting>
  <conditionalFormatting sqref="E80">
    <cfRule type="duplicateValues" dxfId="1" priority="66"/>
    <cfRule type="duplicateValues" priority="67"/>
    <cfRule type="duplicateValues" dxfId="0" priority="65"/>
  </conditionalFormatting>
  <conditionalFormatting sqref="E120">
    <cfRule type="duplicateValues" dxfId="1" priority="88"/>
    <cfRule type="duplicateValues" priority="89"/>
    <cfRule type="duplicateValues" dxfId="0" priority="87"/>
  </conditionalFormatting>
  <conditionalFormatting sqref="E2:E60">
    <cfRule type="duplicateValues" dxfId="0" priority="1502"/>
  </conditionalFormatting>
  <conditionalFormatting sqref="E2:E80">
    <cfRule type="duplicateValues" dxfId="0" priority="1571"/>
  </conditionalFormatting>
  <conditionalFormatting sqref="E10:E11">
    <cfRule type="duplicateValues" dxfId="0" priority="1496"/>
  </conditionalFormatting>
  <conditionalFormatting sqref="E12:E14">
    <cfRule type="duplicateValues" dxfId="0" priority="1426"/>
  </conditionalFormatting>
  <conditionalFormatting sqref="E12:E26">
    <cfRule type="duplicateValues" dxfId="0" priority="1430"/>
  </conditionalFormatting>
  <conditionalFormatting sqref="E45:E46">
    <cfRule type="duplicateValues" dxfId="0" priority="1260"/>
  </conditionalFormatting>
  <conditionalFormatting sqref="E47:E50">
    <cfRule type="duplicateValues" dxfId="0" priority="922"/>
  </conditionalFormatting>
  <conditionalFormatting sqref="E58:E60">
    <cfRule type="duplicateValues" dxfId="1" priority="1393"/>
    <cfRule type="duplicateValues" priority="1394"/>
    <cfRule type="duplicateValues" dxfId="0" priority="1397"/>
  </conditionalFormatting>
  <conditionalFormatting sqref="E59:E61">
    <cfRule type="duplicateValues" dxfId="0" priority="63"/>
  </conditionalFormatting>
  <conditionalFormatting sqref="E59:E60">
    <cfRule type="duplicateValues" dxfId="1" priority="1386"/>
    <cfRule type="duplicateValues" priority="1387"/>
    <cfRule type="duplicateValues" dxfId="0" priority="1388"/>
  </conditionalFormatting>
  <conditionalFormatting sqref="E62:E65">
    <cfRule type="duplicateValues" dxfId="0" priority="61"/>
  </conditionalFormatting>
  <conditionalFormatting sqref="E76:E80">
    <cfRule type="duplicateValues" dxfId="1" priority="1227"/>
    <cfRule type="duplicateValues" priority="1228"/>
    <cfRule type="duplicateValues" dxfId="0" priority="1231"/>
  </conditionalFormatting>
  <conditionalFormatting sqref="E77:E80">
    <cfRule type="duplicateValues" dxfId="0" priority="1215"/>
  </conditionalFormatting>
  <conditionalFormatting sqref="E78:E80">
    <cfRule type="duplicateValues" dxfId="1" priority="1239"/>
    <cfRule type="duplicateValues" priority="1240"/>
    <cfRule type="duplicateValues" dxfId="0" priority="1243"/>
  </conditionalFormatting>
  <conditionalFormatting sqref="E79:E80">
    <cfRule type="duplicateValues" dxfId="1" priority="1245"/>
    <cfRule type="duplicateValues" priority="1246"/>
    <cfRule type="duplicateValues" dxfId="0" priority="1249"/>
  </conditionalFormatting>
  <conditionalFormatting sqref="E98:E1048576">
    <cfRule type="duplicateValues" dxfId="0" priority="44"/>
  </conditionalFormatting>
  <conditionalFormatting sqref="E118:E120">
    <cfRule type="duplicateValues" dxfId="1" priority="85"/>
    <cfRule type="duplicateValues" priority="86"/>
    <cfRule type="duplicateValues" dxfId="0" priority="84"/>
  </conditionalFormatting>
  <conditionalFormatting sqref="D1:D95 D98:D1048576">
    <cfRule type="duplicateValues" dxfId="0" priority="1576"/>
  </conditionalFormatting>
  <conditionalFormatting sqref="E98:E1048576 E1:E85">
    <cfRule type="duplicateValues" dxfId="0" priority="353"/>
  </conditionalFormatting>
  <conditionalFormatting sqref="E98:E1048576 E1:E80">
    <cfRule type="duplicateValues" dxfId="0" priority="71"/>
  </conditionalFormatting>
  <conditionalFormatting sqref="E98:E105 E85">
    <cfRule type="duplicateValues" dxfId="0" priority="1189"/>
  </conditionalFormatting>
  <conditionalFormatting sqref="E98:E112 E85">
    <cfRule type="duplicateValues" dxfId="0" priority="1191"/>
  </conditionalFormatting>
  <pageMargins left="0.55" right="0.22" top="0.748031496062992" bottom="0.748031496062992" header="0.31496062992126" footer="0.31496062992126"/>
  <pageSetup paperSize="9" scale="75" orientation="landscape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sfsc</dc:creator>
  <cp:lastModifiedBy>陈淑婷</cp:lastModifiedBy>
  <dcterms:created xsi:type="dcterms:W3CDTF">2006-09-13T11:21:00Z</dcterms:created>
  <cp:lastPrinted>2021-11-24T05:14:00Z</cp:lastPrinted>
  <dcterms:modified xsi:type="dcterms:W3CDTF">2026-06-24T09:44:20Z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38A371AB15F84BF891BF73B264696811_12</vt:lpwstr>
  </property>
  <property fmtid="{D5CDD505-2E9C-101B-9397-08002B2CF9AE}" pid="4" name="CalculationRule">
    <vt:i4>0</vt:i4>
  </property>
</Properties>
</file>