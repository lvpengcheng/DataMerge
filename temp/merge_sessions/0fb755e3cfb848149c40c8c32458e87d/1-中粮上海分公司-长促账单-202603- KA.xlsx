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13中粮\账单\上海分\"/>
    </mc:Choice>
  </mc:AlternateContent>
  <bookViews>
    <workbookView xWindow="-120" yWindow="-120" windowWidth="29040" windowHeight="15720" activeTab="3"/>
  </bookViews>
  <sheets>
    <sheet name="付款通知书" sheetId="1" r:id="rId1"/>
    <sheet name="长促工资明细" sheetId="2" r:id="rId2"/>
    <sheet name="Sheet9" sheetId="24" state="hidden" r:id="rId3"/>
    <sheet name="社保公积金账单" sheetId="3" r:id="rId4"/>
    <sheet name="Sheet8" sheetId="23" state="hidden" r:id="rId5"/>
    <sheet name="Sheet6" sheetId="21" state="hidden" r:id="rId6"/>
    <sheet name="Sheet7" sheetId="22" state="hidden" r:id="rId7"/>
    <sheet name="Sheet4" sheetId="19" state="hidden" r:id="rId8"/>
    <sheet name="Sheet3" sheetId="18" state="hidden" r:id="rId9"/>
    <sheet name="Sheet2" sheetId="16" state="hidden" r:id="rId10"/>
    <sheet name="赵多多社保明细" sheetId="8" state="hidden" r:id="rId11"/>
    <sheet name="增减情况" sheetId="13" r:id="rId12"/>
    <sheet name="开票通知书" sheetId="25" r:id="rId13"/>
    <sheet name="Sheet1" sheetId="17" state="hidden" r:id="rId14"/>
    <sheet name="Sheet5" sheetId="20" state="hidden" r:id="rId15"/>
  </sheets>
  <externalReferences>
    <externalReference r:id="rId16"/>
  </externalReferences>
  <definedNames>
    <definedName name="_xlnm._FilterDatabase" localSheetId="9" hidden="1">Sheet2!$A$3:$O$121</definedName>
    <definedName name="_xlnm._FilterDatabase" localSheetId="8" hidden="1">Sheet3!$A$3:$M$116</definedName>
    <definedName name="_xlnm._FilterDatabase" localSheetId="3" hidden="1">社保公积金账单!$A$3:$CT$40</definedName>
    <definedName name="_xlnm._FilterDatabase" localSheetId="1" hidden="1">长促工资明细!$A$5:$BS$40</definedName>
    <definedName name="_xlnm.Print_Area" localSheetId="0">付款通知书!$A$1:$H$28</definedName>
    <definedName name="证件类型">[1]填表说明!$A$6:$A$17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0" i="3" l="1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AJ40" i="3"/>
  <c r="AK40" i="3"/>
  <c r="AL40" i="3"/>
  <c r="AM40" i="3"/>
  <c r="AN40" i="3"/>
  <c r="AO40" i="3"/>
  <c r="AP40" i="3"/>
  <c r="AQ40" i="3"/>
  <c r="AR40" i="3"/>
  <c r="AS40" i="3"/>
  <c r="AT40" i="3"/>
  <c r="AU40" i="3"/>
  <c r="AV40" i="3"/>
  <c r="AW40" i="3"/>
  <c r="AX40" i="3"/>
  <c r="AY40" i="3"/>
  <c r="AZ40" i="3"/>
  <c r="BA40" i="3"/>
  <c r="BB40" i="3"/>
  <c r="BC40" i="3"/>
  <c r="BD40" i="3"/>
  <c r="BE40" i="3"/>
  <c r="BF40" i="3"/>
  <c r="BG40" i="3"/>
  <c r="BH40" i="3"/>
  <c r="BI40" i="3"/>
  <c r="BJ40" i="3"/>
  <c r="BK40" i="3"/>
  <c r="BL40" i="3"/>
  <c r="BM40" i="3"/>
  <c r="BN40" i="3"/>
  <c r="BO40" i="3"/>
  <c r="BP40" i="3"/>
  <c r="BQ40" i="3"/>
  <c r="BR40" i="3"/>
  <c r="BS40" i="3"/>
  <c r="BT40" i="3"/>
  <c r="BU40" i="3"/>
  <c r="BV40" i="3"/>
  <c r="BW40" i="3"/>
  <c r="BX40" i="3"/>
  <c r="BY40" i="3"/>
  <c r="BZ40" i="3"/>
  <c r="CA40" i="3"/>
  <c r="CB40" i="3"/>
  <c r="CC40" i="3"/>
  <c r="CD40" i="3"/>
  <c r="CE40" i="3"/>
  <c r="CF40" i="3"/>
  <c r="CG40" i="3"/>
  <c r="CH40" i="3"/>
  <c r="CI40" i="3"/>
  <c r="CJ40" i="3"/>
  <c r="CK40" i="3"/>
  <c r="CL40" i="3"/>
  <c r="CM40" i="3"/>
  <c r="E29" i="3" l="1"/>
  <c r="F29" i="3"/>
  <c r="E31" i="3"/>
  <c r="F31" i="3"/>
  <c r="E32" i="3"/>
  <c r="F32" i="3"/>
  <c r="E33" i="3"/>
  <c r="F33" i="3"/>
  <c r="E34" i="3"/>
  <c r="F34" i="3"/>
  <c r="E35" i="3"/>
  <c r="F35" i="3"/>
  <c r="E36" i="3"/>
  <c r="F36" i="3"/>
  <c r="E37" i="3"/>
  <c r="F37" i="3"/>
  <c r="E38" i="3"/>
  <c r="F38" i="3"/>
  <c r="E6" i="3"/>
  <c r="F6" i="3"/>
  <c r="E7" i="3"/>
  <c r="F7" i="3"/>
  <c r="E8" i="3"/>
  <c r="F8" i="3"/>
  <c r="E9" i="3"/>
  <c r="F9" i="3"/>
  <c r="E10" i="3"/>
  <c r="F10" i="3"/>
  <c r="E11" i="3"/>
  <c r="F11" i="3"/>
  <c r="E12" i="3"/>
  <c r="F12" i="3"/>
  <c r="E13" i="3"/>
  <c r="F13" i="3"/>
  <c r="E14" i="3"/>
  <c r="F14" i="3"/>
  <c r="E15" i="3"/>
  <c r="F15" i="3"/>
  <c r="E16" i="3"/>
  <c r="F16" i="3"/>
  <c r="E17" i="3"/>
  <c r="F17" i="3"/>
  <c r="E18" i="3"/>
  <c r="F18" i="3"/>
  <c r="E19" i="3"/>
  <c r="F19" i="3"/>
  <c r="E20" i="3"/>
  <c r="F20" i="3"/>
  <c r="E21" i="3"/>
  <c r="F21" i="3"/>
  <c r="E22" i="3"/>
  <c r="F22" i="3"/>
  <c r="E23" i="3"/>
  <c r="F23" i="3"/>
  <c r="E24" i="3"/>
  <c r="F24" i="3"/>
  <c r="E25" i="3"/>
  <c r="F25" i="3"/>
  <c r="E26" i="3"/>
  <c r="F26" i="3"/>
  <c r="E27" i="3"/>
  <c r="F27" i="3"/>
  <c r="E28" i="3"/>
  <c r="F28" i="3"/>
  <c r="E5" i="3"/>
  <c r="BD18" i="2" l="1"/>
  <c r="BD23" i="2"/>
  <c r="BD33" i="2"/>
  <c r="BD38" i="2"/>
  <c r="M23" i="25" l="1"/>
  <c r="M15" i="25"/>
  <c r="K15" i="25"/>
  <c r="J15" i="25"/>
  <c r="I15" i="25"/>
  <c r="H15" i="25"/>
  <c r="G15" i="25"/>
  <c r="CS38" i="3" l="1"/>
  <c r="CS37" i="3"/>
  <c r="CS36" i="3"/>
  <c r="CS35" i="3"/>
  <c r="BV37" i="3" l="1"/>
  <c r="BW37" i="3"/>
  <c r="BX37" i="3"/>
  <c r="BY37" i="3"/>
  <c r="BZ37" i="3"/>
  <c r="CA37" i="3"/>
  <c r="CB37" i="3"/>
  <c r="CC37" i="3"/>
  <c r="BV38" i="3"/>
  <c r="BW38" i="3"/>
  <c r="BX38" i="3"/>
  <c r="BY38" i="3"/>
  <c r="BZ38" i="3"/>
  <c r="CH38" i="3" s="1"/>
  <c r="CA38" i="3"/>
  <c r="CB38" i="3"/>
  <c r="CC38" i="3"/>
  <c r="CN40" i="3"/>
  <c r="CE37" i="3" l="1"/>
  <c r="CD37" i="3"/>
  <c r="CJ38" i="3"/>
  <c r="CI38" i="3"/>
  <c r="CL38" i="3" s="1"/>
  <c r="CE38" i="3"/>
  <c r="CJ37" i="3"/>
  <c r="CH37" i="3"/>
  <c r="CD38" i="3"/>
  <c r="CK38" i="3"/>
  <c r="CK37" i="3"/>
  <c r="CI37" i="3"/>
  <c r="CM38" i="3" l="1"/>
  <c r="CF37" i="3"/>
  <c r="CL37" i="3"/>
  <c r="CM37" i="3"/>
  <c r="CF38" i="3"/>
  <c r="AW40" i="2" l="1"/>
  <c r="AE40" i="2"/>
  <c r="AG40" i="2" l="1"/>
  <c r="AB40" i="2"/>
  <c r="D11" i="1"/>
  <c r="BS7" i="2" l="1"/>
  <c r="BS8" i="2"/>
  <c r="BS9" i="2"/>
  <c r="BS10" i="2"/>
  <c r="BS11" i="2"/>
  <c r="BS12" i="2"/>
  <c r="BS13" i="2"/>
  <c r="BS14" i="2"/>
  <c r="BS15" i="2"/>
  <c r="BS16" i="2"/>
  <c r="BS17" i="2"/>
  <c r="BS18" i="2"/>
  <c r="BS19" i="2"/>
  <c r="BS20" i="2"/>
  <c r="BS21" i="2"/>
  <c r="BS22" i="2"/>
  <c r="BS23" i="2"/>
  <c r="BS24" i="2"/>
  <c r="BS25" i="2"/>
  <c r="BS26" i="2"/>
  <c r="BS27" i="2"/>
  <c r="BS28" i="2"/>
  <c r="BS29" i="2"/>
  <c r="BS30" i="2"/>
  <c r="BS31" i="2"/>
  <c r="BS32" i="2"/>
  <c r="BS33" i="2"/>
  <c r="BS34" i="2"/>
  <c r="BS35" i="2"/>
  <c r="BS36" i="2"/>
  <c r="BS37" i="2"/>
  <c r="BS38" i="2"/>
  <c r="BS39" i="2"/>
  <c r="BS6" i="2"/>
  <c r="BV5" i="3" l="1"/>
  <c r="BW5" i="3"/>
  <c r="BX5" i="3"/>
  <c r="BV6" i="3"/>
  <c r="BW6" i="3"/>
  <c r="BX6" i="3"/>
  <c r="BV7" i="3"/>
  <c r="BW7" i="3"/>
  <c r="BX7" i="3"/>
  <c r="BV8" i="3"/>
  <c r="BW8" i="3"/>
  <c r="BX8" i="3"/>
  <c r="BV9" i="3"/>
  <c r="BW9" i="3"/>
  <c r="BX9" i="3"/>
  <c r="BV10" i="3"/>
  <c r="BW10" i="3"/>
  <c r="BX10" i="3"/>
  <c r="BV11" i="3"/>
  <c r="BW11" i="3"/>
  <c r="BX11" i="3"/>
  <c r="BV12" i="3"/>
  <c r="BW12" i="3"/>
  <c r="BX12" i="3"/>
  <c r="BV13" i="3"/>
  <c r="BW13" i="3"/>
  <c r="BX13" i="3"/>
  <c r="BV14" i="3"/>
  <c r="BW14" i="3"/>
  <c r="BX14" i="3"/>
  <c r="BV15" i="3"/>
  <c r="BW15" i="3"/>
  <c r="BX15" i="3"/>
  <c r="BV16" i="3"/>
  <c r="BW16" i="3"/>
  <c r="BX16" i="3"/>
  <c r="BV17" i="3"/>
  <c r="BW17" i="3"/>
  <c r="BX17" i="3"/>
  <c r="BV18" i="3"/>
  <c r="BW18" i="3"/>
  <c r="BX18" i="3"/>
  <c r="BV19" i="3"/>
  <c r="BW19" i="3"/>
  <c r="BX19" i="3"/>
  <c r="BV20" i="3"/>
  <c r="BW20" i="3"/>
  <c r="BX20" i="3"/>
  <c r="BV21" i="3"/>
  <c r="BW21" i="3"/>
  <c r="BX21" i="3"/>
  <c r="BV22" i="3"/>
  <c r="BW22" i="3"/>
  <c r="BX22" i="3"/>
  <c r="BV23" i="3"/>
  <c r="BW23" i="3"/>
  <c r="BX23" i="3"/>
  <c r="BV24" i="3"/>
  <c r="BW24" i="3"/>
  <c r="BX24" i="3"/>
  <c r="BV25" i="3"/>
  <c r="BW25" i="3"/>
  <c r="BX25" i="3"/>
  <c r="BV26" i="3"/>
  <c r="BW26" i="3"/>
  <c r="BX26" i="3"/>
  <c r="BV27" i="3"/>
  <c r="BW27" i="3"/>
  <c r="BX27" i="3"/>
  <c r="BV28" i="3"/>
  <c r="BW28" i="3"/>
  <c r="BX28" i="3"/>
  <c r="BV29" i="3"/>
  <c r="BW29" i="3"/>
  <c r="BX29" i="3"/>
  <c r="BV30" i="3"/>
  <c r="BW30" i="3"/>
  <c r="BX30" i="3"/>
  <c r="BV31" i="3"/>
  <c r="BW31" i="3"/>
  <c r="BX31" i="3"/>
  <c r="BV32" i="3"/>
  <c r="BW32" i="3"/>
  <c r="BX32" i="3"/>
  <c r="BV33" i="3"/>
  <c r="BW33" i="3"/>
  <c r="BX33" i="3"/>
  <c r="BV34" i="3"/>
  <c r="BW34" i="3"/>
  <c r="BX34" i="3"/>
  <c r="BV35" i="3"/>
  <c r="BW35" i="3"/>
  <c r="BX35" i="3"/>
  <c r="BV36" i="3"/>
  <c r="BW36" i="3"/>
  <c r="BX36" i="3"/>
  <c r="BC6" i="2" l="1"/>
  <c r="BD6" i="2" s="1"/>
  <c r="CS5" i="3" l="1"/>
  <c r="BC34" i="2" l="1"/>
  <c r="BD34" i="2" s="1"/>
  <c r="BC8" i="2"/>
  <c r="BD8" i="2" s="1"/>
  <c r="BC9" i="2"/>
  <c r="BD9" i="2" s="1"/>
  <c r="BC10" i="2"/>
  <c r="BD10" i="2" s="1"/>
  <c r="BC11" i="2"/>
  <c r="BD11" i="2" s="1"/>
  <c r="BC12" i="2"/>
  <c r="BD12" i="2" s="1"/>
  <c r="BC13" i="2"/>
  <c r="BD13" i="2" s="1"/>
  <c r="BC14" i="2"/>
  <c r="BD14" i="2" s="1"/>
  <c r="BC15" i="2"/>
  <c r="BD15" i="2" s="1"/>
  <c r="BC16" i="2"/>
  <c r="BD16" i="2" s="1"/>
  <c r="BC17" i="2"/>
  <c r="BD17" i="2" s="1"/>
  <c r="BC18" i="2"/>
  <c r="BC19" i="2"/>
  <c r="BD19" i="2" s="1"/>
  <c r="BC20" i="2"/>
  <c r="BD20" i="2" s="1"/>
  <c r="BC21" i="2"/>
  <c r="BD21" i="2" s="1"/>
  <c r="BC22" i="2"/>
  <c r="BD22" i="2" s="1"/>
  <c r="BC23" i="2"/>
  <c r="BC24" i="2"/>
  <c r="BD24" i="2" s="1"/>
  <c r="BC25" i="2"/>
  <c r="BD25" i="2" s="1"/>
  <c r="BC26" i="2"/>
  <c r="BD26" i="2" s="1"/>
  <c r="BC27" i="2"/>
  <c r="BD27" i="2" s="1"/>
  <c r="BC28" i="2"/>
  <c r="BD28" i="2" s="1"/>
  <c r="BC29" i="2"/>
  <c r="BD29" i="2" s="1"/>
  <c r="BC30" i="2"/>
  <c r="BD30" i="2" s="1"/>
  <c r="BC31" i="2"/>
  <c r="BD31" i="2" s="1"/>
  <c r="BC32" i="2"/>
  <c r="BD32" i="2" s="1"/>
  <c r="BC33" i="2"/>
  <c r="BC35" i="2"/>
  <c r="BD35" i="2" s="1"/>
  <c r="BC36" i="2"/>
  <c r="BD36" i="2" s="1"/>
  <c r="BC37" i="2"/>
  <c r="BD37" i="2" s="1"/>
  <c r="BC38" i="2"/>
  <c r="BC39" i="2"/>
  <c r="BD39" i="2" s="1"/>
  <c r="BC7" i="2"/>
  <c r="BD7" i="2" s="1"/>
  <c r="CS34" i="3" l="1"/>
  <c r="CC36" i="3"/>
  <c r="CB36" i="3"/>
  <c r="CJ36" i="3" s="1"/>
  <c r="CA36" i="3"/>
  <c r="CI36" i="3" s="1"/>
  <c r="BZ36" i="3"/>
  <c r="CH36" i="3" s="1"/>
  <c r="BY36" i="3"/>
  <c r="CK36" i="3" s="1"/>
  <c r="CL36" i="3" l="1"/>
  <c r="CM36" i="3"/>
  <c r="CD36" i="3"/>
  <c r="CE36" i="3"/>
  <c r="BE35" i="2"/>
  <c r="BJ35" i="2" s="1"/>
  <c r="BP36" i="2"/>
  <c r="BP34" i="2"/>
  <c r="BR36" i="2"/>
  <c r="BQ36" i="2"/>
  <c r="BR35" i="2"/>
  <c r="BQ35" i="2"/>
  <c r="BR34" i="2"/>
  <c r="BQ34" i="2"/>
  <c r="R40" i="2"/>
  <c r="S40" i="2"/>
  <c r="T40" i="2"/>
  <c r="U40" i="2"/>
  <c r="V40" i="2"/>
  <c r="W40" i="2"/>
  <c r="X40" i="2"/>
  <c r="Y40" i="2"/>
  <c r="Z40" i="2"/>
  <c r="AA40" i="2"/>
  <c r="AC40" i="2"/>
  <c r="AD40" i="2"/>
  <c r="AF40" i="2"/>
  <c r="AH40" i="2"/>
  <c r="AI40" i="2"/>
  <c r="AJ40" i="2"/>
  <c r="AK40" i="2"/>
  <c r="AL40" i="2"/>
  <c r="AM40" i="2"/>
  <c r="AN40" i="2"/>
  <c r="AO40" i="2"/>
  <c r="AP40" i="2"/>
  <c r="AQ40" i="2"/>
  <c r="AR40" i="2"/>
  <c r="AS40" i="2"/>
  <c r="AT40" i="2"/>
  <c r="AU40" i="2"/>
  <c r="AV40" i="2"/>
  <c r="AX40" i="2"/>
  <c r="AY40" i="2"/>
  <c r="CF36" i="3" l="1"/>
  <c r="BE36" i="2"/>
  <c r="BJ36" i="2" s="1"/>
  <c r="BP35" i="2"/>
  <c r="BE34" i="2"/>
  <c r="AZ40" i="2"/>
  <c r="BO35" i="2"/>
  <c r="BO34" i="2" l="1"/>
  <c r="BJ34" i="2"/>
  <c r="BK35" i="2"/>
  <c r="BL35" i="2" s="1"/>
  <c r="BK36" i="2"/>
  <c r="BL36" i="2" s="1"/>
  <c r="BO36" i="2"/>
  <c r="BK34" i="2" l="1"/>
  <c r="BL34" i="2" s="1"/>
  <c r="BM35" i="2"/>
  <c r="BM36" i="2"/>
  <c r="BM34" i="2" l="1"/>
  <c r="CS33" i="3"/>
  <c r="CC33" i="3"/>
  <c r="CB33" i="3"/>
  <c r="CA33" i="3"/>
  <c r="BZ33" i="3"/>
  <c r="BY33" i="3"/>
  <c r="BQ14" i="2"/>
  <c r="CJ33" i="3" l="1"/>
  <c r="CK33" i="3"/>
  <c r="CD33" i="3"/>
  <c r="CI33" i="3"/>
  <c r="CH33" i="3"/>
  <c r="CE33" i="3"/>
  <c r="CM33" i="3" l="1"/>
  <c r="CF33" i="3"/>
  <c r="CL33" i="3"/>
  <c r="CS32" i="3" l="1"/>
  <c r="CS31" i="3"/>
  <c r="CS30" i="3"/>
  <c r="CS25" i="3" l="1"/>
  <c r="CQ25" i="3"/>
  <c r="CP25" i="3"/>
  <c r="CO25" i="3"/>
  <c r="CC25" i="3"/>
  <c r="CB25" i="3"/>
  <c r="CA25" i="3"/>
  <c r="BZ25" i="3"/>
  <c r="BY25" i="3"/>
  <c r="CS24" i="3"/>
  <c r="CQ24" i="3"/>
  <c r="CP24" i="3"/>
  <c r="CO24" i="3"/>
  <c r="CC24" i="3"/>
  <c r="CB24" i="3"/>
  <c r="CA24" i="3"/>
  <c r="BZ24" i="3"/>
  <c r="BY24" i="3"/>
  <c r="CS19" i="3"/>
  <c r="CQ19" i="3"/>
  <c r="CP19" i="3"/>
  <c r="CO19" i="3"/>
  <c r="CC19" i="3"/>
  <c r="CB19" i="3"/>
  <c r="CA19" i="3"/>
  <c r="BZ19" i="3"/>
  <c r="BY19" i="3"/>
  <c r="CS18" i="3"/>
  <c r="CQ18" i="3"/>
  <c r="CP18" i="3"/>
  <c r="CO18" i="3"/>
  <c r="CC18" i="3"/>
  <c r="CB18" i="3"/>
  <c r="CA18" i="3"/>
  <c r="BZ18" i="3"/>
  <c r="BY18" i="3"/>
  <c r="CS17" i="3"/>
  <c r="CQ17" i="3"/>
  <c r="CP17" i="3"/>
  <c r="CO17" i="3"/>
  <c r="CC17" i="3"/>
  <c r="CB17" i="3"/>
  <c r="CA17" i="3"/>
  <c r="BZ17" i="3"/>
  <c r="BY17" i="3"/>
  <c r="CI25" i="3" l="1"/>
  <c r="CJ24" i="3"/>
  <c r="CI24" i="3"/>
  <c r="CJ25" i="3"/>
  <c r="CK17" i="3"/>
  <c r="CJ18" i="3"/>
  <c r="CK24" i="3"/>
  <c r="CK25" i="3"/>
  <c r="CJ17" i="3"/>
  <c r="CH24" i="3"/>
  <c r="CR24" i="3" s="1"/>
  <c r="CK19" i="3"/>
  <c r="CE24" i="3"/>
  <c r="CH25" i="3"/>
  <c r="CE25" i="3"/>
  <c r="CK18" i="3"/>
  <c r="CJ19" i="3"/>
  <c r="CH17" i="3"/>
  <c r="CH18" i="3"/>
  <c r="CH19" i="3"/>
  <c r="CR19" i="3" s="1"/>
  <c r="CD24" i="3"/>
  <c r="CD25" i="3"/>
  <c r="CI17" i="3"/>
  <c r="CI18" i="3"/>
  <c r="CI19" i="3"/>
  <c r="CD19" i="3"/>
  <c r="CD17" i="3"/>
  <c r="CE18" i="3"/>
  <c r="CE19" i="3"/>
  <c r="CE17" i="3"/>
  <c r="CD18" i="3"/>
  <c r="CM24" i="3" l="1"/>
  <c r="CL25" i="3"/>
  <c r="CF25" i="3"/>
  <c r="CM18" i="3"/>
  <c r="CM25" i="3"/>
  <c r="CL24" i="3"/>
  <c r="CR25" i="3"/>
  <c r="CF24" i="3"/>
  <c r="CM19" i="3"/>
  <c r="CM17" i="3"/>
  <c r="CL18" i="3"/>
  <c r="CL17" i="3"/>
  <c r="CR17" i="3"/>
  <c r="CR18" i="3"/>
  <c r="CL19" i="3"/>
  <c r="CF17" i="3"/>
  <c r="CF19" i="3"/>
  <c r="CF18" i="3"/>
  <c r="CC35" i="3" l="1"/>
  <c r="CB35" i="3"/>
  <c r="CJ35" i="3" s="1"/>
  <c r="CA35" i="3"/>
  <c r="BZ35" i="3"/>
  <c r="BY35" i="3"/>
  <c r="CC34" i="3"/>
  <c r="CB34" i="3"/>
  <c r="CA34" i="3"/>
  <c r="BZ34" i="3"/>
  <c r="BY34" i="3"/>
  <c r="CD35" i="3" l="1"/>
  <c r="CE34" i="3"/>
  <c r="CD34" i="3"/>
  <c r="CJ34" i="3"/>
  <c r="CE35" i="3"/>
  <c r="CK35" i="3"/>
  <c r="CK34" i="3"/>
  <c r="CH35" i="3"/>
  <c r="CI35" i="3"/>
  <c r="CH34" i="3"/>
  <c r="CI34" i="3"/>
  <c r="CF35" i="3" l="1"/>
  <c r="CF34" i="3"/>
  <c r="CL35" i="3"/>
  <c r="CL34" i="3"/>
  <c r="CM34" i="3"/>
  <c r="CM35" i="3"/>
  <c r="D17" i="1"/>
  <c r="N13" i="25" s="1"/>
  <c r="N15" i="25" s="1"/>
  <c r="BY7" i="3"/>
  <c r="BZ7" i="3"/>
  <c r="CA7" i="3"/>
  <c r="CB7" i="3"/>
  <c r="CC7" i="3"/>
  <c r="BY8" i="3"/>
  <c r="BZ8" i="3"/>
  <c r="CA8" i="3"/>
  <c r="CB8" i="3"/>
  <c r="CC8" i="3"/>
  <c r="BY9" i="3"/>
  <c r="BZ9" i="3"/>
  <c r="CA9" i="3"/>
  <c r="CB9" i="3"/>
  <c r="CC9" i="3"/>
  <c r="BY10" i="3"/>
  <c r="BZ10" i="3"/>
  <c r="CA10" i="3"/>
  <c r="CB10" i="3"/>
  <c r="CC10" i="3"/>
  <c r="BY11" i="3"/>
  <c r="BZ11" i="3"/>
  <c r="CA11" i="3"/>
  <c r="CB11" i="3"/>
  <c r="CC11" i="3"/>
  <c r="BY12" i="3"/>
  <c r="BZ12" i="3"/>
  <c r="CA12" i="3"/>
  <c r="CB12" i="3"/>
  <c r="CC12" i="3"/>
  <c r="BY13" i="3"/>
  <c r="BZ13" i="3"/>
  <c r="CA13" i="3"/>
  <c r="CB13" i="3"/>
  <c r="CC13" i="3"/>
  <c r="BY14" i="3"/>
  <c r="BZ14" i="3"/>
  <c r="CA14" i="3"/>
  <c r="CB14" i="3"/>
  <c r="CC14" i="3"/>
  <c r="BY15" i="3"/>
  <c r="BZ15" i="3"/>
  <c r="CA15" i="3"/>
  <c r="CB15" i="3"/>
  <c r="CC15" i="3"/>
  <c r="BY16" i="3"/>
  <c r="BZ16" i="3"/>
  <c r="CA16" i="3"/>
  <c r="CB16" i="3"/>
  <c r="CC16" i="3"/>
  <c r="BY20" i="3"/>
  <c r="BZ20" i="3"/>
  <c r="CA20" i="3"/>
  <c r="CB20" i="3"/>
  <c r="CC20" i="3"/>
  <c r="BY21" i="3"/>
  <c r="BZ21" i="3"/>
  <c r="CA21" i="3"/>
  <c r="CB21" i="3"/>
  <c r="CC21" i="3"/>
  <c r="BY22" i="3"/>
  <c r="BZ22" i="3"/>
  <c r="CA22" i="3"/>
  <c r="CB22" i="3"/>
  <c r="CC22" i="3"/>
  <c r="BY23" i="3"/>
  <c r="BZ23" i="3"/>
  <c r="CA23" i="3"/>
  <c r="CB23" i="3"/>
  <c r="CC23" i="3"/>
  <c r="BY26" i="3"/>
  <c r="BZ26" i="3"/>
  <c r="CA26" i="3"/>
  <c r="CB26" i="3"/>
  <c r="CC26" i="3"/>
  <c r="BY27" i="3"/>
  <c r="BZ27" i="3"/>
  <c r="CA27" i="3"/>
  <c r="CB27" i="3"/>
  <c r="CC27" i="3"/>
  <c r="BY28" i="3"/>
  <c r="BZ28" i="3"/>
  <c r="CA28" i="3"/>
  <c r="CB28" i="3"/>
  <c r="CC28" i="3"/>
  <c r="BY29" i="3"/>
  <c r="BZ29" i="3"/>
  <c r="CA29" i="3"/>
  <c r="CB29" i="3"/>
  <c r="CC29" i="3"/>
  <c r="BY30" i="3"/>
  <c r="BZ30" i="3"/>
  <c r="CA30" i="3"/>
  <c r="CB30" i="3"/>
  <c r="CC30" i="3"/>
  <c r="BY31" i="3"/>
  <c r="BZ31" i="3"/>
  <c r="CA31" i="3"/>
  <c r="CB31" i="3"/>
  <c r="CC31" i="3"/>
  <c r="BY32" i="3"/>
  <c r="BZ32" i="3"/>
  <c r="CA32" i="3"/>
  <c r="CB32" i="3"/>
  <c r="CC32" i="3"/>
  <c r="CD31" i="3" l="1"/>
  <c r="CD30" i="3"/>
  <c r="CD28" i="3"/>
  <c r="CD27" i="3"/>
  <c r="CD26" i="3"/>
  <c r="CD32" i="3"/>
  <c r="CD29" i="3"/>
  <c r="CE32" i="3"/>
  <c r="CF32" i="3" s="1"/>
  <c r="CE31" i="3"/>
  <c r="CF31" i="3" s="1"/>
  <c r="CE30" i="3"/>
  <c r="CF30" i="3" s="1"/>
  <c r="CE29" i="3"/>
  <c r="CE28" i="3"/>
  <c r="CE27" i="3"/>
  <c r="CE26" i="3"/>
  <c r="CD9" i="3"/>
  <c r="CE8" i="3"/>
  <c r="CD11" i="3"/>
  <c r="CD10" i="3"/>
  <c r="CE20" i="3"/>
  <c r="CE13" i="3"/>
  <c r="CD21" i="3"/>
  <c r="CD20" i="3"/>
  <c r="CE16" i="3"/>
  <c r="CE9" i="3"/>
  <c r="CE22" i="3"/>
  <c r="CD16" i="3"/>
  <c r="CD15" i="3"/>
  <c r="CD14" i="3"/>
  <c r="CD13" i="3"/>
  <c r="CE11" i="3"/>
  <c r="CE10" i="3"/>
  <c r="CE7" i="3"/>
  <c r="CE23" i="3"/>
  <c r="CD7" i="3"/>
  <c r="CD23" i="3"/>
  <c r="CE21" i="3"/>
  <c r="CD12" i="3"/>
  <c r="CD8" i="3"/>
  <c r="CD22" i="3"/>
  <c r="CE15" i="3"/>
  <c r="CE14" i="3"/>
  <c r="CE12" i="3"/>
  <c r="CF26" i="3" l="1"/>
  <c r="CF28" i="3"/>
  <c r="CF27" i="3"/>
  <c r="CF29" i="3"/>
  <c r="CF8" i="3"/>
  <c r="CF9" i="3"/>
  <c r="CF7" i="3"/>
  <c r="CF22" i="3"/>
  <c r="CF15" i="3"/>
  <c r="CF20" i="3"/>
  <c r="CF11" i="3"/>
  <c r="CF16" i="3"/>
  <c r="CF21" i="3"/>
  <c r="CF13" i="3"/>
  <c r="CF10" i="3"/>
  <c r="CF14" i="3"/>
  <c r="CF12" i="3"/>
  <c r="CF23" i="3"/>
  <c r="BY6" i="3"/>
  <c r="BZ6" i="3"/>
  <c r="CA6" i="3"/>
  <c r="CB6" i="3"/>
  <c r="CC6" i="3"/>
  <c r="CK31" i="3" l="1"/>
  <c r="CH26" i="3"/>
  <c r="CH21" i="3"/>
  <c r="CJ9" i="3"/>
  <c r="CH29" i="3"/>
  <c r="CH23" i="3"/>
  <c r="CK27" i="3"/>
  <c r="CJ30" i="3"/>
  <c r="CJ27" i="3"/>
  <c r="CJ26" i="3"/>
  <c r="CJ13" i="3"/>
  <c r="CJ23" i="3"/>
  <c r="CK14" i="3"/>
  <c r="CK16" i="3"/>
  <c r="CK11" i="3"/>
  <c r="CH31" i="3"/>
  <c r="CJ12" i="3"/>
  <c r="CK23" i="3"/>
  <c r="CH12" i="3"/>
  <c r="CH7" i="3"/>
  <c r="CK12" i="3"/>
  <c r="CK7" i="3"/>
  <c r="CH27" i="3"/>
  <c r="CK26" i="3"/>
  <c r="CH13" i="3"/>
  <c r="CH28" i="3"/>
  <c r="CJ31" i="3"/>
  <c r="CH14" i="3"/>
  <c r="CH9" i="3"/>
  <c r="CK28" i="3"/>
  <c r="CK22" i="3"/>
  <c r="CJ16" i="3"/>
  <c r="CJ11" i="3"/>
  <c r="CJ28" i="3"/>
  <c r="CJ22" i="3"/>
  <c r="CI11" i="3"/>
  <c r="CK9" i="3"/>
  <c r="CH16" i="3"/>
  <c r="CH11" i="3"/>
  <c r="CH22" i="3"/>
  <c r="CK20" i="3"/>
  <c r="CK13" i="3"/>
  <c r="CK8" i="3"/>
  <c r="CH20" i="3"/>
  <c r="CK32" i="3"/>
  <c r="CK29" i="3"/>
  <c r="CJ15" i="3"/>
  <c r="CJ7" i="3"/>
  <c r="CI28" i="3"/>
  <c r="CI22" i="3"/>
  <c r="CK30" i="3"/>
  <c r="CJ20" i="3"/>
  <c r="CJ8" i="3"/>
  <c r="CK21" i="3"/>
  <c r="CJ21" i="3"/>
  <c r="CK15" i="3"/>
  <c r="CK10" i="3"/>
  <c r="CH32" i="3"/>
  <c r="CH15" i="3"/>
  <c r="CH10" i="3"/>
  <c r="CI20" i="3"/>
  <c r="CI30" i="3"/>
  <c r="CI32" i="3"/>
  <c r="CI13" i="3"/>
  <c r="CJ10" i="3"/>
  <c r="CI7" i="3"/>
  <c r="CI12" i="3"/>
  <c r="CH30" i="3"/>
  <c r="CI29" i="3"/>
  <c r="CI31" i="3"/>
  <c r="CH8" i="3"/>
  <c r="CI21" i="3"/>
  <c r="CI15" i="3"/>
  <c r="CI10" i="3"/>
  <c r="CI23" i="3"/>
  <c r="CI26" i="3"/>
  <c r="CI14" i="3"/>
  <c r="CI9" i="3"/>
  <c r="CD6" i="3"/>
  <c r="CJ29" i="3"/>
  <c r="CJ14" i="3"/>
  <c r="CJ32" i="3"/>
  <c r="CI16" i="3"/>
  <c r="CI8" i="3"/>
  <c r="CE6" i="3"/>
  <c r="CI27" i="3"/>
  <c r="CF6" i="3" l="1"/>
  <c r="BR33" i="2"/>
  <c r="BQ33" i="2"/>
  <c r="BP33" i="2"/>
  <c r="BR32" i="2"/>
  <c r="BQ32" i="2"/>
  <c r="BP32" i="2"/>
  <c r="BR31" i="2"/>
  <c r="BQ31" i="2"/>
  <c r="BP31" i="2"/>
  <c r="BE33" i="2" l="1"/>
  <c r="BJ33" i="2" s="1"/>
  <c r="BE32" i="2"/>
  <c r="BE31" i="2"/>
  <c r="BO32" i="2" l="1"/>
  <c r="BJ32" i="2"/>
  <c r="BK32" i="2" s="1"/>
  <c r="BO31" i="2"/>
  <c r="BJ31" i="2"/>
  <c r="BK31" i="2" s="1"/>
  <c r="BO33" i="2"/>
  <c r="BK33" i="2" l="1"/>
  <c r="BL33" i="2" s="1"/>
  <c r="BL31" i="2"/>
  <c r="BM31" i="2"/>
  <c r="BL32" i="2"/>
  <c r="BM32" i="2"/>
  <c r="CS6" i="3"/>
  <c r="CS7" i="3"/>
  <c r="CS8" i="3"/>
  <c r="CS9" i="3"/>
  <c r="CS10" i="3"/>
  <c r="CS11" i="3"/>
  <c r="CS12" i="3"/>
  <c r="CS13" i="3"/>
  <c r="CS14" i="3"/>
  <c r="CS15" i="3"/>
  <c r="CS16" i="3"/>
  <c r="CS20" i="3"/>
  <c r="CS21" i="3"/>
  <c r="CS22" i="3"/>
  <c r="CS23" i="3"/>
  <c r="CS26" i="3"/>
  <c r="CS27" i="3"/>
  <c r="CS28" i="3"/>
  <c r="CS29" i="3"/>
  <c r="BM33" i="2" l="1"/>
  <c r="BP6" i="2" l="1"/>
  <c r="BB40" i="2" l="1"/>
  <c r="BF40" i="2"/>
  <c r="BG40" i="2"/>
  <c r="BH40" i="2"/>
  <c r="BI40" i="2"/>
  <c r="BN40" i="2"/>
  <c r="CO22" i="3" l="1"/>
  <c r="CP22" i="3"/>
  <c r="CQ22" i="3"/>
  <c r="CO23" i="3"/>
  <c r="CP23" i="3"/>
  <c r="CQ23" i="3"/>
  <c r="CO26" i="3"/>
  <c r="CP26" i="3"/>
  <c r="CQ26" i="3"/>
  <c r="CO27" i="3"/>
  <c r="CP27" i="3"/>
  <c r="CQ27" i="3"/>
  <c r="CO28" i="3"/>
  <c r="CP28" i="3"/>
  <c r="CQ28" i="3"/>
  <c r="CO29" i="3"/>
  <c r="CP29" i="3"/>
  <c r="CQ29" i="3"/>
  <c r="CO30" i="3"/>
  <c r="CP30" i="3"/>
  <c r="CQ30" i="3"/>
  <c r="CA5" i="3" l="1"/>
  <c r="BZ5" i="3"/>
  <c r="CQ20" i="3" l="1"/>
  <c r="CP20" i="3"/>
  <c r="CO20" i="3"/>
  <c r="CR20" i="3" l="1"/>
  <c r="CM20" i="3"/>
  <c r="CL20" i="3"/>
  <c r="F5" i="3" l="1"/>
  <c r="CR27" i="3" l="1"/>
  <c r="CR26" i="3" l="1"/>
  <c r="CR23" i="3"/>
  <c r="CR28" i="3"/>
  <c r="CR29" i="3"/>
  <c r="CR22" i="3"/>
  <c r="CR30" i="3"/>
  <c r="CQ32" i="3"/>
  <c r="CP32" i="3"/>
  <c r="CO32" i="3"/>
  <c r="CQ31" i="3"/>
  <c r="CP31" i="3"/>
  <c r="CO31" i="3"/>
  <c r="CR31" i="3" l="1"/>
  <c r="CR32" i="3"/>
  <c r="CM32" i="3" l="1"/>
  <c r="CM31" i="3"/>
  <c r="CL32" i="3"/>
  <c r="CL31" i="3"/>
  <c r="BQ38" i="2" l="1"/>
  <c r="CL28" i="3" l="1"/>
  <c r="CM30" i="3"/>
  <c r="CM28" i="3" l="1"/>
  <c r="CL27" i="3"/>
  <c r="CL30" i="3"/>
  <c r="CL29" i="3"/>
  <c r="CM29" i="3"/>
  <c r="CM27" i="3"/>
  <c r="CB5" i="3" l="1"/>
  <c r="BP9" i="2"/>
  <c r="BY5" i="3"/>
  <c r="CC5" i="3"/>
  <c r="CQ21" i="3"/>
  <c r="CP21" i="3"/>
  <c r="CO21" i="3"/>
  <c r="CQ16" i="3"/>
  <c r="CP16" i="3"/>
  <c r="CO16" i="3"/>
  <c r="CQ15" i="3"/>
  <c r="CP15" i="3"/>
  <c r="CO15" i="3"/>
  <c r="CQ14" i="3"/>
  <c r="CP14" i="3"/>
  <c r="CO14" i="3"/>
  <c r="CQ12" i="3"/>
  <c r="CP12" i="3"/>
  <c r="CO12" i="3"/>
  <c r="CQ11" i="3"/>
  <c r="CP11" i="3"/>
  <c r="CO11" i="3"/>
  <c r="CQ10" i="3"/>
  <c r="CP10" i="3"/>
  <c r="CO10" i="3"/>
  <c r="CQ9" i="3"/>
  <c r="CP9" i="3"/>
  <c r="CO9" i="3"/>
  <c r="CQ8" i="3"/>
  <c r="CP8" i="3"/>
  <c r="CO8" i="3"/>
  <c r="CQ7" i="3"/>
  <c r="CP7" i="3"/>
  <c r="CO7" i="3"/>
  <c r="CQ6" i="3"/>
  <c r="CP6" i="3"/>
  <c r="CO6" i="3"/>
  <c r="CP13" i="3"/>
  <c r="CP5" i="3"/>
  <c r="CO13" i="3"/>
  <c r="CQ13" i="3"/>
  <c r="CQ5" i="3"/>
  <c r="CO5" i="3"/>
  <c r="BR7" i="2"/>
  <c r="BR8" i="2"/>
  <c r="BR9" i="2"/>
  <c r="BR10" i="2"/>
  <c r="BR11" i="2"/>
  <c r="BR12" i="2"/>
  <c r="BR13" i="2"/>
  <c r="BR14" i="2"/>
  <c r="BR15" i="2"/>
  <c r="BR16" i="2"/>
  <c r="BR17" i="2"/>
  <c r="BR18" i="2"/>
  <c r="BR19" i="2"/>
  <c r="BR20" i="2"/>
  <c r="BR21" i="2"/>
  <c r="BR22" i="2"/>
  <c r="BR23" i="2"/>
  <c r="BR24" i="2"/>
  <c r="BR25" i="2"/>
  <c r="BR26" i="2"/>
  <c r="BR27" i="2"/>
  <c r="BR28" i="2"/>
  <c r="BR29" i="2"/>
  <c r="BR30" i="2"/>
  <c r="BR37" i="2"/>
  <c r="BR38" i="2"/>
  <c r="BR39" i="2"/>
  <c r="BR6" i="2"/>
  <c r="D89" i="24"/>
  <c r="E89" i="24"/>
  <c r="F89" i="24"/>
  <c r="G89" i="24"/>
  <c r="H89" i="24"/>
  <c r="I89" i="24"/>
  <c r="J89" i="24"/>
  <c r="K89" i="24"/>
  <c r="L89" i="24"/>
  <c r="M89" i="24"/>
  <c r="N89" i="24"/>
  <c r="O89" i="24"/>
  <c r="BQ7" i="2"/>
  <c r="BQ8" i="2"/>
  <c r="BQ9" i="2"/>
  <c r="BQ10" i="2"/>
  <c r="BQ11" i="2"/>
  <c r="BQ12" i="2"/>
  <c r="BQ13" i="2"/>
  <c r="BQ15" i="2"/>
  <c r="BQ16" i="2"/>
  <c r="BQ17" i="2"/>
  <c r="BQ18" i="2"/>
  <c r="BQ19" i="2"/>
  <c r="BQ20" i="2"/>
  <c r="BQ21" i="2"/>
  <c r="BQ22" i="2"/>
  <c r="BQ23" i="2"/>
  <c r="BQ24" i="2"/>
  <c r="BQ25" i="2"/>
  <c r="BQ26" i="2"/>
  <c r="BQ27" i="2"/>
  <c r="BQ28" i="2"/>
  <c r="BQ29" i="2"/>
  <c r="BQ30" i="2"/>
  <c r="BQ37" i="2"/>
  <c r="BQ39" i="2"/>
  <c r="BQ6" i="2"/>
  <c r="C97" i="23"/>
  <c r="D97" i="23"/>
  <c r="E97" i="23"/>
  <c r="F97" i="23"/>
  <c r="G97" i="23"/>
  <c r="H97" i="23"/>
  <c r="I97" i="23"/>
  <c r="J97" i="23"/>
  <c r="K97" i="23"/>
  <c r="L97" i="23"/>
  <c r="M97" i="23"/>
  <c r="B97" i="23"/>
  <c r="BP7" i="2"/>
  <c r="BP8" i="2"/>
  <c r="BP10" i="2"/>
  <c r="BP11" i="2"/>
  <c r="BP14" i="2"/>
  <c r="BP15" i="2"/>
  <c r="BP17" i="2"/>
  <c r="BP21" i="2"/>
  <c r="BP22" i="2"/>
  <c r="BP25" i="2"/>
  <c r="BP26" i="2"/>
  <c r="BP27" i="2"/>
  <c r="BP28" i="2"/>
  <c r="BP29" i="2"/>
  <c r="BP30" i="2"/>
  <c r="BP37" i="2"/>
  <c r="BP38" i="2"/>
  <c r="BP39" i="2"/>
  <c r="BX80" i="22"/>
  <c r="BV80" i="22"/>
  <c r="BU80" i="22"/>
  <c r="BT80" i="22"/>
  <c r="BS80" i="22"/>
  <c r="BX79" i="22"/>
  <c r="BV79" i="22"/>
  <c r="BU79" i="22"/>
  <c r="BT79" i="22"/>
  <c r="BS79" i="22"/>
  <c r="BX78" i="22"/>
  <c r="BV78" i="22"/>
  <c r="BU78" i="22"/>
  <c r="BT78" i="22"/>
  <c r="BS78" i="22"/>
  <c r="BX77" i="22"/>
  <c r="BV77" i="22"/>
  <c r="BU77" i="22"/>
  <c r="BT77" i="22"/>
  <c r="BS77" i="22"/>
  <c r="BX76" i="22"/>
  <c r="BV76" i="22"/>
  <c r="BU76" i="22"/>
  <c r="BT76" i="22"/>
  <c r="BS76" i="22"/>
  <c r="BX75" i="22"/>
  <c r="BV75" i="22"/>
  <c r="BU75" i="22"/>
  <c r="BT75" i="22"/>
  <c r="BS75" i="22"/>
  <c r="BX74" i="22"/>
  <c r="BV74" i="22"/>
  <c r="BU74" i="22"/>
  <c r="BT74" i="22"/>
  <c r="BS74" i="22"/>
  <c r="BX73" i="22"/>
  <c r="BV73" i="22"/>
  <c r="BU73" i="22"/>
  <c r="BT73" i="22"/>
  <c r="BS73" i="22"/>
  <c r="BX72" i="22"/>
  <c r="BV72" i="22"/>
  <c r="BU72" i="22"/>
  <c r="BT72" i="22"/>
  <c r="BS72" i="22"/>
  <c r="BX71" i="22"/>
  <c r="BV71" i="22"/>
  <c r="BU71" i="22"/>
  <c r="BT71" i="22"/>
  <c r="BS71" i="22"/>
  <c r="BX70" i="22"/>
  <c r="BV70" i="22"/>
  <c r="BU70" i="22"/>
  <c r="BT70" i="22"/>
  <c r="BS70" i="22"/>
  <c r="BX69" i="22"/>
  <c r="BV69" i="22"/>
  <c r="BU69" i="22"/>
  <c r="BT69" i="22"/>
  <c r="BS69" i="22"/>
  <c r="BX68" i="22"/>
  <c r="BV68" i="22"/>
  <c r="BU68" i="22"/>
  <c r="BT68" i="22"/>
  <c r="BS68" i="22"/>
  <c r="BX67" i="22"/>
  <c r="BV67" i="22"/>
  <c r="BU67" i="22"/>
  <c r="BT67" i="22"/>
  <c r="BS67" i="22"/>
  <c r="BX66" i="22"/>
  <c r="BV66" i="22"/>
  <c r="BU66" i="22"/>
  <c r="BT66" i="22"/>
  <c r="BS66" i="22"/>
  <c r="BX65" i="22"/>
  <c r="BV65" i="22"/>
  <c r="BU65" i="22"/>
  <c r="BT65" i="22"/>
  <c r="BS65" i="22"/>
  <c r="BX64" i="22"/>
  <c r="BV64" i="22"/>
  <c r="BU64" i="22"/>
  <c r="BT64" i="22"/>
  <c r="BS64" i="22"/>
  <c r="BX63" i="22"/>
  <c r="BV63" i="22"/>
  <c r="BU63" i="22"/>
  <c r="BT63" i="22"/>
  <c r="BS63" i="22"/>
  <c r="BX62" i="22"/>
  <c r="BV62" i="22"/>
  <c r="BU62" i="22"/>
  <c r="BT62" i="22"/>
  <c r="BS62" i="22"/>
  <c r="BX61" i="22"/>
  <c r="BV61" i="22"/>
  <c r="BU61" i="22"/>
  <c r="BT61" i="22"/>
  <c r="BS61" i="22"/>
  <c r="BX60" i="22"/>
  <c r="BV60" i="22"/>
  <c r="BU60" i="22"/>
  <c r="BT60" i="22"/>
  <c r="BS60" i="22"/>
  <c r="BX59" i="22"/>
  <c r="BV59" i="22"/>
  <c r="BU59" i="22"/>
  <c r="BT59" i="22"/>
  <c r="BS59" i="22"/>
  <c r="BX58" i="22"/>
  <c r="BV58" i="22"/>
  <c r="BU58" i="22"/>
  <c r="BT58" i="22"/>
  <c r="BS58" i="22"/>
  <c r="BX57" i="22"/>
  <c r="BV57" i="22"/>
  <c r="BU57" i="22"/>
  <c r="BT57" i="22"/>
  <c r="BS57" i="22"/>
  <c r="BX56" i="22"/>
  <c r="BV56" i="22"/>
  <c r="BU56" i="22"/>
  <c r="BT56" i="22"/>
  <c r="BS56" i="22"/>
  <c r="BX55" i="22"/>
  <c r="BV55" i="22"/>
  <c r="BU55" i="22"/>
  <c r="BT55" i="22"/>
  <c r="BS55" i="22"/>
  <c r="BX54" i="22"/>
  <c r="BV54" i="22"/>
  <c r="BU54" i="22"/>
  <c r="BT54" i="22"/>
  <c r="BS54" i="22"/>
  <c r="BX53" i="22"/>
  <c r="BV53" i="22"/>
  <c r="BU53" i="22"/>
  <c r="BT53" i="22"/>
  <c r="BS53" i="22"/>
  <c r="BX52" i="22"/>
  <c r="BV52" i="22"/>
  <c r="BU52" i="22"/>
  <c r="BT52" i="22"/>
  <c r="BS52" i="22"/>
  <c r="BX51" i="22"/>
  <c r="BV51" i="22"/>
  <c r="BU51" i="22"/>
  <c r="BT51" i="22"/>
  <c r="BS51" i="22"/>
  <c r="BX50" i="22"/>
  <c r="BV50" i="22"/>
  <c r="BU50" i="22"/>
  <c r="BT50" i="22"/>
  <c r="BS50" i="22"/>
  <c r="BX49" i="22"/>
  <c r="BV49" i="22"/>
  <c r="BU49" i="22"/>
  <c r="BT49" i="22"/>
  <c r="BS49" i="22"/>
  <c r="BX48" i="22"/>
  <c r="BV48" i="22"/>
  <c r="BU48" i="22"/>
  <c r="BT48" i="22"/>
  <c r="BS48" i="22"/>
  <c r="BX47" i="22"/>
  <c r="BV47" i="22"/>
  <c r="BU47" i="22"/>
  <c r="BT47" i="22"/>
  <c r="BS47" i="22"/>
  <c r="BX46" i="22"/>
  <c r="BV46" i="22"/>
  <c r="BU46" i="22"/>
  <c r="BT46" i="22"/>
  <c r="BS46" i="22"/>
  <c r="BX45" i="22"/>
  <c r="BV45" i="22"/>
  <c r="BU45" i="22"/>
  <c r="BT45" i="22"/>
  <c r="BS45" i="22"/>
  <c r="BX44" i="22"/>
  <c r="BV44" i="22"/>
  <c r="BU44" i="22"/>
  <c r="BT44" i="22"/>
  <c r="BS44" i="22"/>
  <c r="BX43" i="22"/>
  <c r="BV43" i="22"/>
  <c r="BU43" i="22"/>
  <c r="BT43" i="22"/>
  <c r="BS43" i="22"/>
  <c r="BX42" i="22"/>
  <c r="BV42" i="22"/>
  <c r="BU42" i="22"/>
  <c r="BT42" i="22"/>
  <c r="BS42" i="22"/>
  <c r="BX41" i="22"/>
  <c r="BV41" i="22"/>
  <c r="BU41" i="22"/>
  <c r="BT41" i="22"/>
  <c r="BS41" i="22"/>
  <c r="BX40" i="22"/>
  <c r="BV40" i="22"/>
  <c r="BU40" i="22"/>
  <c r="BT40" i="22"/>
  <c r="BS40" i="22"/>
  <c r="BX39" i="22"/>
  <c r="BV39" i="22"/>
  <c r="BU39" i="22"/>
  <c r="BT39" i="22"/>
  <c r="BS39" i="22"/>
  <c r="BX38" i="22"/>
  <c r="BV38" i="22"/>
  <c r="BU38" i="22"/>
  <c r="BT38" i="22"/>
  <c r="BS38" i="22"/>
  <c r="BX37" i="22"/>
  <c r="BV37" i="22"/>
  <c r="BU37" i="22"/>
  <c r="BT37" i="22"/>
  <c r="BS37" i="22"/>
  <c r="BX36" i="22"/>
  <c r="BV36" i="22"/>
  <c r="BU36" i="22"/>
  <c r="BT36" i="22"/>
  <c r="BS36" i="22"/>
  <c r="BX35" i="22"/>
  <c r="BV35" i="22"/>
  <c r="BU35" i="22"/>
  <c r="BT35" i="22"/>
  <c r="BS35" i="22"/>
  <c r="BX34" i="22"/>
  <c r="BV34" i="22"/>
  <c r="BU34" i="22"/>
  <c r="BT34" i="22"/>
  <c r="BS34" i="22"/>
  <c r="BX33" i="22"/>
  <c r="BV33" i="22"/>
  <c r="BU33" i="22"/>
  <c r="BT33" i="22"/>
  <c r="BS33" i="22"/>
  <c r="BX32" i="22"/>
  <c r="BV32" i="22"/>
  <c r="BU32" i="22"/>
  <c r="BT32" i="22"/>
  <c r="BS32" i="22"/>
  <c r="BX31" i="22"/>
  <c r="BV31" i="22"/>
  <c r="BU31" i="22"/>
  <c r="BT31" i="22"/>
  <c r="BS31" i="22"/>
  <c r="BX30" i="22"/>
  <c r="BV30" i="22"/>
  <c r="BU30" i="22"/>
  <c r="BT30" i="22"/>
  <c r="BS30" i="22"/>
  <c r="BX29" i="22"/>
  <c r="BV29" i="22"/>
  <c r="BU29" i="22"/>
  <c r="BT29" i="22"/>
  <c r="BS29" i="22"/>
  <c r="BX28" i="22"/>
  <c r="BV28" i="22"/>
  <c r="BU28" i="22"/>
  <c r="BT28" i="22"/>
  <c r="BS28" i="22"/>
  <c r="BX27" i="22"/>
  <c r="BV27" i="22"/>
  <c r="BU27" i="22"/>
  <c r="BT27" i="22"/>
  <c r="BS27" i="22"/>
  <c r="BX26" i="22"/>
  <c r="BV26" i="22"/>
  <c r="BU26" i="22"/>
  <c r="BT26" i="22"/>
  <c r="BS26" i="22"/>
  <c r="BX25" i="22"/>
  <c r="BV25" i="22"/>
  <c r="BU25" i="22"/>
  <c r="BT25" i="22"/>
  <c r="BS25" i="22"/>
  <c r="BX24" i="22"/>
  <c r="BV24" i="22"/>
  <c r="BU24" i="22"/>
  <c r="BT24" i="22"/>
  <c r="BS24" i="22"/>
  <c r="BX23" i="22"/>
  <c r="BV23" i="22"/>
  <c r="BU23" i="22"/>
  <c r="BT23" i="22"/>
  <c r="BS23" i="22"/>
  <c r="BX22" i="22"/>
  <c r="BV22" i="22"/>
  <c r="BU22" i="22"/>
  <c r="BT22" i="22"/>
  <c r="BS22" i="22"/>
  <c r="BX21" i="22"/>
  <c r="BV21" i="22"/>
  <c r="BU21" i="22"/>
  <c r="BT21" i="22"/>
  <c r="BS21" i="22"/>
  <c r="BX20" i="22"/>
  <c r="BV20" i="22"/>
  <c r="BU20" i="22"/>
  <c r="BT20" i="22"/>
  <c r="BS20" i="22"/>
  <c r="BX19" i="22"/>
  <c r="BV19" i="22"/>
  <c r="BU19" i="22"/>
  <c r="BT19" i="22"/>
  <c r="BS19" i="22"/>
  <c r="BX18" i="22"/>
  <c r="BV18" i="22"/>
  <c r="BU18" i="22"/>
  <c r="BT18" i="22"/>
  <c r="BS18" i="22"/>
  <c r="BX17" i="22"/>
  <c r="BV17" i="22"/>
  <c r="BU17" i="22"/>
  <c r="BT17" i="22"/>
  <c r="BS17" i="22"/>
  <c r="BX16" i="22"/>
  <c r="BV16" i="22"/>
  <c r="BU16" i="22"/>
  <c r="BT16" i="22"/>
  <c r="BS16" i="22"/>
  <c r="BX15" i="22"/>
  <c r="BV15" i="22"/>
  <c r="BU15" i="22"/>
  <c r="BT15" i="22"/>
  <c r="BS15" i="22"/>
  <c r="BX14" i="22"/>
  <c r="BV14" i="22"/>
  <c r="BU14" i="22"/>
  <c r="BT14" i="22"/>
  <c r="BS14" i="22"/>
  <c r="BX13" i="22"/>
  <c r="BV13" i="22"/>
  <c r="BU13" i="22"/>
  <c r="BT13" i="22"/>
  <c r="BS13" i="22"/>
  <c r="BX12" i="22"/>
  <c r="BV12" i="22"/>
  <c r="BU12" i="22"/>
  <c r="BT12" i="22"/>
  <c r="BS12" i="22"/>
  <c r="BX11" i="22"/>
  <c r="BV11" i="22"/>
  <c r="BU11" i="22"/>
  <c r="BT11" i="22"/>
  <c r="BS11" i="22"/>
  <c r="BX10" i="22"/>
  <c r="BV10" i="22"/>
  <c r="BU10" i="22"/>
  <c r="BT10" i="22"/>
  <c r="BS10" i="22"/>
  <c r="BX9" i="22"/>
  <c r="BV9" i="22"/>
  <c r="BU9" i="22"/>
  <c r="BT9" i="22"/>
  <c r="BS9" i="22"/>
  <c r="BX8" i="22"/>
  <c r="BV8" i="22"/>
  <c r="BU8" i="22"/>
  <c r="BT8" i="22"/>
  <c r="BS8" i="22"/>
  <c r="BX7" i="22"/>
  <c r="BV7" i="22"/>
  <c r="BU7" i="22"/>
  <c r="BT7" i="22"/>
  <c r="BS7" i="22"/>
  <c r="BX6" i="22"/>
  <c r="BV6" i="22"/>
  <c r="BU6" i="22"/>
  <c r="BT6" i="22"/>
  <c r="BS6" i="22"/>
  <c r="BX5" i="22"/>
  <c r="BV5" i="22"/>
  <c r="BU5" i="22"/>
  <c r="BT5" i="22"/>
  <c r="BS5" i="22"/>
  <c r="BX4" i="22"/>
  <c r="BV4" i="22"/>
  <c r="BU4" i="22"/>
  <c r="BT4" i="22"/>
  <c r="BS4" i="22"/>
  <c r="Q80" i="21"/>
  <c r="P80" i="21"/>
  <c r="E99" i="21"/>
  <c r="E103" i="21" s="1"/>
  <c r="F99" i="21"/>
  <c r="G99" i="21"/>
  <c r="E104" i="21" s="1"/>
  <c r="H99" i="21"/>
  <c r="E106" i="21" s="1"/>
  <c r="I99" i="21"/>
  <c r="J99" i="21"/>
  <c r="K99" i="21"/>
  <c r="L99" i="21"/>
  <c r="M99" i="21"/>
  <c r="N99" i="21"/>
  <c r="O99" i="21"/>
  <c r="D99" i="21"/>
  <c r="G12" i="1"/>
  <c r="F12" i="1"/>
  <c r="E12" i="1"/>
  <c r="C99" i="20"/>
  <c r="D99" i="20"/>
  <c r="E99" i="20"/>
  <c r="F99" i="20"/>
  <c r="G99" i="20"/>
  <c r="H99" i="20"/>
  <c r="I99" i="20"/>
  <c r="J99" i="20"/>
  <c r="K99" i="20"/>
  <c r="L99" i="20"/>
  <c r="M99" i="20"/>
  <c r="B99" i="20"/>
  <c r="B113" i="19"/>
  <c r="F105" i="19"/>
  <c r="F108" i="19" s="1"/>
  <c r="E105" i="19"/>
  <c r="I105" i="19"/>
  <c r="D105" i="19"/>
  <c r="H105" i="19"/>
  <c r="C105" i="19"/>
  <c r="G105" i="19"/>
  <c r="J105" i="19"/>
  <c r="K105" i="19"/>
  <c r="L105" i="19"/>
  <c r="M105" i="19"/>
  <c r="B105" i="19"/>
  <c r="M116" i="18"/>
  <c r="B116" i="18"/>
  <c r="C116" i="18"/>
  <c r="D116" i="18"/>
  <c r="E116" i="18"/>
  <c r="F116" i="18"/>
  <c r="G116" i="18"/>
  <c r="H116" i="18"/>
  <c r="I116" i="18"/>
  <c r="J116" i="18"/>
  <c r="K116" i="18"/>
  <c r="L116" i="18"/>
  <c r="P5" i="16"/>
  <c r="P6" i="16"/>
  <c r="P7" i="16"/>
  <c r="P8" i="16"/>
  <c r="P9" i="16"/>
  <c r="P10" i="16"/>
  <c r="P11" i="16"/>
  <c r="P12" i="16"/>
  <c r="P13" i="16"/>
  <c r="P14" i="16"/>
  <c r="P15" i="16"/>
  <c r="P16" i="16"/>
  <c r="P17" i="16"/>
  <c r="P18" i="16"/>
  <c r="P19" i="16"/>
  <c r="P20" i="16"/>
  <c r="P21" i="16"/>
  <c r="P22" i="16"/>
  <c r="P23" i="16"/>
  <c r="P24" i="16"/>
  <c r="P25" i="16"/>
  <c r="P26" i="16"/>
  <c r="P27" i="16"/>
  <c r="P28" i="16"/>
  <c r="P29" i="16"/>
  <c r="P30" i="16"/>
  <c r="P31" i="16"/>
  <c r="P32" i="16"/>
  <c r="P33" i="16"/>
  <c r="P34" i="16"/>
  <c r="P35" i="16"/>
  <c r="P36" i="16"/>
  <c r="P37" i="16"/>
  <c r="P38" i="16"/>
  <c r="P39" i="16"/>
  <c r="P40" i="16"/>
  <c r="P41" i="16"/>
  <c r="P42" i="16"/>
  <c r="P43" i="16"/>
  <c r="P44" i="16"/>
  <c r="P45" i="16"/>
  <c r="P46" i="16"/>
  <c r="P47" i="16"/>
  <c r="P48" i="16"/>
  <c r="P49" i="16"/>
  <c r="P50" i="16"/>
  <c r="P51" i="16"/>
  <c r="P52" i="16"/>
  <c r="P53" i="16"/>
  <c r="P54" i="16"/>
  <c r="P55" i="16"/>
  <c r="P56" i="16"/>
  <c r="P57" i="16"/>
  <c r="P58" i="16"/>
  <c r="P59" i="16"/>
  <c r="P60" i="16"/>
  <c r="P61" i="16"/>
  <c r="P62" i="16"/>
  <c r="P63" i="16"/>
  <c r="P64" i="16"/>
  <c r="P65" i="16"/>
  <c r="P66" i="16"/>
  <c r="P67" i="16"/>
  <c r="P68" i="16"/>
  <c r="P69" i="16"/>
  <c r="P70" i="16"/>
  <c r="P71" i="16"/>
  <c r="P72" i="16"/>
  <c r="P73" i="16"/>
  <c r="P74" i="16"/>
  <c r="P75" i="16"/>
  <c r="P76" i="16"/>
  <c r="P77" i="16"/>
  <c r="P78" i="16"/>
  <c r="P79" i="16"/>
  <c r="P80" i="16"/>
  <c r="P81" i="16"/>
  <c r="P82" i="16"/>
  <c r="P83" i="16"/>
  <c r="P84" i="16"/>
  <c r="P85" i="16"/>
  <c r="P86" i="16"/>
  <c r="P87" i="16"/>
  <c r="P88" i="16"/>
  <c r="P89" i="16"/>
  <c r="P90" i="16"/>
  <c r="P91" i="16"/>
  <c r="P92" i="16"/>
  <c r="P93" i="16"/>
  <c r="P94" i="16"/>
  <c r="P95" i="16"/>
  <c r="P96" i="16"/>
  <c r="P97" i="16"/>
  <c r="P98" i="16"/>
  <c r="P99" i="16"/>
  <c r="P100" i="16"/>
  <c r="P101" i="16"/>
  <c r="P102" i="16"/>
  <c r="P103" i="16"/>
  <c r="P104" i="16"/>
  <c r="P105" i="16"/>
  <c r="P106" i="16"/>
  <c r="P107" i="16"/>
  <c r="P108" i="16"/>
  <c r="P109" i="16"/>
  <c r="P110" i="16"/>
  <c r="P111" i="16"/>
  <c r="P112" i="16"/>
  <c r="P113" i="16"/>
  <c r="P114" i="16"/>
  <c r="P115" i="16"/>
  <c r="P116" i="16"/>
  <c r="P117" i="16"/>
  <c r="P118" i="16"/>
  <c r="P119" i="16"/>
  <c r="P120" i="16"/>
  <c r="P121" i="16"/>
  <c r="P123" i="16"/>
  <c r="P4" i="16"/>
  <c r="E122" i="16"/>
  <c r="F122" i="16"/>
  <c r="G122" i="16"/>
  <c r="H122" i="16"/>
  <c r="I122" i="16"/>
  <c r="J122" i="16"/>
  <c r="K122" i="16"/>
  <c r="L122" i="16"/>
  <c r="M122" i="16"/>
  <c r="N122" i="16"/>
  <c r="O122" i="16"/>
  <c r="D122" i="16"/>
  <c r="N7" i="8"/>
  <c r="D12" i="1"/>
  <c r="CA7" i="22" l="1"/>
  <c r="CA11" i="22"/>
  <c r="E92" i="24"/>
  <c r="CA5" i="22"/>
  <c r="CA9" i="22"/>
  <c r="CA21" i="22"/>
  <c r="CA25" i="22"/>
  <c r="CA49" i="22"/>
  <c r="CA53" i="22"/>
  <c r="CA57" i="22"/>
  <c r="CA69" i="22"/>
  <c r="BP20" i="2"/>
  <c r="BP24" i="2"/>
  <c r="BP23" i="2"/>
  <c r="BP12" i="2"/>
  <c r="BP19" i="2"/>
  <c r="BP16" i="2"/>
  <c r="BP13" i="2"/>
  <c r="K118" i="18"/>
  <c r="M118" i="18" s="1"/>
  <c r="E108" i="19"/>
  <c r="CB5" i="22"/>
  <c r="CB26" i="22"/>
  <c r="CB30" i="22"/>
  <c r="CB38" i="22"/>
  <c r="CB42" i="22"/>
  <c r="CB46" i="22"/>
  <c r="CB50" i="22"/>
  <c r="CB8" i="22"/>
  <c r="C102" i="20"/>
  <c r="CK6" i="3"/>
  <c r="CH6" i="3"/>
  <c r="CI6" i="3"/>
  <c r="CJ6" i="3"/>
  <c r="CR9" i="3"/>
  <c r="CA27" i="22"/>
  <c r="CA35" i="22"/>
  <c r="CA39" i="22"/>
  <c r="CA43" i="22"/>
  <c r="CA47" i="22"/>
  <c r="CA67" i="22"/>
  <c r="CA71" i="22"/>
  <c r="CR10" i="3"/>
  <c r="CR7" i="3"/>
  <c r="CB24" i="22"/>
  <c r="CB52" i="22"/>
  <c r="CB56" i="22"/>
  <c r="CB80" i="22"/>
  <c r="CR14" i="3"/>
  <c r="CR13" i="3"/>
  <c r="CR11" i="3"/>
  <c r="CA6" i="22"/>
  <c r="CA18" i="22"/>
  <c r="CA26" i="22"/>
  <c r="CA34" i="22"/>
  <c r="CA38" i="22"/>
  <c r="CA42" i="22"/>
  <c r="CA46" i="22"/>
  <c r="CA54" i="22"/>
  <c r="CA66" i="22"/>
  <c r="CA70" i="22"/>
  <c r="CA74" i="22"/>
  <c r="CA78" i="22"/>
  <c r="CR12" i="3"/>
  <c r="CA14" i="22"/>
  <c r="CB67" i="22"/>
  <c r="CB71" i="22"/>
  <c r="D100" i="23"/>
  <c r="CA16" i="22"/>
  <c r="CA24" i="22"/>
  <c r="CB16" i="22"/>
  <c r="CB20" i="22"/>
  <c r="CA28" i="22"/>
  <c r="CA32" i="22"/>
  <c r="CA40" i="22"/>
  <c r="CA44" i="22"/>
  <c r="CA56" i="22"/>
  <c r="CA60" i="22"/>
  <c r="CB72" i="22"/>
  <c r="CB76" i="22"/>
  <c r="CB17" i="22"/>
  <c r="CA75" i="22"/>
  <c r="CA79" i="22"/>
  <c r="CB12" i="22"/>
  <c r="CA20" i="22"/>
  <c r="CB27" i="22"/>
  <c r="CB75" i="22"/>
  <c r="CA36" i="22"/>
  <c r="CA48" i="22"/>
  <c r="CA52" i="22"/>
  <c r="E105" i="21"/>
  <c r="CB13" i="22"/>
  <c r="CA17" i="22"/>
  <c r="CB28" i="22"/>
  <c r="CB32" i="22"/>
  <c r="CB36" i="22"/>
  <c r="CB64" i="22"/>
  <c r="CA13" i="22"/>
  <c r="CB60" i="22"/>
  <c r="CB68" i="22"/>
  <c r="CB49" i="22"/>
  <c r="CB65" i="22"/>
  <c r="D103" i="23"/>
  <c r="CA10" i="22"/>
  <c r="CA33" i="22"/>
  <c r="CA61" i="22"/>
  <c r="CA73" i="22"/>
  <c r="CA77" i="22"/>
  <c r="CB25" i="22"/>
  <c r="CC25" i="22" s="1"/>
  <c r="CB45" i="22"/>
  <c r="CB53" i="22"/>
  <c r="CB57" i="22"/>
  <c r="CC57" i="22" s="1"/>
  <c r="C101" i="20"/>
  <c r="CB10" i="22"/>
  <c r="CB77" i="22"/>
  <c r="E95" i="24"/>
  <c r="CB18" i="22"/>
  <c r="B114" i="19"/>
  <c r="CA15" i="22"/>
  <c r="CB70" i="22"/>
  <c r="CB11" i="22"/>
  <c r="CC11" i="22" s="1"/>
  <c r="CB78" i="22"/>
  <c r="CB7" i="22"/>
  <c r="CC7" i="22" s="1"/>
  <c r="CA23" i="22"/>
  <c r="CA4" i="22"/>
  <c r="CA55" i="22"/>
  <c r="CA59" i="22"/>
  <c r="CA8" i="22"/>
  <c r="CB31" i="22"/>
  <c r="CB39" i="22"/>
  <c r="CB43" i="22"/>
  <c r="CB51" i="22"/>
  <c r="CB55" i="22"/>
  <c r="CB59" i="22"/>
  <c r="CB63" i="22"/>
  <c r="CB47" i="22"/>
  <c r="CB9" i="22"/>
  <c r="D101" i="23"/>
  <c r="C108" i="19"/>
  <c r="CB44" i="22"/>
  <c r="CB48" i="22"/>
  <c r="CA63" i="22"/>
  <c r="CB74" i="22"/>
  <c r="D102" i="23"/>
  <c r="CB6" i="22"/>
  <c r="CB40" i="22"/>
  <c r="CA29" i="22"/>
  <c r="CA37" i="22"/>
  <c r="CA41" i="22"/>
  <c r="CA45" i="22"/>
  <c r="CA68" i="22"/>
  <c r="CB79" i="22"/>
  <c r="CA51" i="22"/>
  <c r="D108" i="19"/>
  <c r="P122" i="16"/>
  <c r="CB21" i="22"/>
  <c r="CB29" i="22"/>
  <c r="CB37" i="22"/>
  <c r="CB41" i="22"/>
  <c r="CA64" i="22"/>
  <c r="E93" i="24"/>
  <c r="CB35" i="22"/>
  <c r="CA76" i="22"/>
  <c r="CA22" i="22"/>
  <c r="CB14" i="22"/>
  <c r="CB22" i="22"/>
  <c r="CB33" i="22"/>
  <c r="CA65" i="22"/>
  <c r="CA72" i="22"/>
  <c r="CA80" i="22"/>
  <c r="E94" i="24"/>
  <c r="CB61" i="22"/>
  <c r="CB4" i="22"/>
  <c r="CB19" i="22"/>
  <c r="CB34" i="22"/>
  <c r="CA50" i="22"/>
  <c r="CC50" i="22" s="1"/>
  <c r="CB58" i="22"/>
  <c r="CB69" i="22"/>
  <c r="CC69" i="22" s="1"/>
  <c r="CB73" i="22"/>
  <c r="CB15" i="22"/>
  <c r="CA19" i="22"/>
  <c r="CB23" i="22"/>
  <c r="CA58" i="22"/>
  <c r="CA62" i="22"/>
  <c r="CA30" i="22"/>
  <c r="CB54" i="22"/>
  <c r="CA12" i="22"/>
  <c r="CA31" i="22"/>
  <c r="CB62" i="22"/>
  <c r="CB66" i="22"/>
  <c r="CD5" i="3"/>
  <c r="BE39" i="2"/>
  <c r="CE5" i="3"/>
  <c r="CJ5" i="3"/>
  <c r="CK5" i="3"/>
  <c r="CI5" i="3"/>
  <c r="CH5" i="3"/>
  <c r="BE27" i="2"/>
  <c r="BE19" i="2"/>
  <c r="BE11" i="2"/>
  <c r="BE26" i="2"/>
  <c r="BE10" i="2"/>
  <c r="BE25" i="2"/>
  <c r="BE17" i="2"/>
  <c r="BE38" i="2"/>
  <c r="BE24" i="2"/>
  <c r="BE16" i="2"/>
  <c r="BE8" i="2"/>
  <c r="BJ8" i="2" s="1"/>
  <c r="BE37" i="2"/>
  <c r="BE23" i="2"/>
  <c r="BE15" i="2"/>
  <c r="BE30" i="2"/>
  <c r="BE22" i="2"/>
  <c r="BE14" i="2"/>
  <c r="BE29" i="2"/>
  <c r="BE21" i="2"/>
  <c r="BE13" i="2"/>
  <c r="BE28" i="2"/>
  <c r="BE20" i="2"/>
  <c r="BE12" i="2"/>
  <c r="F17" i="1"/>
  <c r="E17" i="1"/>
  <c r="G17" i="1"/>
  <c r="BO37" i="2" l="1"/>
  <c r="BJ37" i="2"/>
  <c r="BK37" i="2" s="1"/>
  <c r="BO16" i="2"/>
  <c r="BJ16" i="2"/>
  <c r="BK16" i="2" s="1"/>
  <c r="BO11" i="2"/>
  <c r="BJ11" i="2"/>
  <c r="BK11" i="2" s="1"/>
  <c r="BO21" i="2"/>
  <c r="BJ21" i="2"/>
  <c r="BK21" i="2" s="1"/>
  <c r="BO39" i="2"/>
  <c r="BJ39" i="2"/>
  <c r="BK39" i="2" s="1"/>
  <c r="BO24" i="2"/>
  <c r="BJ24" i="2"/>
  <c r="BK24" i="2" s="1"/>
  <c r="BO12" i="2"/>
  <c r="BJ12" i="2"/>
  <c r="BK12" i="2" s="1"/>
  <c r="BO22" i="2"/>
  <c r="BJ22" i="2"/>
  <c r="BK22" i="2" s="1"/>
  <c r="BO38" i="2"/>
  <c r="BJ38" i="2"/>
  <c r="BK38" i="2" s="1"/>
  <c r="BO27" i="2"/>
  <c r="BJ27" i="2"/>
  <c r="BK27" i="2" s="1"/>
  <c r="BO30" i="2"/>
  <c r="BJ30" i="2"/>
  <c r="BK30" i="2" s="1"/>
  <c r="BO26" i="2"/>
  <c r="BJ26" i="2"/>
  <c r="BK26" i="2" s="1"/>
  <c r="BO29" i="2"/>
  <c r="BJ29" i="2"/>
  <c r="BK29" i="2" s="1"/>
  <c r="BO14" i="2"/>
  <c r="BJ14" i="2"/>
  <c r="BK14" i="2" s="1"/>
  <c r="BO20" i="2"/>
  <c r="BJ20" i="2"/>
  <c r="BK20" i="2" s="1"/>
  <c r="BO28" i="2"/>
  <c r="BJ28" i="2"/>
  <c r="BK28" i="2" s="1"/>
  <c r="BO15" i="2"/>
  <c r="BJ15" i="2"/>
  <c r="BK15" i="2" s="1"/>
  <c r="BO25" i="2"/>
  <c r="BJ25" i="2"/>
  <c r="BK25" i="2" s="1"/>
  <c r="BO19" i="2"/>
  <c r="BJ19" i="2"/>
  <c r="BO17" i="2"/>
  <c r="BJ17" i="2"/>
  <c r="BK17" i="2" s="1"/>
  <c r="BO13" i="2"/>
  <c r="BJ13" i="2"/>
  <c r="BK13" i="2" s="1"/>
  <c r="BO23" i="2"/>
  <c r="BJ23" i="2"/>
  <c r="BK23" i="2" s="1"/>
  <c r="BO10" i="2"/>
  <c r="BJ10" i="2"/>
  <c r="BK10" i="2" s="1"/>
  <c r="CC5" i="22"/>
  <c r="CC53" i="22"/>
  <c r="CC9" i="22"/>
  <c r="CC8" i="22"/>
  <c r="CC66" i="22"/>
  <c r="BA40" i="2"/>
  <c r="CC49" i="22"/>
  <c r="CC34" i="22"/>
  <c r="CC60" i="22"/>
  <c r="CC21" i="22"/>
  <c r="CC26" i="22"/>
  <c r="CC59" i="22"/>
  <c r="CC30" i="22"/>
  <c r="CC27" i="22"/>
  <c r="CC67" i="22"/>
  <c r="CC46" i="22"/>
  <c r="CC42" i="22"/>
  <c r="CR6" i="3"/>
  <c r="CC68" i="22"/>
  <c r="CC80" i="22"/>
  <c r="CC39" i="22"/>
  <c r="CC52" i="22"/>
  <c r="CC24" i="22"/>
  <c r="CC38" i="22"/>
  <c r="CC16" i="22"/>
  <c r="CC47" i="22"/>
  <c r="CC56" i="22"/>
  <c r="CC71" i="22"/>
  <c r="CC51" i="22"/>
  <c r="CC55" i="22"/>
  <c r="CC20" i="22"/>
  <c r="CC23" i="22"/>
  <c r="CC10" i="22"/>
  <c r="CC35" i="22"/>
  <c r="CC63" i="22"/>
  <c r="CC79" i="22"/>
  <c r="CC44" i="22"/>
  <c r="CC13" i="22"/>
  <c r="CC18" i="22"/>
  <c r="CL5" i="3"/>
  <c r="CC74" i="22"/>
  <c r="CC77" i="22"/>
  <c r="CC73" i="22"/>
  <c r="CC78" i="22"/>
  <c r="CC70" i="22"/>
  <c r="CC15" i="22"/>
  <c r="CC54" i="22"/>
  <c r="CC65" i="22"/>
  <c r="CC14" i="22"/>
  <c r="CC43" i="22"/>
  <c r="CC72" i="22"/>
  <c r="CC6" i="22"/>
  <c r="CC76" i="22"/>
  <c r="CC48" i="22"/>
  <c r="CC75" i="22"/>
  <c r="CC41" i="22"/>
  <c r="CC37" i="22"/>
  <c r="CC62" i="22"/>
  <c r="CC29" i="22"/>
  <c r="CC40" i="22"/>
  <c r="CC32" i="22"/>
  <c r="CC31" i="22"/>
  <c r="CC33" i="22"/>
  <c r="CC28" i="22"/>
  <c r="CC17" i="22"/>
  <c r="CC45" i="22"/>
  <c r="CC36" i="22"/>
  <c r="CC64" i="22"/>
  <c r="CC4" i="22"/>
  <c r="CC61" i="22"/>
  <c r="CC12" i="22"/>
  <c r="CL7" i="3"/>
  <c r="CC58" i="22"/>
  <c r="CC19" i="22"/>
  <c r="CC22" i="22"/>
  <c r="CM23" i="3"/>
  <c r="CL15" i="3"/>
  <c r="CL8" i="3"/>
  <c r="CM16" i="3"/>
  <c r="CL16" i="3"/>
  <c r="CM8" i="3"/>
  <c r="CM22" i="3"/>
  <c r="CM12" i="3"/>
  <c r="CM13" i="3"/>
  <c r="CL26" i="3"/>
  <c r="CF5" i="3"/>
  <c r="CM21" i="3"/>
  <c r="CL10" i="3"/>
  <c r="CM26" i="3"/>
  <c r="CL21" i="3"/>
  <c r="CM11" i="3"/>
  <c r="CL14" i="3"/>
  <c r="CM14" i="3"/>
  <c r="CM5" i="3"/>
  <c r="CL23" i="3"/>
  <c r="CM9" i="3"/>
  <c r="CL12" i="3"/>
  <c r="CM7" i="3"/>
  <c r="CR8" i="3"/>
  <c r="CL9" i="3"/>
  <c r="CR16" i="3"/>
  <c r="CM10" i="3"/>
  <c r="CL22" i="3"/>
  <c r="CL6" i="3"/>
  <c r="CR21" i="3"/>
  <c r="CL13" i="3"/>
  <c r="CM6" i="3"/>
  <c r="CL11" i="3"/>
  <c r="CR15" i="3"/>
  <c r="CM15" i="3"/>
  <c r="CR5" i="3"/>
  <c r="BO8" i="2"/>
  <c r="BK8" i="2"/>
  <c r="BE7" i="2"/>
  <c r="BJ7" i="2" s="1"/>
  <c r="BK19" i="2" l="1"/>
  <c r="BL19" i="2" s="1"/>
  <c r="D14" i="1"/>
  <c r="E13" i="25" s="1"/>
  <c r="E15" i="25" s="1"/>
  <c r="BM13" i="2"/>
  <c r="BL8" i="2"/>
  <c r="BM11" i="2"/>
  <c r="BM20" i="2"/>
  <c r="BM14" i="2"/>
  <c r="BM16" i="2"/>
  <c r="G13" i="1"/>
  <c r="BE9" i="2"/>
  <c r="BP18" i="2"/>
  <c r="BP40" i="2" s="1"/>
  <c r="E14" i="1"/>
  <c r="F15" i="1"/>
  <c r="G14" i="1"/>
  <c r="E15" i="1"/>
  <c r="G15" i="1"/>
  <c r="F13" i="1"/>
  <c r="F14" i="1"/>
  <c r="D15" i="1"/>
  <c r="F13" i="25" s="1"/>
  <c r="F15" i="25" s="1"/>
  <c r="BK7" i="2"/>
  <c r="BO7" i="2"/>
  <c r="BO9" i="2" l="1"/>
  <c r="BJ9" i="2"/>
  <c r="BM19" i="2"/>
  <c r="BL28" i="2"/>
  <c r="BM28" i="2"/>
  <c r="BL26" i="2"/>
  <c r="BM26" i="2"/>
  <c r="BL38" i="2"/>
  <c r="BM38" i="2"/>
  <c r="BL22" i="2"/>
  <c r="BM22" i="2"/>
  <c r="BL29" i="2"/>
  <c r="BM29" i="2"/>
  <c r="BL25" i="2"/>
  <c r="BM25" i="2"/>
  <c r="BL10" i="2"/>
  <c r="BM10" i="2"/>
  <c r="BL24" i="2"/>
  <c r="BM24" i="2"/>
  <c r="BL39" i="2"/>
  <c r="BM39" i="2"/>
  <c r="BL15" i="2"/>
  <c r="BM15" i="2"/>
  <c r="BL23" i="2"/>
  <c r="BM23" i="2"/>
  <c r="BL21" i="2"/>
  <c r="BM21" i="2"/>
  <c r="BL30" i="2"/>
  <c r="BM30" i="2"/>
  <c r="BL17" i="2"/>
  <c r="BM17" i="2"/>
  <c r="BL12" i="2"/>
  <c r="BM12" i="2"/>
  <c r="BL37" i="2"/>
  <c r="BM37" i="2"/>
  <c r="BL27" i="2"/>
  <c r="BM27" i="2"/>
  <c r="BM8" i="2"/>
  <c r="BL14" i="2"/>
  <c r="BL11" i="2"/>
  <c r="BL16" i="2"/>
  <c r="BL20" i="2"/>
  <c r="BL13" i="2"/>
  <c r="BL7" i="2"/>
  <c r="G16" i="1"/>
  <c r="G18" i="1" s="1"/>
  <c r="G19" i="1" s="1"/>
  <c r="G24" i="1" s="1"/>
  <c r="F16" i="1"/>
  <c r="F18" i="1" s="1"/>
  <c r="F19" i="1" s="1"/>
  <c r="F24" i="1" s="1"/>
  <c r="BK9" i="2" l="1"/>
  <c r="BM9" i="2" s="1"/>
  <c r="BM7" i="2"/>
  <c r="BE18" i="2"/>
  <c r="BJ18" i="2" s="1"/>
  <c r="BL9" i="2" l="1"/>
  <c r="BO18" i="2"/>
  <c r="BC40" i="2"/>
  <c r="BK18" i="2" l="1"/>
  <c r="BM18" i="2" s="1"/>
  <c r="BL18" i="2" l="1"/>
  <c r="BE6" i="2"/>
  <c r="BJ6" i="2" s="1"/>
  <c r="BD40" i="2"/>
  <c r="BE40" i="2" l="1"/>
  <c r="BO6" i="2"/>
  <c r="BO40" i="2" s="1"/>
  <c r="D13" i="1" l="1"/>
  <c r="D13" i="25" s="1"/>
  <c r="E13" i="1"/>
  <c r="BJ40" i="2"/>
  <c r="BK6" i="2"/>
  <c r="D15" i="25" l="1"/>
  <c r="E16" i="1"/>
  <c r="BK40" i="2"/>
  <c r="BL6" i="2"/>
  <c r="BL40" i="2" s="1"/>
  <c r="BM6" i="2"/>
  <c r="BM40" i="2" s="1"/>
  <c r="D16" i="1"/>
  <c r="L13" i="25" s="1"/>
  <c r="L15" i="25" s="1"/>
  <c r="O13" i="25" l="1"/>
  <c r="D18" i="1"/>
  <c r="D19" i="1" s="1"/>
  <c r="E18" i="1"/>
  <c r="E19" i="1" s="1"/>
  <c r="E24" i="1" s="1"/>
  <c r="O15" i="25" l="1"/>
  <c r="S13" i="25"/>
  <c r="D20" i="1"/>
  <c r="D26" i="1"/>
  <c r="S15" i="25" l="1"/>
  <c r="Q13" i="25"/>
  <c r="D22" i="1"/>
  <c r="B24" i="1"/>
  <c r="D23" i="1"/>
  <c r="D21" i="1"/>
  <c r="D25" i="1"/>
  <c r="Q15" i="25" l="1"/>
  <c r="P13" i="25"/>
  <c r="R13" i="25"/>
  <c r="Q40" i="2"/>
  <c r="R15" i="25" l="1"/>
  <c r="U13" i="25"/>
  <c r="P15" i="25"/>
  <c r="V13" i="25"/>
</calcChain>
</file>

<file path=xl/comments1.xml><?xml version="1.0" encoding="utf-8"?>
<comments xmlns="http://schemas.openxmlformats.org/spreadsheetml/2006/main">
  <authors>
    <author>蒋文妮</author>
  </authors>
  <commentList>
    <comment ref="G29" authorId="0" shapeId="0">
      <text>
        <r>
          <rPr>
            <b/>
            <sz val="9"/>
            <color indexed="81"/>
            <rFont val="宋体"/>
            <family val="3"/>
            <charset val="134"/>
          </rPr>
          <t>蒋文妮:</t>
        </r>
        <r>
          <rPr>
            <sz val="9"/>
            <color indexed="81"/>
            <rFont val="宋体"/>
            <family val="3"/>
            <charset val="134"/>
          </rPr>
          <t xml:space="preserve">
退2月多收费用</t>
        </r>
      </text>
    </comment>
    <comment ref="G39" authorId="0" shapeId="0">
      <text>
        <r>
          <rPr>
            <b/>
            <sz val="9"/>
            <color indexed="81"/>
            <rFont val="宋体"/>
            <family val="3"/>
            <charset val="134"/>
          </rPr>
          <t>蒋文妮:</t>
        </r>
        <r>
          <rPr>
            <sz val="9"/>
            <color indexed="81"/>
            <rFont val="宋体"/>
            <family val="3"/>
            <charset val="134"/>
          </rPr>
          <t xml:space="preserve">
离职当月有雇主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K12" authorId="0" shapeId="0">
      <text>
        <r>
          <rPr>
            <sz val="11"/>
            <rFont val="宋体"/>
            <family val="3"/>
            <charset val="134"/>
          </rPr>
          <t>报销餐费金额*10%</t>
        </r>
      </text>
    </comment>
    <comment ref="P12" authorId="0" shapeId="0">
      <text>
        <r>
          <rPr>
            <sz val="12"/>
            <rFont val="宋体"/>
            <family val="3"/>
            <charset val="134"/>
          </rPr>
          <t>不含税金额</t>
        </r>
        <r>
          <rPr>
            <sz val="12"/>
            <rFont val="Tahoma"/>
            <family val="2"/>
          </rPr>
          <t>-</t>
        </r>
        <r>
          <rPr>
            <sz val="12"/>
            <rFont val="宋体"/>
            <family val="3"/>
            <charset val="134"/>
          </rPr>
          <t>小计</t>
        </r>
      </text>
    </comment>
    <comment ref="Q12" authorId="0" shapeId="0">
      <text>
        <r>
          <rPr>
            <sz val="12"/>
            <rFont val="Tahoma"/>
            <family val="2"/>
          </rPr>
          <t>SUM(</t>
        </r>
        <r>
          <rPr>
            <sz val="12"/>
            <rFont val="宋体"/>
            <family val="3"/>
            <charset val="134"/>
          </rPr>
          <t>工资</t>
        </r>
        <r>
          <rPr>
            <sz val="12"/>
            <rFont val="Tahoma"/>
            <family val="2"/>
          </rPr>
          <t>--</t>
        </r>
        <r>
          <rPr>
            <sz val="12"/>
            <rFont val="宋体"/>
            <family val="3"/>
            <charset val="134"/>
          </rPr>
          <t>附加税</t>
        </r>
        <r>
          <rPr>
            <sz val="12"/>
            <rFont val="Tahoma"/>
            <family val="2"/>
          </rPr>
          <t>)</t>
        </r>
      </text>
    </comment>
    <comment ref="R12" authorId="0" shapeId="0">
      <text>
        <r>
          <rPr>
            <sz val="12"/>
            <rFont val="宋体"/>
            <family val="3"/>
            <charset val="134"/>
          </rPr>
          <t>不含税金额</t>
        </r>
        <r>
          <rPr>
            <sz val="12"/>
            <rFont val="Tahoma"/>
            <family val="2"/>
          </rPr>
          <t>*6%</t>
        </r>
      </text>
    </comment>
    <comment ref="S12" authorId="0" shapeId="0">
      <text>
        <r>
          <rPr>
            <sz val="12"/>
            <rFont val="宋体"/>
            <family val="3"/>
            <charset val="134"/>
            <scheme val="major"/>
          </rPr>
          <t>不含税金额+增值税</t>
        </r>
      </text>
    </comment>
  </commentList>
</comments>
</file>

<file path=xl/sharedStrings.xml><?xml version="1.0" encoding="utf-8"?>
<sst xmlns="http://schemas.openxmlformats.org/spreadsheetml/2006/main" count="2954" uniqueCount="564">
  <si>
    <t>收款通知书</t>
  </si>
  <si>
    <t>ADVISE ON COLLECTION</t>
  </si>
  <si>
    <t>纳税人识别号：</t>
  </si>
  <si>
    <t>91310104MA1FR47R6D</t>
  </si>
  <si>
    <t>客户开户银行：</t>
  </si>
  <si>
    <t>中信银行北京中粮广场支行</t>
  </si>
  <si>
    <t>工资人数</t>
  </si>
  <si>
    <t>NKA</t>
  </si>
  <si>
    <t>LKA</t>
  </si>
  <si>
    <t>DT</t>
  </si>
  <si>
    <t>HC</t>
  </si>
  <si>
    <t>雇主责任险</t>
  </si>
  <si>
    <t>发票税金</t>
  </si>
  <si>
    <t>请款金额</t>
  </si>
  <si>
    <t>Total</t>
  </si>
  <si>
    <t>大写金额：</t>
  </si>
  <si>
    <t>序号</t>
  </si>
  <si>
    <t>大区</t>
  </si>
  <si>
    <t>省区</t>
  </si>
  <si>
    <t>城市群</t>
  </si>
  <si>
    <t>城市</t>
  </si>
  <si>
    <t>导购类型</t>
  </si>
  <si>
    <t>姓名</t>
  </si>
  <si>
    <t>身份证号</t>
  </si>
  <si>
    <t>联系电话</t>
  </si>
  <si>
    <t>渠道
（NKA/LKA/DT）</t>
  </si>
  <si>
    <t>系统性质
（直营/经销）</t>
  </si>
  <si>
    <t>门店系统</t>
  </si>
  <si>
    <t>SFA编码</t>
  </si>
  <si>
    <t>门店名称</t>
  </si>
  <si>
    <t>入职时间</t>
  </si>
  <si>
    <t>基本工资</t>
  </si>
  <si>
    <t>销售提成</t>
  </si>
  <si>
    <t>月度补贴</t>
  </si>
  <si>
    <t>其它补贴</t>
  </si>
  <si>
    <t>其它奖金</t>
  </si>
  <si>
    <t>报销费用</t>
  </si>
  <si>
    <t>其他费用</t>
  </si>
  <si>
    <t>薪资补差</t>
  </si>
  <si>
    <t>应发工资合计</t>
  </si>
  <si>
    <t>备注
（最低工资标准）</t>
  </si>
  <si>
    <t>第三方公司名称</t>
  </si>
  <si>
    <t>社保个人</t>
  </si>
  <si>
    <t>公积金个人</t>
  </si>
  <si>
    <t>其他收入</t>
  </si>
  <si>
    <t>工资调整</t>
  </si>
  <si>
    <t>税前工资合计</t>
  </si>
  <si>
    <t>截止上月合并计税工资</t>
  </si>
  <si>
    <t>截止上月个税</t>
  </si>
  <si>
    <t>累计专项抵扣</t>
  </si>
  <si>
    <t>专项扣除</t>
  </si>
  <si>
    <t>截止本月合计计税工资</t>
  </si>
  <si>
    <t>个税</t>
  </si>
  <si>
    <t>累计个税</t>
  </si>
  <si>
    <t>实发工资</t>
  </si>
  <si>
    <t>请款工资</t>
  </si>
  <si>
    <t>入职年限</t>
  </si>
  <si>
    <t>工龄补贴</t>
  </si>
  <si>
    <t>应上班天数</t>
  </si>
  <si>
    <t>实际上班天数</t>
  </si>
  <si>
    <t>病假（天）</t>
  </si>
  <si>
    <t>事假（天）</t>
  </si>
  <si>
    <t>补扣款</t>
  </si>
  <si>
    <t>本月应发工资</t>
  </si>
  <si>
    <t>加班（天）</t>
  </si>
  <si>
    <t>加班工资</t>
  </si>
  <si>
    <t>总体目标销量（箱）</t>
  </si>
  <si>
    <t>总体实际销量（箱）</t>
  </si>
  <si>
    <t>总体产品销量达成率</t>
  </si>
  <si>
    <t>提成金额</t>
  </si>
  <si>
    <t>本月实际提成金额</t>
  </si>
  <si>
    <t>话费补贴基数</t>
  </si>
  <si>
    <t>交通补贴基数</t>
  </si>
  <si>
    <t>月度补贴合计</t>
  </si>
  <si>
    <t>生日补贴</t>
  </si>
  <si>
    <t>餐补</t>
  </si>
  <si>
    <t>大店补贴</t>
  </si>
  <si>
    <t>其他补贴类型</t>
  </si>
  <si>
    <t>其他补贴金额</t>
  </si>
  <si>
    <t>白糖奖金</t>
  </si>
  <si>
    <t>激励名称</t>
  </si>
  <si>
    <t>激励奖金</t>
  </si>
  <si>
    <t>江沪</t>
  </si>
  <si>
    <t>上海-KA</t>
  </si>
  <si>
    <t>上海</t>
  </si>
  <si>
    <t>赵志炜</t>
  </si>
  <si>
    <t>340826197611081813</t>
  </si>
  <si>
    <t>直营</t>
  </si>
  <si>
    <t>大润发曹安店</t>
  </si>
  <si>
    <t>大润发春申店</t>
  </si>
  <si>
    <t>叶红梅</t>
  </si>
  <si>
    <t>512225197506134586</t>
  </si>
  <si>
    <t>专促补贴</t>
  </si>
  <si>
    <t>陈敏</t>
  </si>
  <si>
    <t>310226197301243524</t>
  </si>
  <si>
    <t>大润发奉贤店</t>
  </si>
  <si>
    <t>管兵娥</t>
  </si>
  <si>
    <t>362329198211245745</t>
  </si>
  <si>
    <t>大润发华漕店</t>
  </si>
  <si>
    <t>沈丽</t>
  </si>
  <si>
    <t>李文芳</t>
  </si>
  <si>
    <t>510521197002286622</t>
  </si>
  <si>
    <t>大润发康桥店</t>
  </si>
  <si>
    <t>周梦梦</t>
  </si>
  <si>
    <t>王冬梅</t>
  </si>
  <si>
    <t>大润发泥城店</t>
  </si>
  <si>
    <t>龙婷婷</t>
  </si>
  <si>
    <t>341623199206036744</t>
  </si>
  <si>
    <t>杨金祥</t>
  </si>
  <si>
    <t>大润发平型关店</t>
  </si>
  <si>
    <t>杨艺江</t>
  </si>
  <si>
    <t>652926198808063525</t>
  </si>
  <si>
    <t>大润发泗泾店</t>
  </si>
  <si>
    <t>王守芬</t>
  </si>
  <si>
    <t>车文秀</t>
  </si>
  <si>
    <t>341623199710154424</t>
  </si>
  <si>
    <t>大润发松江店</t>
  </si>
  <si>
    <t>李永杰</t>
  </si>
  <si>
    <t>410923198302047231</t>
  </si>
  <si>
    <t>大润发杨浦店</t>
  </si>
  <si>
    <t>王丽莉</t>
  </si>
  <si>
    <t>342423197609202840</t>
  </si>
  <si>
    <t>大润发大宁店</t>
  </si>
  <si>
    <t>黄莹</t>
  </si>
  <si>
    <t>370481198807021823</t>
  </si>
  <si>
    <t>大润发美兰湖店</t>
  </si>
  <si>
    <t>刘宝连</t>
  </si>
  <si>
    <t>413026197908287553</t>
  </si>
  <si>
    <t>大润发大华店</t>
  </si>
  <si>
    <t>石鹏</t>
  </si>
  <si>
    <t>413026198904116954</t>
  </si>
  <si>
    <t>大润发南翔店</t>
  </si>
  <si>
    <t>洪艳</t>
  </si>
  <si>
    <t>342422197308163968</t>
  </si>
  <si>
    <t>大润发三林店</t>
  </si>
  <si>
    <t>郭胜霞</t>
  </si>
  <si>
    <t>320925197905205821</t>
  </si>
  <si>
    <t>家乐福</t>
  </si>
  <si>
    <t>家乐福古北店</t>
  </si>
  <si>
    <t>姜艳</t>
  </si>
  <si>
    <t>321322198211235085</t>
  </si>
  <si>
    <t>金石</t>
  </si>
  <si>
    <t>310224197610265310</t>
  </si>
  <si>
    <t>家乐福川沙店</t>
  </si>
  <si>
    <t>孙会会</t>
  </si>
  <si>
    <t>340321199002262782</t>
  </si>
  <si>
    <t>黄继荣</t>
  </si>
  <si>
    <t>家乐福共江店</t>
  </si>
  <si>
    <t>李家林</t>
  </si>
  <si>
    <t>赵多多</t>
  </si>
  <si>
    <t>34222119930308404X</t>
  </si>
  <si>
    <t>家乐福金桥店</t>
  </si>
  <si>
    <t>候广勤</t>
  </si>
  <si>
    <t>341224197408091341</t>
  </si>
  <si>
    <t>家乐福万达店</t>
  </si>
  <si>
    <t>王琴芬</t>
  </si>
  <si>
    <t>32022319680512616X</t>
  </si>
  <si>
    <t>家乐福万里店</t>
  </si>
  <si>
    <t>黄维血</t>
  </si>
  <si>
    <t>511022197312203810</t>
  </si>
  <si>
    <t>家乐福徐汇店</t>
  </si>
  <si>
    <t>严师飞</t>
  </si>
  <si>
    <t>王永芳</t>
  </si>
  <si>
    <t>戈艳青</t>
  </si>
  <si>
    <t>32082319780513524X</t>
  </si>
  <si>
    <t>家乐福中山店</t>
  </si>
  <si>
    <t>姜桂娟</t>
  </si>
  <si>
    <t>林中艳</t>
  </si>
  <si>
    <t>温标</t>
  </si>
  <si>
    <t>341226199103011058</t>
  </si>
  <si>
    <t>家乐福张江店</t>
  </si>
  <si>
    <t>范祖容</t>
  </si>
  <si>
    <t>家乐福联洋店</t>
  </si>
  <si>
    <t>晏章翠</t>
  </si>
  <si>
    <t>342322196810135823</t>
  </si>
  <si>
    <t>家乐福柳州店</t>
  </si>
  <si>
    <t>朱浩</t>
  </si>
  <si>
    <t>杜艳梅</t>
  </si>
  <si>
    <t>41272519740221784X</t>
  </si>
  <si>
    <t>张学良</t>
  </si>
  <si>
    <t>34232619651217271X</t>
  </si>
  <si>
    <t>华润万家大华店</t>
  </si>
  <si>
    <t>任英</t>
  </si>
  <si>
    <t>严军英</t>
  </si>
  <si>
    <t>王运乐</t>
  </si>
  <si>
    <t>342423196808132393</t>
  </si>
  <si>
    <t>华润万家七宝店</t>
  </si>
  <si>
    <t>宋秀珍</t>
  </si>
  <si>
    <t>31022819800218244X</t>
  </si>
  <si>
    <t>华润万家沈浦泾店</t>
  </si>
  <si>
    <t>王小玉</t>
  </si>
  <si>
    <t>510722198712088323</t>
  </si>
  <si>
    <t>华润万家莘东店</t>
  </si>
  <si>
    <t>蒋爱民</t>
  </si>
  <si>
    <t>陈芹</t>
  </si>
  <si>
    <t>511221198305230246</t>
  </si>
  <si>
    <t>张海霞</t>
  </si>
  <si>
    <t>320825197611273321</t>
  </si>
  <si>
    <t>施美花</t>
  </si>
  <si>
    <t>310230198305175169</t>
  </si>
  <si>
    <t>华润万家上南店</t>
  </si>
  <si>
    <t>耿良莉</t>
  </si>
  <si>
    <t>李芳</t>
  </si>
  <si>
    <t>杨梅</t>
  </si>
  <si>
    <t>涂秀华</t>
  </si>
  <si>
    <t>511123197304307822</t>
  </si>
  <si>
    <t>房新兰</t>
  </si>
  <si>
    <t>吴思堂</t>
  </si>
  <si>
    <t>342423197603062138</t>
  </si>
  <si>
    <t>麦德龙闵行店</t>
  </si>
  <si>
    <t>张花丽</t>
  </si>
  <si>
    <t>朱大玉</t>
  </si>
  <si>
    <t>341224197303209243</t>
  </si>
  <si>
    <t>麦德龙真北店</t>
  </si>
  <si>
    <t>李路路</t>
  </si>
  <si>
    <t>340421199501013057</t>
  </si>
  <si>
    <t>欧尚长阳店</t>
  </si>
  <si>
    <t>时国芳</t>
  </si>
  <si>
    <t>李春霞</t>
  </si>
  <si>
    <t>340222197807066625</t>
  </si>
  <si>
    <t>欧尚澄浏店</t>
  </si>
  <si>
    <t>王美芳</t>
  </si>
  <si>
    <t>310114197706063424</t>
  </si>
  <si>
    <t>东港</t>
  </si>
  <si>
    <t>210422198201031424</t>
  </si>
  <si>
    <t>欧尚嘉定店</t>
  </si>
  <si>
    <t>张继秀</t>
  </si>
  <si>
    <t>522130198205262420</t>
  </si>
  <si>
    <t>刘丽娟</t>
  </si>
  <si>
    <t>320721197508112625</t>
  </si>
  <si>
    <t>欧尚金山店</t>
  </si>
  <si>
    <t>卢玲</t>
  </si>
  <si>
    <t>411528198509053744</t>
  </si>
  <si>
    <t>欧尚南汇店</t>
  </si>
  <si>
    <t>王霞芹</t>
  </si>
  <si>
    <t>310225198204112424</t>
  </si>
  <si>
    <t>王永富</t>
  </si>
  <si>
    <t>342128196210185875</t>
  </si>
  <si>
    <t>欧尚中原店</t>
  </si>
  <si>
    <t>王红</t>
  </si>
  <si>
    <t>42112419810812602X</t>
  </si>
  <si>
    <t>欧尚闵行店</t>
  </si>
  <si>
    <t>阮志宇</t>
  </si>
  <si>
    <t>刘丽丽</t>
  </si>
  <si>
    <t>371324198208017329</t>
  </si>
  <si>
    <t>卢彩霞</t>
  </si>
  <si>
    <t>顾永芳</t>
  </si>
  <si>
    <t>31022819730201382X</t>
  </si>
  <si>
    <t>许红梅</t>
  </si>
  <si>
    <t>姚金丽</t>
  </si>
  <si>
    <t>王小红</t>
  </si>
  <si>
    <t>唐六清</t>
  </si>
  <si>
    <t>李建琴</t>
  </si>
  <si>
    <t>周菊</t>
  </si>
  <si>
    <t>320626197312144445</t>
  </si>
  <si>
    <t>世纪联华顾村店</t>
  </si>
  <si>
    <t>许敏</t>
  </si>
  <si>
    <t>世纪联华龙茗店</t>
  </si>
  <si>
    <t>江永珍</t>
  </si>
  <si>
    <t>王琴</t>
  </si>
  <si>
    <t>31022519741109384X</t>
  </si>
  <si>
    <t>中港天闰发</t>
  </si>
  <si>
    <t>赵荣</t>
  </si>
  <si>
    <t>412823196707112887</t>
  </si>
  <si>
    <t>李侠</t>
  </si>
  <si>
    <t>陆春香</t>
  </si>
  <si>
    <t>320683198103012042</t>
  </si>
  <si>
    <t>华联强国店</t>
  </si>
  <si>
    <t>吴泾吉买盛</t>
  </si>
  <si>
    <t>宗霞</t>
  </si>
  <si>
    <t>413021197503305029</t>
  </si>
  <si>
    <t>朋联超市华新店</t>
  </si>
  <si>
    <t>朱国丽</t>
  </si>
  <si>
    <t>342423197506147180</t>
  </si>
  <si>
    <t>联华白鹤</t>
  </si>
  <si>
    <t>邓辉</t>
  </si>
  <si>
    <t>652701197206262225</t>
  </si>
  <si>
    <t>刘家容</t>
  </si>
  <si>
    <t>512322197603064889</t>
  </si>
  <si>
    <t>西渡巧购</t>
  </si>
  <si>
    <t>朱金香</t>
  </si>
  <si>
    <t>彭梅</t>
  </si>
  <si>
    <t>苏春香</t>
  </si>
  <si>
    <t>310225198203150621</t>
  </si>
  <si>
    <t>大团家润多</t>
  </si>
  <si>
    <t>吴永红</t>
  </si>
  <si>
    <t>42032319710815250X</t>
  </si>
  <si>
    <t>毛彩仙</t>
  </si>
  <si>
    <t>刘玉</t>
  </si>
  <si>
    <t>孙莉莉</t>
  </si>
  <si>
    <t>320922198304053645</t>
  </si>
  <si>
    <t>郑爱凤</t>
  </si>
  <si>
    <t>320423197203263023</t>
  </si>
  <si>
    <t>顾宏</t>
  </si>
  <si>
    <t>320924197303033448</t>
  </si>
  <si>
    <t>苏春雷</t>
  </si>
  <si>
    <t>余春阳</t>
  </si>
  <si>
    <t>413027196812100055</t>
  </si>
  <si>
    <t>王素芹</t>
  </si>
  <si>
    <t>320825197403144322</t>
  </si>
  <si>
    <t>吕淑淑</t>
  </si>
  <si>
    <t>何华芳</t>
  </si>
  <si>
    <t>合计</t>
  </si>
  <si>
    <t>组织名称</t>
  </si>
  <si>
    <t>身份证号码</t>
  </si>
  <si>
    <t>服务年月</t>
  </si>
  <si>
    <t>门店</t>
  </si>
  <si>
    <t>养老</t>
  </si>
  <si>
    <t>医疗</t>
  </si>
  <si>
    <t>失业</t>
  </si>
  <si>
    <t>住房</t>
  </si>
  <si>
    <t>其他类社保</t>
  </si>
  <si>
    <t>生育</t>
  </si>
  <si>
    <t>工伤</t>
  </si>
  <si>
    <t>补充公积金</t>
  </si>
  <si>
    <t>本月应缴金额</t>
  </si>
  <si>
    <t>补缴金额</t>
  </si>
  <si>
    <t>实缴金额</t>
  </si>
  <si>
    <t>基数</t>
  </si>
  <si>
    <t>公司</t>
  </si>
  <si>
    <t>个人</t>
  </si>
  <si>
    <t>大病公司</t>
  </si>
  <si>
    <t>大病个人</t>
  </si>
  <si>
    <t>采暖费</t>
  </si>
  <si>
    <t>保障金</t>
  </si>
  <si>
    <t>社保工会费</t>
  </si>
  <si>
    <t>公司其他</t>
  </si>
  <si>
    <t>个人其他</t>
  </si>
  <si>
    <t>备注</t>
  </si>
  <si>
    <t>社保</t>
  </si>
  <si>
    <t>公积金</t>
  </si>
  <si>
    <t>小计</t>
  </si>
  <si>
    <t>比例(%)</t>
  </si>
  <si>
    <t>应缴</t>
  </si>
  <si>
    <t>补缴</t>
  </si>
  <si>
    <t>固定</t>
  </si>
  <si>
    <t>51253319820521484X</t>
  </si>
  <si>
    <t>51372219820111246X</t>
  </si>
  <si>
    <t>34242319840516738X</t>
  </si>
  <si>
    <t>41022119771110764X</t>
  </si>
  <si>
    <t>账务年月</t>
  </si>
  <si>
    <t>城市级别</t>
  </si>
  <si>
    <t>导购员级别(金牌/银牌/铜牌/合格）</t>
  </si>
  <si>
    <t>门店所属系统</t>
  </si>
  <si>
    <t>社保个人扣款</t>
  </si>
  <si>
    <t>一类</t>
  </si>
  <si>
    <t>合格</t>
  </si>
  <si>
    <t>谢如香</t>
  </si>
  <si>
    <t>321322198705145223</t>
  </si>
  <si>
    <t>祝孟姝</t>
  </si>
  <si>
    <t>张丹</t>
  </si>
  <si>
    <t>310230197503143526</t>
  </si>
  <si>
    <t>大润发闸北店</t>
  </si>
  <si>
    <t>葛菊</t>
  </si>
  <si>
    <t>340421198104213042</t>
  </si>
  <si>
    <t>曾红梅</t>
  </si>
  <si>
    <t>432501198611152540</t>
  </si>
  <si>
    <t>王化翠</t>
  </si>
  <si>
    <t>吴海珍</t>
  </si>
  <si>
    <t>321123197802191644</t>
  </si>
  <si>
    <t>孟书丽</t>
  </si>
  <si>
    <t>511023197705278588</t>
  </si>
  <si>
    <t>张梅芳</t>
  </si>
  <si>
    <t>350524197902232522</t>
  </si>
  <si>
    <t>511121197511274186</t>
  </si>
  <si>
    <t>中粮-中粮江沪（合杰）</t>
  </si>
  <si>
    <t>陈福娟</t>
  </si>
  <si>
    <t>342423197403292668</t>
  </si>
  <si>
    <t>魏永慧</t>
  </si>
  <si>
    <t>禹海霞</t>
  </si>
  <si>
    <t>41282219770815194X</t>
  </si>
  <si>
    <t>丁小红</t>
  </si>
  <si>
    <t>321025197404040821</t>
  </si>
  <si>
    <t>孙开艳</t>
  </si>
  <si>
    <t>32092419760320718X</t>
  </si>
  <si>
    <t>过苗苗</t>
  </si>
  <si>
    <t>陆仲敏</t>
  </si>
  <si>
    <t>廉华</t>
  </si>
  <si>
    <t>341224198812281328</t>
  </si>
  <si>
    <t>341223198304054149</t>
  </si>
  <si>
    <t>黄少平</t>
  </si>
  <si>
    <t>陶宝芹</t>
  </si>
  <si>
    <t>321023197201015869</t>
  </si>
  <si>
    <t>顾建凤</t>
  </si>
  <si>
    <t>王先芬</t>
  </si>
  <si>
    <t>310226197704023526</t>
  </si>
  <si>
    <t>34052119820213284X</t>
  </si>
  <si>
    <t>上海KA</t>
  </si>
  <si>
    <t>单导长促</t>
  </si>
  <si>
    <t>13062613935</t>
  </si>
  <si>
    <t/>
  </si>
  <si>
    <t>15800762272</t>
  </si>
  <si>
    <t>18221675997</t>
  </si>
  <si>
    <t>15601859520</t>
  </si>
  <si>
    <t>15286921996</t>
  </si>
  <si>
    <t>华润万家金山店</t>
  </si>
  <si>
    <t>麦德龙</t>
  </si>
  <si>
    <t>宜佰晖（柳梁店）</t>
  </si>
  <si>
    <t>顾雅芳</t>
    <phoneticPr fontId="23" type="noConversion"/>
  </si>
  <si>
    <t>310222197410262024</t>
    <phoneticPr fontId="23" type="noConversion"/>
  </si>
  <si>
    <t>顾雅芳</t>
  </si>
  <si>
    <t>310222197410262024</t>
  </si>
  <si>
    <t>霍雪</t>
  </si>
  <si>
    <t>41152819860103524X</t>
  </si>
  <si>
    <t>刘会兰</t>
  </si>
  <si>
    <t>36012119790812198X</t>
  </si>
  <si>
    <t>严洪玉</t>
  </si>
  <si>
    <t>320882197404083426</t>
  </si>
  <si>
    <t>尹雪峰</t>
  </si>
  <si>
    <t>342224198109020741</t>
  </si>
  <si>
    <t>经济补偿金</t>
    <phoneticPr fontId="23" type="noConversion"/>
  </si>
  <si>
    <t>15902185361</t>
  </si>
  <si>
    <t>尤英</t>
  </si>
  <si>
    <t>342422197311202382</t>
  </si>
  <si>
    <t>大润发安亭店</t>
  </si>
  <si>
    <t>家乐福曲阳店</t>
  </si>
  <si>
    <t>沃尔玛南浦大桥店</t>
  </si>
  <si>
    <t>中粮福临门上海</t>
    <phoneticPr fontId="23" type="noConversion"/>
  </si>
  <si>
    <t>合计</t>
    <phoneticPr fontId="23" type="noConversion"/>
  </si>
  <si>
    <t>华润万家光新店</t>
  </si>
  <si>
    <t>姚友美</t>
  </si>
  <si>
    <t>34122619830430352x</t>
  </si>
  <si>
    <t>张孝娟</t>
  </si>
  <si>
    <t>341226198305202763</t>
  </si>
  <si>
    <t>18221607434</t>
  </si>
  <si>
    <t>汪肖肖</t>
  </si>
  <si>
    <t>34222119881006652X</t>
  </si>
  <si>
    <t>徐婷</t>
  </si>
  <si>
    <t>320828197509113064</t>
  </si>
  <si>
    <t>联华颛桥店</t>
  </si>
  <si>
    <t>孙艳</t>
  </si>
  <si>
    <t>34120319890120316X</t>
  </si>
  <si>
    <t>15021248502</t>
  </si>
  <si>
    <r>
      <t>四金后合计</t>
    </r>
    <r>
      <rPr>
        <sz val="10"/>
        <color rgb="FFFF0000"/>
        <rFont val="微软雅黑"/>
        <family val="2"/>
        <charset val="134"/>
      </rPr>
      <t>（不包含交通补贴/餐补/加班费/报销）</t>
    </r>
    <phoneticPr fontId="23" type="noConversion"/>
  </si>
  <si>
    <t>社保（个人）</t>
  </si>
  <si>
    <t>公积金（个人）</t>
  </si>
  <si>
    <t>社保公司</t>
  </si>
  <si>
    <t>公积金（公司）</t>
  </si>
  <si>
    <t>退休返聘，雇主年付</t>
  </si>
  <si>
    <t>6月</t>
    <phoneticPr fontId="23" type="noConversion"/>
  </si>
  <si>
    <t>开户银行：中国工商银行上海市金钟支行</t>
    <phoneticPr fontId="23" type="noConversion"/>
  </si>
  <si>
    <t>人民币银行帐号：RMB 1001199409006536383</t>
    <phoneticPr fontId="23" type="noConversion"/>
  </si>
  <si>
    <t>371122198002227829</t>
  </si>
  <si>
    <t>13917635644</t>
  </si>
  <si>
    <t>张晓玲</t>
  </si>
  <si>
    <t>341221197908264625</t>
  </si>
  <si>
    <t>韩小容</t>
  </si>
  <si>
    <t>510824198509265505</t>
  </si>
  <si>
    <t>杨春艳</t>
  </si>
  <si>
    <t>511381198106098483</t>
  </si>
  <si>
    <t>麦德龙浦东店</t>
  </si>
  <si>
    <t>杜以花</t>
  </si>
  <si>
    <t>社保个人</t>
    <phoneticPr fontId="23" type="noConversion"/>
  </si>
  <si>
    <t>公积金个人</t>
    <phoneticPr fontId="23" type="noConversion"/>
  </si>
  <si>
    <t>社保公司</t>
    <phoneticPr fontId="23" type="noConversion"/>
  </si>
  <si>
    <t>公积金公司</t>
    <phoneticPr fontId="23" type="noConversion"/>
  </si>
  <si>
    <t>王素芹</t>
    <phoneticPr fontId="23" type="noConversion"/>
  </si>
  <si>
    <t>34122619830430352X</t>
  </si>
  <si>
    <t>17355881696</t>
  </si>
  <si>
    <t>大润发中原店</t>
  </si>
  <si>
    <t>公司社保</t>
    <phoneticPr fontId="23" type="noConversion"/>
  </si>
  <si>
    <t>公司公积金</t>
    <phoneticPr fontId="23" type="noConversion"/>
  </si>
  <si>
    <t>个人社保</t>
    <phoneticPr fontId="23" type="noConversion"/>
  </si>
  <si>
    <t>个人公积金</t>
    <phoneticPr fontId="23" type="noConversion"/>
  </si>
  <si>
    <t>医疗生育</t>
  </si>
  <si>
    <t>中粮上海导购</t>
  </si>
  <si>
    <t>上海市；</t>
  </si>
  <si>
    <t>身份证号码</t>
    <phoneticPr fontId="23" type="noConversion"/>
  </si>
  <si>
    <t>合计</t>
    <phoneticPr fontId="23" type="noConversion"/>
  </si>
  <si>
    <t>雇主责任险</t>
    <phoneticPr fontId="23" type="noConversion"/>
  </si>
  <si>
    <t>上海合杰</t>
  </si>
  <si>
    <t>董燕芳</t>
  </si>
  <si>
    <t>31022519780512504X</t>
  </si>
  <si>
    <t>公积金</t>
    <phoneticPr fontId="23" type="noConversion"/>
  </si>
  <si>
    <t>渠道</t>
    <phoneticPr fontId="23" type="noConversion"/>
  </si>
  <si>
    <t>门店名称</t>
    <phoneticPr fontId="23" type="noConversion"/>
  </si>
  <si>
    <t>13917656516</t>
  </si>
  <si>
    <t>杜雷军</t>
  </si>
  <si>
    <t>320923197303084257</t>
  </si>
  <si>
    <t>本部</t>
    <phoneticPr fontId="23" type="noConversion"/>
  </si>
  <si>
    <t>周汝娜</t>
  </si>
  <si>
    <t>342422198208101764</t>
  </si>
  <si>
    <t>15821656046</t>
  </si>
  <si>
    <t>雷年枝</t>
  </si>
  <si>
    <t>342501198810062263</t>
  </si>
  <si>
    <t>17701878392</t>
  </si>
  <si>
    <t>15821178955</t>
  </si>
  <si>
    <t>欧发</t>
  </si>
  <si>
    <t>15800379800</t>
  </si>
  <si>
    <t>公积金公司</t>
  </si>
  <si>
    <t>扣除提成金额</t>
  </si>
  <si>
    <t>公积金个人</t>
    <phoneticPr fontId="23" type="noConversion"/>
  </si>
  <si>
    <t>过小娟</t>
  </si>
  <si>
    <t>341622198311041341</t>
  </si>
  <si>
    <t>17717590761</t>
  </si>
  <si>
    <t>余应红</t>
  </si>
  <si>
    <t>342423197801132301</t>
  </si>
  <si>
    <t>13482821470</t>
  </si>
  <si>
    <t>上海外服合杰企业服务有限公司</t>
    <phoneticPr fontId="23" type="noConversion"/>
  </si>
  <si>
    <t>户名：上海外服合杰企业服务有限公司</t>
    <phoneticPr fontId="23" type="noConversion"/>
  </si>
  <si>
    <t>离职时间</t>
    <phoneticPr fontId="23" type="noConversion"/>
  </si>
  <si>
    <t>费用详情 长促KA</t>
    <phoneticPr fontId="23" type="noConversion"/>
  </si>
  <si>
    <t>管理费</t>
    <phoneticPr fontId="23" type="noConversion"/>
  </si>
  <si>
    <t>342501197807188629</t>
  </si>
  <si>
    <t>邵旱萍</t>
  </si>
  <si>
    <t>15902181583</t>
  </si>
  <si>
    <t>扣除OTO提成金额</t>
    <phoneticPr fontId="23" type="noConversion"/>
  </si>
  <si>
    <t>王静</t>
  </si>
  <si>
    <t>340122198603201708</t>
  </si>
  <si>
    <t>姚玉环</t>
  </si>
  <si>
    <t>342422198302204882</t>
  </si>
  <si>
    <t>鲜秀英</t>
  </si>
  <si>
    <t>513030198510153427</t>
  </si>
  <si>
    <t>新入职</t>
    <phoneticPr fontId="23" type="noConversion"/>
  </si>
  <si>
    <t>流动导购KA</t>
  </si>
  <si>
    <t>开票通知书</t>
  </si>
  <si>
    <t>主数据代码：</t>
    <phoneticPr fontId="39" type="noConversion"/>
  </si>
  <si>
    <t>收款单位:上海合杰人才服务有限公司</t>
  </si>
  <si>
    <t>提前开票</t>
  </si>
  <si>
    <t>发票号码：__________________</t>
    <phoneticPr fontId="39" type="noConversion"/>
  </si>
  <si>
    <t>付款单位：中粮福临门食品营销有限公司上海分公司</t>
    <phoneticPr fontId="39" type="noConversion"/>
  </si>
  <si>
    <t>开票时间：__________________</t>
    <phoneticPr fontId="39" type="noConversion"/>
  </si>
  <si>
    <t>所属时间：202401</t>
    <phoneticPr fontId="39" type="noConversion"/>
  </si>
  <si>
    <t>企业性质：中央国企</t>
  </si>
  <si>
    <t>行业</t>
    <phoneticPr fontId="43" type="noConversion"/>
  </si>
  <si>
    <t>产品线</t>
    <phoneticPr fontId="43" type="noConversion"/>
  </si>
  <si>
    <t>风险类型</t>
    <phoneticPr fontId="43" type="noConversion"/>
  </si>
  <si>
    <t>工资</t>
  </si>
  <si>
    <t>社保（2023307）</t>
    <phoneticPr fontId="39" type="noConversion"/>
  </si>
  <si>
    <t>公积金（202307）</t>
    <phoneticPr fontId="39" type="noConversion"/>
  </si>
  <si>
    <t>离岗补贴</t>
  </si>
  <si>
    <t>奖金</t>
  </si>
  <si>
    <t>代垫费用</t>
  </si>
  <si>
    <t>代报销</t>
  </si>
  <si>
    <t>代报销附加税</t>
  </si>
  <si>
    <t>服务费</t>
  </si>
  <si>
    <t>外划服务费</t>
  </si>
  <si>
    <t>其他</t>
  </si>
  <si>
    <t>附加税</t>
  </si>
  <si>
    <t>不含税金额</t>
  </si>
  <si>
    <t>增值税</t>
  </si>
  <si>
    <t>发票总金额</t>
  </si>
  <si>
    <t>零售服务</t>
    <phoneticPr fontId="43" type="noConversion"/>
  </si>
  <si>
    <t>岗位外包</t>
    <phoneticPr fontId="43" type="noConversion"/>
  </si>
  <si>
    <t>风险后置</t>
    <phoneticPr fontId="43" type="noConversion"/>
  </si>
  <si>
    <t>备注：</t>
  </si>
  <si>
    <t>部门：</t>
  </si>
  <si>
    <t>业务二部</t>
  </si>
  <si>
    <t>制单人：</t>
  </si>
  <si>
    <t>宋晓燕</t>
  </si>
  <si>
    <t>本地保障服务费</t>
    <phoneticPr fontId="43" type="noConversion"/>
  </si>
  <si>
    <t>申请日期：</t>
  </si>
  <si>
    <t>外地保障服务费</t>
    <phoneticPr fontId="43" type="noConversion"/>
  </si>
  <si>
    <t>部门主管：</t>
  </si>
  <si>
    <t>雇主责任险</t>
    <phoneticPr fontId="43" type="noConversion"/>
  </si>
  <si>
    <t>公司名称：中粮福临门食品营销有限公司上海分公司</t>
    <phoneticPr fontId="23" type="noConversion"/>
  </si>
  <si>
    <t>上海分-长促KA</t>
    <phoneticPr fontId="23" type="noConversion"/>
  </si>
  <si>
    <t>2026年3月工资</t>
    <phoneticPr fontId="23" type="noConversion"/>
  </si>
  <si>
    <t>2026年4月社保</t>
    <phoneticPr fontId="23" type="noConversion"/>
  </si>
  <si>
    <t>2026年4月公积金</t>
    <phoneticPr fontId="23" type="noConversion"/>
  </si>
  <si>
    <t>2026年3月雇主责任险</t>
    <phoneticPr fontId="23" type="noConversion"/>
  </si>
  <si>
    <t>15601960086</t>
  </si>
  <si>
    <t>徐永华</t>
  </si>
  <si>
    <t>341226198411045044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</si>
</sst>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3">
    <numFmt numFmtId="41" formatCode="_ * #,##0_ ;_ * \-#,##0_ ;_ * &quot;-&quot;_ ;_ @_ "/>
    <numFmt numFmtId="43" formatCode="_ * #,##0.00_ ;_ * \-#,##0.00_ ;_ * &quot;-&quot;??_ ;_ @_ "/>
    <numFmt numFmtId="176" formatCode="0.00_);[Red]\(0.00\)"/>
    <numFmt numFmtId="177" formatCode="[$-804]General"/>
    <numFmt numFmtId="178" formatCode="0.00_ ;[Red]\-0.00"/>
    <numFmt numFmtId="179" formatCode="0_);[Red]\(0\)"/>
    <numFmt numFmtId="180" formatCode="0.000_ ;[Red]\-0.000"/>
    <numFmt numFmtId="181" formatCode="0.00_ "/>
    <numFmt numFmtId="182" formatCode="yyyy&quot;年&quot;m&quot;月&quot;;@"/>
    <numFmt numFmtId="183" formatCode="0.00;[Red]0.00"/>
    <numFmt numFmtId="184" formatCode="_([$€-2]* #,##0.00_);_([$€-2]* \(#,##0.00\);_([$€-2]* &quot;-&quot;??_)"/>
    <numFmt numFmtId="185" formatCode="#,##0.00_ "/>
    <numFmt numFmtId="186" formatCode="_-* #,##0.00_-;\-* #,##0.00_-;_-* &quot;-&quot;_-;_-@_-"/>
  </numFmts>
  <fonts count="60">
    <font>
      <sz val="11"/>
      <color theme="1"/>
      <name val="宋体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color theme="1"/>
      <name val="微软雅黑"/>
      <family val="2"/>
      <charset val="134"/>
    </font>
    <font>
      <sz val="9"/>
      <color indexed="8"/>
      <name val="微软雅黑"/>
      <family val="2"/>
      <charset val="134"/>
    </font>
    <font>
      <b/>
      <sz val="10"/>
      <name val="微软雅黑"/>
      <family val="2"/>
      <charset val="134"/>
    </font>
    <font>
      <sz val="10"/>
      <name val="微软雅黑"/>
      <family val="2"/>
      <charset val="134"/>
    </font>
    <font>
      <sz val="8"/>
      <name val="微软雅黑"/>
      <family val="2"/>
      <charset val="134"/>
    </font>
    <font>
      <b/>
      <sz val="10"/>
      <color theme="1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sz val="8"/>
      <color theme="1"/>
      <name val="微软雅黑"/>
      <family val="2"/>
      <charset val="134"/>
    </font>
    <font>
      <sz val="9"/>
      <color theme="1"/>
      <name val="宋体"/>
      <family val="3"/>
      <charset val="134"/>
      <scheme val="minor"/>
    </font>
    <font>
      <sz val="9"/>
      <name val="微软雅黑"/>
      <family val="2"/>
      <charset val="134"/>
    </font>
    <font>
      <sz val="12"/>
      <name val="宋体"/>
      <family val="3"/>
      <charset val="134"/>
    </font>
    <font>
      <sz val="10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0"/>
      <name val="Arial"/>
      <family val="2"/>
    </font>
    <font>
      <sz val="11"/>
      <color theme="1"/>
      <name val="宋体"/>
      <family val="3"/>
      <charset val="134"/>
      <scheme val="minor"/>
    </font>
    <font>
      <sz val="12"/>
      <name val="Times New Roman"/>
      <family val="1"/>
    </font>
    <font>
      <sz val="10"/>
      <name val="Helv"/>
      <family val="2"/>
    </font>
    <font>
      <sz val="12"/>
      <color indexed="8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u/>
      <sz val="11"/>
      <color rgb="FFFF0000"/>
      <name val="微软雅黑"/>
      <family val="2"/>
      <charset val="134"/>
    </font>
    <font>
      <sz val="8"/>
      <color rgb="FFFF0000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0"/>
      <color theme="0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11"/>
      <color rgb="FFFF0000"/>
      <name val="宋体"/>
      <family val="3"/>
      <charset val="134"/>
      <scheme val="minor"/>
    </font>
    <font>
      <sz val="10"/>
      <color rgb="FF000000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u/>
      <sz val="10"/>
      <color rgb="FFFF0000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b/>
      <sz val="16"/>
      <color theme="1"/>
      <name val="宋体"/>
      <family val="3"/>
      <charset val="134"/>
    </font>
    <font>
      <b/>
      <sz val="16"/>
      <color theme="1"/>
      <name val="Trebuchet MS"/>
      <family val="2"/>
    </font>
    <font>
      <b/>
      <sz val="18"/>
      <color indexed="8"/>
      <name val="宋体"/>
      <family val="3"/>
      <charset val="134"/>
    </font>
    <font>
      <b/>
      <sz val="10"/>
      <color indexed="8"/>
      <name val="宋体"/>
      <family val="3"/>
      <charset val="134"/>
    </font>
    <font>
      <sz val="9"/>
      <name val="Trebuchet MS"/>
      <family val="2"/>
    </font>
    <font>
      <b/>
      <sz val="11"/>
      <color indexed="8"/>
      <name val="宋体"/>
      <family val="3"/>
      <charset val="134"/>
    </font>
    <font>
      <b/>
      <sz val="10"/>
      <color indexed="8"/>
      <name val="微软雅黑"/>
      <family val="2"/>
      <charset val="134"/>
    </font>
    <font>
      <u/>
      <sz val="12"/>
      <color indexed="8"/>
      <name val="宋体"/>
      <family val="3"/>
      <charset val="134"/>
    </font>
    <font>
      <sz val="9"/>
      <name val="宋体"/>
      <family val="3"/>
      <charset val="134"/>
    </font>
    <font>
      <sz val="10"/>
      <color indexed="8"/>
      <name val="宋体"/>
      <family val="3"/>
      <charset val="134"/>
    </font>
    <font>
      <sz val="10"/>
      <color rgb="FF000000"/>
      <name val="宋体"/>
      <family val="3"/>
      <charset val="134"/>
    </font>
    <font>
      <sz val="9"/>
      <color rgb="FFFF0000"/>
      <name val="微软雅黑"/>
      <family val="2"/>
      <charset val="134"/>
    </font>
    <font>
      <sz val="10"/>
      <color indexed="8"/>
      <name val="Arial"/>
      <family val="2"/>
    </font>
    <font>
      <sz val="10"/>
      <color theme="1"/>
      <name val="宋体"/>
      <family val="3"/>
      <charset val="134"/>
    </font>
    <font>
      <b/>
      <sz val="10"/>
      <color rgb="FFFF0000"/>
      <name val="宋体"/>
      <family val="3"/>
      <charset val="134"/>
    </font>
    <font>
      <sz val="12"/>
      <color theme="1"/>
      <name val="Trebuchet MS"/>
      <family val="2"/>
    </font>
    <font>
      <sz val="12"/>
      <color theme="1"/>
      <name val="宋体"/>
      <family val="3"/>
      <charset val="134"/>
    </font>
    <font>
      <u/>
      <sz val="12"/>
      <color theme="1"/>
      <name val="宋体"/>
      <family val="3"/>
      <charset val="134"/>
    </font>
    <font>
      <sz val="9"/>
      <color indexed="8"/>
      <name val="Meiryo"/>
      <family val="1"/>
    </font>
    <font>
      <u/>
      <sz val="12"/>
      <color theme="1"/>
      <name val="Trebuchet MS"/>
      <family val="2"/>
    </font>
    <font>
      <sz val="11"/>
      <name val="宋体"/>
      <family val="3"/>
      <charset val="134"/>
    </font>
    <font>
      <sz val="12"/>
      <name val="Tahoma"/>
      <family val="2"/>
    </font>
    <font>
      <sz val="12"/>
      <name val="宋体"/>
      <family val="3"/>
      <charset val="134"/>
      <scheme val="maj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0A0A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3">
    <xf numFmtId="177" fontId="0" fillId="0" borderId="0">
      <alignment vertical="center"/>
    </xf>
    <xf numFmtId="177" fontId="17" fillId="0" borderId="0">
      <alignment vertical="center"/>
    </xf>
    <xf numFmtId="177" fontId="16" fillId="0" borderId="0">
      <alignment vertical="center"/>
    </xf>
    <xf numFmtId="177" fontId="18" fillId="0" borderId="0"/>
    <xf numFmtId="177" fontId="14" fillId="0" borderId="0" applyProtection="0">
      <alignment vertical="center"/>
    </xf>
    <xf numFmtId="177" fontId="18" fillId="0" borderId="0"/>
    <xf numFmtId="177" fontId="16" fillId="0" borderId="0">
      <alignment vertical="center"/>
    </xf>
    <xf numFmtId="177" fontId="14" fillId="0" borderId="0" applyProtection="0">
      <alignment vertical="center"/>
    </xf>
    <xf numFmtId="177" fontId="16" fillId="0" borderId="0">
      <alignment vertical="center"/>
    </xf>
    <xf numFmtId="177" fontId="14" fillId="0" borderId="0">
      <alignment vertical="center"/>
    </xf>
    <xf numFmtId="177" fontId="16" fillId="0" borderId="0">
      <alignment vertical="center"/>
    </xf>
    <xf numFmtId="177" fontId="17" fillId="0" borderId="0">
      <alignment vertical="center"/>
    </xf>
    <xf numFmtId="177" fontId="16" fillId="0" borderId="0">
      <alignment vertical="center"/>
    </xf>
    <xf numFmtId="177" fontId="19" fillId="0" borderId="0">
      <alignment vertical="center"/>
    </xf>
    <xf numFmtId="177" fontId="14" fillId="0" borderId="0">
      <alignment vertical="center"/>
    </xf>
    <xf numFmtId="177" fontId="20" fillId="0" borderId="0"/>
    <xf numFmtId="177" fontId="21" fillId="0" borderId="0"/>
    <xf numFmtId="9" fontId="22" fillId="0" borderId="0" applyFont="0" applyFill="0" applyBorder="0" applyAlignment="0" applyProtection="0">
      <alignment vertical="center"/>
    </xf>
    <xf numFmtId="177" fontId="2" fillId="0" borderId="0">
      <alignment vertical="center"/>
    </xf>
    <xf numFmtId="177" fontId="16" fillId="0" borderId="0">
      <alignment vertical="center"/>
    </xf>
    <xf numFmtId="177" fontId="1" fillId="0" borderId="0">
      <alignment vertical="center"/>
    </xf>
    <xf numFmtId="43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</cellStyleXfs>
  <cellXfs count="248">
    <xf numFmtId="177" fontId="0" fillId="0" borderId="0" xfId="0">
      <alignment vertical="center"/>
    </xf>
    <xf numFmtId="177" fontId="0" fillId="0" borderId="0" xfId="0" applyAlignment="1">
      <alignment horizontal="center" vertical="center"/>
    </xf>
    <xf numFmtId="177" fontId="8" fillId="4" borderId="8" xfId="0" applyFont="1" applyFill="1" applyBorder="1" applyAlignment="1">
      <alignment horizontal="center" vertical="center"/>
    </xf>
    <xf numFmtId="176" fontId="8" fillId="4" borderId="8" xfId="0" applyNumberFormat="1" applyFont="1" applyFill="1" applyBorder="1" applyAlignment="1">
      <alignment horizontal="center" vertical="center"/>
    </xf>
    <xf numFmtId="177" fontId="11" fillId="0" borderId="0" xfId="0" applyFont="1" applyAlignment="1">
      <alignment horizontal="center" vertical="center"/>
    </xf>
    <xf numFmtId="177" fontId="12" fillId="0" borderId="0" xfId="0" applyFont="1" applyAlignment="1">
      <alignment horizontal="center" vertical="center"/>
    </xf>
    <xf numFmtId="177" fontId="13" fillId="4" borderId="3" xfId="0" applyFont="1" applyFill="1" applyBorder="1" applyAlignment="1">
      <alignment horizontal="center" vertical="center"/>
    </xf>
    <xf numFmtId="49" fontId="5" fillId="4" borderId="3" xfId="0" applyNumberFormat="1" applyFont="1" applyFill="1" applyBorder="1" applyAlignment="1">
      <alignment horizontal="center" vertical="center" wrapText="1"/>
    </xf>
    <xf numFmtId="177" fontId="4" fillId="0" borderId="3" xfId="13" applyFont="1" applyBorder="1" applyAlignment="1">
      <alignment horizontal="center" vertical="center" wrapText="1"/>
    </xf>
    <xf numFmtId="49" fontId="4" fillId="0" borderId="3" xfId="13" applyNumberFormat="1" applyFont="1" applyBorder="1" applyAlignment="1">
      <alignment horizontal="center" vertical="center" wrapText="1"/>
    </xf>
    <xf numFmtId="178" fontId="3" fillId="3" borderId="16" xfId="0" applyNumberFormat="1" applyFont="1" applyFill="1" applyBorder="1" applyAlignment="1">
      <alignment horizontal="center" vertical="center" wrapText="1"/>
    </xf>
    <xf numFmtId="180" fontId="3" fillId="3" borderId="16" xfId="0" applyNumberFormat="1" applyFont="1" applyFill="1" applyBorder="1" applyAlignment="1">
      <alignment horizontal="center" vertical="center" wrapText="1"/>
    </xf>
    <xf numFmtId="176" fontId="5" fillId="4" borderId="3" xfId="4" applyNumberFormat="1" applyFont="1" applyFill="1" applyBorder="1" applyAlignment="1" applyProtection="1">
      <alignment horizontal="center" vertical="center" wrapText="1"/>
    </xf>
    <xf numFmtId="178" fontId="4" fillId="4" borderId="3" xfId="0" applyNumberFormat="1" applyFont="1" applyFill="1" applyBorder="1" applyAlignment="1">
      <alignment horizontal="center" vertical="center" wrapText="1"/>
    </xf>
    <xf numFmtId="176" fontId="4" fillId="4" borderId="3" xfId="0" applyNumberFormat="1" applyFont="1" applyFill="1" applyBorder="1" applyAlignment="1">
      <alignment horizontal="center" vertical="center" wrapText="1"/>
    </xf>
    <xf numFmtId="179" fontId="7" fillId="0" borderId="8" xfId="8" applyNumberFormat="1" applyFont="1" applyBorder="1" applyAlignment="1">
      <alignment horizontal="center" vertical="center" wrapText="1"/>
    </xf>
    <xf numFmtId="177" fontId="7" fillId="0" borderId="8" xfId="8" applyFont="1" applyBorder="1" applyAlignment="1">
      <alignment horizontal="center" vertical="center" wrapText="1"/>
    </xf>
    <xf numFmtId="177" fontId="7" fillId="0" borderId="13" xfId="8" applyFont="1" applyBorder="1" applyAlignment="1">
      <alignment horizontal="center" vertical="center" wrapText="1"/>
    </xf>
    <xf numFmtId="2" fontId="7" fillId="0" borderId="8" xfId="8" applyNumberFormat="1" applyFont="1" applyBorder="1" applyAlignment="1">
      <alignment horizontal="center" vertical="center" wrapText="1"/>
    </xf>
    <xf numFmtId="177" fontId="7" fillId="7" borderId="0" xfId="11" applyFont="1" applyFill="1" applyAlignment="1"/>
    <xf numFmtId="177" fontId="7" fillId="7" borderId="0" xfId="1" applyFont="1" applyFill="1" applyAlignment="1"/>
    <xf numFmtId="177" fontId="7" fillId="7" borderId="17" xfId="11" applyFont="1" applyFill="1" applyBorder="1" applyAlignment="1"/>
    <xf numFmtId="177" fontId="7" fillId="7" borderId="18" xfId="11" applyFont="1" applyFill="1" applyBorder="1" applyAlignment="1">
      <alignment horizontal="right"/>
    </xf>
    <xf numFmtId="176" fontId="7" fillId="7" borderId="18" xfId="11" applyNumberFormat="1" applyFont="1" applyFill="1" applyBorder="1" applyAlignment="1">
      <alignment horizontal="right"/>
    </xf>
    <xf numFmtId="177" fontId="7" fillId="7" borderId="19" xfId="11" applyFont="1" applyFill="1" applyBorder="1" applyAlignment="1"/>
    <xf numFmtId="177" fontId="7" fillId="7" borderId="20" xfId="11" applyFont="1" applyFill="1" applyBorder="1" applyAlignment="1">
      <alignment horizontal="right"/>
    </xf>
    <xf numFmtId="177" fontId="7" fillId="7" borderId="21" xfId="11" applyFont="1" applyFill="1" applyBorder="1" applyAlignment="1"/>
    <xf numFmtId="177" fontId="7" fillId="7" borderId="0" xfId="11" applyFont="1" applyFill="1" applyAlignment="1">
      <alignment horizontal="right"/>
    </xf>
    <xf numFmtId="176" fontId="15" fillId="7" borderId="0" xfId="11" applyNumberFormat="1" applyFont="1" applyFill="1" applyAlignment="1">
      <alignment horizontal="right" vertical="center"/>
    </xf>
    <xf numFmtId="176" fontId="15" fillId="7" borderId="20" xfId="11" applyNumberFormat="1" applyFont="1" applyFill="1" applyBorder="1" applyAlignment="1">
      <alignment horizontal="right" vertical="center"/>
    </xf>
    <xf numFmtId="177" fontId="7" fillId="7" borderId="20" xfId="11" applyFont="1" applyFill="1" applyBorder="1" applyAlignment="1"/>
    <xf numFmtId="177" fontId="7" fillId="7" borderId="20" xfId="11" applyFont="1" applyFill="1" applyBorder="1" applyAlignment="1">
      <alignment horizontal="left"/>
    </xf>
    <xf numFmtId="177" fontId="15" fillId="0" borderId="0" xfId="0" applyFont="1">
      <alignment vertical="center"/>
    </xf>
    <xf numFmtId="177" fontId="7" fillId="7" borderId="23" xfId="11" applyFont="1" applyFill="1" applyBorder="1" applyAlignment="1"/>
    <xf numFmtId="177" fontId="10" fillId="0" borderId="0" xfId="0" applyFont="1" applyAlignment="1">
      <alignment horizontal="center" vertical="center"/>
    </xf>
    <xf numFmtId="176" fontId="10" fillId="0" borderId="0" xfId="0" applyNumberFormat="1" applyFont="1" applyAlignment="1">
      <alignment horizontal="center" vertical="center"/>
    </xf>
    <xf numFmtId="177" fontId="7" fillId="7" borderId="24" xfId="11" applyFont="1" applyFill="1" applyBorder="1" applyAlignment="1"/>
    <xf numFmtId="176" fontId="13" fillId="4" borderId="3" xfId="0" applyNumberFormat="1" applyFont="1" applyFill="1" applyBorder="1" applyAlignment="1">
      <alignment horizontal="center" vertical="center"/>
    </xf>
    <xf numFmtId="177" fontId="24" fillId="0" borderId="0" xfId="0" applyFont="1" applyAlignment="1">
      <alignment horizontal="center" vertical="center"/>
    </xf>
    <xf numFmtId="176" fontId="7" fillId="7" borderId="17" xfId="11" applyNumberFormat="1" applyFont="1" applyFill="1" applyBorder="1" applyAlignment="1"/>
    <xf numFmtId="176" fontId="7" fillId="7" borderId="21" xfId="11" applyNumberFormat="1" applyFont="1" applyFill="1" applyBorder="1" applyAlignment="1"/>
    <xf numFmtId="176" fontId="7" fillId="7" borderId="0" xfId="11" applyNumberFormat="1" applyFont="1" applyFill="1" applyAlignment="1">
      <alignment horizontal="right"/>
    </xf>
    <xf numFmtId="176" fontId="7" fillId="7" borderId="24" xfId="11" applyNumberFormat="1" applyFont="1" applyFill="1" applyBorder="1" applyAlignment="1"/>
    <xf numFmtId="176" fontId="7" fillId="7" borderId="17" xfId="11" applyNumberFormat="1" applyFont="1" applyFill="1" applyBorder="1" applyAlignment="1">
      <alignment horizontal="left"/>
    </xf>
    <xf numFmtId="176" fontId="7" fillId="7" borderId="19" xfId="11" applyNumberFormat="1" applyFont="1" applyFill="1" applyBorder="1" applyAlignment="1">
      <alignment horizontal="left"/>
    </xf>
    <xf numFmtId="176" fontId="7" fillId="7" borderId="20" xfId="11" applyNumberFormat="1" applyFont="1" applyFill="1" applyBorder="1" applyAlignment="1">
      <alignment horizontal="right"/>
    </xf>
    <xf numFmtId="176" fontId="7" fillId="7" borderId="20" xfId="11" applyNumberFormat="1" applyFont="1" applyFill="1" applyBorder="1" applyAlignment="1"/>
    <xf numFmtId="176" fontId="7" fillId="7" borderId="23" xfId="11" applyNumberFormat="1" applyFont="1" applyFill="1" applyBorder="1" applyAlignment="1"/>
    <xf numFmtId="176" fontId="7" fillId="7" borderId="0" xfId="11" applyNumberFormat="1" applyFont="1" applyFill="1" applyAlignment="1"/>
    <xf numFmtId="177" fontId="25" fillId="0" borderId="0" xfId="0" applyFont="1" applyAlignment="1">
      <alignment horizontal="center" vertical="center"/>
    </xf>
    <xf numFmtId="177" fontId="15" fillId="0" borderId="0" xfId="0" applyFont="1" applyAlignment="1">
      <alignment horizontal="center" vertical="center"/>
    </xf>
    <xf numFmtId="177" fontId="11" fillId="0" borderId="3" xfId="13" applyFont="1" applyBorder="1" applyAlignment="1">
      <alignment horizontal="center" vertical="center" wrapText="1"/>
    </xf>
    <xf numFmtId="49" fontId="11" fillId="0" borderId="3" xfId="13" applyNumberFormat="1" applyFont="1" applyBorder="1" applyAlignment="1">
      <alignment horizontal="center" vertical="center" wrapText="1"/>
    </xf>
    <xf numFmtId="177" fontId="7" fillId="7" borderId="22" xfId="11" applyFont="1" applyFill="1" applyBorder="1" applyAlignment="1">
      <alignment horizontal="right"/>
    </xf>
    <xf numFmtId="177" fontId="7" fillId="7" borderId="23" xfId="11" applyFont="1" applyFill="1" applyBorder="1" applyAlignment="1">
      <alignment horizontal="right"/>
    </xf>
    <xf numFmtId="176" fontId="7" fillId="7" borderId="22" xfId="11" applyNumberFormat="1" applyFont="1" applyFill="1" applyBorder="1" applyAlignment="1">
      <alignment horizontal="right"/>
    </xf>
    <xf numFmtId="176" fontId="7" fillId="7" borderId="19" xfId="11" applyNumberFormat="1" applyFont="1" applyFill="1" applyBorder="1" applyAlignment="1"/>
    <xf numFmtId="178" fontId="9" fillId="3" borderId="5" xfId="0" applyNumberFormat="1" applyFont="1" applyFill="1" applyBorder="1" applyAlignment="1">
      <alignment vertical="center" wrapText="1"/>
    </xf>
    <xf numFmtId="176" fontId="7" fillId="7" borderId="24" xfId="11" applyNumberFormat="1" applyFont="1" applyFill="1" applyBorder="1" applyAlignment="1">
      <alignment horizontal="right"/>
    </xf>
    <xf numFmtId="176" fontId="15" fillId="7" borderId="24" xfId="11" applyNumberFormat="1" applyFont="1" applyFill="1" applyBorder="1" applyAlignment="1">
      <alignment horizontal="right" vertical="center"/>
    </xf>
    <xf numFmtId="176" fontId="15" fillId="7" borderId="23" xfId="11" applyNumberFormat="1" applyFont="1" applyFill="1" applyBorder="1" applyAlignment="1">
      <alignment horizontal="right" vertical="center"/>
    </xf>
    <xf numFmtId="177" fontId="16" fillId="0" borderId="0" xfId="0" applyFont="1">
      <alignment vertical="center"/>
    </xf>
    <xf numFmtId="176" fontId="6" fillId="7" borderId="23" xfId="11" applyNumberFormat="1" applyFont="1" applyFill="1" applyBorder="1" applyAlignment="1">
      <alignment horizontal="right"/>
    </xf>
    <xf numFmtId="176" fontId="15" fillId="7" borderId="22" xfId="11" applyNumberFormat="1" applyFont="1" applyFill="1" applyBorder="1" applyAlignment="1">
      <alignment horizontal="right" vertical="center"/>
    </xf>
    <xf numFmtId="176" fontId="7" fillId="7" borderId="23" xfId="11" applyNumberFormat="1" applyFont="1" applyFill="1" applyBorder="1" applyAlignment="1">
      <alignment horizontal="right"/>
    </xf>
    <xf numFmtId="177" fontId="15" fillId="0" borderId="8" xfId="0" applyFont="1" applyBorder="1" applyAlignment="1">
      <alignment horizontal="center" vertical="center" wrapText="1"/>
    </xf>
    <xf numFmtId="179" fontId="28" fillId="4" borderId="8" xfId="0" applyNumberFormat="1" applyFont="1" applyFill="1" applyBorder="1" applyAlignment="1">
      <alignment horizontal="center" vertical="center" wrapText="1"/>
    </xf>
    <xf numFmtId="176" fontId="7" fillId="4" borderId="8" xfId="0" applyNumberFormat="1" applyFont="1" applyFill="1" applyBorder="1" applyAlignment="1">
      <alignment horizontal="center" vertical="center"/>
    </xf>
    <xf numFmtId="177" fontId="7" fillId="4" borderId="8" xfId="0" applyFont="1" applyFill="1" applyBorder="1" applyAlignment="1">
      <alignment horizontal="center" vertical="center"/>
    </xf>
    <xf numFmtId="14" fontId="7" fillId="4" borderId="8" xfId="0" applyNumberFormat="1" applyFont="1" applyFill="1" applyBorder="1" applyAlignment="1">
      <alignment horizontal="center" vertical="center"/>
    </xf>
    <xf numFmtId="176" fontId="7" fillId="4" borderId="8" xfId="0" applyNumberFormat="1" applyFont="1" applyFill="1" applyBorder="1" applyAlignment="1">
      <alignment horizontal="center" vertical="center" wrapText="1"/>
    </xf>
    <xf numFmtId="176" fontId="28" fillId="4" borderId="8" xfId="0" applyNumberFormat="1" applyFont="1" applyFill="1" applyBorder="1" applyAlignment="1">
      <alignment horizontal="center" vertical="center" wrapText="1"/>
    </xf>
    <xf numFmtId="10" fontId="28" fillId="4" borderId="8" xfId="0" applyNumberFormat="1" applyFont="1" applyFill="1" applyBorder="1" applyAlignment="1">
      <alignment horizontal="center" vertical="center" wrapText="1"/>
    </xf>
    <xf numFmtId="177" fontId="7" fillId="4" borderId="8" xfId="0" applyFont="1" applyFill="1" applyBorder="1" applyAlignment="1">
      <alignment horizontal="center" vertical="center" wrapText="1"/>
    </xf>
    <xf numFmtId="179" fontId="7" fillId="4" borderId="8" xfId="0" applyNumberFormat="1" applyFont="1" applyFill="1" applyBorder="1" applyAlignment="1">
      <alignment horizontal="center" vertical="center" wrapText="1"/>
    </xf>
    <xf numFmtId="176" fontId="7" fillId="6" borderId="8" xfId="0" applyNumberFormat="1" applyFont="1" applyFill="1" applyBorder="1" applyAlignment="1">
      <alignment horizontal="center" vertical="center" wrapText="1"/>
    </xf>
    <xf numFmtId="181" fontId="7" fillId="4" borderId="8" xfId="0" applyNumberFormat="1" applyFont="1" applyFill="1" applyBorder="1" applyAlignment="1">
      <alignment horizontal="center" vertical="center" wrapText="1"/>
    </xf>
    <xf numFmtId="183" fontId="28" fillId="7" borderId="8" xfId="0" applyNumberFormat="1" applyFont="1" applyFill="1" applyBorder="1" applyAlignment="1">
      <alignment horizontal="center" vertical="center" wrapText="1"/>
    </xf>
    <xf numFmtId="176" fontId="28" fillId="7" borderId="8" xfId="0" applyNumberFormat="1" applyFont="1" applyFill="1" applyBorder="1" applyAlignment="1">
      <alignment horizontal="center" vertical="center" wrapText="1"/>
    </xf>
    <xf numFmtId="176" fontId="28" fillId="6" borderId="8" xfId="0" applyNumberFormat="1" applyFont="1" applyFill="1" applyBorder="1" applyAlignment="1">
      <alignment horizontal="center" vertical="center" wrapText="1"/>
    </xf>
    <xf numFmtId="176" fontId="15" fillId="4" borderId="8" xfId="0" applyNumberFormat="1" applyFont="1" applyFill="1" applyBorder="1" applyAlignment="1">
      <alignment horizontal="center" vertical="center"/>
    </xf>
    <xf numFmtId="183" fontId="28" fillId="4" borderId="8" xfId="7" applyNumberFormat="1" applyFont="1" applyFill="1" applyBorder="1" applyAlignment="1" applyProtection="1">
      <alignment horizontal="center" vertical="center" wrapText="1"/>
    </xf>
    <xf numFmtId="183" fontId="28" fillId="6" borderId="8" xfId="7" applyNumberFormat="1" applyFont="1" applyFill="1" applyBorder="1" applyAlignment="1" applyProtection="1">
      <alignment horizontal="center" vertical="center" wrapText="1"/>
    </xf>
    <xf numFmtId="176" fontId="15" fillId="6" borderId="8" xfId="0" applyNumberFormat="1" applyFont="1" applyFill="1" applyBorder="1" applyAlignment="1">
      <alignment horizontal="center" vertical="center"/>
    </xf>
    <xf numFmtId="176" fontId="27" fillId="9" borderId="8" xfId="0" applyNumberFormat="1" applyFont="1" applyFill="1" applyBorder="1" applyAlignment="1">
      <alignment horizontal="center" vertical="center"/>
    </xf>
    <xf numFmtId="10" fontId="7" fillId="4" borderId="8" xfId="0" applyNumberFormat="1" applyFont="1" applyFill="1" applyBorder="1" applyAlignment="1">
      <alignment horizontal="center" vertical="center" wrapText="1"/>
    </xf>
    <xf numFmtId="178" fontId="4" fillId="0" borderId="3" xfId="0" applyNumberFormat="1" applyFont="1" applyBorder="1" applyAlignment="1">
      <alignment horizontal="center" vertical="center" wrapText="1"/>
    </xf>
    <xf numFmtId="180" fontId="4" fillId="0" borderId="3" xfId="0" applyNumberFormat="1" applyFont="1" applyBorder="1" applyAlignment="1">
      <alignment horizontal="center" vertical="center" wrapText="1"/>
    </xf>
    <xf numFmtId="176" fontId="4" fillId="0" borderId="3" xfId="0" applyNumberFormat="1" applyFont="1" applyBorder="1" applyAlignment="1">
      <alignment horizontal="center" vertical="center" wrapText="1"/>
    </xf>
    <xf numFmtId="178" fontId="4" fillId="0" borderId="3" xfId="13" applyNumberFormat="1" applyFont="1" applyBorder="1" applyAlignment="1">
      <alignment horizontal="center" vertical="center" wrapText="1"/>
    </xf>
    <xf numFmtId="180" fontId="4" fillId="0" borderId="3" xfId="13" applyNumberFormat="1" applyFont="1" applyBorder="1" applyAlignment="1">
      <alignment horizontal="center" vertical="center" wrapText="1"/>
    </xf>
    <xf numFmtId="178" fontId="3" fillId="3" borderId="7" xfId="0" applyNumberFormat="1" applyFont="1" applyFill="1" applyBorder="1" applyAlignment="1">
      <alignment horizontal="center" vertical="center" wrapText="1"/>
    </xf>
    <xf numFmtId="177" fontId="29" fillId="0" borderId="0" xfId="0" applyFont="1">
      <alignment vertical="center"/>
    </xf>
    <xf numFmtId="176" fontId="7" fillId="7" borderId="17" xfId="11" applyNumberFormat="1" applyFont="1" applyFill="1" applyBorder="1" applyAlignment="1">
      <alignment horizontal="right"/>
    </xf>
    <xf numFmtId="176" fontId="7" fillId="7" borderId="21" xfId="11" applyNumberFormat="1" applyFont="1" applyFill="1" applyBorder="1" applyAlignment="1">
      <alignment horizontal="right"/>
    </xf>
    <xf numFmtId="176" fontId="15" fillId="7" borderId="21" xfId="11" applyNumberFormat="1" applyFont="1" applyFill="1" applyBorder="1" applyAlignment="1">
      <alignment horizontal="right" vertical="center"/>
    </xf>
    <xf numFmtId="176" fontId="15" fillId="7" borderId="19" xfId="11" applyNumberFormat="1" applyFont="1" applyFill="1" applyBorder="1" applyAlignment="1">
      <alignment horizontal="right" vertical="center"/>
    </xf>
    <xf numFmtId="182" fontId="0" fillId="0" borderId="0" xfId="0" applyNumberFormat="1">
      <alignment vertical="center"/>
    </xf>
    <xf numFmtId="0" fontId="28" fillId="6" borderId="8" xfId="0" applyNumberFormat="1" applyFont="1" applyFill="1" applyBorder="1" applyAlignment="1">
      <alignment horizontal="center" vertical="center" wrapText="1"/>
    </xf>
    <xf numFmtId="182" fontId="16" fillId="0" borderId="0" xfId="0" applyNumberFormat="1" applyFont="1">
      <alignment vertical="center"/>
    </xf>
    <xf numFmtId="179" fontId="15" fillId="0" borderId="0" xfId="7" applyNumberFormat="1" applyFont="1" applyAlignment="1">
      <alignment horizontal="left" vertical="center"/>
    </xf>
    <xf numFmtId="179" fontId="30" fillId="0" borderId="0" xfId="7" applyNumberFormat="1" applyFont="1" applyAlignment="1">
      <alignment horizontal="left" vertical="center"/>
    </xf>
    <xf numFmtId="179" fontId="15" fillId="0" borderId="0" xfId="0" applyNumberFormat="1" applyFont="1" applyAlignment="1"/>
    <xf numFmtId="177" fontId="15" fillId="0" borderId="0" xfId="0" applyFont="1" applyAlignment="1">
      <alignment vertical="center" wrapText="1"/>
    </xf>
    <xf numFmtId="177" fontId="15" fillId="0" borderId="0" xfId="0" applyFont="1" applyAlignment="1">
      <alignment horizontal="center" vertical="center" wrapText="1"/>
    </xf>
    <xf numFmtId="176" fontId="15" fillId="0" borderId="0" xfId="0" applyNumberFormat="1" applyFont="1" applyAlignment="1">
      <alignment horizontal="center" vertical="center" wrapText="1"/>
    </xf>
    <xf numFmtId="0" fontId="15" fillId="0" borderId="0" xfId="0" applyNumberFormat="1" applyFont="1" applyAlignment="1">
      <alignment vertical="center" wrapText="1"/>
    </xf>
    <xf numFmtId="177" fontId="31" fillId="0" borderId="0" xfId="0" applyFont="1" applyAlignment="1">
      <alignment horizontal="center" vertical="center" wrapText="1"/>
    </xf>
    <xf numFmtId="177" fontId="32" fillId="0" borderId="0" xfId="0" applyFont="1" applyAlignment="1">
      <alignment horizontal="center" vertical="center"/>
    </xf>
    <xf numFmtId="177" fontId="15" fillId="4" borderId="0" xfId="0" applyFont="1" applyFill="1">
      <alignment vertical="center"/>
    </xf>
    <xf numFmtId="0" fontId="15" fillId="0" borderId="0" xfId="0" applyNumberFormat="1" applyFont="1">
      <alignment vertical="center"/>
    </xf>
    <xf numFmtId="177" fontId="15" fillId="4" borderId="0" xfId="0" applyFont="1" applyFill="1" applyAlignment="1">
      <alignment horizontal="center" vertical="center"/>
    </xf>
    <xf numFmtId="179" fontId="15" fillId="0" borderId="0" xfId="7" applyNumberFormat="1" applyFont="1" applyAlignment="1">
      <alignment horizontal="center" vertical="center"/>
    </xf>
    <xf numFmtId="177" fontId="32" fillId="3" borderId="4" xfId="0" applyFont="1" applyFill="1" applyBorder="1" applyAlignment="1">
      <alignment horizontal="center" vertical="center" wrapText="1"/>
    </xf>
    <xf numFmtId="177" fontId="32" fillId="3" borderId="5" xfId="0" applyFont="1" applyFill="1" applyBorder="1" applyAlignment="1">
      <alignment horizontal="center" vertical="center" wrapText="1"/>
    </xf>
    <xf numFmtId="178" fontId="15" fillId="3" borderId="7" xfId="0" applyNumberFormat="1" applyFont="1" applyFill="1" applyBorder="1" applyAlignment="1">
      <alignment horizontal="center" vertical="center" wrapText="1"/>
    </xf>
    <xf numFmtId="180" fontId="15" fillId="3" borderId="7" xfId="0" applyNumberFormat="1" applyFont="1" applyFill="1" applyBorder="1" applyAlignment="1">
      <alignment horizontal="center" vertical="center" wrapText="1"/>
    </xf>
    <xf numFmtId="49" fontId="32" fillId="3" borderId="5" xfId="18" applyNumberFormat="1" applyFont="1" applyFill="1" applyBorder="1" applyAlignment="1">
      <alignment horizontal="center" vertical="center" wrapText="1"/>
    </xf>
    <xf numFmtId="177" fontId="32" fillId="3" borderId="5" xfId="18" applyFont="1" applyFill="1" applyBorder="1" applyAlignment="1">
      <alignment horizontal="center" vertical="center" wrapText="1"/>
    </xf>
    <xf numFmtId="0" fontId="15" fillId="0" borderId="0" xfId="0" applyNumberFormat="1" applyFont="1" applyAlignment="1">
      <alignment horizontal="center" vertical="center"/>
    </xf>
    <xf numFmtId="178" fontId="15" fillId="3" borderId="7" xfId="18" applyNumberFormat="1" applyFont="1" applyFill="1" applyBorder="1" applyAlignment="1">
      <alignment horizontal="center" vertical="center" wrapText="1"/>
    </xf>
    <xf numFmtId="177" fontId="15" fillId="3" borderId="7" xfId="18" applyFont="1" applyFill="1" applyBorder="1" applyAlignment="1">
      <alignment horizontal="center" vertical="center" wrapText="1"/>
    </xf>
    <xf numFmtId="177" fontId="15" fillId="3" borderId="6" xfId="18" applyFont="1" applyFill="1" applyBorder="1" applyAlignment="1">
      <alignment horizontal="center" vertical="center" wrapText="1"/>
    </xf>
    <xf numFmtId="177" fontId="15" fillId="0" borderId="7" xfId="18" applyFont="1" applyBorder="1" applyAlignment="1">
      <alignment horizontal="center" vertical="center" wrapText="1"/>
    </xf>
    <xf numFmtId="177" fontId="15" fillId="4" borderId="7" xfId="18" applyFont="1" applyFill="1" applyBorder="1" applyAlignment="1">
      <alignment horizontal="center" vertical="center" wrapText="1"/>
    </xf>
    <xf numFmtId="49" fontId="15" fillId="4" borderId="25" xfId="18" applyNumberFormat="1" applyFont="1" applyFill="1" applyBorder="1" applyAlignment="1">
      <alignment horizontal="center" vertical="center" wrapText="1"/>
    </xf>
    <xf numFmtId="177" fontId="15" fillId="4" borderId="8" xfId="18" applyFont="1" applyFill="1" applyBorder="1" applyAlignment="1">
      <alignment horizontal="center" vertical="center" wrapText="1"/>
    </xf>
    <xf numFmtId="178" fontId="15" fillId="0" borderId="7" xfId="18" applyNumberFormat="1" applyFont="1" applyBorder="1" applyAlignment="1">
      <alignment horizontal="center" vertical="center" wrapText="1"/>
    </xf>
    <xf numFmtId="180" fontId="15" fillId="0" borderId="7" xfId="18" applyNumberFormat="1" applyFont="1" applyBorder="1" applyAlignment="1">
      <alignment horizontal="center" vertical="center" wrapText="1"/>
    </xf>
    <xf numFmtId="176" fontId="15" fillId="0" borderId="7" xfId="18" applyNumberFormat="1" applyFont="1" applyBorder="1" applyAlignment="1">
      <alignment horizontal="center" vertical="center" wrapText="1"/>
    </xf>
    <xf numFmtId="176" fontId="15" fillId="0" borderId="8" xfId="0" applyNumberFormat="1" applyFont="1" applyBorder="1" applyAlignment="1">
      <alignment horizontal="center" vertical="center"/>
    </xf>
    <xf numFmtId="177" fontId="15" fillId="0" borderId="8" xfId="0" applyFont="1" applyBorder="1" applyAlignment="1">
      <alignment horizontal="center" vertical="center"/>
    </xf>
    <xf numFmtId="177" fontId="33" fillId="0" borderId="0" xfId="0" applyFont="1" applyAlignment="1">
      <alignment horizontal="center" vertical="center"/>
    </xf>
    <xf numFmtId="178" fontId="15" fillId="0" borderId="8" xfId="18" applyNumberFormat="1" applyFont="1" applyBorder="1" applyAlignment="1">
      <alignment horizontal="center" vertical="center" wrapText="1"/>
    </xf>
    <xf numFmtId="180" fontId="15" fillId="0" borderId="8" xfId="18" applyNumberFormat="1" applyFont="1" applyBorder="1" applyAlignment="1">
      <alignment horizontal="center" vertical="center" wrapText="1"/>
    </xf>
    <xf numFmtId="177" fontId="15" fillId="0" borderId="8" xfId="18" applyFont="1" applyBorder="1" applyAlignment="1">
      <alignment horizontal="center" vertical="center" wrapText="1"/>
    </xf>
    <xf numFmtId="176" fontId="15" fillId="0" borderId="8" xfId="18" applyNumberFormat="1" applyFont="1" applyBorder="1" applyAlignment="1">
      <alignment horizontal="center" vertical="center" wrapText="1"/>
    </xf>
    <xf numFmtId="49" fontId="15" fillId="0" borderId="9" xfId="18" applyNumberFormat="1" applyFont="1" applyBorder="1" applyAlignment="1">
      <alignment horizontal="center" vertical="center" wrapText="1"/>
    </xf>
    <xf numFmtId="49" fontId="15" fillId="0" borderId="25" xfId="18" applyNumberFormat="1" applyFont="1" applyBorder="1" applyAlignment="1">
      <alignment horizontal="center" vertical="center" wrapText="1"/>
    </xf>
    <xf numFmtId="176" fontId="15" fillId="0" borderId="0" xfId="0" applyNumberFormat="1" applyFont="1" applyAlignment="1">
      <alignment horizontal="center" vertical="center"/>
    </xf>
    <xf numFmtId="177" fontId="0" fillId="4" borderId="0" xfId="0" applyFill="1" applyAlignment="1">
      <alignment vertical="center"/>
    </xf>
    <xf numFmtId="177" fontId="0" fillId="0" borderId="0" xfId="0" applyAlignment="1">
      <alignment vertical="center"/>
    </xf>
    <xf numFmtId="177" fontId="38" fillId="4" borderId="0" xfId="0" applyFont="1" applyFill="1" applyAlignment="1">
      <alignment vertical="center"/>
    </xf>
    <xf numFmtId="177" fontId="37" fillId="4" borderId="0" xfId="0" applyFont="1" applyFill="1" applyAlignment="1">
      <alignment horizontal="center" vertical="center" wrapText="1"/>
    </xf>
    <xf numFmtId="177" fontId="40" fillId="4" borderId="0" xfId="0" applyFont="1" applyFill="1" applyAlignment="1">
      <alignment vertical="center"/>
    </xf>
    <xf numFmtId="177" fontId="41" fillId="4" borderId="0" xfId="0" applyFont="1" applyFill="1" applyAlignment="1">
      <alignment horizontal="center" vertical="center" wrapText="1"/>
    </xf>
    <xf numFmtId="177" fontId="42" fillId="4" borderId="0" xfId="0" applyFont="1" applyFill="1" applyAlignment="1">
      <alignment vertical="center" wrapText="1"/>
    </xf>
    <xf numFmtId="177" fontId="38" fillId="4" borderId="25" xfId="0" applyFont="1" applyFill="1" applyBorder="1" applyAlignment="1">
      <alignment vertical="center"/>
    </xf>
    <xf numFmtId="177" fontId="40" fillId="4" borderId="25" xfId="0" applyFont="1" applyFill="1" applyBorder="1" applyAlignment="1">
      <alignment vertical="center"/>
    </xf>
    <xf numFmtId="0" fontId="28" fillId="12" borderId="13" xfId="0" applyNumberFormat="1" applyFont="1" applyFill="1" applyBorder="1" applyAlignment="1">
      <alignment horizontal="center" vertical="center" wrapText="1"/>
    </xf>
    <xf numFmtId="184" fontId="44" fillId="4" borderId="13" xfId="0" applyNumberFormat="1" applyFont="1" applyFill="1" applyBorder="1" applyAlignment="1">
      <alignment horizontal="center" vertical="center" wrapText="1"/>
    </xf>
    <xf numFmtId="177" fontId="45" fillId="13" borderId="26" xfId="0" applyFont="1" applyFill="1" applyBorder="1" applyAlignment="1">
      <alignment horizontal="center" vertical="center" wrapText="1"/>
    </xf>
    <xf numFmtId="4" fontId="5" fillId="4" borderId="7" xfId="0" applyNumberFormat="1" applyFont="1" applyFill="1" applyBorder="1" applyAlignment="1">
      <alignment horizontal="right" vertical="center" wrapText="1"/>
    </xf>
    <xf numFmtId="43" fontId="5" fillId="4" borderId="7" xfId="0" applyNumberFormat="1" applyFont="1" applyFill="1" applyBorder="1" applyAlignment="1">
      <alignment horizontal="right" vertical="center" wrapText="1"/>
    </xf>
    <xf numFmtId="43" fontId="5" fillId="4" borderId="7" xfId="21" applyFont="1" applyFill="1" applyBorder="1" applyAlignment="1">
      <alignment horizontal="right" vertical="center" wrapText="1"/>
    </xf>
    <xf numFmtId="4" fontId="46" fillId="4" borderId="7" xfId="0" applyNumberFormat="1" applyFont="1" applyFill="1" applyBorder="1" applyAlignment="1">
      <alignment horizontal="right" vertical="center" wrapText="1"/>
    </xf>
    <xf numFmtId="185" fontId="46" fillId="4" borderId="7" xfId="0" applyNumberFormat="1" applyFont="1" applyFill="1" applyBorder="1" applyAlignment="1">
      <alignment horizontal="right" vertical="center" wrapText="1"/>
    </xf>
    <xf numFmtId="186" fontId="46" fillId="4" borderId="7" xfId="22" applyNumberFormat="1" applyFont="1" applyFill="1" applyBorder="1" applyAlignment="1">
      <alignment horizontal="right" vertical="center" wrapText="1"/>
    </xf>
    <xf numFmtId="177" fontId="46" fillId="13" borderId="23" xfId="0" applyFont="1" applyFill="1" applyBorder="1" applyAlignment="1">
      <alignment horizontal="center" vertical="center" wrapText="1"/>
    </xf>
    <xf numFmtId="43" fontId="0" fillId="0" borderId="0" xfId="0" applyNumberFormat="1" applyAlignment="1">
      <alignment vertical="center"/>
    </xf>
    <xf numFmtId="185" fontId="0" fillId="0" borderId="0" xfId="0" applyNumberFormat="1" applyAlignment="1">
      <alignment vertical="center"/>
    </xf>
    <xf numFmtId="177" fontId="46" fillId="13" borderId="0" xfId="0" applyFont="1" applyFill="1" applyBorder="1" applyAlignment="1">
      <alignment horizontal="center" vertical="center" wrapText="1"/>
    </xf>
    <xf numFmtId="0" fontId="28" fillId="12" borderId="7" xfId="0" applyNumberFormat="1" applyFont="1" applyFill="1" applyBorder="1" applyAlignment="1">
      <alignment horizontal="center" vertical="center" wrapText="1"/>
    </xf>
    <xf numFmtId="177" fontId="5" fillId="4" borderId="8" xfId="0" applyFont="1" applyFill="1" applyBorder="1" applyAlignment="1">
      <alignment vertical="center" wrapText="1"/>
    </xf>
    <xf numFmtId="177" fontId="5" fillId="4" borderId="7" xfId="0" applyFont="1" applyFill="1" applyBorder="1" applyAlignment="1">
      <alignment vertical="center" wrapText="1"/>
    </xf>
    <xf numFmtId="4" fontId="5" fillId="4" borderId="0" xfId="0" applyNumberFormat="1" applyFont="1" applyFill="1" applyBorder="1" applyAlignment="1">
      <alignment horizontal="right" vertical="center" wrapText="1"/>
    </xf>
    <xf numFmtId="177" fontId="47" fillId="4" borderId="0" xfId="0" applyFont="1" applyFill="1" applyAlignment="1">
      <alignment vertical="center" wrapText="1"/>
    </xf>
    <xf numFmtId="177" fontId="48" fillId="4" borderId="0" xfId="0" applyFont="1" applyFill="1" applyAlignment="1">
      <alignment vertical="center"/>
    </xf>
    <xf numFmtId="43" fontId="0" fillId="4" borderId="0" xfId="0" applyNumberFormat="1" applyFill="1" applyAlignment="1">
      <alignment vertical="center"/>
    </xf>
    <xf numFmtId="185" fontId="0" fillId="4" borderId="0" xfId="0" applyNumberFormat="1" applyFill="1" applyAlignment="1">
      <alignment vertical="center"/>
    </xf>
    <xf numFmtId="184" fontId="49" fillId="4" borderId="0" xfId="0" applyNumberFormat="1" applyFont="1" applyFill="1" applyAlignment="1">
      <alignment vertical="center"/>
    </xf>
    <xf numFmtId="184" fontId="47" fillId="4" borderId="0" xfId="0" applyNumberFormat="1" applyFont="1" applyFill="1" applyAlignment="1">
      <alignment vertical="center" wrapText="1"/>
    </xf>
    <xf numFmtId="177" fontId="50" fillId="4" borderId="0" xfId="0" applyFont="1" applyFill="1" applyAlignment="1">
      <alignment vertical="center"/>
    </xf>
    <xf numFmtId="177" fontId="51" fillId="4" borderId="25" xfId="0" applyFont="1" applyFill="1" applyBorder="1" applyAlignment="1">
      <alignment horizontal="center" vertical="center"/>
    </xf>
    <xf numFmtId="43" fontId="44" fillId="4" borderId="0" xfId="0" applyNumberFormat="1" applyFont="1" applyFill="1" applyBorder="1" applyAlignment="1">
      <alignment horizontal="right" vertical="center" wrapText="1"/>
    </xf>
    <xf numFmtId="177" fontId="52" fillId="4" borderId="25" xfId="0" applyFont="1" applyFill="1" applyBorder="1" applyAlignment="1">
      <alignment horizontal="center" vertical="center"/>
    </xf>
    <xf numFmtId="177" fontId="44" fillId="4" borderId="8" xfId="0" applyFont="1" applyFill="1" applyBorder="1" applyAlignment="1">
      <alignment horizontal="center" vertical="center" wrapText="1"/>
    </xf>
    <xf numFmtId="43" fontId="47" fillId="4" borderId="8" xfId="21" applyFont="1" applyFill="1" applyBorder="1" applyAlignment="1">
      <alignment horizontal="center" vertical="center" wrapText="1"/>
    </xf>
    <xf numFmtId="43" fontId="53" fillId="4" borderId="0" xfId="0" applyNumberFormat="1" applyFont="1" applyFill="1" applyBorder="1" applyAlignment="1">
      <alignment horizontal="right" vertical="center" wrapText="1"/>
    </xf>
    <xf numFmtId="14" fontId="50" fillId="4" borderId="25" xfId="0" applyNumberFormat="1" applyFont="1" applyFill="1" applyBorder="1" applyAlignment="1">
      <alignment horizontal="center" vertical="center"/>
    </xf>
    <xf numFmtId="177" fontId="54" fillId="4" borderId="25" xfId="0" applyFont="1" applyFill="1" applyBorder="1" applyAlignment="1">
      <alignment horizontal="center" vertical="center"/>
    </xf>
    <xf numFmtId="176" fontId="15" fillId="0" borderId="7" xfId="0" applyNumberFormat="1" applyFont="1" applyBorder="1" applyAlignment="1">
      <alignment horizontal="center" vertical="center"/>
    </xf>
    <xf numFmtId="177" fontId="15" fillId="0" borderId="7" xfId="0" applyFont="1" applyBorder="1" applyAlignment="1">
      <alignment horizontal="center" vertical="center"/>
    </xf>
    <xf numFmtId="49" fontId="15" fillId="4" borderId="8" xfId="18" applyNumberFormat="1" applyFont="1" applyFill="1" applyBorder="1" applyAlignment="1">
      <alignment horizontal="center" vertical="center" wrapText="1"/>
    </xf>
    <xf numFmtId="177" fontId="7" fillId="7" borderId="0" xfId="11" applyFont="1" applyFill="1" applyAlignment="1">
      <alignment horizontal="center"/>
    </xf>
    <xf numFmtId="182" fontId="7" fillId="7" borderId="0" xfId="11" applyNumberFormat="1" applyFont="1" applyFill="1" applyAlignment="1">
      <alignment horizontal="center"/>
    </xf>
    <xf numFmtId="14" fontId="7" fillId="7" borderId="0" xfId="11" applyNumberFormat="1" applyFont="1" applyFill="1" applyAlignment="1">
      <alignment horizontal="center"/>
    </xf>
    <xf numFmtId="177" fontId="15" fillId="0" borderId="1" xfId="0" applyFont="1" applyBorder="1" applyAlignment="1">
      <alignment horizontal="center" vertical="center" wrapText="1"/>
    </xf>
    <xf numFmtId="177" fontId="15" fillId="0" borderId="14" xfId="0" applyFont="1" applyBorder="1" applyAlignment="1">
      <alignment horizontal="center" vertical="center" wrapText="1"/>
    </xf>
    <xf numFmtId="177" fontId="15" fillId="6" borderId="1" xfId="0" applyFont="1" applyFill="1" applyBorder="1" applyAlignment="1">
      <alignment horizontal="center" vertical="center" wrapText="1"/>
    </xf>
    <xf numFmtId="177" fontId="15" fillId="6" borderId="14" xfId="0" applyFont="1" applyFill="1" applyBorder="1" applyAlignment="1">
      <alignment horizontal="center" vertical="center" wrapText="1"/>
    </xf>
    <xf numFmtId="177" fontId="15" fillId="0" borderId="12" xfId="0" applyFont="1" applyBorder="1" applyAlignment="1">
      <alignment horizontal="center" vertical="center" wrapText="1"/>
    </xf>
    <xf numFmtId="177" fontId="15" fillId="0" borderId="15" xfId="0" applyFont="1" applyBorder="1" applyAlignment="1">
      <alignment horizontal="center" vertical="center" wrapText="1"/>
    </xf>
    <xf numFmtId="177" fontId="15" fillId="0" borderId="13" xfId="0" applyFont="1" applyBorder="1" applyAlignment="1">
      <alignment horizontal="center" vertical="center" wrapText="1"/>
    </xf>
    <xf numFmtId="0" fontId="15" fillId="6" borderId="1" xfId="0" applyNumberFormat="1" applyFont="1" applyFill="1" applyBorder="1" applyAlignment="1">
      <alignment horizontal="center" vertical="center" wrapText="1"/>
    </xf>
    <xf numFmtId="0" fontId="15" fillId="6" borderId="14" xfId="0" applyNumberFormat="1" applyFont="1" applyFill="1" applyBorder="1" applyAlignment="1">
      <alignment horizontal="center" vertical="center" wrapText="1"/>
    </xf>
    <xf numFmtId="177" fontId="15" fillId="2" borderId="1" xfId="0" applyFont="1" applyFill="1" applyBorder="1" applyAlignment="1">
      <alignment horizontal="center" vertical="center" wrapText="1"/>
    </xf>
    <xf numFmtId="177" fontId="15" fillId="2" borderId="14" xfId="0" applyFont="1" applyFill="1" applyBorder="1" applyAlignment="1">
      <alignment horizontal="center" vertical="center" wrapText="1"/>
    </xf>
    <xf numFmtId="177" fontId="15" fillId="8" borderId="1" xfId="0" applyFont="1" applyFill="1" applyBorder="1" applyAlignment="1">
      <alignment horizontal="center" vertical="center" wrapText="1"/>
    </xf>
    <xf numFmtId="177" fontId="15" fillId="8" borderId="14" xfId="0" applyFont="1" applyFill="1" applyBorder="1" applyAlignment="1">
      <alignment horizontal="center" vertical="center" wrapText="1"/>
    </xf>
    <xf numFmtId="177" fontId="27" fillId="9" borderId="1" xfId="0" applyFont="1" applyFill="1" applyBorder="1" applyAlignment="1">
      <alignment horizontal="center" vertical="center" wrapText="1"/>
    </xf>
    <xf numFmtId="177" fontId="27" fillId="9" borderId="14" xfId="0" applyFont="1" applyFill="1" applyBorder="1" applyAlignment="1">
      <alignment horizontal="center" vertical="center" wrapText="1"/>
    </xf>
    <xf numFmtId="177" fontId="15" fillId="11" borderId="1" xfId="0" applyFont="1" applyFill="1" applyBorder="1" applyAlignment="1">
      <alignment horizontal="center" vertical="center"/>
    </xf>
    <xf numFmtId="177" fontId="15" fillId="11" borderId="2" xfId="0" applyFont="1" applyFill="1" applyBorder="1" applyAlignment="1">
      <alignment horizontal="center" vertical="center"/>
    </xf>
    <xf numFmtId="177" fontId="15" fillId="11" borderId="14" xfId="0" applyFont="1" applyFill="1" applyBorder="1" applyAlignment="1">
      <alignment horizontal="center" vertical="center"/>
    </xf>
    <xf numFmtId="177" fontId="15" fillId="10" borderId="1" xfId="0" applyFont="1" applyFill="1" applyBorder="1" applyAlignment="1">
      <alignment horizontal="center" vertical="center"/>
    </xf>
    <xf numFmtId="177" fontId="15" fillId="10" borderId="2" xfId="0" applyFont="1" applyFill="1" applyBorder="1" applyAlignment="1">
      <alignment horizontal="center" vertical="center"/>
    </xf>
    <xf numFmtId="177" fontId="15" fillId="10" borderId="14" xfId="0" applyFont="1" applyFill="1" applyBorder="1" applyAlignment="1">
      <alignment horizontal="center" vertical="center"/>
    </xf>
    <xf numFmtId="178" fontId="32" fillId="3" borderId="10" xfId="18" applyNumberFormat="1" applyFont="1" applyFill="1" applyBorder="1" applyAlignment="1">
      <alignment horizontal="center" vertical="center" wrapText="1"/>
    </xf>
    <xf numFmtId="178" fontId="32" fillId="3" borderId="11" xfId="18" applyNumberFormat="1" applyFont="1" applyFill="1" applyBorder="1" applyAlignment="1">
      <alignment horizontal="center" vertical="center" wrapText="1"/>
    </xf>
    <xf numFmtId="178" fontId="32" fillId="3" borderId="5" xfId="18" applyNumberFormat="1" applyFont="1" applyFill="1" applyBorder="1" applyAlignment="1">
      <alignment horizontal="center" vertical="center" wrapText="1"/>
    </xf>
    <xf numFmtId="177" fontId="15" fillId="3" borderId="12" xfId="18" applyFont="1" applyFill="1" applyBorder="1" applyAlignment="1">
      <alignment horizontal="center" vertical="center" wrapText="1"/>
    </xf>
    <xf numFmtId="177" fontId="15" fillId="3" borderId="13" xfId="18" applyFont="1" applyFill="1" applyBorder="1" applyAlignment="1">
      <alignment horizontal="center" vertical="center" wrapText="1"/>
    </xf>
    <xf numFmtId="178" fontId="15" fillId="3" borderId="12" xfId="18" applyNumberFormat="1" applyFont="1" applyFill="1" applyBorder="1" applyAlignment="1">
      <alignment horizontal="center" vertical="center" wrapText="1"/>
    </xf>
    <xf numFmtId="178" fontId="15" fillId="3" borderId="13" xfId="18" applyNumberFormat="1" applyFont="1" applyFill="1" applyBorder="1" applyAlignment="1">
      <alignment horizontal="center" vertical="center" wrapText="1"/>
    </xf>
    <xf numFmtId="178" fontId="15" fillId="3" borderId="7" xfId="0" applyNumberFormat="1" applyFont="1" applyFill="1" applyBorder="1" applyAlignment="1">
      <alignment horizontal="center" vertical="center" wrapText="1"/>
    </xf>
    <xf numFmtId="177" fontId="15" fillId="3" borderId="7" xfId="0" applyFont="1" applyFill="1" applyBorder="1" applyAlignment="1">
      <alignment horizontal="center" vertical="center" wrapText="1"/>
    </xf>
    <xf numFmtId="178" fontId="32" fillId="3" borderId="10" xfId="0" applyNumberFormat="1" applyFont="1" applyFill="1" applyBorder="1" applyAlignment="1">
      <alignment horizontal="center" vertical="center" wrapText="1"/>
    </xf>
    <xf numFmtId="178" fontId="32" fillId="3" borderId="11" xfId="0" applyNumberFormat="1" applyFont="1" applyFill="1" applyBorder="1" applyAlignment="1">
      <alignment horizontal="center" vertical="center" wrapText="1"/>
    </xf>
    <xf numFmtId="178" fontId="32" fillId="3" borderId="5" xfId="0" applyNumberFormat="1" applyFont="1" applyFill="1" applyBorder="1" applyAlignment="1">
      <alignment horizontal="center" vertical="center" wrapText="1"/>
    </xf>
    <xf numFmtId="49" fontId="15" fillId="3" borderId="1" xfId="18" applyNumberFormat="1" applyFont="1" applyFill="1" applyBorder="1" applyAlignment="1">
      <alignment horizontal="center" vertical="center" wrapText="1"/>
    </xf>
    <xf numFmtId="49" fontId="15" fillId="3" borderId="14" xfId="18" applyNumberFormat="1" applyFont="1" applyFill="1" applyBorder="1" applyAlignment="1">
      <alignment horizontal="center" vertical="center" wrapText="1"/>
    </xf>
    <xf numFmtId="177" fontId="15" fillId="3" borderId="1" xfId="18" applyFont="1" applyFill="1" applyBorder="1" applyAlignment="1">
      <alignment horizontal="center" vertical="center" wrapText="1"/>
    </xf>
    <xf numFmtId="177" fontId="15" fillId="3" borderId="14" xfId="18" applyFont="1" applyFill="1" applyBorder="1" applyAlignment="1">
      <alignment horizontal="center" vertical="center" wrapText="1"/>
    </xf>
    <xf numFmtId="177" fontId="32" fillId="3" borderId="5" xfId="0" applyFont="1" applyFill="1" applyBorder="1" applyAlignment="1">
      <alignment horizontal="center" vertical="center" wrapText="1"/>
    </xf>
    <xf numFmtId="177" fontId="15" fillId="3" borderId="6" xfId="0" applyFont="1" applyFill="1" applyBorder="1" applyAlignment="1">
      <alignment horizontal="center" vertical="center" wrapText="1"/>
    </xf>
    <xf numFmtId="177" fontId="15" fillId="3" borderId="6" xfId="0" applyFont="1" applyFill="1" applyBorder="1" applyAlignment="1">
      <alignment vertical="center" wrapText="1"/>
    </xf>
    <xf numFmtId="177" fontId="15" fillId="3" borderId="7" xfId="0" applyFont="1" applyFill="1" applyBorder="1" applyAlignment="1">
      <alignment vertical="center" wrapText="1"/>
    </xf>
    <xf numFmtId="49" fontId="3" fillId="3" borderId="1" xfId="3" applyNumberFormat="1" applyFont="1" applyFill="1" applyBorder="1" applyAlignment="1">
      <alignment horizontal="center" vertical="center" wrapText="1"/>
    </xf>
    <xf numFmtId="49" fontId="3" fillId="3" borderId="2" xfId="3" applyNumberFormat="1" applyFont="1" applyFill="1" applyBorder="1" applyAlignment="1">
      <alignment horizontal="center" vertical="center" wrapText="1"/>
    </xf>
    <xf numFmtId="49" fontId="12" fillId="3" borderId="1" xfId="3" applyNumberFormat="1" applyFont="1" applyFill="1" applyBorder="1" applyAlignment="1">
      <alignment horizontal="center" vertical="center" wrapText="1"/>
    </xf>
    <xf numFmtId="49" fontId="12" fillId="3" borderId="2" xfId="3" applyNumberFormat="1" applyFont="1" applyFill="1" applyBorder="1" applyAlignment="1">
      <alignment horizontal="center" vertical="center" wrapText="1"/>
    </xf>
    <xf numFmtId="178" fontId="9" fillId="3" borderId="5" xfId="0" applyNumberFormat="1" applyFont="1" applyFill="1" applyBorder="1" applyAlignment="1">
      <alignment horizontal="center" vertical="center" wrapText="1"/>
    </xf>
    <xf numFmtId="178" fontId="3" fillId="3" borderId="7" xfId="0" applyNumberFormat="1" applyFont="1" applyFill="1" applyBorder="1" applyAlignment="1">
      <alignment horizontal="center" vertical="center" wrapText="1"/>
    </xf>
    <xf numFmtId="178" fontId="3" fillId="3" borderId="12" xfId="0" applyNumberFormat="1" applyFont="1" applyFill="1" applyBorder="1" applyAlignment="1">
      <alignment horizontal="center" vertical="center" wrapText="1"/>
    </xf>
    <xf numFmtId="178" fontId="3" fillId="3" borderId="13" xfId="0" applyNumberFormat="1" applyFont="1" applyFill="1" applyBorder="1" applyAlignment="1">
      <alignment horizontal="center" vertical="center" wrapText="1"/>
    </xf>
    <xf numFmtId="178" fontId="3" fillId="3" borderId="15" xfId="0" applyNumberFormat="1" applyFont="1" applyFill="1" applyBorder="1" applyAlignment="1">
      <alignment horizontal="center" vertical="center" wrapText="1"/>
    </xf>
    <xf numFmtId="177" fontId="6" fillId="5" borderId="8" xfId="15" applyFont="1" applyFill="1" applyBorder="1" applyAlignment="1">
      <alignment horizontal="center" vertical="center" wrapText="1"/>
    </xf>
    <xf numFmtId="177" fontId="6" fillId="5" borderId="1" xfId="15" applyFont="1" applyFill="1" applyBorder="1" applyAlignment="1">
      <alignment horizontal="center" vertical="center" wrapText="1"/>
    </xf>
    <xf numFmtId="177" fontId="6" fillId="5" borderId="14" xfId="15" applyFont="1" applyFill="1" applyBorder="1" applyAlignment="1">
      <alignment horizontal="center" vertical="center" wrapText="1"/>
    </xf>
    <xf numFmtId="177" fontId="7" fillId="5" borderId="8" xfId="15" applyFont="1" applyFill="1" applyBorder="1" applyAlignment="1">
      <alignment horizontal="center" vertical="center" wrapText="1"/>
    </xf>
    <xf numFmtId="177" fontId="6" fillId="5" borderId="8" xfId="14" applyFont="1" applyFill="1" applyBorder="1" applyAlignment="1">
      <alignment horizontal="center" vertical="center" wrapText="1"/>
    </xf>
    <xf numFmtId="182" fontId="3" fillId="3" borderId="1" xfId="3" applyNumberFormat="1" applyFont="1" applyFill="1" applyBorder="1" applyAlignment="1">
      <alignment horizontal="center" vertical="center" wrapText="1"/>
    </xf>
    <xf numFmtId="182" fontId="3" fillId="3" borderId="2" xfId="3" applyNumberFormat="1" applyFont="1" applyFill="1" applyBorder="1" applyAlignment="1">
      <alignment horizontal="center" vertical="center" wrapText="1"/>
    </xf>
    <xf numFmtId="177" fontId="35" fillId="4" borderId="0" xfId="0" applyFont="1" applyFill="1" applyAlignment="1">
      <alignment horizontal="center" vertical="center"/>
    </xf>
    <xf numFmtId="177" fontId="36" fillId="4" borderId="0" xfId="0" applyFont="1" applyFill="1" applyAlignment="1">
      <alignment horizontal="center" vertical="center"/>
    </xf>
    <xf numFmtId="177" fontId="37" fillId="4" borderId="0" xfId="0" applyFont="1" applyFill="1" applyAlignment="1">
      <alignment horizontal="center" vertical="center" wrapText="1"/>
    </xf>
    <xf numFmtId="176" fontId="7" fillId="7" borderId="0" xfId="11" applyNumberFormat="1" applyFont="1" applyFill="1" applyBorder="1" applyAlignment="1">
      <alignment horizontal="right"/>
    </xf>
  </cellXfs>
  <cellStyles count="23">
    <cellStyle name="百分比 2 4" xfId="17"/>
    <cellStyle name="常规" xfId="0" builtinId="0"/>
    <cellStyle name="常规 10 10 2" xfId="6"/>
    <cellStyle name="常规 12 3" xfId="8"/>
    <cellStyle name="常规 18" xfId="9"/>
    <cellStyle name="常规 18 10" xfId="4"/>
    <cellStyle name="常规 2" xfId="7"/>
    <cellStyle name="常规 2 3" xfId="5"/>
    <cellStyle name="常规 3" xfId="10"/>
    <cellStyle name="常规 4" xfId="11"/>
    <cellStyle name="常规 4 2 2" xfId="1"/>
    <cellStyle name="常规 5" xfId="12"/>
    <cellStyle name="常规 6" xfId="2"/>
    <cellStyle name="常规 7" xfId="13"/>
    <cellStyle name="常规 7 2" xfId="19"/>
    <cellStyle name="常规 8" xfId="3"/>
    <cellStyle name="常规 9" xfId="18"/>
    <cellStyle name="常规 9 2" xfId="20"/>
    <cellStyle name="常规_07年导购员管理相关报表 (日周销量表)070123 10" xfId="14"/>
    <cellStyle name="常规_Sheet1" xfId="15"/>
    <cellStyle name="千位分隔" xfId="21" builtinId="3"/>
    <cellStyle name="千位分隔[0]" xfId="22" builtinId="6"/>
    <cellStyle name="样式 1" xfId="16"/>
  </cellStyles>
  <dxfs count="839">
    <dxf>
      <fill>
        <patternFill patternType="solid">
          <bgColor indexed="9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indexed="9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indexed="9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indexed="9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indexed="9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indexed="9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indexed="9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indexed="9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indexed="9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indexed="9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indexed="9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indexed="9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indexed="9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indexed="9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indexed="9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indexed="9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indexed="9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indexed="9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indexed="9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indexed="9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indexed="9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indexed="9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indexed="9"/>
        </patternFill>
      </fill>
    </dxf>
    <dxf>
      <fill>
        <patternFill patternType="solid">
          <bgColor indexed="9"/>
        </patternFill>
      </fill>
    </dxf>
    <dxf>
      <fill>
        <patternFill patternType="solid">
          <bgColor indexed="9"/>
        </patternFill>
      </fill>
    </dxf>
    <dxf>
      <fill>
        <patternFill patternType="solid">
          <bgColor indexed="9"/>
        </patternFill>
      </fill>
    </dxf>
    <dxf>
      <fill>
        <patternFill patternType="solid">
          <bgColor indexed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indexed="9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indexed="9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indexed="9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indexed="9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indexed="9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indexed="9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indexed="9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indexed="9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indexed="9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indexed="9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indexed="9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indexed="9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indexed="9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indexed="9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indexed="9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indexed="9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indexed="9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indexed="9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indexed="9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indexed="9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indexed="9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indexed="9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indexed="9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indexed="9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indexed="9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indexed="9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indexed="9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indexed="9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indexed="9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indexed="9"/>
        </patternFill>
      </fill>
    </dxf>
  </dxfs>
  <tableStyles count="0" defaultTableStyle="TableStyleMedium9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0010;&#31246;&#30003;&#25253;\201905&#20010;&#31246;&#30003;&#25253;\&#27491;&#24120;&#24037;&#36164;&#34218;&#37329;&#25152;&#24471;20190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正常工资薪金收入"/>
      <sheetName val="填表说明"/>
      <sheetName val="Sheet1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topLeftCell="A8" workbookViewId="0">
      <selection activeCell="D17" sqref="D17"/>
    </sheetView>
  </sheetViews>
  <sheetFormatPr defaultColWidth="9" defaultRowHeight="14.4"/>
  <cols>
    <col min="1" max="1" width="14.44140625" customWidth="1"/>
    <col min="3" max="3" width="12.33203125" customWidth="1"/>
    <col min="4" max="4" width="35.88671875" customWidth="1"/>
    <col min="5" max="7" width="12.109375" customWidth="1"/>
    <col min="8" max="8" width="15.5546875" customWidth="1"/>
    <col min="9" max="9" width="11.44140625" customWidth="1"/>
    <col min="10" max="10" width="11.6640625" customWidth="1"/>
    <col min="11" max="11" width="16.44140625" customWidth="1"/>
  </cols>
  <sheetData>
    <row r="1" spans="1:10" ht="15">
      <c r="A1" s="19"/>
      <c r="B1" s="19"/>
      <c r="C1" s="19"/>
      <c r="D1" s="19"/>
      <c r="E1" s="19"/>
      <c r="F1" s="19"/>
      <c r="G1" s="19"/>
    </row>
    <row r="2" spans="1:10" ht="15">
      <c r="A2" s="184" t="s">
        <v>498</v>
      </c>
      <c r="B2" s="184"/>
      <c r="C2" s="184"/>
      <c r="D2" s="184"/>
      <c r="E2" s="184"/>
      <c r="F2" s="184"/>
      <c r="G2" s="184"/>
    </row>
    <row r="3" spans="1:10" ht="15">
      <c r="A3" s="184" t="s">
        <v>0</v>
      </c>
      <c r="B3" s="184"/>
      <c r="C3" s="184"/>
      <c r="D3" s="184"/>
      <c r="E3" s="184"/>
      <c r="F3" s="184"/>
      <c r="G3" s="184"/>
    </row>
    <row r="4" spans="1:10" ht="15">
      <c r="A4" s="184" t="s">
        <v>1</v>
      </c>
      <c r="B4" s="184"/>
      <c r="C4" s="184"/>
      <c r="D4" s="184"/>
      <c r="E4" s="184"/>
      <c r="F4" s="184"/>
      <c r="G4" s="184"/>
    </row>
    <row r="5" spans="1:10" ht="15">
      <c r="A5" s="185">
        <v>46082</v>
      </c>
      <c r="B5" s="185"/>
      <c r="C5" s="185"/>
      <c r="D5" s="185"/>
      <c r="E5" s="185"/>
      <c r="F5" s="185"/>
      <c r="G5" s="185"/>
    </row>
    <row r="6" spans="1:10" ht="15">
      <c r="A6" s="186"/>
      <c r="B6" s="186"/>
      <c r="C6" s="186"/>
      <c r="D6" s="186"/>
      <c r="E6" s="186"/>
      <c r="F6" s="186"/>
      <c r="G6" s="186"/>
    </row>
    <row r="7" spans="1:10" ht="20.25" customHeight="1">
      <c r="A7" s="20" t="s">
        <v>555</v>
      </c>
      <c r="B7" s="20"/>
      <c r="C7" s="20"/>
      <c r="D7" s="20"/>
      <c r="E7" s="20"/>
      <c r="F7" s="20"/>
      <c r="G7" s="20"/>
    </row>
    <row r="8" spans="1:10" ht="20.25" customHeight="1">
      <c r="A8" s="20" t="s">
        <v>2</v>
      </c>
      <c r="B8" s="20" t="s">
        <v>3</v>
      </c>
      <c r="C8" s="20"/>
      <c r="D8" s="20"/>
      <c r="E8" s="20"/>
      <c r="F8" s="20"/>
      <c r="G8" s="20"/>
    </row>
    <row r="9" spans="1:10" ht="20.25" customHeight="1">
      <c r="A9" s="20" t="s">
        <v>4</v>
      </c>
      <c r="B9" s="20" t="s">
        <v>5</v>
      </c>
      <c r="C9" s="20"/>
      <c r="D9" s="20"/>
      <c r="E9" s="20"/>
      <c r="F9" s="20"/>
      <c r="G9" s="20"/>
    </row>
    <row r="10" spans="1:10" ht="20.25" customHeight="1" thickBot="1">
      <c r="A10" s="19" t="s">
        <v>501</v>
      </c>
      <c r="B10" s="19"/>
      <c r="C10" s="19"/>
      <c r="D10" s="19"/>
      <c r="E10" s="19"/>
      <c r="F10" s="19"/>
      <c r="G10" s="19"/>
    </row>
    <row r="11" spans="1:10" ht="27.75" customHeight="1">
      <c r="A11" s="21" t="s">
        <v>6</v>
      </c>
      <c r="B11" s="22"/>
      <c r="C11" s="22"/>
      <c r="D11" s="55">
        <f>长促工资明细!A39</f>
        <v>34</v>
      </c>
      <c r="E11" s="22" t="s">
        <v>7</v>
      </c>
      <c r="F11" s="22" t="s">
        <v>8</v>
      </c>
      <c r="G11" s="53" t="s">
        <v>9</v>
      </c>
    </row>
    <row r="12" spans="1:10" ht="27.75" customHeight="1" thickBot="1">
      <c r="A12" s="24" t="s">
        <v>10</v>
      </c>
      <c r="B12" s="25"/>
      <c r="C12" s="25"/>
      <c r="D12" s="62">
        <f>D11</f>
        <v>34</v>
      </c>
      <c r="E12" s="25">
        <f>COUNTIFS(长促工资明细!$J:$J,付款通知书!$E$11)</f>
        <v>34</v>
      </c>
      <c r="F12" s="25">
        <f>COUNTIFS(长促工资明细!$J:$J,付款通知书!$F$11)</f>
        <v>0</v>
      </c>
      <c r="G12" s="54">
        <f>COUNTIFS(长促工资明细!$J:$J,付款通知书!$G$11)</f>
        <v>0</v>
      </c>
      <c r="I12" s="34"/>
      <c r="J12" s="34"/>
    </row>
    <row r="13" spans="1:10" ht="27.75" customHeight="1">
      <c r="A13" s="39" t="s">
        <v>557</v>
      </c>
      <c r="B13" s="23"/>
      <c r="C13" s="23"/>
      <c r="D13" s="63">
        <f>长促工资明细!BO40</f>
        <v>114589.63</v>
      </c>
      <c r="E13" s="93">
        <f>SUMIFS(长促工资明细!$BO:$BO,长促工资明细!$J:$J,付款通知书!$E$11)</f>
        <v>114589.63</v>
      </c>
      <c r="F13" s="23">
        <f>SUMIFS(长促工资明细!$BO:$BO,长促工资明细!$J:$J,付款通知书!$F$11)</f>
        <v>0</v>
      </c>
      <c r="G13" s="55">
        <f>SUMIFS(长促工资明细!$BO:$BO,长促工资明细!$J:$J,付款通知书!$G$11)</f>
        <v>0</v>
      </c>
      <c r="I13" s="34"/>
      <c r="J13" s="34"/>
    </row>
    <row r="14" spans="1:10" ht="27.75" customHeight="1">
      <c r="A14" s="40" t="s">
        <v>558</v>
      </c>
      <c r="B14" s="41"/>
      <c r="C14" s="41"/>
      <c r="D14" s="59">
        <f>社保公积金账单!CH40+社保公积金账单!CI40</f>
        <v>92121.979999999938</v>
      </c>
      <c r="E14" s="94">
        <f>SUMIFS(社保公积金账单!$CL:$CL,社保公积金账单!$E:$E,付款通知书!$E$11)</f>
        <v>89412.510000000024</v>
      </c>
      <c r="F14" s="41">
        <f>SUMIFS(社保公积金账单!$CL:$CL,社保公积金账单!$E:$E,付款通知书!$F$11)</f>
        <v>0</v>
      </c>
      <c r="G14" s="58">
        <f>SUMIFS(社保公积金账单!$CL:$CL,社保公积金账单!$E:$E,付款通知书!$G$11)</f>
        <v>0</v>
      </c>
      <c r="I14" s="34"/>
      <c r="J14" s="35"/>
    </row>
    <row r="15" spans="1:10" ht="27.75" customHeight="1">
      <c r="A15" s="40" t="s">
        <v>559</v>
      </c>
      <c r="B15" s="41"/>
      <c r="C15" s="41"/>
      <c r="D15" s="59">
        <f>社保公积金账单!CJ40+社保公积金账单!CK40</f>
        <v>12808</v>
      </c>
      <c r="E15" s="94">
        <f>SUMIFS(社保公积金账单!$CM:$CM,社保公积金账单!$E:$E,$E$11)</f>
        <v>12424</v>
      </c>
      <c r="F15" s="41">
        <f>SUMIFS(社保公积金账单!$CM:$CM,社保公积金账单!$E:$E,$F$11)</f>
        <v>0</v>
      </c>
      <c r="G15" s="42">
        <f>SUMIFS(社保公积金账单!$CM:$CM,社保公积金账单!$E:$E,G11)</f>
        <v>0</v>
      </c>
      <c r="I15" s="34"/>
      <c r="J15" s="34"/>
    </row>
    <row r="16" spans="1:10" ht="27.75" customHeight="1">
      <c r="A16" s="40" t="s">
        <v>502</v>
      </c>
      <c r="B16" s="41"/>
      <c r="C16" s="41"/>
      <c r="D16" s="59">
        <f>ROUND((D13+D14+D15)*0.02,2)</f>
        <v>4390.3900000000003</v>
      </c>
      <c r="E16" s="95">
        <f>ROUND((E13+E14+E15)*0.02,2)</f>
        <v>4328.5200000000004</v>
      </c>
      <c r="F16" s="28">
        <f t="shared" ref="F16:G16" si="0">ROUND((F13+F14+F15)*0.02,2)</f>
        <v>0</v>
      </c>
      <c r="G16" s="59">
        <f t="shared" si="0"/>
        <v>0</v>
      </c>
      <c r="I16" s="34"/>
      <c r="J16" s="34"/>
    </row>
    <row r="17" spans="1:10" ht="27.75" customHeight="1">
      <c r="A17" s="40" t="s">
        <v>560</v>
      </c>
      <c r="B17" s="41"/>
      <c r="C17" s="41"/>
      <c r="D17" s="59">
        <f>社保公积金账单!G40</f>
        <v>649.11</v>
      </c>
      <c r="E17" s="94">
        <f>SUMIFS(社保公积金账单!$G:$G,社保公积金账单!$E:$E,付款通知书!$E$11)</f>
        <v>629.44000000000005</v>
      </c>
      <c r="F17" s="41">
        <f>SUMIFS(社保公积金账单!$G:$G,社保公积金账单!$E:$E,付款通知书!$F$11)</f>
        <v>0</v>
      </c>
      <c r="G17" s="58">
        <f>SUMIFS(社保公积金账单!$G:$G,社保公积金账单!$E:$E,付款通知书!$G$11)</f>
        <v>0</v>
      </c>
      <c r="I17" s="34"/>
      <c r="J17" s="34"/>
    </row>
    <row r="18" spans="1:10" ht="27.75" customHeight="1" thickBot="1">
      <c r="A18" s="56" t="s">
        <v>12</v>
      </c>
      <c r="B18" s="45"/>
      <c r="C18" s="45"/>
      <c r="D18" s="60">
        <f>ROUND(SUM(D13:D17)*6.78%,2)</f>
        <v>15225.11</v>
      </c>
      <c r="E18" s="96">
        <f>ROUND(SUM(E13:E17)*6.78%,2)</f>
        <v>15009.84</v>
      </c>
      <c r="F18" s="29">
        <f t="shared" ref="F18:G18" si="1">ROUND(SUM(F13:F17)*6.78%,2)</f>
        <v>0</v>
      </c>
      <c r="G18" s="60">
        <f t="shared" si="1"/>
        <v>0</v>
      </c>
      <c r="I18" s="5"/>
      <c r="J18" s="5"/>
    </row>
    <row r="19" spans="1:10" ht="27.75" customHeight="1">
      <c r="A19" s="43" t="s">
        <v>13</v>
      </c>
      <c r="B19" s="23"/>
      <c r="C19" s="23"/>
      <c r="D19" s="55">
        <f>ROUND(D13+D14+D15+D16+D17+D18,2)</f>
        <v>239784.22</v>
      </c>
      <c r="E19" s="23">
        <f>ROUND(E13+E14+E15+E16+E17+E18,2)</f>
        <v>236393.94</v>
      </c>
      <c r="F19" s="23">
        <f t="shared" ref="F19:G19" si="2">ROUND(F13+F14+F15+F16+F17+F18,2)</f>
        <v>0</v>
      </c>
      <c r="G19" s="55">
        <f t="shared" si="2"/>
        <v>0</v>
      </c>
      <c r="I19" s="247"/>
    </row>
    <row r="20" spans="1:10" ht="27.75" customHeight="1" thickBot="1">
      <c r="A20" s="44" t="s">
        <v>14</v>
      </c>
      <c r="B20" s="45"/>
      <c r="C20" s="45"/>
      <c r="D20" s="64">
        <f>D19</f>
        <v>239784.22</v>
      </c>
      <c r="E20" s="46"/>
      <c r="F20" s="46"/>
      <c r="G20" s="47"/>
    </row>
    <row r="21" spans="1:10" ht="27.75" hidden="1" customHeight="1">
      <c r="A21" s="40"/>
      <c r="B21" s="41"/>
      <c r="C21" s="48"/>
      <c r="D21" s="23">
        <f>D20/1.06</f>
        <v>226211.52830188678</v>
      </c>
      <c r="E21" s="48"/>
      <c r="F21" s="48"/>
      <c r="G21" s="42"/>
    </row>
    <row r="22" spans="1:10" ht="27.75" hidden="1" customHeight="1">
      <c r="A22" s="40"/>
      <c r="B22" s="41"/>
      <c r="C22" s="48"/>
      <c r="D22" s="48">
        <f>D20/1.06</f>
        <v>226211.52830188678</v>
      </c>
      <c r="E22" s="48"/>
      <c r="F22" s="48"/>
      <c r="G22" s="42"/>
    </row>
    <row r="23" spans="1:10" ht="27.75" hidden="1" customHeight="1">
      <c r="A23" s="26"/>
      <c r="B23" s="27"/>
      <c r="C23" s="19"/>
      <c r="D23" s="19">
        <f>ROUND(D20/1.06,2)</f>
        <v>226211.53</v>
      </c>
      <c r="E23" s="19"/>
      <c r="F23" s="19"/>
      <c r="G23" s="36"/>
    </row>
    <row r="24" spans="1:10" ht="27.75" customHeight="1" thickBot="1">
      <c r="A24" s="24" t="s">
        <v>15</v>
      </c>
      <c r="B24" s="31" t="str">
        <f>IF(D20&lt;=0,,"人民币"&amp;IF(INT(D20)=0,,TEXT(INT(D20),"[dbnum2]")&amp;"圆")&amp;IF(INT(D20*10)-INT(D20)*10=0,IF(INT(D20)*(INT(D20*100)-INT(D20*10)*10)=0,"","零"),TEXT(INT(D20*10)-INT(D20)*10,"[dbnum2]")&amp;"角")&amp;IF((INT(D20*100)-INT(D20*10)*10)=0,"整",TEXT((INT(D20*100)-INT(D20*10)*10),"[dbnum2]")&amp;"分"))</f>
        <v>人民币贰拾叁万玖仟柒佰捌拾肆圆贰角贰分</v>
      </c>
      <c r="C24" s="30"/>
      <c r="D24" s="64"/>
      <c r="E24" s="30">
        <f>E19/1.06</f>
        <v>223013.15094339621</v>
      </c>
      <c r="F24" s="30">
        <f>F19/1.06</f>
        <v>0</v>
      </c>
      <c r="G24" s="33">
        <f>G19/1.06</f>
        <v>0</v>
      </c>
    </row>
    <row r="25" spans="1:10" ht="3.75" customHeight="1">
      <c r="A25" s="19"/>
      <c r="B25" s="19"/>
      <c r="C25" s="19"/>
      <c r="D25" s="19">
        <f>D20/1.06</f>
        <v>226211.52830188678</v>
      </c>
      <c r="E25" s="19"/>
      <c r="F25" s="19"/>
      <c r="G25" s="19"/>
    </row>
    <row r="26" spans="1:10" ht="20.25" customHeight="1">
      <c r="A26" s="19" t="s">
        <v>499</v>
      </c>
      <c r="B26" s="19"/>
      <c r="C26" s="19"/>
      <c r="D26" s="48">
        <f>D19/1.06</f>
        <v>226211.52830188678</v>
      </c>
      <c r="E26" s="19"/>
      <c r="F26" s="19"/>
      <c r="G26" s="19"/>
    </row>
    <row r="27" spans="1:10" ht="20.25" customHeight="1">
      <c r="A27" s="19" t="s">
        <v>440</v>
      </c>
      <c r="B27" s="19"/>
      <c r="C27" s="19"/>
      <c r="D27" s="19"/>
      <c r="E27" s="19"/>
      <c r="F27" s="19"/>
      <c r="G27" s="19"/>
    </row>
    <row r="28" spans="1:10" ht="20.25" customHeight="1">
      <c r="A28" s="19" t="s">
        <v>441</v>
      </c>
      <c r="B28" s="19"/>
      <c r="C28" s="19"/>
      <c r="D28" s="19"/>
      <c r="E28" s="19"/>
      <c r="F28" s="19"/>
      <c r="G28" s="19"/>
    </row>
    <row r="29" spans="1:10" ht="15">
      <c r="A29" s="32"/>
      <c r="B29" s="32"/>
      <c r="C29" s="32"/>
      <c r="D29" s="32"/>
      <c r="E29" s="32"/>
      <c r="F29" s="32"/>
      <c r="G29" s="32"/>
    </row>
  </sheetData>
  <mergeCells count="5">
    <mergeCell ref="A2:G2"/>
    <mergeCell ref="A3:G3"/>
    <mergeCell ref="A4:G4"/>
    <mergeCell ref="A5:G5"/>
    <mergeCell ref="A6:G6"/>
  </mergeCells>
  <phoneticPr fontId="23" type="noConversion"/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2:BS50"/>
  <sheetViews>
    <sheetView zoomScale="89" zoomScaleNormal="89" workbookViewId="0">
      <pane xSplit="7" ySplit="7" topLeftCell="H11" activePane="bottomRight" state="frozen"/>
      <selection pane="topRight"/>
      <selection pane="bottomLeft"/>
      <selection pane="bottomRight" activeCell="J13" sqref="J13"/>
    </sheetView>
  </sheetViews>
  <sheetFormatPr defaultColWidth="9" defaultRowHeight="15"/>
  <cols>
    <col min="1" max="5" width="9" style="32"/>
    <col min="6" max="6" width="10" style="32" customWidth="1"/>
    <col min="7" max="7" width="9" style="109"/>
    <col min="8" max="8" width="22.44140625" style="32" customWidth="1"/>
    <col min="9" max="9" width="16.44140625" style="32" customWidth="1"/>
    <col min="10" max="10" width="17" style="32" customWidth="1"/>
    <col min="11" max="11" width="14.33203125" style="32" customWidth="1"/>
    <col min="12" max="13" width="13.44140625" style="32" customWidth="1"/>
    <col min="14" max="14" width="20" style="32" customWidth="1"/>
    <col min="15" max="16" width="12.21875" style="32" customWidth="1"/>
    <col min="17" max="17" width="13.44140625" style="32" customWidth="1"/>
    <col min="18" max="24" width="9" style="32" customWidth="1"/>
    <col min="25" max="25" width="13.88671875" style="32" customWidth="1"/>
    <col min="26" max="27" width="9" style="32" customWidth="1"/>
    <col min="28" max="30" width="10.77734375" style="32" customWidth="1"/>
    <col min="31" max="31" width="14.109375" style="32" customWidth="1"/>
    <col min="32" max="33" width="13.109375" style="32" customWidth="1"/>
    <col min="34" max="46" width="9" style="32" customWidth="1"/>
    <col min="47" max="47" width="10.6640625" style="32" customWidth="1"/>
    <col min="48" max="48" width="12.88671875" style="32" customWidth="1"/>
    <col min="49" max="49" width="13.88671875" style="32" customWidth="1"/>
    <col min="50" max="50" width="17.44140625" style="32" customWidth="1"/>
    <col min="51" max="51" width="15.88671875" style="32" customWidth="1"/>
    <col min="52" max="52" width="13.44140625" style="110" customWidth="1"/>
    <col min="53" max="53" width="15" style="110" customWidth="1"/>
    <col min="54" max="54" width="11.77734375" style="32" customWidth="1"/>
    <col min="55" max="55" width="17.33203125" style="32" customWidth="1"/>
    <col min="56" max="56" width="13" style="32" customWidth="1"/>
    <col min="57" max="57" width="14.109375" style="32" customWidth="1"/>
    <col min="58" max="58" width="14.88671875" style="32" hidden="1" customWidth="1"/>
    <col min="59" max="59" width="13.33203125" style="32" hidden="1" customWidth="1"/>
    <col min="60" max="61" width="11.44140625" style="32" hidden="1" customWidth="1"/>
    <col min="62" max="62" width="11.77734375" style="32" hidden="1" customWidth="1"/>
    <col min="63" max="63" width="11.77734375" style="32" customWidth="1"/>
    <col min="64" max="64" width="11.77734375" style="32" hidden="1" customWidth="1"/>
    <col min="65" max="65" width="13.44140625" style="32" customWidth="1"/>
    <col min="66" max="66" width="13.88671875" style="32" customWidth="1"/>
    <col min="67" max="67" width="12.77734375" style="32" customWidth="1"/>
    <col min="68" max="68" width="10.44140625" style="50" customWidth="1"/>
    <col min="69" max="69" width="9" style="32"/>
    <col min="70" max="70" width="20.6640625" style="32" customWidth="1"/>
    <col min="71" max="16384" width="9" style="32"/>
  </cols>
  <sheetData>
    <row r="2" spans="1:71" s="104" customFormat="1" ht="24.75" customHeight="1">
      <c r="A2" s="103"/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AP2" s="105"/>
      <c r="AT2" s="103"/>
      <c r="AU2" s="103"/>
      <c r="AV2" s="103"/>
      <c r="AW2" s="103"/>
      <c r="AX2" s="103"/>
      <c r="AY2" s="103"/>
      <c r="AZ2" s="106"/>
      <c r="BA2" s="106"/>
      <c r="BB2" s="103"/>
      <c r="BC2" s="103"/>
      <c r="BD2" s="103"/>
      <c r="BE2" s="103"/>
      <c r="BF2" s="103"/>
      <c r="BG2" s="103"/>
      <c r="BH2" s="103"/>
      <c r="BI2" s="103"/>
      <c r="BJ2" s="103"/>
      <c r="BK2" s="103"/>
      <c r="BL2" s="103"/>
      <c r="BM2" s="103"/>
      <c r="BN2" s="103"/>
      <c r="BO2" s="103"/>
      <c r="BP2" s="107"/>
    </row>
    <row r="3" spans="1:71" ht="15.6">
      <c r="B3" s="108"/>
    </row>
    <row r="4" spans="1:71" ht="18" customHeight="1">
      <c r="A4" s="187" t="s">
        <v>16</v>
      </c>
      <c r="B4" s="187" t="s">
        <v>17</v>
      </c>
      <c r="C4" s="187" t="s">
        <v>18</v>
      </c>
      <c r="D4" s="187" t="s">
        <v>19</v>
      </c>
      <c r="E4" s="187" t="s">
        <v>20</v>
      </c>
      <c r="F4" s="187" t="s">
        <v>21</v>
      </c>
      <c r="G4" s="187" t="s">
        <v>22</v>
      </c>
      <c r="H4" s="187" t="s">
        <v>23</v>
      </c>
      <c r="I4" s="187" t="s">
        <v>24</v>
      </c>
      <c r="J4" s="187" t="s">
        <v>25</v>
      </c>
      <c r="K4" s="187" t="s">
        <v>26</v>
      </c>
      <c r="L4" s="187" t="s">
        <v>27</v>
      </c>
      <c r="M4" s="187" t="s">
        <v>28</v>
      </c>
      <c r="N4" s="187" t="s">
        <v>29</v>
      </c>
      <c r="O4" s="187" t="s">
        <v>30</v>
      </c>
      <c r="P4" s="187" t="s">
        <v>500</v>
      </c>
      <c r="Q4" s="191" t="s">
        <v>31</v>
      </c>
      <c r="R4" s="192"/>
      <c r="S4" s="192"/>
      <c r="T4" s="192"/>
      <c r="U4" s="192"/>
      <c r="V4" s="192"/>
      <c r="W4" s="192"/>
      <c r="X4" s="192"/>
      <c r="Y4" s="192"/>
      <c r="Z4" s="192"/>
      <c r="AA4" s="193"/>
      <c r="AB4" s="191" t="s">
        <v>32</v>
      </c>
      <c r="AC4" s="192"/>
      <c r="AD4" s="192"/>
      <c r="AE4" s="192"/>
      <c r="AF4" s="192"/>
      <c r="AG4" s="192"/>
      <c r="AH4" s="193"/>
      <c r="AI4" s="191" t="s">
        <v>33</v>
      </c>
      <c r="AJ4" s="192"/>
      <c r="AK4" s="193"/>
      <c r="AL4" s="191" t="s">
        <v>34</v>
      </c>
      <c r="AM4" s="192"/>
      <c r="AN4" s="192"/>
      <c r="AO4" s="192"/>
      <c r="AP4" s="193"/>
      <c r="AQ4" s="191" t="s">
        <v>35</v>
      </c>
      <c r="AR4" s="192"/>
      <c r="AS4" s="193"/>
      <c r="AT4" s="187" t="s">
        <v>36</v>
      </c>
      <c r="AU4" s="187" t="s">
        <v>37</v>
      </c>
      <c r="AV4" s="187" t="s">
        <v>38</v>
      </c>
      <c r="AW4" s="189" t="s">
        <v>39</v>
      </c>
      <c r="AX4" s="187" t="s">
        <v>40</v>
      </c>
      <c r="AY4" s="187" t="s">
        <v>41</v>
      </c>
      <c r="AZ4" s="194" t="s">
        <v>42</v>
      </c>
      <c r="BA4" s="194" t="s">
        <v>43</v>
      </c>
      <c r="BB4" s="187" t="s">
        <v>44</v>
      </c>
      <c r="BC4" s="187" t="s">
        <v>433</v>
      </c>
      <c r="BD4" s="187" t="s">
        <v>45</v>
      </c>
      <c r="BE4" s="189" t="s">
        <v>46</v>
      </c>
      <c r="BF4" s="196" t="s">
        <v>47</v>
      </c>
      <c r="BG4" s="198" t="s">
        <v>48</v>
      </c>
      <c r="BH4" s="187" t="s">
        <v>49</v>
      </c>
      <c r="BI4" s="187" t="s">
        <v>50</v>
      </c>
      <c r="BJ4" s="196" t="s">
        <v>51</v>
      </c>
      <c r="BK4" s="189" t="s">
        <v>52</v>
      </c>
      <c r="BL4" s="198" t="s">
        <v>53</v>
      </c>
      <c r="BM4" s="189" t="s">
        <v>54</v>
      </c>
      <c r="BN4" s="189" t="s">
        <v>410</v>
      </c>
      <c r="BO4" s="200" t="s">
        <v>55</v>
      </c>
    </row>
    <row r="5" spans="1:71" ht="30">
      <c r="A5" s="188"/>
      <c r="B5" s="188"/>
      <c r="C5" s="188"/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65" t="s">
        <v>31</v>
      </c>
      <c r="R5" s="65" t="s">
        <v>56</v>
      </c>
      <c r="S5" s="65" t="s">
        <v>57</v>
      </c>
      <c r="T5" s="65" t="s">
        <v>58</v>
      </c>
      <c r="U5" s="65" t="s">
        <v>59</v>
      </c>
      <c r="V5" s="65" t="s">
        <v>60</v>
      </c>
      <c r="W5" s="65" t="s">
        <v>61</v>
      </c>
      <c r="X5" s="65" t="s">
        <v>62</v>
      </c>
      <c r="Y5" s="65" t="s">
        <v>63</v>
      </c>
      <c r="Z5" s="65" t="s">
        <v>64</v>
      </c>
      <c r="AA5" s="65" t="s">
        <v>65</v>
      </c>
      <c r="AB5" s="65" t="s">
        <v>66</v>
      </c>
      <c r="AC5" s="65" t="s">
        <v>67</v>
      </c>
      <c r="AD5" s="65" t="s">
        <v>68</v>
      </c>
      <c r="AE5" s="65" t="s">
        <v>69</v>
      </c>
      <c r="AF5" s="65" t="s">
        <v>490</v>
      </c>
      <c r="AG5" s="65" t="s">
        <v>506</v>
      </c>
      <c r="AH5" s="65" t="s">
        <v>70</v>
      </c>
      <c r="AI5" s="65" t="s">
        <v>71</v>
      </c>
      <c r="AJ5" s="65" t="s">
        <v>72</v>
      </c>
      <c r="AK5" s="65" t="s">
        <v>73</v>
      </c>
      <c r="AL5" s="65" t="s">
        <v>74</v>
      </c>
      <c r="AM5" s="65" t="s">
        <v>75</v>
      </c>
      <c r="AN5" s="65" t="s">
        <v>76</v>
      </c>
      <c r="AO5" s="65" t="s">
        <v>77</v>
      </c>
      <c r="AP5" s="65" t="s">
        <v>78</v>
      </c>
      <c r="AQ5" s="65" t="s">
        <v>79</v>
      </c>
      <c r="AR5" s="65" t="s">
        <v>80</v>
      </c>
      <c r="AS5" s="65" t="s">
        <v>81</v>
      </c>
      <c r="AT5" s="188"/>
      <c r="AU5" s="188"/>
      <c r="AV5" s="188"/>
      <c r="AW5" s="190"/>
      <c r="AX5" s="188"/>
      <c r="AY5" s="188"/>
      <c r="AZ5" s="195"/>
      <c r="BA5" s="195"/>
      <c r="BB5" s="188"/>
      <c r="BC5" s="188"/>
      <c r="BD5" s="188"/>
      <c r="BE5" s="190"/>
      <c r="BF5" s="197"/>
      <c r="BG5" s="199"/>
      <c r="BH5" s="188" t="s">
        <v>49</v>
      </c>
      <c r="BI5" s="188"/>
      <c r="BJ5" s="197"/>
      <c r="BK5" s="190"/>
      <c r="BL5" s="199"/>
      <c r="BM5" s="190"/>
      <c r="BN5" s="190"/>
      <c r="BO5" s="201"/>
    </row>
    <row r="6" spans="1:71" ht="24.9" customHeight="1">
      <c r="A6" s="66">
        <v>1</v>
      </c>
      <c r="B6" s="67" t="s">
        <v>82</v>
      </c>
      <c r="C6" s="67" t="s">
        <v>387</v>
      </c>
      <c r="D6" s="67" t="s">
        <v>84</v>
      </c>
      <c r="E6" s="67" t="s">
        <v>84</v>
      </c>
      <c r="F6" s="67" t="s">
        <v>388</v>
      </c>
      <c r="G6" s="67" t="s">
        <v>85</v>
      </c>
      <c r="H6" s="67" t="s">
        <v>86</v>
      </c>
      <c r="I6" s="68" t="s">
        <v>389</v>
      </c>
      <c r="J6" s="67" t="s">
        <v>7</v>
      </c>
      <c r="K6" s="67" t="s">
        <v>87</v>
      </c>
      <c r="L6" s="67" t="s">
        <v>487</v>
      </c>
      <c r="M6" s="68">
        <v>238976848</v>
      </c>
      <c r="N6" s="68" t="s">
        <v>88</v>
      </c>
      <c r="O6" s="69">
        <v>43539</v>
      </c>
      <c r="P6" s="69" t="s">
        <v>390</v>
      </c>
      <c r="Q6" s="70">
        <v>2690</v>
      </c>
      <c r="R6" s="70">
        <v>6</v>
      </c>
      <c r="S6" s="71">
        <v>0</v>
      </c>
      <c r="T6" s="71">
        <v>15</v>
      </c>
      <c r="U6" s="71">
        <v>15</v>
      </c>
      <c r="V6" s="71">
        <v>0</v>
      </c>
      <c r="W6" s="71">
        <v>0</v>
      </c>
      <c r="X6" s="71">
        <v>0</v>
      </c>
      <c r="Y6" s="70">
        <v>2690</v>
      </c>
      <c r="Z6" s="70">
        <v>0</v>
      </c>
      <c r="AA6" s="70">
        <v>0</v>
      </c>
      <c r="AB6" s="71">
        <v>172.39000000000001</v>
      </c>
      <c r="AC6" s="71">
        <v>245.83333333333326</v>
      </c>
      <c r="AD6" s="72">
        <v>1.4260301254906504</v>
      </c>
      <c r="AE6" s="71">
        <v>1761.583333333333</v>
      </c>
      <c r="AF6" s="71">
        <v>0</v>
      </c>
      <c r="AG6" s="71">
        <v>235.74999999999997</v>
      </c>
      <c r="AH6" s="70">
        <v>1525.833333333333</v>
      </c>
      <c r="AI6" s="70">
        <v>0</v>
      </c>
      <c r="AJ6" s="70">
        <v>80</v>
      </c>
      <c r="AK6" s="70">
        <v>80</v>
      </c>
      <c r="AL6" s="70">
        <v>0</v>
      </c>
      <c r="AM6" s="70">
        <v>150</v>
      </c>
      <c r="AN6" s="15"/>
      <c r="AO6" s="16"/>
      <c r="AP6" s="16"/>
      <c r="AQ6" s="17">
        <v>0</v>
      </c>
      <c r="AR6" s="73"/>
      <c r="AS6" s="74"/>
      <c r="AT6" s="74"/>
      <c r="AU6" s="70"/>
      <c r="AV6" s="70"/>
      <c r="AW6" s="75">
        <v>4445.83</v>
      </c>
      <c r="AX6" s="76">
        <v>2740</v>
      </c>
      <c r="AY6" s="70" t="s">
        <v>470</v>
      </c>
      <c r="AZ6" s="98">
        <v>783.3</v>
      </c>
      <c r="BA6" s="98">
        <v>188</v>
      </c>
      <c r="BB6" s="77">
        <v>0</v>
      </c>
      <c r="BC6" s="78">
        <f>ROUND(AW6-AZ6-BA6+BB6-AA6-AK6-AT6-AM6,2)</f>
        <v>3244.53</v>
      </c>
      <c r="BD6" s="78">
        <f>ROUND(IF(T6=U6,IF((BC6-BB6)&lt;AX6,AX6-(BC6-BB6),0)),2)</f>
        <v>0</v>
      </c>
      <c r="BE6" s="79">
        <f t="shared" ref="BE6:BE39" si="0">ROUND(AW6-AZ6-BA6+BB6+BD6,2)</f>
        <v>3474.53</v>
      </c>
      <c r="BF6" s="80">
        <v>-13371.5</v>
      </c>
      <c r="BG6" s="80">
        <v>0</v>
      </c>
      <c r="BH6" s="80">
        <v>14000</v>
      </c>
      <c r="BI6" s="80">
        <v>10500</v>
      </c>
      <c r="BJ6" s="81">
        <f>ROUND(BF6+BE6-5000-(BH6-BI6),2)</f>
        <v>-18396.97</v>
      </c>
      <c r="BK6" s="82">
        <f>ROUND(MAX(BJ6*{0.03,0.1,0.2,0.25,0.3,0.35,0.45}-{0,2520,16920,31920,52920,85920,181920}-BG6,0),2)</f>
        <v>0</v>
      </c>
      <c r="BL6" s="81">
        <f>BG6+BK6</f>
        <v>0</v>
      </c>
      <c r="BM6" s="83">
        <f>ROUND(BE6-BK6,2)</f>
        <v>3474.53</v>
      </c>
      <c r="BN6" s="83">
        <v>0</v>
      </c>
      <c r="BO6" s="84">
        <f>BE6+BN6</f>
        <v>3474.53</v>
      </c>
      <c r="BP6" s="50">
        <f>AZ6+BA6</f>
        <v>971.3</v>
      </c>
      <c r="BQ6" s="32">
        <f t="shared" ref="BQ6:BQ39" si="1">AS6+AU6</f>
        <v>0</v>
      </c>
      <c r="BR6" s="32" t="str">
        <f>VLOOKUP(H6,社保公积金账单!D:D,1,0)</f>
        <v>340826197611081813</v>
      </c>
      <c r="BS6" s="32">
        <f>T6-U6</f>
        <v>0</v>
      </c>
    </row>
    <row r="7" spans="1:71" ht="24.9" customHeight="1">
      <c r="A7" s="66">
        <v>2</v>
      </c>
      <c r="B7" s="67" t="s">
        <v>82</v>
      </c>
      <c r="C7" s="67" t="s">
        <v>387</v>
      </c>
      <c r="D7" s="67" t="s">
        <v>84</v>
      </c>
      <c r="E7" s="67" t="s">
        <v>84</v>
      </c>
      <c r="F7" s="67" t="s">
        <v>388</v>
      </c>
      <c r="G7" s="67" t="s">
        <v>480</v>
      </c>
      <c r="H7" s="67" t="s">
        <v>481</v>
      </c>
      <c r="I7" s="68" t="s">
        <v>482</v>
      </c>
      <c r="J7" s="67" t="s">
        <v>7</v>
      </c>
      <c r="K7" s="67" t="s">
        <v>87</v>
      </c>
      <c r="L7" s="67" t="s">
        <v>487</v>
      </c>
      <c r="M7" s="68">
        <v>238976840</v>
      </c>
      <c r="N7" s="68" t="s">
        <v>89</v>
      </c>
      <c r="O7" s="69">
        <v>45174</v>
      </c>
      <c r="P7" s="69" t="s">
        <v>390</v>
      </c>
      <c r="Q7" s="70">
        <v>2690</v>
      </c>
      <c r="R7" s="70">
        <v>2</v>
      </c>
      <c r="S7" s="71">
        <v>0</v>
      </c>
      <c r="T7" s="71">
        <v>16</v>
      </c>
      <c r="U7" s="71">
        <v>16</v>
      </c>
      <c r="V7" s="71">
        <v>0</v>
      </c>
      <c r="W7" s="71">
        <v>0</v>
      </c>
      <c r="X7" s="71">
        <v>0</v>
      </c>
      <c r="Y7" s="70">
        <v>2690</v>
      </c>
      <c r="Z7" s="70">
        <v>0</v>
      </c>
      <c r="AA7" s="70">
        <v>0</v>
      </c>
      <c r="AB7" s="71">
        <v>301.66000000000003</v>
      </c>
      <c r="AC7" s="71">
        <v>365.77777777777783</v>
      </c>
      <c r="AD7" s="72">
        <v>1.2125498169388642</v>
      </c>
      <c r="AE7" s="71">
        <v>3026.3333333333339</v>
      </c>
      <c r="AF7" s="71">
        <v>0</v>
      </c>
      <c r="AG7" s="71">
        <v>558.54166666666663</v>
      </c>
      <c r="AH7" s="70">
        <v>1233.8958333333337</v>
      </c>
      <c r="AI7" s="70">
        <v>0</v>
      </c>
      <c r="AJ7" s="70">
        <v>80</v>
      </c>
      <c r="AK7" s="70">
        <v>80</v>
      </c>
      <c r="AL7" s="70">
        <v>0</v>
      </c>
      <c r="AM7" s="70">
        <v>160</v>
      </c>
      <c r="AN7" s="15"/>
      <c r="AO7" s="16"/>
      <c r="AP7" s="16"/>
      <c r="AQ7" s="17">
        <v>0</v>
      </c>
      <c r="AR7" s="73"/>
      <c r="AS7" s="74"/>
      <c r="AT7" s="74"/>
      <c r="AU7" s="70"/>
      <c r="AV7" s="70"/>
      <c r="AW7" s="75">
        <v>4163.8999999999996</v>
      </c>
      <c r="AX7" s="76">
        <v>2740</v>
      </c>
      <c r="AY7" s="70" t="s">
        <v>470</v>
      </c>
      <c r="AZ7" s="98">
        <v>783.3</v>
      </c>
      <c r="BA7" s="98">
        <v>188</v>
      </c>
      <c r="BB7" s="77">
        <v>0</v>
      </c>
      <c r="BC7" s="78">
        <f>ROUND(AW7-AZ7-BA7+BB7-AA7-AK7-AT7-AM7,2)</f>
        <v>2952.6</v>
      </c>
      <c r="BD7" s="78">
        <f t="shared" ref="BD7:BD39" si="2">ROUND(IF(T7=U7,IF((BC7-BB7)&lt;AX7,AX7-(BC7-BB7),0)),2)</f>
        <v>0</v>
      </c>
      <c r="BE7" s="79">
        <f t="shared" si="0"/>
        <v>3192.6</v>
      </c>
      <c r="BF7" s="80">
        <v>-4303.2700000000004</v>
      </c>
      <c r="BG7" s="80">
        <v>0</v>
      </c>
      <c r="BH7" s="80">
        <v>0</v>
      </c>
      <c r="BI7" s="80">
        <v>0</v>
      </c>
      <c r="BJ7" s="81">
        <f t="shared" ref="BJ7:BJ8" si="3">ROUND(BF7+BE7-5000-(BH7-BI7),2)</f>
        <v>-6110.67</v>
      </c>
      <c r="BK7" s="82">
        <f>ROUND(MAX(BJ7*{0.03,0.1,0.2,0.25,0.3,0.35,0.45}-{0,2520,16920,31920,52920,85920,181920}-BG7,0),2)</f>
        <v>0</v>
      </c>
      <c r="BL7" s="81">
        <f t="shared" ref="BL7:BL8" si="4">BG7+BK7</f>
        <v>0</v>
      </c>
      <c r="BM7" s="83">
        <f t="shared" ref="BM7:BM9" si="5">ROUND(BE7-BK7,2)</f>
        <v>3192.6</v>
      </c>
      <c r="BN7" s="83">
        <v>0</v>
      </c>
      <c r="BO7" s="84">
        <f t="shared" ref="BO7:BO9" si="6">BE7+BN7</f>
        <v>3192.6</v>
      </c>
      <c r="BP7" s="50">
        <f t="shared" ref="BP7:BP39" si="7">AZ7+BA7</f>
        <v>971.3</v>
      </c>
      <c r="BQ7" s="32">
        <f t="shared" si="1"/>
        <v>0</v>
      </c>
      <c r="BR7" s="32" t="str">
        <f>VLOOKUP(H7,社保公积金账单!D:D,1,0)</f>
        <v>342422198208101764</v>
      </c>
      <c r="BS7" s="32">
        <f t="shared" ref="BS7:BS39" si="8">T7-U7</f>
        <v>0</v>
      </c>
    </row>
    <row r="8" spans="1:71" ht="24.9" customHeight="1">
      <c r="A8" s="66">
        <v>3</v>
      </c>
      <c r="B8" s="67" t="s">
        <v>82</v>
      </c>
      <c r="C8" s="67" t="s">
        <v>387</v>
      </c>
      <c r="D8" s="67" t="s">
        <v>84</v>
      </c>
      <c r="E8" s="67" t="s">
        <v>84</v>
      </c>
      <c r="F8" s="67" t="s">
        <v>388</v>
      </c>
      <c r="G8" s="67" t="s">
        <v>495</v>
      </c>
      <c r="H8" s="67" t="s">
        <v>496</v>
      </c>
      <c r="I8" s="68" t="s">
        <v>497</v>
      </c>
      <c r="J8" s="67" t="s">
        <v>7</v>
      </c>
      <c r="K8" s="67" t="s">
        <v>87</v>
      </c>
      <c r="L8" s="67" t="s">
        <v>487</v>
      </c>
      <c r="M8" s="68">
        <v>238976840</v>
      </c>
      <c r="N8" s="68" t="s">
        <v>89</v>
      </c>
      <c r="O8" s="69">
        <v>44386</v>
      </c>
      <c r="P8" s="69" t="s">
        <v>390</v>
      </c>
      <c r="Q8" s="70">
        <v>2690</v>
      </c>
      <c r="R8" s="70">
        <v>4</v>
      </c>
      <c r="S8" s="71">
        <v>0</v>
      </c>
      <c r="T8" s="71">
        <v>22</v>
      </c>
      <c r="U8" s="71">
        <v>22</v>
      </c>
      <c r="V8" s="71">
        <v>0</v>
      </c>
      <c r="W8" s="71">
        <v>0</v>
      </c>
      <c r="X8" s="71">
        <v>0</v>
      </c>
      <c r="Y8" s="70">
        <v>2690</v>
      </c>
      <c r="Z8" s="70">
        <v>0</v>
      </c>
      <c r="AA8" s="70">
        <v>0</v>
      </c>
      <c r="AB8" s="71">
        <v>301.66000000000003</v>
      </c>
      <c r="AC8" s="71">
        <v>365.77777777777783</v>
      </c>
      <c r="AD8" s="72">
        <v>1.2125498169388642</v>
      </c>
      <c r="AE8" s="71">
        <v>3026.3333333333339</v>
      </c>
      <c r="AF8" s="71">
        <v>0</v>
      </c>
      <c r="AG8" s="71">
        <v>558.54166666666663</v>
      </c>
      <c r="AH8" s="70">
        <v>1233.8958333333337</v>
      </c>
      <c r="AI8" s="70">
        <v>0</v>
      </c>
      <c r="AJ8" s="70">
        <v>80</v>
      </c>
      <c r="AK8" s="70">
        <v>80</v>
      </c>
      <c r="AL8" s="70">
        <v>0</v>
      </c>
      <c r="AM8" s="70">
        <v>220</v>
      </c>
      <c r="AN8" s="15"/>
      <c r="AO8" s="16"/>
      <c r="AP8" s="18"/>
      <c r="AQ8" s="17">
        <v>0</v>
      </c>
      <c r="AR8" s="73"/>
      <c r="AS8" s="74"/>
      <c r="AT8" s="74"/>
      <c r="AU8" s="70"/>
      <c r="AV8" s="70"/>
      <c r="AW8" s="75">
        <v>4223.8999999999996</v>
      </c>
      <c r="AX8" s="76">
        <v>2740</v>
      </c>
      <c r="AY8" s="70" t="s">
        <v>470</v>
      </c>
      <c r="AZ8" s="98">
        <v>783.3</v>
      </c>
      <c r="BA8" s="98">
        <v>188</v>
      </c>
      <c r="BB8" s="77">
        <v>0</v>
      </c>
      <c r="BC8" s="78">
        <f t="shared" ref="BC8:BC39" si="9">ROUND(AW8-AZ8-BA8+BB8-AA8-AK8-AT8-AM8,2)</f>
        <v>2952.6</v>
      </c>
      <c r="BD8" s="78">
        <f t="shared" si="2"/>
        <v>0</v>
      </c>
      <c r="BE8" s="79">
        <f t="shared" si="0"/>
        <v>3252.6</v>
      </c>
      <c r="BF8" s="80">
        <v>-4603.25</v>
      </c>
      <c r="BG8" s="80">
        <v>0</v>
      </c>
      <c r="BH8" s="80">
        <v>0</v>
      </c>
      <c r="BI8" s="80">
        <v>0</v>
      </c>
      <c r="BJ8" s="81">
        <f t="shared" si="3"/>
        <v>-6350.65</v>
      </c>
      <c r="BK8" s="82">
        <f>ROUND(MAX(BJ8*{0.03,0.1,0.2,0.25,0.3,0.35,0.45}-{0,2520,16920,31920,52920,85920,181920}-BG8,0),2)</f>
        <v>0</v>
      </c>
      <c r="BL8" s="81">
        <f t="shared" si="4"/>
        <v>0</v>
      </c>
      <c r="BM8" s="83">
        <f t="shared" si="5"/>
        <v>3252.6</v>
      </c>
      <c r="BN8" s="83">
        <v>0</v>
      </c>
      <c r="BO8" s="84">
        <f t="shared" si="6"/>
        <v>3252.6</v>
      </c>
      <c r="BP8" s="50">
        <f t="shared" si="7"/>
        <v>971.3</v>
      </c>
      <c r="BQ8" s="32">
        <f t="shared" si="1"/>
        <v>0</v>
      </c>
      <c r="BR8" s="32" t="str">
        <f>VLOOKUP(H8,社保公积金账单!D:D,1,0)</f>
        <v>342423197801132301</v>
      </c>
      <c r="BS8" s="32">
        <f t="shared" si="8"/>
        <v>0</v>
      </c>
    </row>
    <row r="9" spans="1:71" ht="24.9" customHeight="1">
      <c r="A9" s="66">
        <v>4</v>
      </c>
      <c r="B9" s="67" t="s">
        <v>82</v>
      </c>
      <c r="C9" s="67" t="s">
        <v>387</v>
      </c>
      <c r="D9" s="67" t="s">
        <v>84</v>
      </c>
      <c r="E9" s="67" t="s">
        <v>84</v>
      </c>
      <c r="F9" s="67" t="s">
        <v>388</v>
      </c>
      <c r="G9" s="67" t="s">
        <v>509</v>
      </c>
      <c r="H9" s="67" t="s">
        <v>510</v>
      </c>
      <c r="I9" s="68">
        <v>15000908642</v>
      </c>
      <c r="J9" s="67" t="s">
        <v>7</v>
      </c>
      <c r="K9" s="67" t="s">
        <v>87</v>
      </c>
      <c r="L9" s="67" t="s">
        <v>487</v>
      </c>
      <c r="M9" s="68">
        <v>238976842</v>
      </c>
      <c r="N9" s="68" t="s">
        <v>95</v>
      </c>
      <c r="O9" s="69">
        <v>45931</v>
      </c>
      <c r="P9" s="69" t="s">
        <v>390</v>
      </c>
      <c r="Q9" s="70">
        <v>2740</v>
      </c>
      <c r="R9" s="70">
        <v>0</v>
      </c>
      <c r="S9" s="71">
        <v>0</v>
      </c>
      <c r="T9" s="71">
        <v>16</v>
      </c>
      <c r="U9" s="71">
        <v>16</v>
      </c>
      <c r="V9" s="71">
        <v>0</v>
      </c>
      <c r="W9" s="71">
        <v>0</v>
      </c>
      <c r="X9" s="71">
        <v>0</v>
      </c>
      <c r="Y9" s="70">
        <v>2740</v>
      </c>
      <c r="Z9" s="70">
        <v>0</v>
      </c>
      <c r="AA9" s="70">
        <v>0</v>
      </c>
      <c r="AB9" s="71">
        <v>463.7299999999999</v>
      </c>
      <c r="AC9" s="71">
        <v>601.86111111111109</v>
      </c>
      <c r="AD9" s="72">
        <v>1.2978696894984392</v>
      </c>
      <c r="AE9" s="71">
        <v>4168.166666666667</v>
      </c>
      <c r="AF9" s="71">
        <v>0</v>
      </c>
      <c r="AG9" s="71">
        <v>764.375</v>
      </c>
      <c r="AH9" s="70">
        <v>1701.8958333333335</v>
      </c>
      <c r="AI9" s="70">
        <v>0</v>
      </c>
      <c r="AJ9" s="70">
        <v>80</v>
      </c>
      <c r="AK9" s="70">
        <v>80</v>
      </c>
      <c r="AL9" s="70">
        <v>0</v>
      </c>
      <c r="AM9" s="70">
        <v>160</v>
      </c>
      <c r="AN9" s="15"/>
      <c r="AO9" s="16"/>
      <c r="AP9" s="16"/>
      <c r="AQ9" s="17">
        <v>0</v>
      </c>
      <c r="AR9" s="73"/>
      <c r="AS9" s="74"/>
      <c r="AT9" s="74"/>
      <c r="AU9" s="70"/>
      <c r="AV9" s="70"/>
      <c r="AW9" s="75">
        <v>4681.8999999999996</v>
      </c>
      <c r="AX9" s="76">
        <v>2740</v>
      </c>
      <c r="AY9" s="70" t="s">
        <v>470</v>
      </c>
      <c r="AZ9" s="98">
        <v>783.3</v>
      </c>
      <c r="BA9" s="98">
        <v>192</v>
      </c>
      <c r="BB9" s="77">
        <v>0</v>
      </c>
      <c r="BC9" s="78">
        <f t="shared" si="9"/>
        <v>3466.6</v>
      </c>
      <c r="BD9" s="78">
        <f t="shared" si="2"/>
        <v>0</v>
      </c>
      <c r="BE9" s="79">
        <f t="shared" si="0"/>
        <v>3706.6</v>
      </c>
      <c r="BF9" s="80">
        <v>-1638.15</v>
      </c>
      <c r="BG9" s="80">
        <v>0</v>
      </c>
      <c r="BH9" s="80">
        <v>0</v>
      </c>
      <c r="BI9" s="80">
        <v>0</v>
      </c>
      <c r="BJ9" s="81">
        <f t="shared" ref="BJ9:BJ39" si="10">ROUND(BF9+BE9-5000-(BH9-BI9),2)</f>
        <v>-2931.55</v>
      </c>
      <c r="BK9" s="82">
        <f>ROUND(MAX(BJ9*{0.03,0.1,0.2,0.25,0.3,0.35,0.45}-{0,2520,16920,31920,52920,85920,181920}-BG9,0),2)</f>
        <v>0</v>
      </c>
      <c r="BL9" s="81">
        <f t="shared" ref="BL9:BL39" si="11">BG9+BK9</f>
        <v>0</v>
      </c>
      <c r="BM9" s="83">
        <f t="shared" si="5"/>
        <v>3706.6</v>
      </c>
      <c r="BN9" s="83">
        <v>0</v>
      </c>
      <c r="BO9" s="84">
        <f t="shared" si="6"/>
        <v>3706.6</v>
      </c>
      <c r="BP9" s="50">
        <f t="shared" si="7"/>
        <v>975.3</v>
      </c>
      <c r="BQ9" s="32">
        <f t="shared" si="1"/>
        <v>0</v>
      </c>
      <c r="BR9" s="32" t="str">
        <f>VLOOKUP(H9,社保公积金账单!D:D,1,0)</f>
        <v>342422198302204882</v>
      </c>
      <c r="BS9" s="32">
        <f t="shared" si="8"/>
        <v>0</v>
      </c>
    </row>
    <row r="10" spans="1:71" ht="24.9" customHeight="1">
      <c r="A10" s="66">
        <v>5</v>
      </c>
      <c r="B10" s="67" t="s">
        <v>82</v>
      </c>
      <c r="C10" s="67" t="s">
        <v>387</v>
      </c>
      <c r="D10" s="67" t="s">
        <v>84</v>
      </c>
      <c r="E10" s="67" t="s">
        <v>84</v>
      </c>
      <c r="F10" s="67" t="s">
        <v>388</v>
      </c>
      <c r="G10" s="67" t="s">
        <v>483</v>
      </c>
      <c r="H10" s="67" t="s">
        <v>484</v>
      </c>
      <c r="I10" s="68" t="s">
        <v>485</v>
      </c>
      <c r="J10" s="67" t="s">
        <v>7</v>
      </c>
      <c r="K10" s="67" t="s">
        <v>87</v>
      </c>
      <c r="L10" s="67" t="s">
        <v>487</v>
      </c>
      <c r="M10" s="68">
        <v>238976842</v>
      </c>
      <c r="N10" s="68" t="s">
        <v>95</v>
      </c>
      <c r="O10" s="69">
        <v>45200</v>
      </c>
      <c r="P10" s="69" t="s">
        <v>390</v>
      </c>
      <c r="Q10" s="70">
        <v>2690</v>
      </c>
      <c r="R10" s="70">
        <v>2</v>
      </c>
      <c r="S10" s="71">
        <v>0</v>
      </c>
      <c r="T10" s="71">
        <v>22</v>
      </c>
      <c r="U10" s="71">
        <v>22</v>
      </c>
      <c r="V10" s="71">
        <v>0</v>
      </c>
      <c r="W10" s="71">
        <v>0</v>
      </c>
      <c r="X10" s="71">
        <v>0</v>
      </c>
      <c r="Y10" s="70">
        <v>2690</v>
      </c>
      <c r="Z10" s="70">
        <v>0</v>
      </c>
      <c r="AA10" s="70">
        <v>0</v>
      </c>
      <c r="AB10" s="71">
        <v>463.7299999999999</v>
      </c>
      <c r="AC10" s="71">
        <v>601.86111111111109</v>
      </c>
      <c r="AD10" s="72">
        <v>1.2978696894984392</v>
      </c>
      <c r="AE10" s="71">
        <v>4168.166666666667</v>
      </c>
      <c r="AF10" s="71">
        <v>0</v>
      </c>
      <c r="AG10" s="71">
        <v>764.375</v>
      </c>
      <c r="AH10" s="70">
        <v>1701.8958333333333</v>
      </c>
      <c r="AI10" s="70">
        <v>0</v>
      </c>
      <c r="AJ10" s="70">
        <v>80</v>
      </c>
      <c r="AK10" s="70">
        <v>80</v>
      </c>
      <c r="AL10" s="70">
        <v>0</v>
      </c>
      <c r="AM10" s="70">
        <v>210</v>
      </c>
      <c r="AN10" s="15"/>
      <c r="AO10" s="16"/>
      <c r="AP10" s="18"/>
      <c r="AQ10" s="17">
        <v>0</v>
      </c>
      <c r="AR10" s="73"/>
      <c r="AS10" s="74"/>
      <c r="AT10" s="74"/>
      <c r="AU10" s="70"/>
      <c r="AV10" s="70"/>
      <c r="AW10" s="75">
        <v>4681.8999999999996</v>
      </c>
      <c r="AX10" s="76">
        <v>2740</v>
      </c>
      <c r="AY10" s="70" t="s">
        <v>470</v>
      </c>
      <c r="AZ10" s="98">
        <v>783.3</v>
      </c>
      <c r="BA10" s="98">
        <v>188</v>
      </c>
      <c r="BB10" s="77">
        <v>0</v>
      </c>
      <c r="BC10" s="78">
        <f t="shared" si="9"/>
        <v>3420.6</v>
      </c>
      <c r="BD10" s="78">
        <f t="shared" si="2"/>
        <v>0</v>
      </c>
      <c r="BE10" s="79">
        <f t="shared" si="0"/>
        <v>3710.6</v>
      </c>
      <c r="BF10" s="80">
        <v>-1457.41</v>
      </c>
      <c r="BG10" s="80">
        <v>0</v>
      </c>
      <c r="BH10" s="80">
        <v>0</v>
      </c>
      <c r="BI10" s="80">
        <v>0</v>
      </c>
      <c r="BJ10" s="81">
        <f t="shared" si="10"/>
        <v>-2746.81</v>
      </c>
      <c r="BK10" s="82">
        <f>ROUND(MAX(BJ10*{0.03,0.1,0.2,0.25,0.3,0.35,0.45}-{0,2520,16920,31920,52920,85920,181920}-BG10,0),2)</f>
        <v>0</v>
      </c>
      <c r="BL10" s="81">
        <f t="shared" si="11"/>
        <v>0</v>
      </c>
      <c r="BM10" s="83">
        <f t="shared" ref="BM10:BM39" si="12">ROUND(BE10-BK10,2)</f>
        <v>3710.6</v>
      </c>
      <c r="BN10" s="83">
        <v>0</v>
      </c>
      <c r="BO10" s="84">
        <f t="shared" ref="BO10:BO39" si="13">BE10+BN10</f>
        <v>3710.6</v>
      </c>
      <c r="BP10" s="50">
        <f t="shared" si="7"/>
        <v>971.3</v>
      </c>
      <c r="BQ10" s="32">
        <f t="shared" si="1"/>
        <v>0</v>
      </c>
      <c r="BR10" s="32" t="str">
        <f>VLOOKUP(H10,社保公积金账单!D:D,1,0)</f>
        <v>342501198810062263</v>
      </c>
      <c r="BS10" s="32">
        <f t="shared" si="8"/>
        <v>0</v>
      </c>
    </row>
    <row r="11" spans="1:71" ht="24.9" customHeight="1">
      <c r="A11" s="66">
        <v>6</v>
      </c>
      <c r="B11" s="67" t="s">
        <v>82</v>
      </c>
      <c r="C11" s="67" t="s">
        <v>387</v>
      </c>
      <c r="D11" s="67" t="s">
        <v>84</v>
      </c>
      <c r="E11" s="67" t="s">
        <v>84</v>
      </c>
      <c r="F11" s="67" t="s">
        <v>388</v>
      </c>
      <c r="G11" s="67" t="s">
        <v>422</v>
      </c>
      <c r="H11" s="67" t="s">
        <v>423</v>
      </c>
      <c r="I11" s="68" t="s">
        <v>424</v>
      </c>
      <c r="J11" s="67" t="s">
        <v>7</v>
      </c>
      <c r="K11" s="67" t="s">
        <v>87</v>
      </c>
      <c r="L11" s="67" t="s">
        <v>487</v>
      </c>
      <c r="M11" s="68">
        <v>238976846</v>
      </c>
      <c r="N11" s="68" t="s">
        <v>98</v>
      </c>
      <c r="O11" s="69">
        <v>44568</v>
      </c>
      <c r="P11" s="69" t="s">
        <v>390</v>
      </c>
      <c r="Q11" s="70">
        <v>2690</v>
      </c>
      <c r="R11" s="70">
        <v>4</v>
      </c>
      <c r="S11" s="71">
        <v>0</v>
      </c>
      <c r="T11" s="71">
        <v>16</v>
      </c>
      <c r="U11" s="71">
        <v>16</v>
      </c>
      <c r="V11" s="71">
        <v>0</v>
      </c>
      <c r="W11" s="71">
        <v>0</v>
      </c>
      <c r="X11" s="71">
        <v>0</v>
      </c>
      <c r="Y11" s="70">
        <v>2690</v>
      </c>
      <c r="Z11" s="70">
        <v>0</v>
      </c>
      <c r="AA11" s="70">
        <v>0</v>
      </c>
      <c r="AB11" s="71">
        <v>228.73999999999998</v>
      </c>
      <c r="AC11" s="71">
        <v>364.55555555555549</v>
      </c>
      <c r="AD11" s="72">
        <v>1.5937551611242262</v>
      </c>
      <c r="AE11" s="71">
        <v>2338.6666666666665</v>
      </c>
      <c r="AF11" s="71">
        <v>382.125</v>
      </c>
      <c r="AG11" s="71">
        <v>391.66666666666674</v>
      </c>
      <c r="AH11" s="70">
        <v>782.43749999999989</v>
      </c>
      <c r="AI11" s="70">
        <v>0</v>
      </c>
      <c r="AJ11" s="70">
        <v>80</v>
      </c>
      <c r="AK11" s="70">
        <v>80</v>
      </c>
      <c r="AL11" s="70">
        <v>0</v>
      </c>
      <c r="AM11" s="70">
        <v>160</v>
      </c>
      <c r="AN11" s="15"/>
      <c r="AO11" s="16"/>
      <c r="AP11" s="16"/>
      <c r="AQ11" s="17">
        <v>0</v>
      </c>
      <c r="AR11" s="73"/>
      <c r="AS11" s="74"/>
      <c r="AT11" s="74"/>
      <c r="AU11" s="70"/>
      <c r="AV11" s="70"/>
      <c r="AW11" s="75">
        <v>3712.44</v>
      </c>
      <c r="AX11" s="76">
        <v>2740</v>
      </c>
      <c r="AY11" s="70" t="s">
        <v>470</v>
      </c>
      <c r="AZ11" s="98">
        <v>783.3</v>
      </c>
      <c r="BA11" s="98">
        <v>188</v>
      </c>
      <c r="BB11" s="77">
        <v>0</v>
      </c>
      <c r="BC11" s="78">
        <f t="shared" si="9"/>
        <v>2501.14</v>
      </c>
      <c r="BD11" s="78">
        <f t="shared" si="2"/>
        <v>238.86</v>
      </c>
      <c r="BE11" s="79">
        <f t="shared" si="0"/>
        <v>2980</v>
      </c>
      <c r="BF11" s="80">
        <v>-5107.34</v>
      </c>
      <c r="BG11" s="80">
        <v>0</v>
      </c>
      <c r="BH11" s="80">
        <v>0</v>
      </c>
      <c r="BI11" s="80">
        <v>0</v>
      </c>
      <c r="BJ11" s="81">
        <f t="shared" si="10"/>
        <v>-7127.34</v>
      </c>
      <c r="BK11" s="82">
        <f>ROUND(MAX(BJ11*{0.03,0.1,0.2,0.25,0.3,0.35,0.45}-{0,2520,16920,31920,52920,85920,181920}-BG11,0),2)</f>
        <v>0</v>
      </c>
      <c r="BL11" s="81">
        <f t="shared" si="11"/>
        <v>0</v>
      </c>
      <c r="BM11" s="83">
        <f t="shared" si="12"/>
        <v>2980</v>
      </c>
      <c r="BN11" s="83">
        <v>0</v>
      </c>
      <c r="BO11" s="84">
        <f t="shared" si="13"/>
        <v>2980</v>
      </c>
      <c r="BP11" s="50">
        <f t="shared" si="7"/>
        <v>971.3</v>
      </c>
      <c r="BQ11" s="32">
        <f t="shared" si="1"/>
        <v>0</v>
      </c>
      <c r="BR11" s="32" t="str">
        <f>VLOOKUP(H11,社保公积金账单!D:D,1,0)</f>
        <v>341226198305202763</v>
      </c>
      <c r="BS11" s="32">
        <f t="shared" si="8"/>
        <v>0</v>
      </c>
    </row>
    <row r="12" spans="1:71" ht="24.9" customHeight="1">
      <c r="A12" s="66">
        <v>7</v>
      </c>
      <c r="B12" s="67" t="s">
        <v>82</v>
      </c>
      <c r="C12" s="67" t="s">
        <v>387</v>
      </c>
      <c r="D12" s="67" t="s">
        <v>84</v>
      </c>
      <c r="E12" s="67" t="s">
        <v>84</v>
      </c>
      <c r="F12" s="67" t="s">
        <v>388</v>
      </c>
      <c r="G12" s="67" t="s">
        <v>135</v>
      </c>
      <c r="H12" s="67" t="s">
        <v>136</v>
      </c>
      <c r="I12" s="68">
        <v>13764138280</v>
      </c>
      <c r="J12" s="67" t="s">
        <v>7</v>
      </c>
      <c r="K12" s="67" t="s">
        <v>87</v>
      </c>
      <c r="L12" s="67" t="s">
        <v>487</v>
      </c>
      <c r="M12" s="68">
        <v>238976854</v>
      </c>
      <c r="N12" s="68" t="s">
        <v>98</v>
      </c>
      <c r="O12" s="69">
        <v>42736</v>
      </c>
      <c r="P12" s="69" t="s">
        <v>390</v>
      </c>
      <c r="Q12" s="70">
        <v>2690</v>
      </c>
      <c r="R12" s="70">
        <v>9</v>
      </c>
      <c r="S12" s="71">
        <v>0</v>
      </c>
      <c r="T12" s="71">
        <v>22</v>
      </c>
      <c r="U12" s="71">
        <v>22</v>
      </c>
      <c r="V12" s="71">
        <v>0</v>
      </c>
      <c r="W12" s="71">
        <v>0</v>
      </c>
      <c r="X12" s="71">
        <v>0</v>
      </c>
      <c r="Y12" s="70">
        <v>2690</v>
      </c>
      <c r="Z12" s="70">
        <v>0</v>
      </c>
      <c r="AA12" s="70">
        <v>0</v>
      </c>
      <c r="AB12" s="71">
        <v>228.73999999999998</v>
      </c>
      <c r="AC12" s="71">
        <v>364.55555555555549</v>
      </c>
      <c r="AD12" s="72">
        <v>1.5937551611242262</v>
      </c>
      <c r="AE12" s="71">
        <v>2338.6666666666665</v>
      </c>
      <c r="AF12" s="71">
        <v>382.125</v>
      </c>
      <c r="AG12" s="71">
        <v>391.66666666666674</v>
      </c>
      <c r="AH12" s="70">
        <v>782.4375</v>
      </c>
      <c r="AI12" s="70">
        <v>0</v>
      </c>
      <c r="AJ12" s="70">
        <v>80</v>
      </c>
      <c r="AK12" s="70">
        <v>80</v>
      </c>
      <c r="AL12" s="70">
        <v>0</v>
      </c>
      <c r="AM12" s="70">
        <v>220</v>
      </c>
      <c r="AN12" s="15"/>
      <c r="AO12" s="16"/>
      <c r="AP12" s="18"/>
      <c r="AQ12" s="17">
        <v>0</v>
      </c>
      <c r="AR12" s="73"/>
      <c r="AS12" s="74"/>
      <c r="AT12" s="74"/>
      <c r="AU12" s="70"/>
      <c r="AV12" s="70"/>
      <c r="AW12" s="75">
        <v>3772.44</v>
      </c>
      <c r="AX12" s="76">
        <v>2740</v>
      </c>
      <c r="AY12" s="70" t="s">
        <v>470</v>
      </c>
      <c r="AZ12" s="98">
        <v>783.3</v>
      </c>
      <c r="BA12" s="98">
        <v>188</v>
      </c>
      <c r="BB12" s="77">
        <v>0</v>
      </c>
      <c r="BC12" s="78">
        <f t="shared" si="9"/>
        <v>2501.14</v>
      </c>
      <c r="BD12" s="78">
        <f t="shared" si="2"/>
        <v>238.86</v>
      </c>
      <c r="BE12" s="79">
        <f t="shared" si="0"/>
        <v>3040</v>
      </c>
      <c r="BF12" s="80">
        <v>-4407.32</v>
      </c>
      <c r="BG12" s="80">
        <v>0</v>
      </c>
      <c r="BH12" s="80">
        <v>0</v>
      </c>
      <c r="BI12" s="80">
        <v>0</v>
      </c>
      <c r="BJ12" s="81">
        <f t="shared" si="10"/>
        <v>-6367.32</v>
      </c>
      <c r="BK12" s="82">
        <f>ROUND(MAX(BJ12*{0.03,0.1,0.2,0.25,0.3,0.35,0.45}-{0,2520,16920,31920,52920,85920,181920}-BG12,0),2)</f>
        <v>0</v>
      </c>
      <c r="BL12" s="81">
        <f t="shared" si="11"/>
        <v>0</v>
      </c>
      <c r="BM12" s="83">
        <f t="shared" si="12"/>
        <v>3040</v>
      </c>
      <c r="BN12" s="83">
        <v>0</v>
      </c>
      <c r="BO12" s="84">
        <f t="shared" si="13"/>
        <v>3040</v>
      </c>
      <c r="BP12" s="50">
        <f t="shared" si="7"/>
        <v>971.3</v>
      </c>
      <c r="BQ12" s="32">
        <f t="shared" si="1"/>
        <v>0</v>
      </c>
      <c r="BR12" s="32" t="str">
        <f>VLOOKUP(H12,社保公积金账单!D:D,1,0)</f>
        <v>320925197905205821</v>
      </c>
      <c r="BS12" s="32">
        <f t="shared" si="8"/>
        <v>0</v>
      </c>
    </row>
    <row r="13" spans="1:71" ht="24.9" customHeight="1">
      <c r="A13" s="66">
        <v>8</v>
      </c>
      <c r="B13" s="67" t="s">
        <v>82</v>
      </c>
      <c r="C13" s="67" t="s">
        <v>387</v>
      </c>
      <c r="D13" s="67" t="s">
        <v>84</v>
      </c>
      <c r="E13" s="67" t="s">
        <v>84</v>
      </c>
      <c r="F13" s="67" t="s">
        <v>388</v>
      </c>
      <c r="G13" s="67" t="s">
        <v>198</v>
      </c>
      <c r="H13" s="67" t="s">
        <v>199</v>
      </c>
      <c r="I13" s="68">
        <v>13795364351</v>
      </c>
      <c r="J13" s="67" t="s">
        <v>7</v>
      </c>
      <c r="K13" s="67" t="s">
        <v>87</v>
      </c>
      <c r="L13" s="67" t="s">
        <v>487</v>
      </c>
      <c r="M13" s="68">
        <v>238976864</v>
      </c>
      <c r="N13" s="68" t="s">
        <v>102</v>
      </c>
      <c r="O13" s="69">
        <v>43611</v>
      </c>
      <c r="P13" s="69" t="s">
        <v>390</v>
      </c>
      <c r="Q13" s="70">
        <v>2690</v>
      </c>
      <c r="R13" s="70">
        <v>6</v>
      </c>
      <c r="S13" s="71">
        <v>0</v>
      </c>
      <c r="T13" s="71">
        <v>22</v>
      </c>
      <c r="U13" s="71">
        <v>22</v>
      </c>
      <c r="V13" s="71">
        <v>0</v>
      </c>
      <c r="W13" s="71">
        <v>0</v>
      </c>
      <c r="X13" s="71">
        <v>0</v>
      </c>
      <c r="Y13" s="70">
        <v>2690</v>
      </c>
      <c r="Z13" s="70">
        <v>0</v>
      </c>
      <c r="AA13" s="70">
        <v>0</v>
      </c>
      <c r="AB13" s="71">
        <v>286.2</v>
      </c>
      <c r="AC13" s="71">
        <v>347.08333333333331</v>
      </c>
      <c r="AD13" s="72">
        <v>1.2127300256231073</v>
      </c>
      <c r="AE13" s="71">
        <v>2799.6666666666661</v>
      </c>
      <c r="AF13" s="71">
        <v>0</v>
      </c>
      <c r="AG13" s="71">
        <v>529.20833333333337</v>
      </c>
      <c r="AH13" s="70">
        <v>1135.2291666666663</v>
      </c>
      <c r="AI13" s="70">
        <v>0</v>
      </c>
      <c r="AJ13" s="70">
        <v>80</v>
      </c>
      <c r="AK13" s="70">
        <v>80</v>
      </c>
      <c r="AL13" s="70">
        <v>0</v>
      </c>
      <c r="AM13" s="70">
        <v>220</v>
      </c>
      <c r="AN13" s="15"/>
      <c r="AO13" s="16"/>
      <c r="AP13" s="16"/>
      <c r="AQ13" s="17">
        <v>0</v>
      </c>
      <c r="AR13" s="73"/>
      <c r="AS13" s="74"/>
      <c r="AT13" s="74"/>
      <c r="AU13" s="70"/>
      <c r="AV13" s="70"/>
      <c r="AW13" s="75">
        <v>4125.2299999999996</v>
      </c>
      <c r="AX13" s="76">
        <v>2740</v>
      </c>
      <c r="AY13" s="70" t="s">
        <v>470</v>
      </c>
      <c r="AZ13" s="98">
        <v>783.3</v>
      </c>
      <c r="BA13" s="98">
        <v>188</v>
      </c>
      <c r="BB13" s="77">
        <v>0</v>
      </c>
      <c r="BC13" s="78">
        <f t="shared" si="9"/>
        <v>2853.93</v>
      </c>
      <c r="BD13" s="78">
        <f t="shared" si="2"/>
        <v>0</v>
      </c>
      <c r="BE13" s="79">
        <f t="shared" si="0"/>
        <v>3153.93</v>
      </c>
      <c r="BF13" s="80">
        <v>-4474.8999999999996</v>
      </c>
      <c r="BG13" s="80">
        <v>0</v>
      </c>
      <c r="BH13" s="80">
        <v>0</v>
      </c>
      <c r="BI13" s="80">
        <v>0</v>
      </c>
      <c r="BJ13" s="81">
        <f t="shared" si="10"/>
        <v>-6320.97</v>
      </c>
      <c r="BK13" s="82">
        <f>ROUND(MAX(BJ13*{0.03,0.1,0.2,0.25,0.3,0.35,0.45}-{0,2520,16920,31920,52920,85920,181920}-BG13,0),2)</f>
        <v>0</v>
      </c>
      <c r="BL13" s="81">
        <f t="shared" si="11"/>
        <v>0</v>
      </c>
      <c r="BM13" s="83">
        <f t="shared" si="12"/>
        <v>3153.93</v>
      </c>
      <c r="BN13" s="83">
        <v>0</v>
      </c>
      <c r="BO13" s="84">
        <f t="shared" si="13"/>
        <v>3153.93</v>
      </c>
      <c r="BP13" s="50">
        <f t="shared" si="7"/>
        <v>971.3</v>
      </c>
      <c r="BQ13" s="32">
        <f t="shared" si="1"/>
        <v>0</v>
      </c>
      <c r="BR13" s="32" t="str">
        <f>VLOOKUP(H13,社保公积金账单!D:D,1,0)</f>
        <v>310230198305175169</v>
      </c>
      <c r="BS13" s="32">
        <f t="shared" si="8"/>
        <v>0</v>
      </c>
    </row>
    <row r="14" spans="1:71" ht="24.9" customHeight="1">
      <c r="A14" s="66">
        <v>9</v>
      </c>
      <c r="B14" s="67" t="s">
        <v>82</v>
      </c>
      <c r="C14" s="67" t="s">
        <v>387</v>
      </c>
      <c r="D14" s="67" t="s">
        <v>84</v>
      </c>
      <c r="E14" s="67" t="s">
        <v>84</v>
      </c>
      <c r="F14" s="67" t="s">
        <v>388</v>
      </c>
      <c r="G14" s="67" t="s">
        <v>430</v>
      </c>
      <c r="H14" s="67" t="s">
        <v>431</v>
      </c>
      <c r="I14" s="68" t="s">
        <v>432</v>
      </c>
      <c r="J14" s="67" t="s">
        <v>7</v>
      </c>
      <c r="K14" s="67" t="s">
        <v>87</v>
      </c>
      <c r="L14" s="67" t="s">
        <v>487</v>
      </c>
      <c r="M14" s="68">
        <v>238976864</v>
      </c>
      <c r="N14" s="68" t="s">
        <v>102</v>
      </c>
      <c r="O14" s="69">
        <v>44721</v>
      </c>
      <c r="P14" s="69" t="s">
        <v>390</v>
      </c>
      <c r="Q14" s="70">
        <v>2690</v>
      </c>
      <c r="R14" s="70">
        <v>3</v>
      </c>
      <c r="S14" s="71">
        <v>0</v>
      </c>
      <c r="T14" s="71">
        <v>16</v>
      </c>
      <c r="U14" s="71">
        <v>16</v>
      </c>
      <c r="V14" s="71">
        <v>0</v>
      </c>
      <c r="W14" s="71">
        <v>0</v>
      </c>
      <c r="X14" s="71">
        <v>0</v>
      </c>
      <c r="Y14" s="70">
        <v>2690</v>
      </c>
      <c r="Z14" s="70">
        <v>0</v>
      </c>
      <c r="AA14" s="70">
        <v>0</v>
      </c>
      <c r="AB14" s="71">
        <v>286.2</v>
      </c>
      <c r="AC14" s="71">
        <v>347.08333333333331</v>
      </c>
      <c r="AD14" s="72">
        <v>1.2127300256231073</v>
      </c>
      <c r="AE14" s="71">
        <v>2799.6666666666661</v>
      </c>
      <c r="AF14" s="71">
        <v>0</v>
      </c>
      <c r="AG14" s="71">
        <v>529.20833333333337</v>
      </c>
      <c r="AH14" s="70">
        <v>1135.2291666666663</v>
      </c>
      <c r="AI14" s="70">
        <v>0</v>
      </c>
      <c r="AJ14" s="70">
        <v>80</v>
      </c>
      <c r="AK14" s="70">
        <v>80</v>
      </c>
      <c r="AL14" s="70">
        <v>0</v>
      </c>
      <c r="AM14" s="70">
        <v>160</v>
      </c>
      <c r="AN14" s="15"/>
      <c r="AO14" s="16"/>
      <c r="AP14" s="18"/>
      <c r="AQ14" s="17">
        <v>0</v>
      </c>
      <c r="AR14" s="73"/>
      <c r="AS14" s="74"/>
      <c r="AT14" s="74"/>
      <c r="AU14" s="70"/>
      <c r="AV14" s="70"/>
      <c r="AW14" s="75">
        <v>4065.23</v>
      </c>
      <c r="AX14" s="76">
        <v>2740</v>
      </c>
      <c r="AY14" s="70" t="s">
        <v>470</v>
      </c>
      <c r="AZ14" s="98">
        <v>783.3</v>
      </c>
      <c r="BA14" s="98">
        <v>188</v>
      </c>
      <c r="BB14" s="77">
        <v>0</v>
      </c>
      <c r="BC14" s="78">
        <f t="shared" si="9"/>
        <v>2853.93</v>
      </c>
      <c r="BD14" s="78">
        <f t="shared" si="2"/>
        <v>0</v>
      </c>
      <c r="BE14" s="79">
        <f t="shared" si="0"/>
        <v>3093.93</v>
      </c>
      <c r="BF14" s="80">
        <v>-4192.8500000000004</v>
      </c>
      <c r="BG14" s="80">
        <v>0</v>
      </c>
      <c r="BH14" s="80">
        <v>0</v>
      </c>
      <c r="BI14" s="80">
        <v>0</v>
      </c>
      <c r="BJ14" s="81">
        <f t="shared" si="10"/>
        <v>-6098.92</v>
      </c>
      <c r="BK14" s="82">
        <f>ROUND(MAX(BJ14*{0.03,0.1,0.2,0.25,0.3,0.35,0.45}-{0,2520,16920,31920,52920,85920,181920}-BG14,0),2)</f>
        <v>0</v>
      </c>
      <c r="BL14" s="81">
        <f t="shared" si="11"/>
        <v>0</v>
      </c>
      <c r="BM14" s="83">
        <f t="shared" si="12"/>
        <v>3093.93</v>
      </c>
      <c r="BN14" s="83">
        <v>0</v>
      </c>
      <c r="BO14" s="84">
        <f t="shared" si="13"/>
        <v>3093.93</v>
      </c>
      <c r="BP14" s="50">
        <f t="shared" si="7"/>
        <v>971.3</v>
      </c>
      <c r="BQ14" s="32">
        <f>AS14+AU14</f>
        <v>0</v>
      </c>
      <c r="BR14" s="32" t="str">
        <f>VLOOKUP(H14,社保公积金账单!D:D,1,0)</f>
        <v>34120319890120316X</v>
      </c>
      <c r="BS14" s="32">
        <f t="shared" si="8"/>
        <v>0</v>
      </c>
    </row>
    <row r="15" spans="1:71" ht="24.9" customHeight="1">
      <c r="A15" s="66">
        <v>10</v>
      </c>
      <c r="B15" s="67" t="s">
        <v>82</v>
      </c>
      <c r="C15" s="67" t="s">
        <v>387</v>
      </c>
      <c r="D15" s="67" t="s">
        <v>84</v>
      </c>
      <c r="E15" s="67" t="s">
        <v>84</v>
      </c>
      <c r="F15" s="67" t="s">
        <v>388</v>
      </c>
      <c r="G15" s="67" t="s">
        <v>471</v>
      </c>
      <c r="H15" s="67" t="s">
        <v>472</v>
      </c>
      <c r="I15" s="68" t="s">
        <v>476</v>
      </c>
      <c r="J15" s="67" t="s">
        <v>7</v>
      </c>
      <c r="K15" s="67" t="s">
        <v>87</v>
      </c>
      <c r="L15" s="67" t="s">
        <v>487</v>
      </c>
      <c r="M15" s="68">
        <v>238976870</v>
      </c>
      <c r="N15" s="68" t="s">
        <v>105</v>
      </c>
      <c r="O15" s="69">
        <v>44958</v>
      </c>
      <c r="P15" s="69" t="s">
        <v>390</v>
      </c>
      <c r="Q15" s="70">
        <v>2690</v>
      </c>
      <c r="R15" s="70">
        <v>3</v>
      </c>
      <c r="S15" s="71">
        <v>0</v>
      </c>
      <c r="T15" s="71">
        <v>16</v>
      </c>
      <c r="U15" s="71">
        <v>16</v>
      </c>
      <c r="V15" s="71">
        <v>0</v>
      </c>
      <c r="W15" s="71">
        <v>0</v>
      </c>
      <c r="X15" s="71">
        <v>0</v>
      </c>
      <c r="Y15" s="70">
        <v>2690</v>
      </c>
      <c r="Z15" s="70">
        <v>0</v>
      </c>
      <c r="AA15" s="70">
        <v>0</v>
      </c>
      <c r="AB15" s="71">
        <v>164.93</v>
      </c>
      <c r="AC15" s="71">
        <v>151.61111111111109</v>
      </c>
      <c r="AD15" s="72">
        <v>0.91924520166804757</v>
      </c>
      <c r="AE15" s="71">
        <v>1023.3333333333333</v>
      </c>
      <c r="AF15" s="71">
        <v>0</v>
      </c>
      <c r="AG15" s="71">
        <v>161.125</v>
      </c>
      <c r="AH15" s="70">
        <v>862.20833333333326</v>
      </c>
      <c r="AI15" s="70">
        <v>0</v>
      </c>
      <c r="AJ15" s="70">
        <v>80</v>
      </c>
      <c r="AK15" s="70">
        <v>80</v>
      </c>
      <c r="AL15" s="70">
        <v>0</v>
      </c>
      <c r="AM15" s="70">
        <v>160</v>
      </c>
      <c r="AN15" s="15"/>
      <c r="AO15" s="16"/>
      <c r="AP15" s="16"/>
      <c r="AQ15" s="17">
        <v>0</v>
      </c>
      <c r="AR15" s="73"/>
      <c r="AS15" s="74"/>
      <c r="AT15" s="74"/>
      <c r="AU15" s="70"/>
      <c r="AV15" s="70"/>
      <c r="AW15" s="75">
        <v>3792.21</v>
      </c>
      <c r="AX15" s="76">
        <v>2740</v>
      </c>
      <c r="AY15" s="70" t="s">
        <v>470</v>
      </c>
      <c r="AZ15" s="98">
        <v>783.3</v>
      </c>
      <c r="BA15" s="98">
        <v>188</v>
      </c>
      <c r="BB15" s="77">
        <v>0</v>
      </c>
      <c r="BC15" s="78">
        <f t="shared" si="9"/>
        <v>2580.91</v>
      </c>
      <c r="BD15" s="78">
        <f t="shared" si="2"/>
        <v>159.09</v>
      </c>
      <c r="BE15" s="79">
        <f t="shared" si="0"/>
        <v>2980</v>
      </c>
      <c r="BF15" s="80">
        <v>-3584.73</v>
      </c>
      <c r="BG15" s="80">
        <v>0</v>
      </c>
      <c r="BH15" s="80">
        <v>0</v>
      </c>
      <c r="BI15" s="80">
        <v>0</v>
      </c>
      <c r="BJ15" s="81">
        <f t="shared" si="10"/>
        <v>-5604.73</v>
      </c>
      <c r="BK15" s="82">
        <f>ROUND(MAX(BJ15*{0.03,0.1,0.2,0.25,0.3,0.35,0.45}-{0,2520,16920,31920,52920,85920,181920}-BG15,0),2)</f>
        <v>0</v>
      </c>
      <c r="BL15" s="81">
        <f t="shared" si="11"/>
        <v>0</v>
      </c>
      <c r="BM15" s="83">
        <f t="shared" si="12"/>
        <v>2980</v>
      </c>
      <c r="BN15" s="83">
        <v>0</v>
      </c>
      <c r="BO15" s="84">
        <f t="shared" si="13"/>
        <v>2980</v>
      </c>
      <c r="BP15" s="50">
        <f t="shared" si="7"/>
        <v>971.3</v>
      </c>
      <c r="BQ15" s="32">
        <f t="shared" si="1"/>
        <v>0</v>
      </c>
      <c r="BR15" s="32" t="str">
        <f>VLOOKUP(H15,社保公积金账单!D:D,1,0)</f>
        <v>31022519780512504X</v>
      </c>
      <c r="BS15" s="32">
        <f t="shared" si="8"/>
        <v>0</v>
      </c>
    </row>
    <row r="16" spans="1:71" ht="24.9" customHeight="1">
      <c r="A16" s="66">
        <v>11</v>
      </c>
      <c r="B16" s="67" t="s">
        <v>82</v>
      </c>
      <c r="C16" s="67" t="s">
        <v>387</v>
      </c>
      <c r="D16" s="67" t="s">
        <v>84</v>
      </c>
      <c r="E16" s="67" t="s">
        <v>84</v>
      </c>
      <c r="F16" s="67" t="s">
        <v>388</v>
      </c>
      <c r="G16" s="67" t="s">
        <v>375</v>
      </c>
      <c r="H16" s="67" t="s">
        <v>378</v>
      </c>
      <c r="I16" s="68" t="s">
        <v>392</v>
      </c>
      <c r="J16" s="67" t="s">
        <v>7</v>
      </c>
      <c r="K16" s="67" t="s">
        <v>87</v>
      </c>
      <c r="L16" s="67" t="s">
        <v>487</v>
      </c>
      <c r="M16" s="68">
        <v>238976860</v>
      </c>
      <c r="N16" s="68" t="s">
        <v>109</v>
      </c>
      <c r="O16" s="69">
        <v>44348</v>
      </c>
      <c r="P16" s="69" t="s">
        <v>390</v>
      </c>
      <c r="Q16" s="70">
        <v>2690</v>
      </c>
      <c r="R16" s="70">
        <v>4</v>
      </c>
      <c r="S16" s="71">
        <v>0</v>
      </c>
      <c r="T16" s="71">
        <v>16</v>
      </c>
      <c r="U16" s="71">
        <v>16</v>
      </c>
      <c r="V16" s="71">
        <v>0</v>
      </c>
      <c r="W16" s="71">
        <v>0</v>
      </c>
      <c r="X16" s="71">
        <v>0</v>
      </c>
      <c r="Y16" s="70">
        <v>2690</v>
      </c>
      <c r="Z16" s="70">
        <v>0</v>
      </c>
      <c r="AA16" s="70">
        <v>0</v>
      </c>
      <c r="AB16" s="71">
        <v>162.04000000000002</v>
      </c>
      <c r="AC16" s="71">
        <v>248.13888888888889</v>
      </c>
      <c r="AD16" s="72">
        <v>1.5313434268630515</v>
      </c>
      <c r="AE16" s="71">
        <v>1702.833333333333</v>
      </c>
      <c r="AF16" s="71">
        <v>0</v>
      </c>
      <c r="AG16" s="71">
        <v>187.45833333333331</v>
      </c>
      <c r="AH16" s="70">
        <v>1515.3749999999998</v>
      </c>
      <c r="AI16" s="70">
        <v>0</v>
      </c>
      <c r="AJ16" s="70">
        <v>80</v>
      </c>
      <c r="AK16" s="70">
        <v>80</v>
      </c>
      <c r="AL16" s="70">
        <v>0</v>
      </c>
      <c r="AM16" s="70">
        <v>140</v>
      </c>
      <c r="AN16" s="15"/>
      <c r="AO16" s="16"/>
      <c r="AP16" s="18"/>
      <c r="AQ16" s="17">
        <v>0</v>
      </c>
      <c r="AR16" s="73"/>
      <c r="AS16" s="74"/>
      <c r="AT16" s="74"/>
      <c r="AU16" s="70"/>
      <c r="AV16" s="70"/>
      <c r="AW16" s="75">
        <v>4425.38</v>
      </c>
      <c r="AX16" s="76">
        <v>2740</v>
      </c>
      <c r="AY16" s="70" t="s">
        <v>470</v>
      </c>
      <c r="AZ16" s="98">
        <v>783.3</v>
      </c>
      <c r="BA16" s="98">
        <v>188</v>
      </c>
      <c r="BB16" s="77">
        <v>0</v>
      </c>
      <c r="BC16" s="78">
        <f t="shared" si="9"/>
        <v>3234.08</v>
      </c>
      <c r="BD16" s="78">
        <f t="shared" si="2"/>
        <v>0</v>
      </c>
      <c r="BE16" s="79">
        <f t="shared" si="0"/>
        <v>3454.08</v>
      </c>
      <c r="BF16" s="80">
        <v>-3857.34</v>
      </c>
      <c r="BG16" s="80">
        <v>0</v>
      </c>
      <c r="BH16" s="80">
        <v>0</v>
      </c>
      <c r="BI16" s="80">
        <v>0</v>
      </c>
      <c r="BJ16" s="81">
        <f t="shared" si="10"/>
        <v>-5403.26</v>
      </c>
      <c r="BK16" s="82">
        <f>ROUND(MAX(BJ16*{0.03,0.1,0.2,0.25,0.3,0.35,0.45}-{0,2520,16920,31920,52920,85920,181920}-BG16,0),2)</f>
        <v>0</v>
      </c>
      <c r="BL16" s="81">
        <f t="shared" si="11"/>
        <v>0</v>
      </c>
      <c r="BM16" s="83">
        <f t="shared" si="12"/>
        <v>3454.08</v>
      </c>
      <c r="BN16" s="83">
        <v>0</v>
      </c>
      <c r="BO16" s="84">
        <f t="shared" si="13"/>
        <v>3454.08</v>
      </c>
      <c r="BP16" s="50">
        <f t="shared" si="7"/>
        <v>971.3</v>
      </c>
      <c r="BQ16" s="32">
        <f t="shared" si="1"/>
        <v>0</v>
      </c>
      <c r="BR16" s="32" t="str">
        <f>VLOOKUP(H16,社保公积金账单!D:D,1,0)</f>
        <v>341224198812281328</v>
      </c>
      <c r="BS16" s="32">
        <f t="shared" si="8"/>
        <v>0</v>
      </c>
    </row>
    <row r="17" spans="1:71" ht="24.9" customHeight="1">
      <c r="A17" s="66">
        <v>12</v>
      </c>
      <c r="B17" s="67" t="s">
        <v>82</v>
      </c>
      <c r="C17" s="67" t="s">
        <v>387</v>
      </c>
      <c r="D17" s="67" t="s">
        <v>84</v>
      </c>
      <c r="E17" s="67" t="s">
        <v>84</v>
      </c>
      <c r="F17" s="67" t="s">
        <v>388</v>
      </c>
      <c r="G17" s="67" t="s">
        <v>163</v>
      </c>
      <c r="H17" s="67" t="s">
        <v>164</v>
      </c>
      <c r="I17" s="68">
        <v>13918265808</v>
      </c>
      <c r="J17" s="67" t="s">
        <v>7</v>
      </c>
      <c r="K17" s="67" t="s">
        <v>87</v>
      </c>
      <c r="L17" s="67" t="s">
        <v>487</v>
      </c>
      <c r="M17" s="68">
        <v>238976844</v>
      </c>
      <c r="N17" s="68" t="s">
        <v>112</v>
      </c>
      <c r="O17" s="69">
        <v>41738</v>
      </c>
      <c r="P17" s="69" t="s">
        <v>390</v>
      </c>
      <c r="Q17" s="70">
        <v>2690</v>
      </c>
      <c r="R17" s="70">
        <v>11</v>
      </c>
      <c r="S17" s="71">
        <v>0</v>
      </c>
      <c r="T17" s="71">
        <v>16</v>
      </c>
      <c r="U17" s="71">
        <v>16</v>
      </c>
      <c r="V17" s="71">
        <v>0</v>
      </c>
      <c r="W17" s="71">
        <v>0</v>
      </c>
      <c r="X17" s="71">
        <v>0</v>
      </c>
      <c r="Y17" s="70">
        <v>2690</v>
      </c>
      <c r="Z17" s="70">
        <v>0</v>
      </c>
      <c r="AA17" s="70">
        <v>0</v>
      </c>
      <c r="AB17" s="71">
        <v>215.49</v>
      </c>
      <c r="AC17" s="71">
        <v>268.8055555555556</v>
      </c>
      <c r="AD17" s="72">
        <v>1.2474154510907958</v>
      </c>
      <c r="AE17" s="71">
        <v>1773.1666666666667</v>
      </c>
      <c r="AF17" s="71">
        <v>-154</v>
      </c>
      <c r="AG17" s="71">
        <v>326.29166666666669</v>
      </c>
      <c r="AH17" s="70">
        <v>800.4375</v>
      </c>
      <c r="AI17" s="70">
        <v>0</v>
      </c>
      <c r="AJ17" s="70">
        <v>80</v>
      </c>
      <c r="AK17" s="70">
        <v>80</v>
      </c>
      <c r="AL17" s="70">
        <v>0</v>
      </c>
      <c r="AM17" s="70">
        <v>160</v>
      </c>
      <c r="AN17" s="15"/>
      <c r="AO17" s="16"/>
      <c r="AP17" s="16"/>
      <c r="AQ17" s="17">
        <v>0</v>
      </c>
      <c r="AR17" s="73"/>
      <c r="AS17" s="74"/>
      <c r="AT17" s="74"/>
      <c r="AU17" s="70"/>
      <c r="AV17" s="70"/>
      <c r="AW17" s="75">
        <v>3730.44</v>
      </c>
      <c r="AX17" s="76">
        <v>2740</v>
      </c>
      <c r="AY17" s="70" t="s">
        <v>470</v>
      </c>
      <c r="AZ17" s="98">
        <v>783.3</v>
      </c>
      <c r="BA17" s="98">
        <v>188</v>
      </c>
      <c r="BB17" s="77">
        <v>0</v>
      </c>
      <c r="BC17" s="78">
        <f t="shared" si="9"/>
        <v>2519.14</v>
      </c>
      <c r="BD17" s="78">
        <f t="shared" si="2"/>
        <v>220.86</v>
      </c>
      <c r="BE17" s="79">
        <f t="shared" si="0"/>
        <v>2980</v>
      </c>
      <c r="BF17" s="80">
        <v>-5470.7</v>
      </c>
      <c r="BG17" s="80">
        <v>0</v>
      </c>
      <c r="BH17" s="80">
        <v>0</v>
      </c>
      <c r="BI17" s="80">
        <v>0</v>
      </c>
      <c r="BJ17" s="81">
        <f t="shared" si="10"/>
        <v>-7490.7</v>
      </c>
      <c r="BK17" s="82">
        <f>ROUND(MAX(BJ17*{0.03,0.1,0.2,0.25,0.3,0.35,0.45}-{0,2520,16920,31920,52920,85920,181920}-BG17,0),2)</f>
        <v>0</v>
      </c>
      <c r="BL17" s="81">
        <f t="shared" si="11"/>
        <v>0</v>
      </c>
      <c r="BM17" s="83">
        <f t="shared" si="12"/>
        <v>2980</v>
      </c>
      <c r="BN17" s="83">
        <v>0</v>
      </c>
      <c r="BO17" s="84">
        <f t="shared" si="13"/>
        <v>2980</v>
      </c>
      <c r="BP17" s="50">
        <f t="shared" si="7"/>
        <v>971.3</v>
      </c>
      <c r="BQ17" s="32">
        <f t="shared" si="1"/>
        <v>0</v>
      </c>
      <c r="BR17" s="32" t="str">
        <f>VLOOKUP(H17,社保公积金账单!D:D,1,0)</f>
        <v>32082319780513524X</v>
      </c>
      <c r="BS17" s="32">
        <f t="shared" si="8"/>
        <v>0</v>
      </c>
    </row>
    <row r="18" spans="1:71" ht="24.9" customHeight="1">
      <c r="A18" s="66">
        <v>13</v>
      </c>
      <c r="B18" s="67" t="s">
        <v>82</v>
      </c>
      <c r="C18" s="67" t="s">
        <v>387</v>
      </c>
      <c r="D18" s="67" t="s">
        <v>84</v>
      </c>
      <c r="E18" s="67" t="s">
        <v>84</v>
      </c>
      <c r="F18" s="67" t="s">
        <v>388</v>
      </c>
      <c r="G18" s="67" t="s">
        <v>451</v>
      </c>
      <c r="H18" s="67" t="s">
        <v>442</v>
      </c>
      <c r="I18" s="68" t="s">
        <v>443</v>
      </c>
      <c r="J18" s="67" t="s">
        <v>7</v>
      </c>
      <c r="K18" s="67" t="s">
        <v>87</v>
      </c>
      <c r="L18" s="67" t="s">
        <v>487</v>
      </c>
      <c r="M18" s="68">
        <v>238976844</v>
      </c>
      <c r="N18" s="68" t="s">
        <v>112</v>
      </c>
      <c r="O18" s="69">
        <v>44743</v>
      </c>
      <c r="P18" s="69" t="s">
        <v>390</v>
      </c>
      <c r="Q18" s="70">
        <v>2690</v>
      </c>
      <c r="R18" s="70">
        <v>3</v>
      </c>
      <c r="S18" s="71">
        <v>0</v>
      </c>
      <c r="T18" s="71">
        <v>22</v>
      </c>
      <c r="U18" s="71">
        <v>19</v>
      </c>
      <c r="V18" s="71">
        <v>3</v>
      </c>
      <c r="W18" s="71">
        <v>0</v>
      </c>
      <c r="X18" s="71">
        <v>261.5454545454545</v>
      </c>
      <c r="Y18" s="70">
        <v>2584.7272727272725</v>
      </c>
      <c r="Z18" s="70">
        <v>0</v>
      </c>
      <c r="AA18" s="70">
        <v>0</v>
      </c>
      <c r="AB18" s="71">
        <v>215.49</v>
      </c>
      <c r="AC18" s="71">
        <v>268.8055555555556</v>
      </c>
      <c r="AD18" s="72">
        <v>1.2474154510907958</v>
      </c>
      <c r="AE18" s="71">
        <v>1773.1666666666667</v>
      </c>
      <c r="AF18" s="71">
        <v>-154</v>
      </c>
      <c r="AG18" s="71">
        <v>326.29166666666669</v>
      </c>
      <c r="AH18" s="70">
        <v>800.44</v>
      </c>
      <c r="AI18" s="70">
        <v>0</v>
      </c>
      <c r="AJ18" s="70">
        <v>69.090909090909093</v>
      </c>
      <c r="AK18" s="70">
        <v>69.090909090909093</v>
      </c>
      <c r="AL18" s="70">
        <v>0</v>
      </c>
      <c r="AM18" s="70">
        <v>190</v>
      </c>
      <c r="AN18" s="15"/>
      <c r="AO18" s="16"/>
      <c r="AP18" s="16"/>
      <c r="AQ18" s="17">
        <v>0</v>
      </c>
      <c r="AR18" s="73"/>
      <c r="AS18" s="74"/>
      <c r="AT18" s="74"/>
      <c r="AU18" s="70"/>
      <c r="AV18" s="70"/>
      <c r="AW18" s="75">
        <v>3644.26</v>
      </c>
      <c r="AX18" s="76">
        <v>2740</v>
      </c>
      <c r="AY18" s="70" t="s">
        <v>470</v>
      </c>
      <c r="AZ18" s="98">
        <v>783.3</v>
      </c>
      <c r="BA18" s="98">
        <v>188</v>
      </c>
      <c r="BB18" s="77">
        <v>0</v>
      </c>
      <c r="BC18" s="78">
        <f t="shared" si="9"/>
        <v>2413.87</v>
      </c>
      <c r="BD18" s="78">
        <f t="shared" si="2"/>
        <v>0</v>
      </c>
      <c r="BE18" s="79">
        <f t="shared" si="0"/>
        <v>2672.96</v>
      </c>
      <c r="BF18" s="80">
        <v>-6222.04</v>
      </c>
      <c r="BG18" s="80">
        <v>0</v>
      </c>
      <c r="BH18" s="80">
        <v>0</v>
      </c>
      <c r="BI18" s="80">
        <v>0</v>
      </c>
      <c r="BJ18" s="81">
        <f>ROUND(BF18+BE18-5000-(BH18-BI18),2)</f>
        <v>-8549.08</v>
      </c>
      <c r="BK18" s="82">
        <f>ROUND(MAX(BJ18*{0.03,0.1,0.2,0.25,0.3,0.35,0.45}-{0,2520,16920,31920,52920,85920,181920}-BG18,0),2)</f>
        <v>0</v>
      </c>
      <c r="BL18" s="81">
        <f t="shared" si="11"/>
        <v>0</v>
      </c>
      <c r="BM18" s="83">
        <f t="shared" si="12"/>
        <v>2672.96</v>
      </c>
      <c r="BN18" s="83">
        <v>0</v>
      </c>
      <c r="BO18" s="84">
        <f t="shared" si="13"/>
        <v>2672.96</v>
      </c>
      <c r="BP18" s="50">
        <f t="shared" si="7"/>
        <v>971.3</v>
      </c>
      <c r="BQ18" s="32">
        <f t="shared" si="1"/>
        <v>0</v>
      </c>
      <c r="BR18" s="32" t="str">
        <f>VLOOKUP(H18,社保公积金账单!D:D,1,0)</f>
        <v>371122198002227829</v>
      </c>
      <c r="BS18" s="32">
        <f t="shared" si="8"/>
        <v>3</v>
      </c>
    </row>
    <row r="19" spans="1:71" ht="24.9" customHeight="1">
      <c r="A19" s="66">
        <v>14</v>
      </c>
      <c r="B19" s="67" t="s">
        <v>82</v>
      </c>
      <c r="C19" s="67" t="s">
        <v>387</v>
      </c>
      <c r="D19" s="67" t="s">
        <v>84</v>
      </c>
      <c r="E19" s="67" t="s">
        <v>84</v>
      </c>
      <c r="F19" s="67" t="s">
        <v>388</v>
      </c>
      <c r="G19" s="67" t="s">
        <v>114</v>
      </c>
      <c r="H19" s="67" t="s">
        <v>115</v>
      </c>
      <c r="I19" s="68">
        <v>15801898274</v>
      </c>
      <c r="J19" s="67" t="s">
        <v>7</v>
      </c>
      <c r="K19" s="67" t="s">
        <v>87</v>
      </c>
      <c r="L19" s="67" t="s">
        <v>487</v>
      </c>
      <c r="M19" s="68">
        <v>238976838</v>
      </c>
      <c r="N19" s="68" t="s">
        <v>116</v>
      </c>
      <c r="O19" s="69">
        <v>43412</v>
      </c>
      <c r="P19" s="69" t="s">
        <v>390</v>
      </c>
      <c r="Q19" s="70">
        <v>2690</v>
      </c>
      <c r="R19" s="70">
        <v>7</v>
      </c>
      <c r="S19" s="71">
        <v>0</v>
      </c>
      <c r="T19" s="71">
        <v>16</v>
      </c>
      <c r="U19" s="71">
        <v>16</v>
      </c>
      <c r="V19" s="71">
        <v>0</v>
      </c>
      <c r="W19" s="71">
        <v>0</v>
      </c>
      <c r="X19" s="71">
        <v>0</v>
      </c>
      <c r="Y19" s="70">
        <v>2690</v>
      </c>
      <c r="Z19" s="70">
        <v>0</v>
      </c>
      <c r="AA19" s="70">
        <v>0</v>
      </c>
      <c r="AB19" s="71">
        <v>668.31999999999994</v>
      </c>
      <c r="AC19" s="71">
        <v>710.91666666666697</v>
      </c>
      <c r="AD19" s="72">
        <v>1.0637369324076296</v>
      </c>
      <c r="AE19" s="71">
        <v>6292.3333333333339</v>
      </c>
      <c r="AF19" s="71">
        <v>-343.125</v>
      </c>
      <c r="AG19" s="71">
        <v>975.66666666666674</v>
      </c>
      <c r="AH19" s="70">
        <v>2829.8958333333335</v>
      </c>
      <c r="AI19" s="70">
        <v>0</v>
      </c>
      <c r="AJ19" s="70">
        <v>80</v>
      </c>
      <c r="AK19" s="70">
        <v>80</v>
      </c>
      <c r="AL19" s="70">
        <v>0</v>
      </c>
      <c r="AM19" s="70">
        <v>160</v>
      </c>
      <c r="AN19" s="15"/>
      <c r="AO19" s="16"/>
      <c r="AP19" s="18"/>
      <c r="AQ19" s="17">
        <v>0</v>
      </c>
      <c r="AR19" s="73"/>
      <c r="AS19" s="74"/>
      <c r="AT19" s="74"/>
      <c r="AU19" s="70"/>
      <c r="AV19" s="70"/>
      <c r="AW19" s="75">
        <v>5759.9</v>
      </c>
      <c r="AX19" s="76">
        <v>2740</v>
      </c>
      <c r="AY19" s="70" t="s">
        <v>470</v>
      </c>
      <c r="AZ19" s="98">
        <v>783.3</v>
      </c>
      <c r="BA19" s="98">
        <v>188</v>
      </c>
      <c r="BB19" s="77">
        <v>0</v>
      </c>
      <c r="BC19" s="78">
        <f t="shared" si="9"/>
        <v>4548.6000000000004</v>
      </c>
      <c r="BD19" s="78">
        <f t="shared" si="2"/>
        <v>0</v>
      </c>
      <c r="BE19" s="79">
        <f t="shared" si="0"/>
        <v>4788.6000000000004</v>
      </c>
      <c r="BF19" s="80">
        <v>2709.46</v>
      </c>
      <c r="BG19" s="80">
        <v>81.28</v>
      </c>
      <c r="BH19" s="80">
        <v>0</v>
      </c>
      <c r="BI19" s="80">
        <v>0</v>
      </c>
      <c r="BJ19" s="81">
        <f t="shared" si="10"/>
        <v>2498.06</v>
      </c>
      <c r="BK19" s="82">
        <f>ROUND(MAX(BJ19*{0.03,0.1,0.2,0.25,0.3,0.35,0.45}-{0,2520,16920,31920,52920,85920,181920}-BG19,0),2)</f>
        <v>0</v>
      </c>
      <c r="BL19" s="81">
        <f t="shared" si="11"/>
        <v>81.28</v>
      </c>
      <c r="BM19" s="83">
        <f t="shared" si="12"/>
        <v>4788.6000000000004</v>
      </c>
      <c r="BN19" s="83">
        <v>0</v>
      </c>
      <c r="BO19" s="84">
        <f t="shared" si="13"/>
        <v>4788.6000000000004</v>
      </c>
      <c r="BP19" s="50">
        <f t="shared" si="7"/>
        <v>971.3</v>
      </c>
      <c r="BQ19" s="32">
        <f t="shared" si="1"/>
        <v>0</v>
      </c>
      <c r="BR19" s="32" t="str">
        <f>VLOOKUP(H19,社保公积金账单!D:D,1,0)</f>
        <v>341623199710154424</v>
      </c>
      <c r="BS19" s="32">
        <f t="shared" si="8"/>
        <v>0</v>
      </c>
    </row>
    <row r="20" spans="1:71" ht="24.9" customHeight="1">
      <c r="A20" s="66">
        <v>15</v>
      </c>
      <c r="B20" s="67" t="s">
        <v>82</v>
      </c>
      <c r="C20" s="67" t="s">
        <v>387</v>
      </c>
      <c r="D20" s="67" t="s">
        <v>84</v>
      </c>
      <c r="E20" s="67" t="s">
        <v>84</v>
      </c>
      <c r="F20" s="67" t="s">
        <v>388</v>
      </c>
      <c r="G20" s="67" t="s">
        <v>368</v>
      </c>
      <c r="H20" s="67" t="s">
        <v>364</v>
      </c>
      <c r="I20" s="68" t="s">
        <v>393</v>
      </c>
      <c r="J20" s="67" t="s">
        <v>7</v>
      </c>
      <c r="K20" s="67" t="s">
        <v>87</v>
      </c>
      <c r="L20" s="67" t="s">
        <v>487</v>
      </c>
      <c r="M20" s="68">
        <v>238976838</v>
      </c>
      <c r="N20" s="68" t="s">
        <v>116</v>
      </c>
      <c r="O20" s="69">
        <v>44323</v>
      </c>
      <c r="P20" s="69" t="s">
        <v>390</v>
      </c>
      <c r="Q20" s="70">
        <v>2690</v>
      </c>
      <c r="R20" s="70">
        <v>4</v>
      </c>
      <c r="S20" s="71">
        <v>0</v>
      </c>
      <c r="T20" s="71">
        <v>22</v>
      </c>
      <c r="U20" s="71">
        <v>22</v>
      </c>
      <c r="V20" s="71">
        <v>0</v>
      </c>
      <c r="W20" s="71">
        <v>0</v>
      </c>
      <c r="X20" s="71">
        <v>0</v>
      </c>
      <c r="Y20" s="70">
        <v>2690</v>
      </c>
      <c r="Z20" s="70">
        <v>0</v>
      </c>
      <c r="AA20" s="70">
        <v>0</v>
      </c>
      <c r="AB20" s="71">
        <v>668.31999999999994</v>
      </c>
      <c r="AC20" s="71">
        <v>710.91666666666697</v>
      </c>
      <c r="AD20" s="72">
        <v>1.0637369324076296</v>
      </c>
      <c r="AE20" s="71">
        <v>6292.3333333333339</v>
      </c>
      <c r="AF20" s="71">
        <v>-343.125</v>
      </c>
      <c r="AG20" s="71">
        <v>975.66666666666674</v>
      </c>
      <c r="AH20" s="70">
        <v>2829.895833333333</v>
      </c>
      <c r="AI20" s="70">
        <v>0</v>
      </c>
      <c r="AJ20" s="70">
        <v>80</v>
      </c>
      <c r="AK20" s="70">
        <v>80</v>
      </c>
      <c r="AL20" s="70">
        <v>0</v>
      </c>
      <c r="AM20" s="70">
        <v>220</v>
      </c>
      <c r="AN20" s="15"/>
      <c r="AO20" s="16"/>
      <c r="AP20" s="16"/>
      <c r="AQ20" s="17">
        <v>0</v>
      </c>
      <c r="AR20" s="73"/>
      <c r="AS20" s="74"/>
      <c r="AT20" s="74"/>
      <c r="AU20" s="70"/>
      <c r="AV20" s="70"/>
      <c r="AW20" s="75">
        <v>5819.9</v>
      </c>
      <c r="AX20" s="76">
        <v>2740</v>
      </c>
      <c r="AY20" s="70" t="s">
        <v>470</v>
      </c>
      <c r="AZ20" s="98">
        <v>783.3</v>
      </c>
      <c r="BA20" s="98">
        <v>188</v>
      </c>
      <c r="BB20" s="77">
        <v>0</v>
      </c>
      <c r="BC20" s="78">
        <f t="shared" si="9"/>
        <v>4548.6000000000004</v>
      </c>
      <c r="BD20" s="78">
        <f t="shared" si="2"/>
        <v>0</v>
      </c>
      <c r="BE20" s="79">
        <f t="shared" si="0"/>
        <v>4848.6000000000004</v>
      </c>
      <c r="BF20" s="80">
        <v>3025.23</v>
      </c>
      <c r="BG20" s="80">
        <v>90.759999999999991</v>
      </c>
      <c r="BH20" s="80">
        <v>0</v>
      </c>
      <c r="BI20" s="80">
        <v>0</v>
      </c>
      <c r="BJ20" s="81">
        <f t="shared" si="10"/>
        <v>2873.83</v>
      </c>
      <c r="BK20" s="82">
        <f>ROUND(MAX(BJ20*{0.03,0.1,0.2,0.25,0.3,0.35,0.45}-{0,2520,16920,31920,52920,85920,181920}-BG20,0),2)</f>
        <v>0</v>
      </c>
      <c r="BL20" s="81">
        <f t="shared" si="11"/>
        <v>90.759999999999991</v>
      </c>
      <c r="BM20" s="83">
        <f t="shared" si="12"/>
        <v>4848.6000000000004</v>
      </c>
      <c r="BN20" s="83">
        <v>0</v>
      </c>
      <c r="BO20" s="84">
        <f t="shared" si="13"/>
        <v>4848.6000000000004</v>
      </c>
      <c r="BP20" s="50">
        <f t="shared" si="7"/>
        <v>971.3</v>
      </c>
      <c r="BQ20" s="32">
        <f t="shared" si="1"/>
        <v>0</v>
      </c>
      <c r="BR20" s="32" t="str">
        <f>VLOOKUP(H20,社保公积金账单!D:D,1,0)</f>
        <v>511121197511274186</v>
      </c>
      <c r="BS20" s="32">
        <f t="shared" si="8"/>
        <v>0</v>
      </c>
    </row>
    <row r="21" spans="1:71" ht="24.9" customHeight="1">
      <c r="A21" s="66">
        <v>16</v>
      </c>
      <c r="B21" s="67" t="s">
        <v>82</v>
      </c>
      <c r="C21" s="67" t="s">
        <v>387</v>
      </c>
      <c r="D21" s="67" t="s">
        <v>84</v>
      </c>
      <c r="E21" s="67" t="s">
        <v>84</v>
      </c>
      <c r="F21" s="67" t="s">
        <v>388</v>
      </c>
      <c r="G21" s="67" t="s">
        <v>117</v>
      </c>
      <c r="H21" s="67" t="s">
        <v>118</v>
      </c>
      <c r="I21" s="68" t="s">
        <v>394</v>
      </c>
      <c r="J21" s="67" t="s">
        <v>7</v>
      </c>
      <c r="K21" s="67" t="s">
        <v>87</v>
      </c>
      <c r="L21" s="67" t="s">
        <v>487</v>
      </c>
      <c r="M21" s="68">
        <v>238976858</v>
      </c>
      <c r="N21" s="68" t="s">
        <v>119</v>
      </c>
      <c r="O21" s="69">
        <v>43476</v>
      </c>
      <c r="P21" s="69" t="s">
        <v>390</v>
      </c>
      <c r="Q21" s="70">
        <v>2690</v>
      </c>
      <c r="R21" s="70">
        <v>7</v>
      </c>
      <c r="S21" s="71">
        <v>0</v>
      </c>
      <c r="T21" s="71">
        <v>16</v>
      </c>
      <c r="U21" s="71">
        <v>16</v>
      </c>
      <c r="V21" s="71">
        <v>0</v>
      </c>
      <c r="W21" s="71">
        <v>0</v>
      </c>
      <c r="X21" s="71">
        <v>0</v>
      </c>
      <c r="Y21" s="70">
        <v>2690</v>
      </c>
      <c r="Z21" s="70">
        <v>0</v>
      </c>
      <c r="AA21" s="70">
        <v>0</v>
      </c>
      <c r="AB21" s="71">
        <v>214.34999999999997</v>
      </c>
      <c r="AC21" s="71">
        <v>323.5</v>
      </c>
      <c r="AD21" s="72">
        <v>1.5092139024959181</v>
      </c>
      <c r="AE21" s="71">
        <v>2596.166666666667</v>
      </c>
      <c r="AF21" s="71">
        <v>0</v>
      </c>
      <c r="AG21" s="71">
        <v>483.20833333333337</v>
      </c>
      <c r="AH21" s="70">
        <v>845.18333333333339</v>
      </c>
      <c r="AI21" s="70">
        <v>0</v>
      </c>
      <c r="AJ21" s="70">
        <v>80</v>
      </c>
      <c r="AK21" s="70">
        <v>80</v>
      </c>
      <c r="AL21" s="70">
        <v>0</v>
      </c>
      <c r="AM21" s="70">
        <v>160</v>
      </c>
      <c r="AN21" s="15"/>
      <c r="AO21" s="16"/>
      <c r="AP21" s="16"/>
      <c r="AQ21" s="17">
        <v>0</v>
      </c>
      <c r="AR21" s="73"/>
      <c r="AS21" s="74"/>
      <c r="AT21" s="74"/>
      <c r="AU21" s="70"/>
      <c r="AV21" s="70"/>
      <c r="AW21" s="75">
        <v>3775.18</v>
      </c>
      <c r="AX21" s="76">
        <v>2740</v>
      </c>
      <c r="AY21" s="70" t="s">
        <v>470</v>
      </c>
      <c r="AZ21" s="98">
        <v>783.3</v>
      </c>
      <c r="BA21" s="98">
        <v>188</v>
      </c>
      <c r="BB21" s="77">
        <v>0</v>
      </c>
      <c r="BC21" s="78">
        <f t="shared" si="9"/>
        <v>2563.88</v>
      </c>
      <c r="BD21" s="78">
        <f t="shared" si="2"/>
        <v>176.12</v>
      </c>
      <c r="BE21" s="79">
        <f t="shared" si="0"/>
        <v>2980</v>
      </c>
      <c r="BF21" s="80">
        <v>-5945.56</v>
      </c>
      <c r="BG21" s="80">
        <v>0</v>
      </c>
      <c r="BH21" s="80">
        <v>0</v>
      </c>
      <c r="BI21" s="80">
        <v>0</v>
      </c>
      <c r="BJ21" s="81">
        <f t="shared" si="10"/>
        <v>-7965.56</v>
      </c>
      <c r="BK21" s="82">
        <f>ROUND(MAX(BJ21*{0.03,0.1,0.2,0.25,0.3,0.35,0.45}-{0,2520,16920,31920,52920,85920,181920}-BG21,0),2)</f>
        <v>0</v>
      </c>
      <c r="BL21" s="81">
        <f t="shared" si="11"/>
        <v>0</v>
      </c>
      <c r="BM21" s="83">
        <f t="shared" si="12"/>
        <v>2980</v>
      </c>
      <c r="BN21" s="83">
        <v>0</v>
      </c>
      <c r="BO21" s="84">
        <f t="shared" si="13"/>
        <v>2980</v>
      </c>
      <c r="BP21" s="50">
        <f t="shared" si="7"/>
        <v>971.3</v>
      </c>
      <c r="BQ21" s="32">
        <f t="shared" si="1"/>
        <v>0</v>
      </c>
      <c r="BR21" s="32" t="str">
        <f>VLOOKUP(H21,社保公积金账单!D:D,1,0)</f>
        <v>410923198302047231</v>
      </c>
      <c r="BS21" s="32">
        <f t="shared" si="8"/>
        <v>0</v>
      </c>
    </row>
    <row r="22" spans="1:71" ht="24.9" customHeight="1">
      <c r="A22" s="66">
        <v>17</v>
      </c>
      <c r="B22" s="67" t="s">
        <v>82</v>
      </c>
      <c r="C22" s="67" t="s">
        <v>387</v>
      </c>
      <c r="D22" s="67" t="s">
        <v>84</v>
      </c>
      <c r="E22" s="67" t="s">
        <v>84</v>
      </c>
      <c r="F22" s="67" t="s">
        <v>388</v>
      </c>
      <c r="G22" s="67" t="s">
        <v>420</v>
      </c>
      <c r="H22" s="67" t="s">
        <v>457</v>
      </c>
      <c r="I22" s="68" t="s">
        <v>458</v>
      </c>
      <c r="J22" s="67" t="s">
        <v>7</v>
      </c>
      <c r="K22" s="67" t="s">
        <v>87</v>
      </c>
      <c r="L22" s="67" t="s">
        <v>487</v>
      </c>
      <c r="M22" s="68">
        <v>238976888</v>
      </c>
      <c r="N22" s="68" t="s">
        <v>119</v>
      </c>
      <c r="O22" s="69">
        <v>44835</v>
      </c>
      <c r="P22" s="69" t="s">
        <v>390</v>
      </c>
      <c r="Q22" s="70">
        <v>2690</v>
      </c>
      <c r="R22" s="70">
        <v>3</v>
      </c>
      <c r="S22" s="71">
        <v>0</v>
      </c>
      <c r="T22" s="71">
        <v>27</v>
      </c>
      <c r="U22" s="71">
        <v>27</v>
      </c>
      <c r="V22" s="71">
        <v>0</v>
      </c>
      <c r="W22" s="71">
        <v>0</v>
      </c>
      <c r="X22" s="71">
        <v>0</v>
      </c>
      <c r="Y22" s="70">
        <v>2690</v>
      </c>
      <c r="Z22" s="70">
        <v>0</v>
      </c>
      <c r="AA22" s="70">
        <v>0</v>
      </c>
      <c r="AB22" s="71">
        <v>214.34999999999997</v>
      </c>
      <c r="AC22" s="71">
        <v>323.5</v>
      </c>
      <c r="AD22" s="72">
        <v>1.5092139024959181</v>
      </c>
      <c r="AE22" s="71">
        <v>2596.166666666667</v>
      </c>
      <c r="AF22" s="71">
        <v>0</v>
      </c>
      <c r="AG22" s="71">
        <v>483.20833333333337</v>
      </c>
      <c r="AH22" s="70">
        <v>1267.7750000000001</v>
      </c>
      <c r="AI22" s="70">
        <v>0</v>
      </c>
      <c r="AJ22" s="70">
        <v>80</v>
      </c>
      <c r="AK22" s="70">
        <v>80</v>
      </c>
      <c r="AL22" s="70">
        <v>0</v>
      </c>
      <c r="AM22" s="70">
        <v>270</v>
      </c>
      <c r="AN22" s="15"/>
      <c r="AO22" s="16"/>
      <c r="AP22" s="16"/>
      <c r="AQ22" s="17">
        <v>0</v>
      </c>
      <c r="AR22" s="73"/>
      <c r="AS22" s="74"/>
      <c r="AT22" s="74"/>
      <c r="AU22" s="70"/>
      <c r="AV22" s="70"/>
      <c r="AW22" s="75">
        <v>4307.78</v>
      </c>
      <c r="AX22" s="76">
        <v>2740</v>
      </c>
      <c r="AY22" s="70" t="s">
        <v>470</v>
      </c>
      <c r="AZ22" s="98">
        <v>783.3</v>
      </c>
      <c r="BA22" s="98">
        <v>188</v>
      </c>
      <c r="BB22" s="77">
        <v>0</v>
      </c>
      <c r="BC22" s="78">
        <f t="shared" si="9"/>
        <v>2986.48</v>
      </c>
      <c r="BD22" s="78">
        <f t="shared" si="2"/>
        <v>0</v>
      </c>
      <c r="BE22" s="79">
        <f t="shared" si="0"/>
        <v>3336.48</v>
      </c>
      <c r="BF22" s="80">
        <v>-4193.34</v>
      </c>
      <c r="BG22" s="80">
        <v>0</v>
      </c>
      <c r="BH22" s="80">
        <v>0</v>
      </c>
      <c r="BI22" s="80">
        <v>0</v>
      </c>
      <c r="BJ22" s="81">
        <f t="shared" si="10"/>
        <v>-5856.86</v>
      </c>
      <c r="BK22" s="82">
        <f>ROUND(MAX(BJ22*{0.03,0.1,0.2,0.25,0.3,0.35,0.45}-{0,2520,16920,31920,52920,85920,181920}-BG22,0),2)</f>
        <v>0</v>
      </c>
      <c r="BL22" s="81">
        <f t="shared" si="11"/>
        <v>0</v>
      </c>
      <c r="BM22" s="83">
        <f t="shared" si="12"/>
        <v>3336.48</v>
      </c>
      <c r="BN22" s="83">
        <v>0</v>
      </c>
      <c r="BO22" s="84">
        <f t="shared" si="13"/>
        <v>3336.48</v>
      </c>
      <c r="BP22" s="50">
        <f t="shared" si="7"/>
        <v>971.3</v>
      </c>
      <c r="BQ22" s="32">
        <f t="shared" si="1"/>
        <v>0</v>
      </c>
      <c r="BR22" s="32" t="str">
        <f>VLOOKUP(H22,社保公积金账单!D:D,1,0)</f>
        <v>34122619830430352X</v>
      </c>
      <c r="BS22" s="32">
        <f t="shared" si="8"/>
        <v>0</v>
      </c>
    </row>
    <row r="23" spans="1:71" ht="24.9" customHeight="1">
      <c r="A23" s="66">
        <v>18</v>
      </c>
      <c r="B23" s="67" t="s">
        <v>82</v>
      </c>
      <c r="C23" s="67" t="s">
        <v>387</v>
      </c>
      <c r="D23" s="67" t="s">
        <v>84</v>
      </c>
      <c r="E23" s="67" t="s">
        <v>84</v>
      </c>
      <c r="F23" s="67" t="s">
        <v>388</v>
      </c>
      <c r="G23" s="67" t="s">
        <v>120</v>
      </c>
      <c r="H23" s="67" t="s">
        <v>121</v>
      </c>
      <c r="I23" s="68">
        <v>15801729382</v>
      </c>
      <c r="J23" s="67" t="s">
        <v>7</v>
      </c>
      <c r="K23" s="67" t="s">
        <v>87</v>
      </c>
      <c r="L23" s="67" t="s">
        <v>487</v>
      </c>
      <c r="M23" s="68">
        <v>238976866</v>
      </c>
      <c r="N23" s="68" t="s">
        <v>122</v>
      </c>
      <c r="O23" s="69">
        <v>43952</v>
      </c>
      <c r="P23" s="69" t="s">
        <v>390</v>
      </c>
      <c r="Q23" s="70">
        <v>2690</v>
      </c>
      <c r="R23" s="70">
        <v>5</v>
      </c>
      <c r="S23" s="71">
        <v>0</v>
      </c>
      <c r="T23" s="71">
        <v>15</v>
      </c>
      <c r="U23" s="71">
        <v>13</v>
      </c>
      <c r="V23" s="71">
        <v>0</v>
      </c>
      <c r="W23" s="71">
        <v>2</v>
      </c>
      <c r="X23" s="71">
        <v>0</v>
      </c>
      <c r="Y23" s="70">
        <v>2331.3333333333335</v>
      </c>
      <c r="Z23" s="70">
        <v>0</v>
      </c>
      <c r="AA23" s="70">
        <v>0</v>
      </c>
      <c r="AB23" s="71">
        <v>93.669999999999987</v>
      </c>
      <c r="AC23" s="71">
        <v>193.00000000000003</v>
      </c>
      <c r="AD23" s="72">
        <v>2.0604248959111779</v>
      </c>
      <c r="AE23" s="71">
        <v>1428.25</v>
      </c>
      <c r="AF23" s="71">
        <v>0</v>
      </c>
      <c r="AG23" s="71">
        <v>181.91666666666666</v>
      </c>
      <c r="AH23" s="70">
        <v>1246.33</v>
      </c>
      <c r="AI23" s="70">
        <v>0</v>
      </c>
      <c r="AJ23" s="70">
        <v>69.333333333333329</v>
      </c>
      <c r="AK23" s="70">
        <v>69.333333333333329</v>
      </c>
      <c r="AL23" s="70">
        <v>0</v>
      </c>
      <c r="AM23" s="70">
        <v>130</v>
      </c>
      <c r="AN23" s="15"/>
      <c r="AO23" s="16"/>
      <c r="AP23" s="16"/>
      <c r="AQ23" s="17">
        <v>0</v>
      </c>
      <c r="AR23" s="73"/>
      <c r="AS23" s="74"/>
      <c r="AT23" s="74"/>
      <c r="AU23" s="70"/>
      <c r="AV23" s="70"/>
      <c r="AW23" s="75">
        <v>3777</v>
      </c>
      <c r="AX23" s="76">
        <v>2740</v>
      </c>
      <c r="AY23" s="70" t="s">
        <v>470</v>
      </c>
      <c r="AZ23" s="98">
        <v>783.3</v>
      </c>
      <c r="BA23" s="98">
        <v>188</v>
      </c>
      <c r="BB23" s="77">
        <v>0</v>
      </c>
      <c r="BC23" s="78">
        <f t="shared" si="9"/>
        <v>2606.37</v>
      </c>
      <c r="BD23" s="78">
        <f t="shared" si="2"/>
        <v>0</v>
      </c>
      <c r="BE23" s="79">
        <f t="shared" si="0"/>
        <v>2805.7</v>
      </c>
      <c r="BF23" s="80">
        <v>-3221.73</v>
      </c>
      <c r="BG23" s="80">
        <v>0</v>
      </c>
      <c r="BH23" s="80">
        <v>0</v>
      </c>
      <c r="BI23" s="80">
        <v>0</v>
      </c>
      <c r="BJ23" s="81">
        <f t="shared" si="10"/>
        <v>-5416.03</v>
      </c>
      <c r="BK23" s="82">
        <f>ROUND(MAX(BJ23*{0.03,0.1,0.2,0.25,0.3,0.35,0.45}-{0,2520,16920,31920,52920,85920,181920}-BG23,0),2)</f>
        <v>0</v>
      </c>
      <c r="BL23" s="81">
        <f t="shared" si="11"/>
        <v>0</v>
      </c>
      <c r="BM23" s="83">
        <f t="shared" si="12"/>
        <v>2805.7</v>
      </c>
      <c r="BN23" s="83">
        <v>0</v>
      </c>
      <c r="BO23" s="84">
        <f t="shared" si="13"/>
        <v>2805.7</v>
      </c>
      <c r="BP23" s="50">
        <f t="shared" si="7"/>
        <v>971.3</v>
      </c>
      <c r="BQ23" s="32">
        <f t="shared" si="1"/>
        <v>0</v>
      </c>
      <c r="BR23" s="32" t="str">
        <f>VLOOKUP(H23,社保公积金账单!D:D,1,0)</f>
        <v>342423197609202840</v>
      </c>
      <c r="BS23" s="32">
        <f t="shared" si="8"/>
        <v>2</v>
      </c>
    </row>
    <row r="24" spans="1:71" ht="24.9" customHeight="1">
      <c r="A24" s="66">
        <v>19</v>
      </c>
      <c r="B24" s="67" t="s">
        <v>82</v>
      </c>
      <c r="C24" s="67" t="s">
        <v>387</v>
      </c>
      <c r="D24" s="67" t="s">
        <v>84</v>
      </c>
      <c r="E24" s="67" t="s">
        <v>84</v>
      </c>
      <c r="F24" s="67" t="s">
        <v>388</v>
      </c>
      <c r="G24" s="67" t="s">
        <v>123</v>
      </c>
      <c r="H24" s="67" t="s">
        <v>124</v>
      </c>
      <c r="I24" s="68">
        <v>13585585049</v>
      </c>
      <c r="J24" s="67" t="s">
        <v>7</v>
      </c>
      <c r="K24" s="67" t="s">
        <v>87</v>
      </c>
      <c r="L24" s="67" t="s">
        <v>487</v>
      </c>
      <c r="M24" s="68">
        <v>238976868</v>
      </c>
      <c r="N24" s="68" t="s">
        <v>125</v>
      </c>
      <c r="O24" s="69">
        <v>43333</v>
      </c>
      <c r="P24" s="69" t="s">
        <v>390</v>
      </c>
      <c r="Q24" s="70">
        <v>2690</v>
      </c>
      <c r="R24" s="70">
        <v>7</v>
      </c>
      <c r="S24" s="71">
        <v>0</v>
      </c>
      <c r="T24" s="71">
        <v>16</v>
      </c>
      <c r="U24" s="71">
        <v>16</v>
      </c>
      <c r="V24" s="71">
        <v>0</v>
      </c>
      <c r="W24" s="71">
        <v>0</v>
      </c>
      <c r="X24" s="71">
        <v>0</v>
      </c>
      <c r="Y24" s="70">
        <v>2690</v>
      </c>
      <c r="Z24" s="70">
        <v>0</v>
      </c>
      <c r="AA24" s="70">
        <v>0</v>
      </c>
      <c r="AB24" s="71">
        <v>246.53000000000003</v>
      </c>
      <c r="AC24" s="71">
        <v>350.41666666666669</v>
      </c>
      <c r="AD24" s="72">
        <v>1.4213956381238253</v>
      </c>
      <c r="AE24" s="71">
        <v>2156.5833333333335</v>
      </c>
      <c r="AF24" s="71">
        <v>0</v>
      </c>
      <c r="AG24" s="71">
        <v>281.20833333333337</v>
      </c>
      <c r="AH24" s="70">
        <v>1875.375</v>
      </c>
      <c r="AI24" s="70">
        <v>0</v>
      </c>
      <c r="AJ24" s="70">
        <v>80</v>
      </c>
      <c r="AK24" s="70">
        <v>80</v>
      </c>
      <c r="AL24" s="70">
        <v>0</v>
      </c>
      <c r="AM24" s="70">
        <v>160</v>
      </c>
      <c r="AN24" s="15"/>
      <c r="AO24" s="16"/>
      <c r="AP24" s="18"/>
      <c r="AQ24" s="17">
        <v>0</v>
      </c>
      <c r="AR24" s="73"/>
      <c r="AS24" s="74"/>
      <c r="AT24" s="74"/>
      <c r="AU24" s="70"/>
      <c r="AV24" s="70"/>
      <c r="AW24" s="75">
        <v>4805.38</v>
      </c>
      <c r="AX24" s="76">
        <v>2740</v>
      </c>
      <c r="AY24" s="70" t="s">
        <v>470</v>
      </c>
      <c r="AZ24" s="98">
        <v>783.3</v>
      </c>
      <c r="BA24" s="98">
        <v>188</v>
      </c>
      <c r="BB24" s="77">
        <v>0</v>
      </c>
      <c r="BC24" s="78">
        <f t="shared" si="9"/>
        <v>3594.08</v>
      </c>
      <c r="BD24" s="78">
        <f t="shared" si="2"/>
        <v>0</v>
      </c>
      <c r="BE24" s="79">
        <f t="shared" si="0"/>
        <v>3834.08</v>
      </c>
      <c r="BF24" s="80">
        <v>-692.73</v>
      </c>
      <c r="BG24" s="80">
        <v>4.1500000000000004</v>
      </c>
      <c r="BH24" s="80">
        <v>0</v>
      </c>
      <c r="BI24" s="80">
        <v>0</v>
      </c>
      <c r="BJ24" s="81">
        <f t="shared" si="10"/>
        <v>-1858.65</v>
      </c>
      <c r="BK24" s="82">
        <f>ROUND(MAX(BJ24*{0.03,0.1,0.2,0.25,0.3,0.35,0.45}-{0,2520,16920,31920,52920,85920,181920}-BG24,0),2)</f>
        <v>0</v>
      </c>
      <c r="BL24" s="81">
        <f t="shared" si="11"/>
        <v>4.1500000000000004</v>
      </c>
      <c r="BM24" s="83">
        <f t="shared" si="12"/>
        <v>3834.08</v>
      </c>
      <c r="BN24" s="83">
        <v>0</v>
      </c>
      <c r="BO24" s="84">
        <f t="shared" si="13"/>
        <v>3834.08</v>
      </c>
      <c r="BP24" s="50">
        <f t="shared" si="7"/>
        <v>971.3</v>
      </c>
      <c r="BQ24" s="32">
        <f t="shared" si="1"/>
        <v>0</v>
      </c>
      <c r="BR24" s="32" t="str">
        <f>VLOOKUP(H24,社保公积金账单!D:D,1,0)</f>
        <v>370481198807021823</v>
      </c>
      <c r="BS24" s="32">
        <f t="shared" si="8"/>
        <v>0</v>
      </c>
    </row>
    <row r="25" spans="1:71" ht="24.9" customHeight="1">
      <c r="A25" s="66">
        <v>20</v>
      </c>
      <c r="B25" s="67" t="s">
        <v>82</v>
      </c>
      <c r="C25" s="67" t="s">
        <v>387</v>
      </c>
      <c r="D25" s="67" t="s">
        <v>84</v>
      </c>
      <c r="E25" s="67" t="s">
        <v>84</v>
      </c>
      <c r="F25" s="67" t="s">
        <v>388</v>
      </c>
      <c r="G25" s="67" t="s">
        <v>126</v>
      </c>
      <c r="H25" s="67" t="s">
        <v>127</v>
      </c>
      <c r="I25" s="68">
        <v>13671903482</v>
      </c>
      <c r="J25" s="67" t="s">
        <v>7</v>
      </c>
      <c r="K25" s="67" t="s">
        <v>87</v>
      </c>
      <c r="L25" s="67" t="s">
        <v>487</v>
      </c>
      <c r="M25" s="68">
        <v>238976854</v>
      </c>
      <c r="N25" s="68" t="s">
        <v>128</v>
      </c>
      <c r="O25" s="69">
        <v>42353</v>
      </c>
      <c r="P25" s="69" t="s">
        <v>390</v>
      </c>
      <c r="Q25" s="70">
        <v>2690</v>
      </c>
      <c r="R25" s="70">
        <v>10</v>
      </c>
      <c r="S25" s="71">
        <v>0</v>
      </c>
      <c r="T25" s="71">
        <v>15</v>
      </c>
      <c r="U25" s="71">
        <v>15</v>
      </c>
      <c r="V25" s="71">
        <v>0</v>
      </c>
      <c r="W25" s="71">
        <v>0</v>
      </c>
      <c r="X25" s="71">
        <v>0</v>
      </c>
      <c r="Y25" s="70">
        <v>2690</v>
      </c>
      <c r="Z25" s="70">
        <v>0</v>
      </c>
      <c r="AA25" s="70">
        <v>0</v>
      </c>
      <c r="AB25" s="71">
        <v>182.17</v>
      </c>
      <c r="AC25" s="71">
        <v>255.94444444444446</v>
      </c>
      <c r="AD25" s="72">
        <v>1.4049758162400201</v>
      </c>
      <c r="AE25" s="71">
        <v>1625.4166666666667</v>
      </c>
      <c r="AF25" s="71">
        <v>210</v>
      </c>
      <c r="AG25" s="71">
        <v>264.58333333333331</v>
      </c>
      <c r="AH25" s="70">
        <v>1150.8333333333335</v>
      </c>
      <c r="AI25" s="70">
        <v>0</v>
      </c>
      <c r="AJ25" s="70">
        <v>80</v>
      </c>
      <c r="AK25" s="70">
        <v>80</v>
      </c>
      <c r="AL25" s="70">
        <v>0</v>
      </c>
      <c r="AM25" s="70">
        <v>120</v>
      </c>
      <c r="AN25" s="15"/>
      <c r="AO25" s="16"/>
      <c r="AP25" s="18"/>
      <c r="AQ25" s="17">
        <v>0</v>
      </c>
      <c r="AR25" s="73"/>
      <c r="AS25" s="74"/>
      <c r="AT25" s="74"/>
      <c r="AU25" s="70"/>
      <c r="AV25" s="70"/>
      <c r="AW25" s="75">
        <v>4040.83</v>
      </c>
      <c r="AX25" s="76">
        <v>2740</v>
      </c>
      <c r="AY25" s="70" t="s">
        <v>470</v>
      </c>
      <c r="AZ25" s="98">
        <v>783.3</v>
      </c>
      <c r="BA25" s="98">
        <v>188</v>
      </c>
      <c r="BB25" s="77">
        <v>0</v>
      </c>
      <c r="BC25" s="78">
        <f t="shared" si="9"/>
        <v>2869.53</v>
      </c>
      <c r="BD25" s="78">
        <f t="shared" si="2"/>
        <v>0</v>
      </c>
      <c r="BE25" s="79">
        <f t="shared" si="0"/>
        <v>3069.53</v>
      </c>
      <c r="BF25" s="80">
        <v>-3544.99</v>
      </c>
      <c r="BG25" s="80">
        <v>0</v>
      </c>
      <c r="BH25" s="80">
        <v>0</v>
      </c>
      <c r="BI25" s="80">
        <v>0</v>
      </c>
      <c r="BJ25" s="81">
        <f t="shared" si="10"/>
        <v>-5475.46</v>
      </c>
      <c r="BK25" s="82">
        <f>ROUND(MAX(BJ25*{0.03,0.1,0.2,0.25,0.3,0.35,0.45}-{0,2520,16920,31920,52920,85920,181920}-BG25,0),2)</f>
        <v>0</v>
      </c>
      <c r="BL25" s="81">
        <f t="shared" si="11"/>
        <v>0</v>
      </c>
      <c r="BM25" s="83">
        <f t="shared" si="12"/>
        <v>3069.53</v>
      </c>
      <c r="BN25" s="83">
        <v>0</v>
      </c>
      <c r="BO25" s="84">
        <f t="shared" si="13"/>
        <v>3069.53</v>
      </c>
      <c r="BP25" s="50">
        <f t="shared" si="7"/>
        <v>971.3</v>
      </c>
      <c r="BQ25" s="32">
        <f t="shared" si="1"/>
        <v>0</v>
      </c>
      <c r="BR25" s="32" t="str">
        <f>VLOOKUP(H25,社保公积金账单!D:D,1,0)</f>
        <v>413026197908287553</v>
      </c>
      <c r="BS25" s="32">
        <f t="shared" si="8"/>
        <v>0</v>
      </c>
    </row>
    <row r="26" spans="1:71" ht="24.9" customHeight="1">
      <c r="A26" s="66">
        <v>21</v>
      </c>
      <c r="B26" s="67" t="s">
        <v>82</v>
      </c>
      <c r="C26" s="67" t="s">
        <v>387</v>
      </c>
      <c r="D26" s="67" t="s">
        <v>84</v>
      </c>
      <c r="E26" s="67" t="s">
        <v>84</v>
      </c>
      <c r="F26" s="67" t="s">
        <v>388</v>
      </c>
      <c r="G26" s="67" t="s">
        <v>492</v>
      </c>
      <c r="H26" s="67" t="s">
        <v>493</v>
      </c>
      <c r="I26" s="68" t="s">
        <v>494</v>
      </c>
      <c r="J26" s="67" t="s">
        <v>7</v>
      </c>
      <c r="K26" s="67" t="s">
        <v>87</v>
      </c>
      <c r="L26" s="67" t="s">
        <v>487</v>
      </c>
      <c r="M26" s="68">
        <v>238976852</v>
      </c>
      <c r="N26" s="68" t="s">
        <v>131</v>
      </c>
      <c r="O26" s="69">
        <v>45545</v>
      </c>
      <c r="P26" s="69" t="s">
        <v>390</v>
      </c>
      <c r="Q26" s="70">
        <v>2690</v>
      </c>
      <c r="R26" s="70">
        <v>1</v>
      </c>
      <c r="S26" s="71">
        <v>0</v>
      </c>
      <c r="T26" s="71">
        <v>15</v>
      </c>
      <c r="U26" s="71">
        <v>15</v>
      </c>
      <c r="V26" s="71">
        <v>0</v>
      </c>
      <c r="W26" s="71">
        <v>0</v>
      </c>
      <c r="X26" s="71">
        <v>0</v>
      </c>
      <c r="Y26" s="70">
        <v>2690</v>
      </c>
      <c r="Z26" s="70">
        <v>0</v>
      </c>
      <c r="AA26" s="70">
        <v>0</v>
      </c>
      <c r="AB26" s="71">
        <v>129.30000000000001</v>
      </c>
      <c r="AC26" s="71">
        <v>183.36111111111111</v>
      </c>
      <c r="AD26" s="72">
        <v>1.4181060410758786</v>
      </c>
      <c r="AE26" s="71">
        <v>1228.0833333333335</v>
      </c>
      <c r="AF26" s="71">
        <v>0</v>
      </c>
      <c r="AG26" s="71">
        <v>264.125</v>
      </c>
      <c r="AH26" s="70">
        <v>963.95833333333348</v>
      </c>
      <c r="AI26" s="70">
        <v>0</v>
      </c>
      <c r="AJ26" s="70">
        <v>80</v>
      </c>
      <c r="AK26" s="70">
        <v>80</v>
      </c>
      <c r="AL26" s="70">
        <v>0</v>
      </c>
      <c r="AM26" s="70">
        <v>150</v>
      </c>
      <c r="AN26" s="15"/>
      <c r="AO26" s="16"/>
      <c r="AP26" s="18"/>
      <c r="AQ26" s="17">
        <v>0</v>
      </c>
      <c r="AR26" s="73"/>
      <c r="AS26" s="74"/>
      <c r="AT26" s="74"/>
      <c r="AU26" s="70"/>
      <c r="AV26" s="70"/>
      <c r="AW26" s="75">
        <v>3883.96</v>
      </c>
      <c r="AX26" s="76">
        <v>2740</v>
      </c>
      <c r="AY26" s="70" t="s">
        <v>470</v>
      </c>
      <c r="AZ26" s="98">
        <v>783.3</v>
      </c>
      <c r="BA26" s="98">
        <v>188</v>
      </c>
      <c r="BB26" s="77">
        <v>0</v>
      </c>
      <c r="BC26" s="78">
        <f t="shared" si="9"/>
        <v>2682.66</v>
      </c>
      <c r="BD26" s="78">
        <f t="shared" si="2"/>
        <v>57.34</v>
      </c>
      <c r="BE26" s="79">
        <f t="shared" si="0"/>
        <v>2970</v>
      </c>
      <c r="BF26" s="80">
        <v>-4817.53</v>
      </c>
      <c r="BG26" s="80">
        <v>0</v>
      </c>
      <c r="BH26" s="80">
        <v>0</v>
      </c>
      <c r="BI26" s="80">
        <v>0</v>
      </c>
      <c r="BJ26" s="81">
        <f t="shared" si="10"/>
        <v>-6847.53</v>
      </c>
      <c r="BK26" s="82">
        <f>ROUND(MAX(BJ26*{0.03,0.1,0.2,0.25,0.3,0.35,0.45}-{0,2520,16920,31920,52920,85920,181920}-BG26,0),2)</f>
        <v>0</v>
      </c>
      <c r="BL26" s="81">
        <f t="shared" si="11"/>
        <v>0</v>
      </c>
      <c r="BM26" s="83">
        <f t="shared" si="12"/>
        <v>2970</v>
      </c>
      <c r="BN26" s="83">
        <v>0</v>
      </c>
      <c r="BO26" s="84">
        <f t="shared" si="13"/>
        <v>2970</v>
      </c>
      <c r="BP26" s="50">
        <f t="shared" si="7"/>
        <v>971.3</v>
      </c>
      <c r="BQ26" s="32">
        <f t="shared" si="1"/>
        <v>0</v>
      </c>
      <c r="BR26" s="32" t="str">
        <f>VLOOKUP(H26,社保公积金账单!D:D,1,0)</f>
        <v>341622198311041341</v>
      </c>
      <c r="BS26" s="32">
        <f t="shared" si="8"/>
        <v>0</v>
      </c>
    </row>
    <row r="27" spans="1:71" ht="24.9" customHeight="1">
      <c r="A27" s="66">
        <v>22</v>
      </c>
      <c r="B27" s="67" t="s">
        <v>82</v>
      </c>
      <c r="C27" s="67" t="s">
        <v>387</v>
      </c>
      <c r="D27" s="67" t="s">
        <v>84</v>
      </c>
      <c r="E27" s="67" t="s">
        <v>84</v>
      </c>
      <c r="F27" s="67" t="s">
        <v>388</v>
      </c>
      <c r="G27" s="67" t="s">
        <v>406</v>
      </c>
      <c r="H27" s="67" t="s">
        <v>407</v>
      </c>
      <c r="I27" s="68" t="s">
        <v>411</v>
      </c>
      <c r="J27" s="67" t="s">
        <v>7</v>
      </c>
      <c r="K27" s="67" t="s">
        <v>87</v>
      </c>
      <c r="L27" s="67" t="s">
        <v>487</v>
      </c>
      <c r="M27" s="68">
        <v>238976862</v>
      </c>
      <c r="N27" s="68" t="s">
        <v>134</v>
      </c>
      <c r="O27" s="69">
        <v>44501</v>
      </c>
      <c r="P27" s="69" t="s">
        <v>390</v>
      </c>
      <c r="Q27" s="70">
        <v>2690</v>
      </c>
      <c r="R27" s="70">
        <v>4</v>
      </c>
      <c r="S27" s="71">
        <v>0</v>
      </c>
      <c r="T27" s="71">
        <v>15</v>
      </c>
      <c r="U27" s="71">
        <v>15</v>
      </c>
      <c r="V27" s="71">
        <v>0</v>
      </c>
      <c r="W27" s="71">
        <v>0</v>
      </c>
      <c r="X27" s="71">
        <v>0</v>
      </c>
      <c r="Y27" s="70">
        <v>2690</v>
      </c>
      <c r="Z27" s="70">
        <v>6</v>
      </c>
      <c r="AA27" s="70">
        <v>755.86206896551721</v>
      </c>
      <c r="AB27" s="71">
        <v>199.99</v>
      </c>
      <c r="AC27" s="71">
        <v>275.5</v>
      </c>
      <c r="AD27" s="72">
        <v>1.3775688784439222</v>
      </c>
      <c r="AE27" s="71">
        <v>1931.9999999999998</v>
      </c>
      <c r="AF27" s="71">
        <v>37.5</v>
      </c>
      <c r="AG27" s="71">
        <v>343.58333333333337</v>
      </c>
      <c r="AH27" s="70">
        <v>1550.9166666666665</v>
      </c>
      <c r="AI27" s="70">
        <v>0</v>
      </c>
      <c r="AJ27" s="70">
        <v>80</v>
      </c>
      <c r="AK27" s="70">
        <v>80</v>
      </c>
      <c r="AL27" s="70">
        <v>0</v>
      </c>
      <c r="AM27" s="70">
        <v>150</v>
      </c>
      <c r="AN27" s="15"/>
      <c r="AO27" s="16"/>
      <c r="AP27" s="18"/>
      <c r="AQ27" s="17">
        <v>0</v>
      </c>
      <c r="AR27" s="73"/>
      <c r="AS27" s="74"/>
      <c r="AT27" s="74"/>
      <c r="AU27" s="70"/>
      <c r="AV27" s="70"/>
      <c r="AW27" s="75">
        <v>5226.78</v>
      </c>
      <c r="AX27" s="76">
        <v>2740</v>
      </c>
      <c r="AY27" s="70" t="s">
        <v>470</v>
      </c>
      <c r="AZ27" s="98">
        <v>783.3</v>
      </c>
      <c r="BA27" s="98">
        <v>188</v>
      </c>
      <c r="BB27" s="77">
        <v>0</v>
      </c>
      <c r="BC27" s="78">
        <f t="shared" si="9"/>
        <v>3269.62</v>
      </c>
      <c r="BD27" s="78">
        <f t="shared" si="2"/>
        <v>0</v>
      </c>
      <c r="BE27" s="79">
        <f t="shared" si="0"/>
        <v>4255.4799999999996</v>
      </c>
      <c r="BF27" s="80">
        <v>-1217.8499999999999</v>
      </c>
      <c r="BG27" s="80">
        <v>0</v>
      </c>
      <c r="BH27" s="80">
        <v>0</v>
      </c>
      <c r="BI27" s="80">
        <v>0</v>
      </c>
      <c r="BJ27" s="81">
        <f t="shared" si="10"/>
        <v>-1962.37</v>
      </c>
      <c r="BK27" s="82">
        <f>ROUND(MAX(BJ27*{0.03,0.1,0.2,0.25,0.3,0.35,0.45}-{0,2520,16920,31920,52920,85920,181920}-BG27,0),2)</f>
        <v>0</v>
      </c>
      <c r="BL27" s="81">
        <f t="shared" si="11"/>
        <v>0</v>
      </c>
      <c r="BM27" s="83">
        <f t="shared" si="12"/>
        <v>4255.4799999999996</v>
      </c>
      <c r="BN27" s="83">
        <v>0</v>
      </c>
      <c r="BO27" s="84">
        <f t="shared" si="13"/>
        <v>4255.4799999999996</v>
      </c>
      <c r="BP27" s="50">
        <f t="shared" si="7"/>
        <v>971.3</v>
      </c>
      <c r="BQ27" s="32">
        <f t="shared" si="1"/>
        <v>0</v>
      </c>
      <c r="BR27" s="32" t="str">
        <f>VLOOKUP(H27,社保公积金账单!D:D,1,0)</f>
        <v>320882197404083426</v>
      </c>
      <c r="BS27" s="32">
        <f t="shared" si="8"/>
        <v>0</v>
      </c>
    </row>
    <row r="28" spans="1:71" ht="24.9" customHeight="1">
      <c r="A28" s="66">
        <v>23</v>
      </c>
      <c r="B28" s="67" t="s">
        <v>82</v>
      </c>
      <c r="C28" s="67" t="s">
        <v>387</v>
      </c>
      <c r="D28" s="67" t="s">
        <v>84</v>
      </c>
      <c r="E28" s="67" t="s">
        <v>84</v>
      </c>
      <c r="F28" s="67" t="s">
        <v>388</v>
      </c>
      <c r="G28" s="67" t="s">
        <v>360</v>
      </c>
      <c r="H28" s="67" t="s">
        <v>361</v>
      </c>
      <c r="I28" s="68" t="s">
        <v>488</v>
      </c>
      <c r="J28" s="67" t="s">
        <v>7</v>
      </c>
      <c r="K28" s="67" t="s">
        <v>87</v>
      </c>
      <c r="L28" s="67" t="s">
        <v>487</v>
      </c>
      <c r="M28" s="68">
        <v>238976856</v>
      </c>
      <c r="N28" s="68" t="s">
        <v>352</v>
      </c>
      <c r="O28" s="69">
        <v>44287</v>
      </c>
      <c r="P28" s="69" t="s">
        <v>390</v>
      </c>
      <c r="Q28" s="70">
        <v>2690</v>
      </c>
      <c r="R28" s="70">
        <v>4</v>
      </c>
      <c r="S28" s="71">
        <v>0</v>
      </c>
      <c r="T28" s="71">
        <v>22</v>
      </c>
      <c r="U28" s="71">
        <v>22</v>
      </c>
      <c r="V28" s="71">
        <v>0</v>
      </c>
      <c r="W28" s="71">
        <v>0</v>
      </c>
      <c r="X28" s="71">
        <v>0</v>
      </c>
      <c r="Y28" s="70">
        <v>2690</v>
      </c>
      <c r="Z28" s="70">
        <v>0</v>
      </c>
      <c r="AA28" s="70">
        <v>0</v>
      </c>
      <c r="AB28" s="71">
        <v>293.64999999999998</v>
      </c>
      <c r="AC28" s="71">
        <v>434.66666666666657</v>
      </c>
      <c r="AD28" s="72">
        <v>1.4802202168113965</v>
      </c>
      <c r="AE28" s="71">
        <v>2929.8333333333321</v>
      </c>
      <c r="AF28" s="71">
        <v>0</v>
      </c>
      <c r="AG28" s="71">
        <v>521.41666666666674</v>
      </c>
      <c r="AH28" s="70">
        <v>1728.4166666666652</v>
      </c>
      <c r="AI28" s="70">
        <v>0</v>
      </c>
      <c r="AJ28" s="70">
        <v>80</v>
      </c>
      <c r="AK28" s="70">
        <v>80</v>
      </c>
      <c r="AL28" s="70">
        <v>0</v>
      </c>
      <c r="AM28" s="70">
        <v>190</v>
      </c>
      <c r="AN28" s="15"/>
      <c r="AO28" s="16"/>
      <c r="AP28" s="18"/>
      <c r="AQ28" s="17">
        <v>0</v>
      </c>
      <c r="AR28" s="73"/>
      <c r="AS28" s="74"/>
      <c r="AT28" s="74"/>
      <c r="AU28" s="70"/>
      <c r="AV28" s="70"/>
      <c r="AW28" s="75">
        <v>4688.42</v>
      </c>
      <c r="AX28" s="76">
        <v>2740</v>
      </c>
      <c r="AY28" s="70" t="s">
        <v>470</v>
      </c>
      <c r="AZ28" s="98">
        <v>783.3</v>
      </c>
      <c r="BA28" s="98">
        <v>188</v>
      </c>
      <c r="BB28" s="77">
        <v>0</v>
      </c>
      <c r="BC28" s="78">
        <f t="shared" si="9"/>
        <v>3447.12</v>
      </c>
      <c r="BD28" s="78">
        <f t="shared" si="2"/>
        <v>0</v>
      </c>
      <c r="BE28" s="79">
        <f t="shared" si="0"/>
        <v>3717.12</v>
      </c>
      <c r="BF28" s="80">
        <v>-1623.27</v>
      </c>
      <c r="BG28" s="80">
        <v>0</v>
      </c>
      <c r="BH28" s="80">
        <v>0</v>
      </c>
      <c r="BI28" s="80">
        <v>0</v>
      </c>
      <c r="BJ28" s="81">
        <f t="shared" si="10"/>
        <v>-2906.15</v>
      </c>
      <c r="BK28" s="82">
        <f>ROUND(MAX(BJ28*{0.03,0.1,0.2,0.25,0.3,0.35,0.45}-{0,2520,16920,31920,52920,85920,181920}-BG28,0),2)</f>
        <v>0</v>
      </c>
      <c r="BL28" s="81">
        <f t="shared" si="11"/>
        <v>0</v>
      </c>
      <c r="BM28" s="83">
        <f t="shared" si="12"/>
        <v>3717.12</v>
      </c>
      <c r="BN28" s="83">
        <v>0</v>
      </c>
      <c r="BO28" s="84">
        <f t="shared" si="13"/>
        <v>3717.12</v>
      </c>
      <c r="BP28" s="50">
        <f t="shared" si="7"/>
        <v>971.3</v>
      </c>
      <c r="BQ28" s="32">
        <f t="shared" si="1"/>
        <v>0</v>
      </c>
      <c r="BR28" s="32" t="str">
        <f>VLOOKUP(H28,社保公积金账单!D:D,1,0)</f>
        <v>511023197705278588</v>
      </c>
      <c r="BS28" s="32">
        <f t="shared" si="8"/>
        <v>0</v>
      </c>
    </row>
    <row r="29" spans="1:71" ht="24.9" customHeight="1">
      <c r="A29" s="66">
        <v>24</v>
      </c>
      <c r="B29" s="67" t="s">
        <v>82</v>
      </c>
      <c r="C29" s="67" t="s">
        <v>387</v>
      </c>
      <c r="D29" s="67" t="s">
        <v>84</v>
      </c>
      <c r="E29" s="67" t="s">
        <v>84</v>
      </c>
      <c r="F29" s="67" t="s">
        <v>388</v>
      </c>
      <c r="G29" s="67" t="s">
        <v>96</v>
      </c>
      <c r="H29" s="67" t="s">
        <v>97</v>
      </c>
      <c r="I29" s="68" t="s">
        <v>391</v>
      </c>
      <c r="J29" s="67" t="s">
        <v>7</v>
      </c>
      <c r="K29" s="67" t="s">
        <v>87</v>
      </c>
      <c r="L29" s="67" t="s">
        <v>487</v>
      </c>
      <c r="M29" s="68">
        <v>238976862</v>
      </c>
      <c r="N29" s="68" t="s">
        <v>414</v>
      </c>
      <c r="O29" s="69">
        <v>39548</v>
      </c>
      <c r="P29" s="69" t="s">
        <v>390</v>
      </c>
      <c r="Q29" s="70">
        <v>2690</v>
      </c>
      <c r="R29" s="70">
        <v>17</v>
      </c>
      <c r="S29" s="71">
        <v>0</v>
      </c>
      <c r="T29" s="71">
        <v>15</v>
      </c>
      <c r="U29" s="71">
        <v>15</v>
      </c>
      <c r="V29" s="71">
        <v>0</v>
      </c>
      <c r="W29" s="71">
        <v>0</v>
      </c>
      <c r="X29" s="71">
        <v>0</v>
      </c>
      <c r="Y29" s="70">
        <v>2690</v>
      </c>
      <c r="Z29" s="70">
        <v>0</v>
      </c>
      <c r="AA29" s="70">
        <v>0</v>
      </c>
      <c r="AB29" s="71">
        <v>141.35</v>
      </c>
      <c r="AC29" s="71">
        <v>259</v>
      </c>
      <c r="AD29" s="72">
        <v>1.8323310930314822</v>
      </c>
      <c r="AE29" s="71">
        <v>1736.5</v>
      </c>
      <c r="AF29" s="71">
        <v>0</v>
      </c>
      <c r="AG29" s="71">
        <v>197.66666666666669</v>
      </c>
      <c r="AH29" s="70">
        <v>1538.8333333333333</v>
      </c>
      <c r="AI29" s="70">
        <v>0</v>
      </c>
      <c r="AJ29" s="70">
        <v>80</v>
      </c>
      <c r="AK29" s="70">
        <v>80</v>
      </c>
      <c r="AL29" s="70">
        <v>0</v>
      </c>
      <c r="AM29" s="70">
        <v>150</v>
      </c>
      <c r="AN29" s="15"/>
      <c r="AO29" s="16"/>
      <c r="AP29" s="16"/>
      <c r="AQ29" s="17">
        <v>0</v>
      </c>
      <c r="AR29" s="73"/>
      <c r="AS29" s="74"/>
      <c r="AT29" s="74"/>
      <c r="AU29" s="70"/>
      <c r="AV29" s="70"/>
      <c r="AW29" s="75">
        <v>4458.83</v>
      </c>
      <c r="AX29" s="76">
        <v>2740</v>
      </c>
      <c r="AY29" s="70" t="s">
        <v>470</v>
      </c>
      <c r="AZ29" s="98">
        <v>783.3</v>
      </c>
      <c r="BA29" s="98">
        <v>188</v>
      </c>
      <c r="BB29" s="77">
        <v>0</v>
      </c>
      <c r="BC29" s="78">
        <f t="shared" si="9"/>
        <v>3257.53</v>
      </c>
      <c r="BD29" s="78">
        <f t="shared" si="2"/>
        <v>0</v>
      </c>
      <c r="BE29" s="79">
        <f t="shared" si="0"/>
        <v>3487.53</v>
      </c>
      <c r="BF29" s="80">
        <v>-2059.14</v>
      </c>
      <c r="BG29" s="80">
        <v>0</v>
      </c>
      <c r="BH29" s="80">
        <v>0</v>
      </c>
      <c r="BI29" s="80">
        <v>0</v>
      </c>
      <c r="BJ29" s="81">
        <f t="shared" si="10"/>
        <v>-3571.61</v>
      </c>
      <c r="BK29" s="82">
        <f>ROUND(MAX(BJ29*{0.03,0.1,0.2,0.25,0.3,0.35,0.45}-{0,2520,16920,31920,52920,85920,181920}-BG29,0),2)</f>
        <v>0</v>
      </c>
      <c r="BL29" s="81">
        <f t="shared" si="11"/>
        <v>0</v>
      </c>
      <c r="BM29" s="83">
        <f t="shared" si="12"/>
        <v>3487.53</v>
      </c>
      <c r="BN29" s="83">
        <v>0</v>
      </c>
      <c r="BO29" s="84">
        <f t="shared" si="13"/>
        <v>3487.53</v>
      </c>
      <c r="BP29" s="50">
        <f t="shared" si="7"/>
        <v>971.3</v>
      </c>
      <c r="BQ29" s="32">
        <f t="shared" si="1"/>
        <v>0</v>
      </c>
      <c r="BR29" s="32" t="str">
        <f>VLOOKUP(H29,社保公积金账单!D:D,1,0)</f>
        <v>362329198211245745</v>
      </c>
      <c r="BS29" s="32">
        <f t="shared" si="8"/>
        <v>0</v>
      </c>
    </row>
    <row r="30" spans="1:71" ht="24.9" customHeight="1">
      <c r="A30" s="66">
        <v>25</v>
      </c>
      <c r="B30" s="67" t="s">
        <v>82</v>
      </c>
      <c r="C30" s="67" t="s">
        <v>387</v>
      </c>
      <c r="D30" s="67" t="s">
        <v>84</v>
      </c>
      <c r="E30" s="67" t="s">
        <v>84</v>
      </c>
      <c r="F30" s="67" t="s">
        <v>388</v>
      </c>
      <c r="G30" s="67" t="s">
        <v>218</v>
      </c>
      <c r="H30" s="67" t="s">
        <v>219</v>
      </c>
      <c r="I30" s="68">
        <v>15821963037</v>
      </c>
      <c r="J30" s="67" t="s">
        <v>7</v>
      </c>
      <c r="K30" s="67" t="s">
        <v>87</v>
      </c>
      <c r="L30" s="67" t="s">
        <v>487</v>
      </c>
      <c r="M30" s="68">
        <v>238976898</v>
      </c>
      <c r="N30" s="68" t="s">
        <v>220</v>
      </c>
      <c r="O30" s="69">
        <v>43160</v>
      </c>
      <c r="P30" s="69" t="s">
        <v>390</v>
      </c>
      <c r="Q30" s="70">
        <v>2690</v>
      </c>
      <c r="R30" s="70">
        <v>8</v>
      </c>
      <c r="S30" s="70">
        <v>0</v>
      </c>
      <c r="T30" s="70">
        <v>16</v>
      </c>
      <c r="U30" s="70">
        <v>16</v>
      </c>
      <c r="V30" s="70">
        <v>0</v>
      </c>
      <c r="W30" s="70">
        <v>0</v>
      </c>
      <c r="X30" s="70">
        <v>0</v>
      </c>
      <c r="Y30" s="70">
        <v>2690</v>
      </c>
      <c r="Z30" s="70">
        <v>0</v>
      </c>
      <c r="AA30" s="70">
        <v>0</v>
      </c>
      <c r="AB30" s="70">
        <v>183.89000000000004</v>
      </c>
      <c r="AC30" s="70">
        <v>239.69444444444443</v>
      </c>
      <c r="AD30" s="85">
        <v>1.3034664443115143</v>
      </c>
      <c r="AE30" s="70">
        <v>1644.9166666666663</v>
      </c>
      <c r="AF30" s="71">
        <v>467</v>
      </c>
      <c r="AG30" s="71">
        <v>177.375</v>
      </c>
      <c r="AH30" s="70">
        <v>1000.5416666666663</v>
      </c>
      <c r="AI30" s="70">
        <v>0</v>
      </c>
      <c r="AJ30" s="70">
        <v>80</v>
      </c>
      <c r="AK30" s="70">
        <v>80</v>
      </c>
      <c r="AL30" s="70">
        <v>0</v>
      </c>
      <c r="AM30" s="70">
        <v>160</v>
      </c>
      <c r="AN30" s="15"/>
      <c r="AO30" s="16"/>
      <c r="AP30" s="16"/>
      <c r="AQ30" s="17">
        <v>0</v>
      </c>
      <c r="AR30" s="73"/>
      <c r="AS30" s="74"/>
      <c r="AT30" s="74"/>
      <c r="AU30" s="70"/>
      <c r="AV30" s="70"/>
      <c r="AW30" s="75">
        <v>3930.54</v>
      </c>
      <c r="AX30" s="76">
        <v>2740</v>
      </c>
      <c r="AY30" s="70" t="s">
        <v>470</v>
      </c>
      <c r="AZ30" s="98">
        <v>783.3</v>
      </c>
      <c r="BA30" s="98">
        <v>188</v>
      </c>
      <c r="BB30" s="77">
        <v>0</v>
      </c>
      <c r="BC30" s="78">
        <f t="shared" si="9"/>
        <v>2719.24</v>
      </c>
      <c r="BD30" s="78">
        <f t="shared" si="2"/>
        <v>20.76</v>
      </c>
      <c r="BE30" s="79">
        <f t="shared" si="0"/>
        <v>2980</v>
      </c>
      <c r="BF30" s="80">
        <v>-2647.26</v>
      </c>
      <c r="BG30" s="80">
        <v>0</v>
      </c>
      <c r="BH30" s="80">
        <v>1600</v>
      </c>
      <c r="BI30" s="80">
        <v>1200</v>
      </c>
      <c r="BJ30" s="81">
        <f t="shared" si="10"/>
        <v>-5067.26</v>
      </c>
      <c r="BK30" s="82">
        <f>ROUND(MAX(BJ30*{0.03,0.1,0.2,0.25,0.3,0.35,0.45}-{0,2520,16920,31920,52920,85920,181920}-BG30,0),2)</f>
        <v>0</v>
      </c>
      <c r="BL30" s="81">
        <f t="shared" si="11"/>
        <v>0</v>
      </c>
      <c r="BM30" s="83">
        <f t="shared" si="12"/>
        <v>2980</v>
      </c>
      <c r="BN30" s="83">
        <v>0</v>
      </c>
      <c r="BO30" s="84">
        <f t="shared" si="13"/>
        <v>2980</v>
      </c>
      <c r="BP30" s="50">
        <f t="shared" si="7"/>
        <v>971.3</v>
      </c>
      <c r="BQ30" s="32">
        <f t="shared" si="1"/>
        <v>0</v>
      </c>
      <c r="BR30" s="32" t="str">
        <f>VLOOKUP(H30,社保公积金账单!D:D,1,0)</f>
        <v>340222197807066625</v>
      </c>
      <c r="BS30" s="32">
        <f t="shared" si="8"/>
        <v>0</v>
      </c>
    </row>
    <row r="31" spans="1:71" ht="24.9" customHeight="1">
      <c r="A31" s="66">
        <v>26</v>
      </c>
      <c r="B31" s="67" t="s">
        <v>82</v>
      </c>
      <c r="C31" s="67" t="s">
        <v>387</v>
      </c>
      <c r="D31" s="67" t="s">
        <v>84</v>
      </c>
      <c r="E31" s="67" t="s">
        <v>84</v>
      </c>
      <c r="F31" s="67" t="s">
        <v>388</v>
      </c>
      <c r="G31" s="67" t="s">
        <v>223</v>
      </c>
      <c r="H31" s="67" t="s">
        <v>224</v>
      </c>
      <c r="I31" s="68">
        <v>15000805616</v>
      </c>
      <c r="J31" s="67" t="s">
        <v>7</v>
      </c>
      <c r="K31" s="67" t="s">
        <v>87</v>
      </c>
      <c r="L31" s="67" t="s">
        <v>487</v>
      </c>
      <c r="M31" s="68">
        <v>238976892</v>
      </c>
      <c r="N31" s="68" t="s">
        <v>225</v>
      </c>
      <c r="O31" s="69">
        <v>42821</v>
      </c>
      <c r="P31" s="69" t="s">
        <v>390</v>
      </c>
      <c r="Q31" s="70">
        <v>2690</v>
      </c>
      <c r="R31" s="70">
        <v>8</v>
      </c>
      <c r="S31" s="71">
        <v>0</v>
      </c>
      <c r="T31" s="71">
        <v>16</v>
      </c>
      <c r="U31" s="71">
        <v>16</v>
      </c>
      <c r="V31" s="71">
        <v>0</v>
      </c>
      <c r="W31" s="71">
        <v>0</v>
      </c>
      <c r="X31" s="71">
        <v>0</v>
      </c>
      <c r="Y31" s="70">
        <v>2690</v>
      </c>
      <c r="Z31" s="70">
        <v>0</v>
      </c>
      <c r="AA31" s="70">
        <v>0</v>
      </c>
      <c r="AB31" s="71">
        <v>225.25999999999996</v>
      </c>
      <c r="AC31" s="71">
        <v>289.63888888888886</v>
      </c>
      <c r="AD31" s="72">
        <v>1.2857981394339382</v>
      </c>
      <c r="AE31" s="71">
        <v>1979.3333333333337</v>
      </c>
      <c r="AF31" s="71">
        <v>0</v>
      </c>
      <c r="AG31" s="71">
        <v>256.25</v>
      </c>
      <c r="AH31" s="70">
        <v>861.54166666666686</v>
      </c>
      <c r="AI31" s="70">
        <v>0</v>
      </c>
      <c r="AJ31" s="70">
        <v>80</v>
      </c>
      <c r="AK31" s="70">
        <v>80</v>
      </c>
      <c r="AL31" s="70">
        <v>0</v>
      </c>
      <c r="AM31" s="70">
        <v>160</v>
      </c>
      <c r="AN31" s="15"/>
      <c r="AO31" s="16"/>
      <c r="AP31" s="16"/>
      <c r="AQ31" s="17">
        <v>0</v>
      </c>
      <c r="AR31" s="73"/>
      <c r="AS31" s="74"/>
      <c r="AT31" s="74"/>
      <c r="AU31" s="70"/>
      <c r="AV31" s="70"/>
      <c r="AW31" s="75">
        <v>3791.54</v>
      </c>
      <c r="AX31" s="76">
        <v>2740</v>
      </c>
      <c r="AY31" s="70" t="s">
        <v>470</v>
      </c>
      <c r="AZ31" s="98">
        <v>783.3</v>
      </c>
      <c r="BA31" s="98">
        <v>188</v>
      </c>
      <c r="BB31" s="77">
        <v>0</v>
      </c>
      <c r="BC31" s="78">
        <f t="shared" si="9"/>
        <v>2580.2399999999998</v>
      </c>
      <c r="BD31" s="78">
        <f t="shared" si="2"/>
        <v>159.76</v>
      </c>
      <c r="BE31" s="79">
        <f t="shared" ref="BE31:BE36" si="14">ROUND(AW31-AZ31-BA31+BB31+BD31,2)</f>
        <v>2980</v>
      </c>
      <c r="BF31" s="80">
        <v>-6679.09</v>
      </c>
      <c r="BG31" s="80">
        <v>0</v>
      </c>
      <c r="BH31" s="80">
        <v>0</v>
      </c>
      <c r="BI31" s="80">
        <v>0</v>
      </c>
      <c r="BJ31" s="81">
        <f t="shared" ref="BJ31:BJ36" si="15">ROUND(BF31+BE31-5000-(BH31-BI31),2)</f>
        <v>-8699.09</v>
      </c>
      <c r="BK31" s="82">
        <f>ROUND(MAX(BJ31*{0.03,0.1,0.2,0.25,0.3,0.35,0.45}-{0,2520,16920,31920,52920,85920,181920}-BG31,0),2)</f>
        <v>0</v>
      </c>
      <c r="BL31" s="81">
        <f t="shared" ref="BL31:BL36" si="16">BG31+BK31</f>
        <v>0</v>
      </c>
      <c r="BM31" s="83">
        <f t="shared" si="12"/>
        <v>2980</v>
      </c>
      <c r="BN31" s="83">
        <v>0</v>
      </c>
      <c r="BO31" s="84">
        <f t="shared" si="13"/>
        <v>2980</v>
      </c>
      <c r="BP31" s="50">
        <f t="shared" ref="BP31:BP36" si="17">AZ31+BA31</f>
        <v>971.3</v>
      </c>
      <c r="BQ31" s="32">
        <f t="shared" ref="BQ31:BQ36" si="18">AS31+AU31</f>
        <v>0</v>
      </c>
      <c r="BR31" s="32" t="str">
        <f>VLOOKUP(H31,社保公积金账单!D:D,1,0)</f>
        <v>210422198201031424</v>
      </c>
      <c r="BS31" s="32">
        <f t="shared" si="8"/>
        <v>0</v>
      </c>
    </row>
    <row r="32" spans="1:71" ht="24.9" customHeight="1">
      <c r="A32" s="66">
        <v>27</v>
      </c>
      <c r="B32" s="67" t="s">
        <v>82</v>
      </c>
      <c r="C32" s="67" t="s">
        <v>387</v>
      </c>
      <c r="D32" s="67" t="s">
        <v>84</v>
      </c>
      <c r="E32" s="67" t="s">
        <v>84</v>
      </c>
      <c r="F32" s="67" t="s">
        <v>388</v>
      </c>
      <c r="G32" s="67" t="s">
        <v>221</v>
      </c>
      <c r="H32" s="67" t="s">
        <v>222</v>
      </c>
      <c r="I32" s="68" t="s">
        <v>486</v>
      </c>
      <c r="J32" s="67" t="s">
        <v>7</v>
      </c>
      <c r="K32" s="67" t="s">
        <v>87</v>
      </c>
      <c r="L32" s="67" t="s">
        <v>487</v>
      </c>
      <c r="M32" s="68">
        <v>238976892</v>
      </c>
      <c r="N32" s="68" t="s">
        <v>225</v>
      </c>
      <c r="O32" s="69">
        <v>39114</v>
      </c>
      <c r="P32" s="69" t="s">
        <v>390</v>
      </c>
      <c r="Q32" s="70">
        <v>2690</v>
      </c>
      <c r="R32" s="70">
        <v>19</v>
      </c>
      <c r="S32" s="71">
        <v>0</v>
      </c>
      <c r="T32" s="71">
        <v>22</v>
      </c>
      <c r="U32" s="71">
        <v>22</v>
      </c>
      <c r="V32" s="71">
        <v>0</v>
      </c>
      <c r="W32" s="71">
        <v>0</v>
      </c>
      <c r="X32" s="71">
        <v>0</v>
      </c>
      <c r="Y32" s="70">
        <v>2690</v>
      </c>
      <c r="Z32" s="70">
        <v>0</v>
      </c>
      <c r="AA32" s="70">
        <v>0</v>
      </c>
      <c r="AB32" s="71">
        <v>225.25999999999996</v>
      </c>
      <c r="AC32" s="71">
        <v>289.63888888888886</v>
      </c>
      <c r="AD32" s="72">
        <v>1.2857981394339382</v>
      </c>
      <c r="AE32" s="71">
        <v>1979.3333333333337</v>
      </c>
      <c r="AF32" s="71">
        <v>0</v>
      </c>
      <c r="AG32" s="71">
        <v>256.25</v>
      </c>
      <c r="AH32" s="70">
        <v>861.54166666666686</v>
      </c>
      <c r="AI32" s="70">
        <v>0</v>
      </c>
      <c r="AJ32" s="70">
        <v>80</v>
      </c>
      <c r="AK32" s="70">
        <v>80</v>
      </c>
      <c r="AL32" s="70">
        <v>0</v>
      </c>
      <c r="AM32" s="70">
        <v>170</v>
      </c>
      <c r="AN32" s="15"/>
      <c r="AO32" s="16"/>
      <c r="AP32" s="16"/>
      <c r="AQ32" s="17">
        <v>0</v>
      </c>
      <c r="AR32" s="73"/>
      <c r="AS32" s="74"/>
      <c r="AT32" s="74"/>
      <c r="AU32" s="70"/>
      <c r="AV32" s="70"/>
      <c r="AW32" s="75">
        <v>3801.54</v>
      </c>
      <c r="AX32" s="76">
        <v>2740</v>
      </c>
      <c r="AY32" s="70" t="s">
        <v>470</v>
      </c>
      <c r="AZ32" s="98">
        <v>783.3</v>
      </c>
      <c r="BA32" s="98">
        <v>188</v>
      </c>
      <c r="BB32" s="77">
        <v>0</v>
      </c>
      <c r="BC32" s="78">
        <f t="shared" si="9"/>
        <v>2580.2399999999998</v>
      </c>
      <c r="BD32" s="78">
        <f t="shared" si="2"/>
        <v>159.76</v>
      </c>
      <c r="BE32" s="79">
        <f t="shared" si="14"/>
        <v>2990</v>
      </c>
      <c r="BF32" s="80">
        <v>-4591.2299999999996</v>
      </c>
      <c r="BG32" s="80">
        <v>0</v>
      </c>
      <c r="BH32" s="80">
        <v>0</v>
      </c>
      <c r="BI32" s="80">
        <v>0</v>
      </c>
      <c r="BJ32" s="81">
        <f t="shared" si="15"/>
        <v>-6601.23</v>
      </c>
      <c r="BK32" s="82">
        <f>ROUND(MAX(BJ32*{0.03,0.1,0.2,0.25,0.3,0.35,0.45}-{0,2520,16920,31920,52920,85920,181920}-BG32,0),2)</f>
        <v>0</v>
      </c>
      <c r="BL32" s="81">
        <f t="shared" si="16"/>
        <v>0</v>
      </c>
      <c r="BM32" s="83">
        <f t="shared" si="12"/>
        <v>2990</v>
      </c>
      <c r="BN32" s="83">
        <v>0</v>
      </c>
      <c r="BO32" s="84">
        <f t="shared" si="13"/>
        <v>2990</v>
      </c>
      <c r="BP32" s="50">
        <f t="shared" si="17"/>
        <v>971.3</v>
      </c>
      <c r="BQ32" s="32">
        <f t="shared" si="18"/>
        <v>0</v>
      </c>
      <c r="BR32" s="32" t="str">
        <f>VLOOKUP(H32,社保公积金账单!D:D,1,0)</f>
        <v>310114197706063424</v>
      </c>
      <c r="BS32" s="32">
        <f t="shared" si="8"/>
        <v>0</v>
      </c>
    </row>
    <row r="33" spans="1:71" ht="24.9" customHeight="1">
      <c r="A33" s="66">
        <v>28</v>
      </c>
      <c r="B33" s="67" t="s">
        <v>82</v>
      </c>
      <c r="C33" s="67" t="s">
        <v>387</v>
      </c>
      <c r="D33" s="67" t="s">
        <v>84</v>
      </c>
      <c r="E33" s="67" t="s">
        <v>84</v>
      </c>
      <c r="F33" s="67" t="s">
        <v>388</v>
      </c>
      <c r="G33" s="67" t="s">
        <v>511</v>
      </c>
      <c r="H33" s="67" t="s">
        <v>512</v>
      </c>
      <c r="I33" s="68" t="s">
        <v>561</v>
      </c>
      <c r="J33" s="67" t="s">
        <v>7</v>
      </c>
      <c r="K33" s="67" t="s">
        <v>87</v>
      </c>
      <c r="L33" s="67" t="s">
        <v>487</v>
      </c>
      <c r="M33" s="68">
        <v>238977282</v>
      </c>
      <c r="N33" s="68" t="s">
        <v>230</v>
      </c>
      <c r="O33" s="69">
        <v>46093</v>
      </c>
      <c r="P33" s="69" t="s">
        <v>390</v>
      </c>
      <c r="Q33" s="70">
        <v>2740</v>
      </c>
      <c r="R33" s="70">
        <v>0</v>
      </c>
      <c r="S33" s="71">
        <v>0</v>
      </c>
      <c r="T33" s="71">
        <v>15</v>
      </c>
      <c r="U33" s="71">
        <v>10</v>
      </c>
      <c r="V33" s="71">
        <v>0</v>
      </c>
      <c r="W33" s="71">
        <v>0</v>
      </c>
      <c r="X33" s="71">
        <v>0</v>
      </c>
      <c r="Y33" s="70">
        <v>1826.6666666666665</v>
      </c>
      <c r="Z33" s="70">
        <v>0</v>
      </c>
      <c r="AA33" s="70">
        <v>0</v>
      </c>
      <c r="AB33" s="71">
        <v>218.92</v>
      </c>
      <c r="AC33" s="71">
        <v>290.97222222222223</v>
      </c>
      <c r="AD33" s="72">
        <v>1.3291258095296101</v>
      </c>
      <c r="AE33" s="71">
        <v>2139.833333333333</v>
      </c>
      <c r="AF33" s="71">
        <v>0</v>
      </c>
      <c r="AG33" s="71">
        <v>648.08333333333337</v>
      </c>
      <c r="AH33" s="70">
        <v>1490.92</v>
      </c>
      <c r="AI33" s="70">
        <v>0</v>
      </c>
      <c r="AJ33" s="70">
        <v>53.333333333333329</v>
      </c>
      <c r="AK33" s="70">
        <v>53.333333333333329</v>
      </c>
      <c r="AL33" s="70">
        <v>0</v>
      </c>
      <c r="AM33" s="70">
        <v>100</v>
      </c>
      <c r="AN33" s="15"/>
      <c r="AO33" s="16"/>
      <c r="AP33" s="16"/>
      <c r="AQ33" s="17">
        <v>0</v>
      </c>
      <c r="AR33" s="73"/>
      <c r="AS33" s="74"/>
      <c r="AT33" s="74"/>
      <c r="AU33" s="70"/>
      <c r="AV33" s="70"/>
      <c r="AW33" s="75">
        <v>3470.92</v>
      </c>
      <c r="AX33" s="76">
        <v>2740</v>
      </c>
      <c r="AY33" s="70" t="s">
        <v>470</v>
      </c>
      <c r="AZ33" s="98">
        <v>783.3</v>
      </c>
      <c r="BA33" s="98">
        <v>192</v>
      </c>
      <c r="BB33" s="77">
        <v>0</v>
      </c>
      <c r="BC33" s="78">
        <f t="shared" si="9"/>
        <v>2342.29</v>
      </c>
      <c r="BD33" s="78">
        <f t="shared" si="2"/>
        <v>0</v>
      </c>
      <c r="BE33" s="79">
        <f t="shared" si="14"/>
        <v>2495.62</v>
      </c>
      <c r="BF33" s="80">
        <v>0</v>
      </c>
      <c r="BG33" s="80">
        <v>0</v>
      </c>
      <c r="BH33" s="80">
        <v>0</v>
      </c>
      <c r="BI33" s="80">
        <v>0</v>
      </c>
      <c r="BJ33" s="81">
        <f t="shared" si="15"/>
        <v>-2504.38</v>
      </c>
      <c r="BK33" s="82">
        <f>ROUND(MAX(BJ33*{0.03,0.1,0.2,0.25,0.3,0.35,0.45}-{0,2520,16920,31920,52920,85920,181920}-BG33,0),2)</f>
        <v>0</v>
      </c>
      <c r="BL33" s="81">
        <f t="shared" si="16"/>
        <v>0</v>
      </c>
      <c r="BM33" s="83">
        <f t="shared" si="12"/>
        <v>2495.62</v>
      </c>
      <c r="BN33" s="83">
        <v>0</v>
      </c>
      <c r="BO33" s="84">
        <f t="shared" si="13"/>
        <v>2495.62</v>
      </c>
      <c r="BP33" s="50">
        <f t="shared" si="17"/>
        <v>975.3</v>
      </c>
      <c r="BQ33" s="32">
        <f t="shared" si="18"/>
        <v>0</v>
      </c>
      <c r="BR33" s="32" t="str">
        <f>VLOOKUP(H33,社保公积金账单!D:D,1,0)</f>
        <v>513030198510153427</v>
      </c>
      <c r="BS33" s="32">
        <f t="shared" si="8"/>
        <v>5</v>
      </c>
    </row>
    <row r="34" spans="1:71" ht="24.9" customHeight="1">
      <c r="A34" s="66">
        <v>29</v>
      </c>
      <c r="B34" s="67" t="s">
        <v>82</v>
      </c>
      <c r="C34" s="67" t="s">
        <v>387</v>
      </c>
      <c r="D34" s="67" t="s">
        <v>84</v>
      </c>
      <c r="E34" s="67" t="s">
        <v>84</v>
      </c>
      <c r="F34" s="67" t="s">
        <v>388</v>
      </c>
      <c r="G34" s="67" t="s">
        <v>234</v>
      </c>
      <c r="H34" s="67" t="s">
        <v>235</v>
      </c>
      <c r="I34" s="68">
        <v>15921030310</v>
      </c>
      <c r="J34" s="67" t="s">
        <v>7</v>
      </c>
      <c r="K34" s="67" t="s">
        <v>87</v>
      </c>
      <c r="L34" s="67" t="s">
        <v>487</v>
      </c>
      <c r="M34" s="68">
        <v>238976894</v>
      </c>
      <c r="N34" s="68" t="s">
        <v>233</v>
      </c>
      <c r="O34" s="69">
        <v>43160</v>
      </c>
      <c r="P34" s="69" t="s">
        <v>390</v>
      </c>
      <c r="Q34" s="70">
        <v>2690</v>
      </c>
      <c r="R34" s="70">
        <v>8</v>
      </c>
      <c r="S34" s="71">
        <v>0</v>
      </c>
      <c r="T34" s="71">
        <v>15</v>
      </c>
      <c r="U34" s="71">
        <v>15</v>
      </c>
      <c r="V34" s="71">
        <v>0</v>
      </c>
      <c r="W34" s="71">
        <v>0</v>
      </c>
      <c r="X34" s="71">
        <v>0</v>
      </c>
      <c r="Y34" s="70">
        <v>2690</v>
      </c>
      <c r="Z34" s="70">
        <v>0</v>
      </c>
      <c r="AA34" s="70">
        <v>0</v>
      </c>
      <c r="AB34" s="71">
        <v>398.21000000000004</v>
      </c>
      <c r="AC34" s="71">
        <v>408.66666666666669</v>
      </c>
      <c r="AD34" s="72">
        <v>1.0262591764814211</v>
      </c>
      <c r="AE34" s="71">
        <v>3537.6666666666661</v>
      </c>
      <c r="AF34" s="71">
        <v>0</v>
      </c>
      <c r="AG34" s="71">
        <v>616.33333333333337</v>
      </c>
      <c r="AH34" s="70">
        <v>2921.3333333333326</v>
      </c>
      <c r="AI34" s="70">
        <v>0</v>
      </c>
      <c r="AJ34" s="70">
        <v>80</v>
      </c>
      <c r="AK34" s="70">
        <v>80</v>
      </c>
      <c r="AL34" s="70">
        <v>0</v>
      </c>
      <c r="AM34" s="70">
        <v>140</v>
      </c>
      <c r="AN34" s="15"/>
      <c r="AO34" s="16"/>
      <c r="AP34" s="16"/>
      <c r="AQ34" s="17">
        <v>0</v>
      </c>
      <c r="AR34" s="73"/>
      <c r="AS34" s="74"/>
      <c r="AT34" s="74"/>
      <c r="AU34" s="70"/>
      <c r="AV34" s="70"/>
      <c r="AW34" s="75">
        <v>5831.33</v>
      </c>
      <c r="AX34" s="76">
        <v>2740</v>
      </c>
      <c r="AY34" s="70" t="s">
        <v>470</v>
      </c>
      <c r="AZ34" s="98">
        <v>783.3</v>
      </c>
      <c r="BA34" s="98">
        <v>188</v>
      </c>
      <c r="BB34" s="77">
        <v>0</v>
      </c>
      <c r="BC34" s="78">
        <f>ROUND(AW34-AZ34-BA34+BB34-AA34-AK34-AT34-AM34,2)</f>
        <v>4640.03</v>
      </c>
      <c r="BD34" s="78">
        <f t="shared" si="2"/>
        <v>0</v>
      </c>
      <c r="BE34" s="79">
        <f t="shared" si="14"/>
        <v>4860.03</v>
      </c>
      <c r="BF34" s="80">
        <v>4504.83</v>
      </c>
      <c r="BG34" s="80">
        <v>135.13999999999999</v>
      </c>
      <c r="BH34" s="80">
        <v>0</v>
      </c>
      <c r="BI34" s="80">
        <v>0</v>
      </c>
      <c r="BJ34" s="81">
        <f t="shared" si="15"/>
        <v>4364.8599999999997</v>
      </c>
      <c r="BK34" s="82">
        <f>ROUND(MAX(BJ34*{0.03,0.1,0.2,0.25,0.3,0.35,0.45}-{0,2520,16920,31920,52920,85920,181920}-BG34,0),2)</f>
        <v>0</v>
      </c>
      <c r="BL34" s="81">
        <f t="shared" si="16"/>
        <v>135.13999999999999</v>
      </c>
      <c r="BM34" s="83">
        <f t="shared" ref="BM34:BM36" si="19">ROUND(BE34-BK34,2)</f>
        <v>4860.03</v>
      </c>
      <c r="BN34" s="83">
        <v>0</v>
      </c>
      <c r="BO34" s="84">
        <f t="shared" ref="BO34:BO36" si="20">BE34+BN34</f>
        <v>4860.03</v>
      </c>
      <c r="BP34" s="50">
        <f t="shared" si="17"/>
        <v>971.3</v>
      </c>
      <c r="BQ34" s="32">
        <f t="shared" si="18"/>
        <v>0</v>
      </c>
      <c r="BR34" s="32" t="str">
        <f>VLOOKUP(H34,社保公积金账单!D:D,1,0)</f>
        <v>310225198204112424</v>
      </c>
      <c r="BS34" s="32">
        <f t="shared" si="8"/>
        <v>0</v>
      </c>
    </row>
    <row r="35" spans="1:71" ht="24.9" customHeight="1">
      <c r="A35" s="66">
        <v>30</v>
      </c>
      <c r="B35" s="67" t="s">
        <v>82</v>
      </c>
      <c r="C35" s="67" t="s">
        <v>387</v>
      </c>
      <c r="D35" s="67" t="s">
        <v>84</v>
      </c>
      <c r="E35" s="67" t="s">
        <v>84</v>
      </c>
      <c r="F35" s="67" t="s">
        <v>388</v>
      </c>
      <c r="G35" s="67" t="s">
        <v>504</v>
      </c>
      <c r="H35" s="67" t="s">
        <v>503</v>
      </c>
      <c r="I35" s="68" t="s">
        <v>505</v>
      </c>
      <c r="J35" s="67" t="s">
        <v>7</v>
      </c>
      <c r="K35" s="67" t="s">
        <v>87</v>
      </c>
      <c r="L35" s="67" t="s">
        <v>487</v>
      </c>
      <c r="M35" s="68">
        <v>238976886</v>
      </c>
      <c r="N35" s="68" t="s">
        <v>238</v>
      </c>
      <c r="O35" s="69">
        <v>45778</v>
      </c>
      <c r="P35" s="69"/>
      <c r="Q35" s="70">
        <v>2690</v>
      </c>
      <c r="R35" s="70">
        <v>0</v>
      </c>
      <c r="S35" s="71">
        <v>0</v>
      </c>
      <c r="T35" s="71">
        <v>22</v>
      </c>
      <c r="U35" s="71">
        <v>22</v>
      </c>
      <c r="V35" s="71">
        <v>0</v>
      </c>
      <c r="W35" s="71">
        <v>0</v>
      </c>
      <c r="X35" s="71">
        <v>0</v>
      </c>
      <c r="Y35" s="70">
        <v>2690</v>
      </c>
      <c r="Z35" s="70">
        <v>0</v>
      </c>
      <c r="AA35" s="70">
        <v>0</v>
      </c>
      <c r="AB35" s="71">
        <v>275.26</v>
      </c>
      <c r="AC35" s="71">
        <v>387.44444444444434</v>
      </c>
      <c r="AD35" s="72">
        <v>1.4075581066789375</v>
      </c>
      <c r="AE35" s="71">
        <v>2975.6666666666661</v>
      </c>
      <c r="AF35" s="71">
        <v>0</v>
      </c>
      <c r="AG35" s="71">
        <v>580.375</v>
      </c>
      <c r="AH35" s="70">
        <v>2395.2916666666661</v>
      </c>
      <c r="AI35" s="70">
        <v>0</v>
      </c>
      <c r="AJ35" s="70">
        <v>80</v>
      </c>
      <c r="AK35" s="70">
        <v>80</v>
      </c>
      <c r="AL35" s="70">
        <v>0</v>
      </c>
      <c r="AM35" s="70">
        <v>220</v>
      </c>
      <c r="AN35" s="15"/>
      <c r="AO35" s="16"/>
      <c r="AP35" s="16"/>
      <c r="AQ35" s="17">
        <v>0</v>
      </c>
      <c r="AR35" s="73"/>
      <c r="AS35" s="74"/>
      <c r="AT35" s="74"/>
      <c r="AU35" s="70"/>
      <c r="AV35" s="70"/>
      <c r="AW35" s="75">
        <v>5385.29</v>
      </c>
      <c r="AX35" s="76">
        <v>2740</v>
      </c>
      <c r="AY35" s="70" t="s">
        <v>470</v>
      </c>
      <c r="AZ35" s="98">
        <v>783.3</v>
      </c>
      <c r="BA35" s="98">
        <v>188</v>
      </c>
      <c r="BB35" s="77">
        <v>0</v>
      </c>
      <c r="BC35" s="78">
        <f t="shared" si="9"/>
        <v>4113.99</v>
      </c>
      <c r="BD35" s="78">
        <f t="shared" si="2"/>
        <v>0</v>
      </c>
      <c r="BE35" s="79">
        <f t="shared" si="14"/>
        <v>4413.99</v>
      </c>
      <c r="BF35" s="80">
        <v>1350.06</v>
      </c>
      <c r="BG35" s="80">
        <v>40.5</v>
      </c>
      <c r="BH35" s="80">
        <v>0</v>
      </c>
      <c r="BI35" s="80">
        <v>0</v>
      </c>
      <c r="BJ35" s="81">
        <f t="shared" si="15"/>
        <v>764.05</v>
      </c>
      <c r="BK35" s="82">
        <f>ROUND(MAX(BJ35*{0.03,0.1,0.2,0.25,0.3,0.35,0.45}-{0,2520,16920,31920,52920,85920,181920}-BG35,0),2)</f>
        <v>0</v>
      </c>
      <c r="BL35" s="81">
        <f t="shared" si="16"/>
        <v>40.5</v>
      </c>
      <c r="BM35" s="83">
        <f t="shared" si="19"/>
        <v>4413.99</v>
      </c>
      <c r="BN35" s="83">
        <v>0</v>
      </c>
      <c r="BO35" s="84">
        <f t="shared" si="20"/>
        <v>4413.99</v>
      </c>
      <c r="BP35" s="50">
        <f t="shared" si="17"/>
        <v>971.3</v>
      </c>
      <c r="BQ35" s="32">
        <f t="shared" si="18"/>
        <v>0</v>
      </c>
      <c r="BR35" s="32" t="str">
        <f>VLOOKUP(H35,社保公积金账单!D:D,1,0)</f>
        <v>342501197807188629</v>
      </c>
      <c r="BS35" s="32">
        <f t="shared" si="8"/>
        <v>0</v>
      </c>
    </row>
    <row r="36" spans="1:71" ht="24.9" customHeight="1">
      <c r="A36" s="66">
        <v>31</v>
      </c>
      <c r="B36" s="67" t="s">
        <v>82</v>
      </c>
      <c r="C36" s="67" t="s">
        <v>387</v>
      </c>
      <c r="D36" s="67" t="s">
        <v>84</v>
      </c>
      <c r="E36" s="67" t="s">
        <v>84</v>
      </c>
      <c r="F36" s="67" t="s">
        <v>388</v>
      </c>
      <c r="G36" s="67" t="s">
        <v>184</v>
      </c>
      <c r="H36" s="67" t="s">
        <v>185</v>
      </c>
      <c r="I36" s="68">
        <v>13524491885</v>
      </c>
      <c r="J36" s="67" t="s">
        <v>7</v>
      </c>
      <c r="K36" s="67" t="s">
        <v>87</v>
      </c>
      <c r="L36" s="67" t="s">
        <v>487</v>
      </c>
      <c r="M36" s="68">
        <v>238976888</v>
      </c>
      <c r="N36" s="68" t="s">
        <v>216</v>
      </c>
      <c r="O36" s="69">
        <v>38412</v>
      </c>
      <c r="P36" s="69"/>
      <c r="Q36" s="70">
        <v>2690</v>
      </c>
      <c r="R36" s="70">
        <v>21</v>
      </c>
      <c r="S36" s="71">
        <v>0</v>
      </c>
      <c r="T36" s="71">
        <v>15</v>
      </c>
      <c r="U36" s="71">
        <v>15</v>
      </c>
      <c r="V36" s="71">
        <v>0</v>
      </c>
      <c r="W36" s="71">
        <v>0</v>
      </c>
      <c r="X36" s="71">
        <v>0</v>
      </c>
      <c r="Y36" s="70">
        <v>2690</v>
      </c>
      <c r="Z36" s="70">
        <v>0</v>
      </c>
      <c r="AA36" s="70">
        <v>0</v>
      </c>
      <c r="AB36" s="71">
        <v>106.88</v>
      </c>
      <c r="AC36" s="71">
        <v>158.47222222222223</v>
      </c>
      <c r="AD36" s="72">
        <v>1.4827116600133068</v>
      </c>
      <c r="AE36" s="71">
        <v>1144.3333333333333</v>
      </c>
      <c r="AF36" s="71">
        <v>0</v>
      </c>
      <c r="AG36" s="71">
        <v>197.50000000000003</v>
      </c>
      <c r="AH36" s="70">
        <v>946.83333333333326</v>
      </c>
      <c r="AI36" s="70">
        <v>0</v>
      </c>
      <c r="AJ36" s="70">
        <v>80</v>
      </c>
      <c r="AK36" s="70">
        <v>80</v>
      </c>
      <c r="AL36" s="70">
        <v>0</v>
      </c>
      <c r="AM36" s="70">
        <v>140</v>
      </c>
      <c r="AN36" s="15"/>
      <c r="AO36" s="16"/>
      <c r="AP36" s="16"/>
      <c r="AQ36" s="17">
        <v>0</v>
      </c>
      <c r="AR36" s="73"/>
      <c r="AS36" s="74"/>
      <c r="AT36" s="74"/>
      <c r="AU36" s="70"/>
      <c r="AV36" s="70"/>
      <c r="AW36" s="75">
        <v>3856.83</v>
      </c>
      <c r="AX36" s="76">
        <v>2740</v>
      </c>
      <c r="AY36" s="70" t="s">
        <v>470</v>
      </c>
      <c r="AZ36" s="98">
        <v>783.3</v>
      </c>
      <c r="BA36" s="98">
        <v>188</v>
      </c>
      <c r="BB36" s="77">
        <v>0</v>
      </c>
      <c r="BC36" s="78">
        <f t="shared" si="9"/>
        <v>2665.53</v>
      </c>
      <c r="BD36" s="78">
        <f t="shared" si="2"/>
        <v>74.47</v>
      </c>
      <c r="BE36" s="79">
        <f t="shared" si="14"/>
        <v>2960</v>
      </c>
      <c r="BF36" s="80">
        <v>-5179.17</v>
      </c>
      <c r="BG36" s="80">
        <v>0</v>
      </c>
      <c r="BH36" s="80">
        <v>0</v>
      </c>
      <c r="BI36" s="80">
        <v>0</v>
      </c>
      <c r="BJ36" s="81">
        <f t="shared" si="15"/>
        <v>-7219.17</v>
      </c>
      <c r="BK36" s="82">
        <f>ROUND(MAX(BJ36*{0.03,0.1,0.2,0.25,0.3,0.35,0.45}-{0,2520,16920,31920,52920,85920,181920}-BG36,0),2)</f>
        <v>0</v>
      </c>
      <c r="BL36" s="81">
        <f t="shared" si="16"/>
        <v>0</v>
      </c>
      <c r="BM36" s="83">
        <f t="shared" si="19"/>
        <v>2960</v>
      </c>
      <c r="BN36" s="83">
        <v>0</v>
      </c>
      <c r="BO36" s="84">
        <f t="shared" si="20"/>
        <v>2960</v>
      </c>
      <c r="BP36" s="50">
        <f t="shared" si="17"/>
        <v>971.3</v>
      </c>
      <c r="BQ36" s="32">
        <f t="shared" si="18"/>
        <v>0</v>
      </c>
      <c r="BR36" s="32" t="str">
        <f>VLOOKUP(H36,社保公积金账单!D:D,1,0)</f>
        <v>342423196808132393</v>
      </c>
      <c r="BS36" s="32">
        <f t="shared" si="8"/>
        <v>0</v>
      </c>
    </row>
    <row r="37" spans="1:71" ht="24.9" customHeight="1">
      <c r="A37" s="66">
        <v>32</v>
      </c>
      <c r="B37" s="67" t="s">
        <v>82</v>
      </c>
      <c r="C37" s="67" t="s">
        <v>387</v>
      </c>
      <c r="D37" s="67" t="s">
        <v>84</v>
      </c>
      <c r="E37" s="67" t="s">
        <v>84</v>
      </c>
      <c r="F37" s="67" t="s">
        <v>388</v>
      </c>
      <c r="G37" s="67" t="s">
        <v>207</v>
      </c>
      <c r="H37" s="67" t="s">
        <v>208</v>
      </c>
      <c r="I37" s="68">
        <v>13564265158</v>
      </c>
      <c r="J37" s="67" t="s">
        <v>7</v>
      </c>
      <c r="K37" s="67" t="s">
        <v>87</v>
      </c>
      <c r="L37" s="67" t="s">
        <v>396</v>
      </c>
      <c r="M37" s="68">
        <v>238976874</v>
      </c>
      <c r="N37" s="68" t="s">
        <v>209</v>
      </c>
      <c r="O37" s="69">
        <v>42418</v>
      </c>
      <c r="P37" s="69" t="s">
        <v>390</v>
      </c>
      <c r="Q37" s="70">
        <v>2690</v>
      </c>
      <c r="R37" s="70">
        <v>10</v>
      </c>
      <c r="S37" s="71">
        <v>0</v>
      </c>
      <c r="T37" s="71">
        <v>16</v>
      </c>
      <c r="U37" s="71">
        <v>16</v>
      </c>
      <c r="V37" s="71">
        <v>0</v>
      </c>
      <c r="W37" s="71">
        <v>0</v>
      </c>
      <c r="X37" s="71">
        <v>0</v>
      </c>
      <c r="Y37" s="70">
        <v>2690</v>
      </c>
      <c r="Z37" s="70">
        <v>0</v>
      </c>
      <c r="AA37" s="70">
        <v>0</v>
      </c>
      <c r="AB37" s="71">
        <v>89.61999999999999</v>
      </c>
      <c r="AC37" s="71">
        <v>120</v>
      </c>
      <c r="AD37" s="72">
        <v>1.3389868332961394</v>
      </c>
      <c r="AE37" s="71">
        <v>1128.02</v>
      </c>
      <c r="AF37" s="71">
        <v>0</v>
      </c>
      <c r="AG37" s="71">
        <v>9.4166666666666661</v>
      </c>
      <c r="AH37" s="70">
        <v>1118.6033333333332</v>
      </c>
      <c r="AI37" s="70">
        <v>0</v>
      </c>
      <c r="AJ37" s="70">
        <v>80</v>
      </c>
      <c r="AK37" s="70">
        <v>80</v>
      </c>
      <c r="AL37" s="70">
        <v>100</v>
      </c>
      <c r="AM37" s="70">
        <v>160</v>
      </c>
      <c r="AN37" s="15"/>
      <c r="AO37" s="16"/>
      <c r="AP37" s="16"/>
      <c r="AQ37" s="17">
        <v>0</v>
      </c>
      <c r="AR37" s="73"/>
      <c r="AS37" s="74"/>
      <c r="AT37" s="74"/>
      <c r="AU37" s="70"/>
      <c r="AV37" s="70"/>
      <c r="AW37" s="75">
        <v>4148.6000000000004</v>
      </c>
      <c r="AX37" s="76">
        <v>2740</v>
      </c>
      <c r="AY37" s="70" t="s">
        <v>470</v>
      </c>
      <c r="AZ37" s="98">
        <v>783.3</v>
      </c>
      <c r="BA37" s="98">
        <v>188</v>
      </c>
      <c r="BB37" s="77">
        <v>0</v>
      </c>
      <c r="BC37" s="78">
        <f t="shared" si="9"/>
        <v>2937.3</v>
      </c>
      <c r="BD37" s="78">
        <f t="shared" si="2"/>
        <v>0</v>
      </c>
      <c r="BE37" s="79">
        <f t="shared" si="0"/>
        <v>3177.3</v>
      </c>
      <c r="BF37" s="80">
        <v>-4677.34</v>
      </c>
      <c r="BG37" s="80">
        <v>0</v>
      </c>
      <c r="BH37" s="80">
        <v>0</v>
      </c>
      <c r="BI37" s="80">
        <v>0</v>
      </c>
      <c r="BJ37" s="81">
        <f t="shared" si="10"/>
        <v>-6500.04</v>
      </c>
      <c r="BK37" s="82">
        <f>ROUND(MAX(BJ37*{0.03,0.1,0.2,0.25,0.3,0.35,0.45}-{0,2520,16920,31920,52920,85920,181920}-BG37,0),2)</f>
        <v>0</v>
      </c>
      <c r="BL37" s="81">
        <f t="shared" si="11"/>
        <v>0</v>
      </c>
      <c r="BM37" s="83">
        <f t="shared" si="12"/>
        <v>3177.3</v>
      </c>
      <c r="BN37" s="83">
        <v>0</v>
      </c>
      <c r="BO37" s="84">
        <f t="shared" si="13"/>
        <v>3177.3</v>
      </c>
      <c r="BP37" s="50">
        <f t="shared" si="7"/>
        <v>971.3</v>
      </c>
      <c r="BQ37" s="32">
        <f t="shared" si="1"/>
        <v>0</v>
      </c>
      <c r="BR37" s="32" t="str">
        <f>VLOOKUP(H37,社保公积金账单!D:D,1,0)</f>
        <v>342423197603062138</v>
      </c>
      <c r="BS37" s="32">
        <f t="shared" si="8"/>
        <v>0</v>
      </c>
    </row>
    <row r="38" spans="1:71" ht="24.9" customHeight="1">
      <c r="A38" s="66">
        <v>33</v>
      </c>
      <c r="B38" s="67" t="s">
        <v>82</v>
      </c>
      <c r="C38" s="67" t="s">
        <v>387</v>
      </c>
      <c r="D38" s="67" t="s">
        <v>84</v>
      </c>
      <c r="E38" s="67" t="s">
        <v>84</v>
      </c>
      <c r="F38" s="67" t="s">
        <v>388</v>
      </c>
      <c r="G38" s="67" t="s">
        <v>507</v>
      </c>
      <c r="H38" s="67" t="s">
        <v>508</v>
      </c>
      <c r="I38" s="68">
        <v>18756591219</v>
      </c>
      <c r="J38" s="67" t="s">
        <v>7</v>
      </c>
      <c r="K38" s="67" t="s">
        <v>87</v>
      </c>
      <c r="L38" s="67" t="s">
        <v>396</v>
      </c>
      <c r="M38" s="68">
        <v>238976876</v>
      </c>
      <c r="N38" s="68" t="s">
        <v>450</v>
      </c>
      <c r="O38" s="69">
        <v>45941</v>
      </c>
      <c r="P38" s="69" t="s">
        <v>390</v>
      </c>
      <c r="Q38" s="70">
        <v>2740</v>
      </c>
      <c r="R38" s="70">
        <v>0</v>
      </c>
      <c r="S38" s="71">
        <v>0</v>
      </c>
      <c r="T38" s="71">
        <v>15</v>
      </c>
      <c r="U38" s="71">
        <v>10</v>
      </c>
      <c r="V38" s="71">
        <v>0</v>
      </c>
      <c r="W38" s="71">
        <v>0</v>
      </c>
      <c r="X38" s="71">
        <v>0</v>
      </c>
      <c r="Y38" s="70">
        <v>1826.6666666666665</v>
      </c>
      <c r="Z38" s="70">
        <v>0</v>
      </c>
      <c r="AA38" s="70">
        <v>0</v>
      </c>
      <c r="AB38" s="71">
        <v>108.26000000000002</v>
      </c>
      <c r="AC38" s="71">
        <v>149.13999999999999</v>
      </c>
      <c r="AD38" s="72">
        <v>1.3776094587105114</v>
      </c>
      <c r="AE38" s="71">
        <v>1379.62</v>
      </c>
      <c r="AF38" s="71">
        <v>0</v>
      </c>
      <c r="AG38" s="71">
        <v>8.625</v>
      </c>
      <c r="AH38" s="70">
        <v>1370.99</v>
      </c>
      <c r="AI38" s="70">
        <v>0</v>
      </c>
      <c r="AJ38" s="70">
        <v>53.333333333333329</v>
      </c>
      <c r="AK38" s="70">
        <v>53.333333333333329</v>
      </c>
      <c r="AL38" s="70">
        <v>0</v>
      </c>
      <c r="AM38" s="70">
        <v>100</v>
      </c>
      <c r="AN38" s="15"/>
      <c r="AO38" s="16"/>
      <c r="AP38" s="16"/>
      <c r="AQ38" s="17">
        <v>0</v>
      </c>
      <c r="AR38" s="73"/>
      <c r="AS38" s="74"/>
      <c r="AT38" s="74"/>
      <c r="AU38" s="70"/>
      <c r="AV38" s="70"/>
      <c r="AW38" s="75">
        <v>3350.99</v>
      </c>
      <c r="AX38" s="76">
        <v>2740</v>
      </c>
      <c r="AY38" s="70" t="s">
        <v>470</v>
      </c>
      <c r="AZ38" s="98">
        <v>783.3</v>
      </c>
      <c r="BA38" s="98">
        <v>192</v>
      </c>
      <c r="BB38" s="77">
        <v>0</v>
      </c>
      <c r="BC38" s="78">
        <f t="shared" si="9"/>
        <v>2222.36</v>
      </c>
      <c r="BD38" s="78">
        <f t="shared" si="2"/>
        <v>0</v>
      </c>
      <c r="BE38" s="79">
        <f t="shared" si="0"/>
        <v>2375.69</v>
      </c>
      <c r="BF38" s="80">
        <v>-2888.7</v>
      </c>
      <c r="BG38" s="80">
        <v>0</v>
      </c>
      <c r="BH38" s="80">
        <v>0</v>
      </c>
      <c r="BI38" s="80">
        <v>0</v>
      </c>
      <c r="BJ38" s="81">
        <f t="shared" si="10"/>
        <v>-5513.01</v>
      </c>
      <c r="BK38" s="82">
        <f>ROUND(MAX(BJ38*{0.03,0.1,0.2,0.25,0.3,0.35,0.45}-{0,2520,16920,31920,52920,85920,181920}-BG38,0),2)</f>
        <v>0</v>
      </c>
      <c r="BL38" s="81">
        <f t="shared" si="11"/>
        <v>0</v>
      </c>
      <c r="BM38" s="83">
        <f t="shared" si="12"/>
        <v>2375.69</v>
      </c>
      <c r="BN38" s="83">
        <v>0</v>
      </c>
      <c r="BO38" s="84">
        <f t="shared" si="13"/>
        <v>2375.69</v>
      </c>
      <c r="BP38" s="50">
        <f t="shared" si="7"/>
        <v>975.3</v>
      </c>
      <c r="BQ38" s="32">
        <f t="shared" si="1"/>
        <v>0</v>
      </c>
      <c r="BR38" s="32" t="str">
        <f>VLOOKUP(H38,社保公积金账单!D:D,1,0)</f>
        <v>340122198603201708</v>
      </c>
      <c r="BS38" s="32">
        <f t="shared" si="8"/>
        <v>5</v>
      </c>
    </row>
    <row r="39" spans="1:71" ht="24.9" customHeight="1">
      <c r="A39" s="66">
        <v>34</v>
      </c>
      <c r="B39" s="67" t="s">
        <v>82</v>
      </c>
      <c r="C39" s="67" t="s">
        <v>387</v>
      </c>
      <c r="D39" s="67" t="s">
        <v>84</v>
      </c>
      <c r="E39" s="67" t="s">
        <v>84</v>
      </c>
      <c r="F39" s="67" t="s">
        <v>388</v>
      </c>
      <c r="G39" s="67" t="s">
        <v>477</v>
      </c>
      <c r="H39" s="67" t="s">
        <v>478</v>
      </c>
      <c r="I39" s="68">
        <v>15300428327</v>
      </c>
      <c r="J39" s="67" t="s">
        <v>7</v>
      </c>
      <c r="K39" s="67" t="s">
        <v>87</v>
      </c>
      <c r="L39" s="67" t="s">
        <v>396</v>
      </c>
      <c r="M39" s="68">
        <v>238976872</v>
      </c>
      <c r="N39" s="68" t="s">
        <v>213</v>
      </c>
      <c r="O39" s="69">
        <v>45113</v>
      </c>
      <c r="P39" s="69"/>
      <c r="Q39" s="70">
        <v>2690</v>
      </c>
      <c r="R39" s="70">
        <v>2</v>
      </c>
      <c r="S39" s="71">
        <v>0</v>
      </c>
      <c r="T39" s="71">
        <v>15</v>
      </c>
      <c r="U39" s="71">
        <v>15</v>
      </c>
      <c r="V39" s="71">
        <v>0</v>
      </c>
      <c r="W39" s="71">
        <v>0</v>
      </c>
      <c r="X39" s="71">
        <v>0</v>
      </c>
      <c r="Y39" s="70">
        <v>2690</v>
      </c>
      <c r="Z39" s="70">
        <v>0</v>
      </c>
      <c r="AA39" s="70">
        <v>0</v>
      </c>
      <c r="AB39" s="71">
        <v>134.74</v>
      </c>
      <c r="AC39" s="71">
        <v>200.95</v>
      </c>
      <c r="AD39" s="72">
        <v>1.4913908267774971</v>
      </c>
      <c r="AE39" s="71">
        <v>1655.14</v>
      </c>
      <c r="AF39" s="71">
        <v>118.125</v>
      </c>
      <c r="AG39" s="71">
        <v>13.666666666666668</v>
      </c>
      <c r="AH39" s="70">
        <v>1523.3483333333334</v>
      </c>
      <c r="AI39" s="70">
        <v>0</v>
      </c>
      <c r="AJ39" s="70">
        <v>80</v>
      </c>
      <c r="AK39" s="70">
        <v>80</v>
      </c>
      <c r="AL39" s="70">
        <v>100</v>
      </c>
      <c r="AM39" s="70">
        <v>150</v>
      </c>
      <c r="AN39" s="15"/>
      <c r="AO39" s="16"/>
      <c r="AP39" s="16"/>
      <c r="AQ39" s="17">
        <v>0</v>
      </c>
      <c r="AR39" s="73"/>
      <c r="AS39" s="74"/>
      <c r="AT39" s="74"/>
      <c r="AU39" s="70"/>
      <c r="AV39" s="70"/>
      <c r="AW39" s="75">
        <v>4543.3500000000004</v>
      </c>
      <c r="AX39" s="76">
        <v>2740</v>
      </c>
      <c r="AY39" s="70" t="s">
        <v>470</v>
      </c>
      <c r="AZ39" s="98">
        <v>783.3</v>
      </c>
      <c r="BA39" s="98">
        <v>188</v>
      </c>
      <c r="BB39" s="77">
        <v>0</v>
      </c>
      <c r="BC39" s="78">
        <f t="shared" si="9"/>
        <v>3342.05</v>
      </c>
      <c r="BD39" s="78">
        <f t="shared" si="2"/>
        <v>0</v>
      </c>
      <c r="BE39" s="79">
        <f t="shared" si="0"/>
        <v>3572.05</v>
      </c>
      <c r="BF39" s="80">
        <v>-117.63</v>
      </c>
      <c r="BG39" s="80">
        <v>19.010000000000002</v>
      </c>
      <c r="BH39" s="80">
        <v>0</v>
      </c>
      <c r="BI39" s="80">
        <v>0</v>
      </c>
      <c r="BJ39" s="81">
        <f t="shared" si="10"/>
        <v>-1545.58</v>
      </c>
      <c r="BK39" s="82">
        <f>ROUND(MAX(BJ39*{0.03,0.1,0.2,0.25,0.3,0.35,0.45}-{0,2520,16920,31920,52920,85920,181920}-BG39,0),2)</f>
        <v>0</v>
      </c>
      <c r="BL39" s="81">
        <f t="shared" si="11"/>
        <v>19.010000000000002</v>
      </c>
      <c r="BM39" s="83">
        <f t="shared" si="12"/>
        <v>3572.05</v>
      </c>
      <c r="BN39" s="83">
        <v>0</v>
      </c>
      <c r="BO39" s="84">
        <f t="shared" si="13"/>
        <v>3572.05</v>
      </c>
      <c r="BP39" s="50">
        <f t="shared" si="7"/>
        <v>971.3</v>
      </c>
      <c r="BQ39" s="32">
        <f t="shared" si="1"/>
        <v>0</v>
      </c>
      <c r="BR39" s="32" t="str">
        <f>VLOOKUP(H39,社保公积金账单!D:D,1,0)</f>
        <v>320923197303084257</v>
      </c>
      <c r="BS39" s="32">
        <f t="shared" si="8"/>
        <v>0</v>
      </c>
    </row>
    <row r="40" spans="1:71" s="50" customFormat="1" ht="24" customHeight="1">
      <c r="A40" s="50" t="s">
        <v>418</v>
      </c>
      <c r="G40" s="111"/>
      <c r="N40" s="112"/>
      <c r="Q40" s="50">
        <f t="shared" ref="Q40:AG40" si="21">SUM(Q6:Q39)</f>
        <v>91610</v>
      </c>
      <c r="R40" s="50">
        <f t="shared" si="21"/>
        <v>202</v>
      </c>
      <c r="S40" s="50">
        <f t="shared" si="21"/>
        <v>0</v>
      </c>
      <c r="T40" s="50">
        <f t="shared" si="21"/>
        <v>598</v>
      </c>
      <c r="U40" s="50">
        <f t="shared" si="21"/>
        <v>583</v>
      </c>
      <c r="V40" s="50">
        <f t="shared" si="21"/>
        <v>3</v>
      </c>
      <c r="W40" s="50">
        <f t="shared" si="21"/>
        <v>2</v>
      </c>
      <c r="X40" s="50">
        <f t="shared" si="21"/>
        <v>261.5454545454545</v>
      </c>
      <c r="Y40" s="50">
        <f t="shared" si="21"/>
        <v>89319.393939393951</v>
      </c>
      <c r="Z40" s="50">
        <f t="shared" si="21"/>
        <v>6</v>
      </c>
      <c r="AA40" s="139">
        <f t="shared" si="21"/>
        <v>755.86206896551721</v>
      </c>
      <c r="AB40" s="139">
        <f>SUM(AB6:AB39)</f>
        <v>8509.3000000000011</v>
      </c>
      <c r="AC40" s="139">
        <f t="shared" si="21"/>
        <v>11097.090000000004</v>
      </c>
      <c r="AD40" s="139">
        <f t="shared" si="21"/>
        <v>46.474887886684229</v>
      </c>
      <c r="AE40" s="139">
        <f>SUM(AE6:AE39)</f>
        <v>83077.279999999999</v>
      </c>
      <c r="AF40" s="139">
        <f t="shared" si="21"/>
        <v>602.625</v>
      </c>
      <c r="AG40" s="139">
        <f t="shared" si="21"/>
        <v>13460.625</v>
      </c>
      <c r="AH40" s="50">
        <f t="shared" ref="AH40:BP40" si="22">SUM(AH6:AH39)</f>
        <v>47529.569166666653</v>
      </c>
      <c r="AI40" s="50">
        <f t="shared" si="22"/>
        <v>0</v>
      </c>
      <c r="AJ40" s="50">
        <f t="shared" si="22"/>
        <v>2645.090909090909</v>
      </c>
      <c r="AK40" s="50">
        <f t="shared" si="22"/>
        <v>2645.090909090909</v>
      </c>
      <c r="AL40" s="50">
        <f t="shared" si="22"/>
        <v>200</v>
      </c>
      <c r="AM40" s="50">
        <f t="shared" si="22"/>
        <v>5670</v>
      </c>
      <c r="AN40" s="50">
        <f t="shared" si="22"/>
        <v>0</v>
      </c>
      <c r="AO40" s="50">
        <f t="shared" si="22"/>
        <v>0</v>
      </c>
      <c r="AP40" s="50">
        <f t="shared" si="22"/>
        <v>0</v>
      </c>
      <c r="AQ40" s="50">
        <f t="shared" si="22"/>
        <v>0</v>
      </c>
      <c r="AR40" s="50">
        <f t="shared" si="22"/>
        <v>0</v>
      </c>
      <c r="AS40" s="50">
        <f t="shared" si="22"/>
        <v>0</v>
      </c>
      <c r="AT40" s="50">
        <f t="shared" si="22"/>
        <v>0</v>
      </c>
      <c r="AU40" s="50">
        <f t="shared" si="22"/>
        <v>0</v>
      </c>
      <c r="AV40" s="50">
        <f t="shared" si="22"/>
        <v>0</v>
      </c>
      <c r="AW40" s="50">
        <f>SUM(AW6:AW39)</f>
        <v>146119.94999999998</v>
      </c>
      <c r="AX40" s="50">
        <f t="shared" si="22"/>
        <v>93160</v>
      </c>
      <c r="AY40" s="50">
        <f t="shared" si="22"/>
        <v>0</v>
      </c>
      <c r="AZ40" s="50">
        <f t="shared" si="22"/>
        <v>26632.199999999986</v>
      </c>
      <c r="BA40" s="50">
        <f t="shared" si="22"/>
        <v>6404</v>
      </c>
      <c r="BB40" s="50">
        <f t="shared" si="22"/>
        <v>0</v>
      </c>
      <c r="BC40" s="50">
        <f t="shared" si="22"/>
        <v>104012.81000000001</v>
      </c>
      <c r="BD40" s="50">
        <f t="shared" si="22"/>
        <v>1505.8799999999999</v>
      </c>
      <c r="BE40" s="50">
        <f t="shared" si="22"/>
        <v>114589.63</v>
      </c>
      <c r="BF40" s="50">
        <f t="shared" si="22"/>
        <v>-105197.78</v>
      </c>
      <c r="BG40" s="50">
        <f t="shared" si="22"/>
        <v>370.84</v>
      </c>
      <c r="BH40" s="50">
        <f t="shared" si="22"/>
        <v>15600</v>
      </c>
      <c r="BI40" s="50">
        <f t="shared" si="22"/>
        <v>11700</v>
      </c>
      <c r="BJ40" s="50">
        <f t="shared" si="22"/>
        <v>-164508.15000000005</v>
      </c>
      <c r="BK40" s="50">
        <f t="shared" si="22"/>
        <v>0</v>
      </c>
      <c r="BL40" s="50">
        <f t="shared" si="22"/>
        <v>370.84</v>
      </c>
      <c r="BM40" s="50">
        <f t="shared" si="22"/>
        <v>114589.63</v>
      </c>
      <c r="BN40" s="50">
        <f t="shared" si="22"/>
        <v>0</v>
      </c>
      <c r="BO40" s="50">
        <f t="shared" si="22"/>
        <v>114589.63</v>
      </c>
      <c r="BP40" s="50">
        <f t="shared" si="22"/>
        <v>33036.199999999983</v>
      </c>
    </row>
    <row r="41" spans="1:71">
      <c r="N41" s="100"/>
      <c r="Q41" s="101"/>
    </row>
    <row r="42" spans="1:71">
      <c r="N42" s="100"/>
    </row>
    <row r="43" spans="1:71">
      <c r="N43" s="100"/>
    </row>
    <row r="44" spans="1:71">
      <c r="N44" s="101"/>
    </row>
    <row r="45" spans="1:71">
      <c r="N45" s="102"/>
    </row>
    <row r="46" spans="1:71">
      <c r="N46" s="101"/>
    </row>
    <row r="47" spans="1:71">
      <c r="N47" s="101"/>
    </row>
    <row r="48" spans="1:71">
      <c r="N48" s="101"/>
    </row>
    <row r="49" spans="14:14">
      <c r="N49" s="100"/>
    </row>
    <row r="50" spans="14:14">
      <c r="N50" s="101"/>
    </row>
  </sheetData>
  <autoFilter ref="A5:BS40"/>
  <mergeCells count="43">
    <mergeCell ref="BO4:BO5"/>
    <mergeCell ref="BH4:BH5"/>
    <mergeCell ref="BI4:BI5"/>
    <mergeCell ref="BJ4:BJ5"/>
    <mergeCell ref="BK4:BK5"/>
    <mergeCell ref="BL4:BL5"/>
    <mergeCell ref="BN4:BN5"/>
    <mergeCell ref="BD4:BD5"/>
    <mergeCell ref="BE4:BE5"/>
    <mergeCell ref="BF4:BF5"/>
    <mergeCell ref="BG4:BG5"/>
    <mergeCell ref="BM4:BM5"/>
    <mergeCell ref="AX4:AX5"/>
    <mergeCell ref="AY4:AY5"/>
    <mergeCell ref="AZ4:AZ5"/>
    <mergeCell ref="BA4:BA5"/>
    <mergeCell ref="BC4:BC5"/>
    <mergeCell ref="BB4:BB5"/>
    <mergeCell ref="P4:P5"/>
    <mergeCell ref="AT4:AT5"/>
    <mergeCell ref="AU4:AU5"/>
    <mergeCell ref="AV4:AV5"/>
    <mergeCell ref="AW4:AW5"/>
    <mergeCell ref="Q4:AA4"/>
    <mergeCell ref="AB4:AH4"/>
    <mergeCell ref="AI4:AK4"/>
    <mergeCell ref="AL4:AP4"/>
    <mergeCell ref="AQ4:AS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</mergeCells>
  <phoneticPr fontId="23" type="noConversion"/>
  <conditionalFormatting sqref="B6:K30">
    <cfRule type="cellIs" dxfId="838" priority="221" stopIfTrue="1" operator="between">
      <formula>-1</formula>
      <formula>-10000</formula>
    </cfRule>
  </conditionalFormatting>
  <conditionalFormatting sqref="G6:G30 G37:G39">
    <cfRule type="duplicateValues" dxfId="837" priority="16039"/>
  </conditionalFormatting>
  <conditionalFormatting sqref="G31:G33">
    <cfRule type="duplicateValues" dxfId="836" priority="11"/>
  </conditionalFormatting>
  <conditionalFormatting sqref="G34:G36">
    <cfRule type="duplicateValues" dxfId="835" priority="5"/>
  </conditionalFormatting>
  <conditionalFormatting sqref="G31:H33">
    <cfRule type="duplicateValues" dxfId="834" priority="8"/>
  </conditionalFormatting>
  <conditionalFormatting sqref="G34:H36">
    <cfRule type="duplicateValues" dxfId="833" priority="2"/>
  </conditionalFormatting>
  <conditionalFormatting sqref="G37:H1048576 G3:H3 G6:H30">
    <cfRule type="duplicateValues" dxfId="832" priority="15961"/>
  </conditionalFormatting>
  <conditionalFormatting sqref="G31:I33">
    <cfRule type="duplicateValues" dxfId="831" priority="9"/>
    <cfRule type="duplicateValues" dxfId="830" priority="10"/>
  </conditionalFormatting>
  <conditionalFormatting sqref="G34:I36">
    <cfRule type="duplicateValues" dxfId="829" priority="3"/>
    <cfRule type="duplicateValues" dxfId="828" priority="4"/>
  </conditionalFormatting>
  <conditionalFormatting sqref="G37:I1048576 G3:I3 G6:I30">
    <cfRule type="duplicateValues" dxfId="827" priority="15965"/>
    <cfRule type="duplicateValues" dxfId="826" priority="15966"/>
  </conditionalFormatting>
  <conditionalFormatting sqref="H7:I7">
    <cfRule type="duplicateValues" dxfId="825" priority="173"/>
  </conditionalFormatting>
  <conditionalFormatting sqref="H27:I27">
    <cfRule type="duplicateValues" dxfId="824" priority="182"/>
  </conditionalFormatting>
  <conditionalFormatting sqref="N6:P39 B31:K39">
    <cfRule type="cellIs" dxfId="823" priority="1" stopIfTrue="1" operator="between">
      <formula>-1</formula>
      <formula>-10000</formula>
    </cfRule>
  </conditionalFormatting>
  <pageMargins left="0.7" right="0.7" top="0.75" bottom="0.75" header="0.3" footer="0.3"/>
  <pageSetup paperSize="9" orientation="portrait" horizontalDpi="2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5"/>
  <sheetViews>
    <sheetView workbookViewId="0">
      <selection activeCell="H66" sqref="H66"/>
    </sheetView>
  </sheetViews>
  <sheetFormatPr defaultRowHeight="14.4"/>
  <cols>
    <col min="2" max="2" width="20.44140625" bestFit="1" customWidth="1"/>
    <col min="3" max="3" width="17.21875" bestFit="1" customWidth="1"/>
    <col min="4" max="4" width="11" bestFit="1" customWidth="1"/>
  </cols>
  <sheetData>
    <row r="1" spans="1:15">
      <c r="A1" t="s">
        <v>22</v>
      </c>
      <c r="B1" t="s">
        <v>304</v>
      </c>
      <c r="C1" t="s">
        <v>306</v>
      </c>
      <c r="D1" t="s">
        <v>11</v>
      </c>
      <c r="E1" t="s">
        <v>315</v>
      </c>
      <c r="I1" t="s">
        <v>316</v>
      </c>
      <c r="M1" t="s">
        <v>317</v>
      </c>
    </row>
    <row r="2" spans="1:15">
      <c r="E2" t="s">
        <v>329</v>
      </c>
      <c r="G2" t="s">
        <v>330</v>
      </c>
      <c r="I2" t="s">
        <v>329</v>
      </c>
      <c r="K2" t="s">
        <v>330</v>
      </c>
      <c r="M2" t="s">
        <v>320</v>
      </c>
      <c r="N2" t="s">
        <v>319</v>
      </c>
      <c r="O2" t="s">
        <v>331</v>
      </c>
    </row>
    <row r="3" spans="1:15">
      <c r="E3" t="s">
        <v>320</v>
      </c>
      <c r="F3" t="s">
        <v>319</v>
      </c>
      <c r="G3" t="s">
        <v>320</v>
      </c>
      <c r="H3" t="s">
        <v>319</v>
      </c>
      <c r="I3" t="s">
        <v>320</v>
      </c>
      <c r="J3" t="s">
        <v>319</v>
      </c>
      <c r="K3" t="s">
        <v>320</v>
      </c>
      <c r="L3" t="s">
        <v>319</v>
      </c>
      <c r="M3" t="s">
        <v>320</v>
      </c>
      <c r="N3" t="s">
        <v>319</v>
      </c>
      <c r="O3" t="s">
        <v>331</v>
      </c>
    </row>
    <row r="4" spans="1:15">
      <c r="A4" t="s">
        <v>114</v>
      </c>
      <c r="B4" t="s">
        <v>115</v>
      </c>
      <c r="C4" t="s">
        <v>116</v>
      </c>
      <c r="D4">
        <v>21</v>
      </c>
      <c r="E4">
        <v>684.6</v>
      </c>
      <c r="F4">
        <v>1744.5</v>
      </c>
      <c r="G4">
        <v>181</v>
      </c>
      <c r="H4">
        <v>181</v>
      </c>
      <c r="I4">
        <v>0</v>
      </c>
      <c r="J4">
        <v>0</v>
      </c>
      <c r="K4">
        <v>0</v>
      </c>
      <c r="L4">
        <v>0</v>
      </c>
      <c r="M4">
        <v>865.6</v>
      </c>
      <c r="N4">
        <v>1925.5</v>
      </c>
      <c r="O4">
        <v>2791.1</v>
      </c>
    </row>
    <row r="5" spans="1:15">
      <c r="A5" t="s">
        <v>366</v>
      </c>
      <c r="B5" t="s">
        <v>367</v>
      </c>
      <c r="C5" t="s">
        <v>89</v>
      </c>
      <c r="D5">
        <v>21</v>
      </c>
      <c r="E5">
        <v>684.6</v>
      </c>
      <c r="F5">
        <v>1744.5</v>
      </c>
      <c r="G5">
        <v>181</v>
      </c>
      <c r="H5">
        <v>181</v>
      </c>
      <c r="I5">
        <v>0</v>
      </c>
      <c r="J5">
        <v>0</v>
      </c>
      <c r="K5">
        <v>0</v>
      </c>
      <c r="L5">
        <v>0</v>
      </c>
      <c r="M5">
        <v>865.6</v>
      </c>
      <c r="N5">
        <v>1925.5</v>
      </c>
      <c r="O5">
        <v>2791.1</v>
      </c>
    </row>
    <row r="6" spans="1:15">
      <c r="A6" t="s">
        <v>93</v>
      </c>
      <c r="B6" t="s">
        <v>94</v>
      </c>
      <c r="C6" t="s">
        <v>95</v>
      </c>
      <c r="D6">
        <v>21</v>
      </c>
      <c r="E6">
        <v>684.6</v>
      </c>
      <c r="F6">
        <v>1744.5</v>
      </c>
      <c r="G6">
        <v>181</v>
      </c>
      <c r="H6">
        <v>181</v>
      </c>
      <c r="I6">
        <v>0</v>
      </c>
      <c r="J6">
        <v>0</v>
      </c>
      <c r="K6">
        <v>0</v>
      </c>
      <c r="L6">
        <v>0</v>
      </c>
      <c r="M6">
        <v>865.6</v>
      </c>
      <c r="N6">
        <v>1925.5</v>
      </c>
      <c r="O6">
        <v>2791.1</v>
      </c>
    </row>
    <row r="7" spans="1:15">
      <c r="A7" t="s">
        <v>223</v>
      </c>
      <c r="B7" t="s">
        <v>224</v>
      </c>
      <c r="C7" t="s">
        <v>225</v>
      </c>
      <c r="D7">
        <v>21</v>
      </c>
      <c r="E7">
        <v>684.6</v>
      </c>
      <c r="F7">
        <v>1744.5</v>
      </c>
      <c r="G7">
        <v>181</v>
      </c>
      <c r="H7">
        <v>181</v>
      </c>
      <c r="I7">
        <v>0</v>
      </c>
      <c r="J7">
        <v>0</v>
      </c>
      <c r="K7">
        <v>0</v>
      </c>
      <c r="L7">
        <v>0</v>
      </c>
      <c r="M7">
        <v>865.6</v>
      </c>
      <c r="N7">
        <v>1925.5</v>
      </c>
      <c r="O7">
        <v>2791.1</v>
      </c>
    </row>
    <row r="8" spans="1:15">
      <c r="A8" t="s">
        <v>171</v>
      </c>
      <c r="B8" t="s">
        <v>336</v>
      </c>
      <c r="C8" t="s">
        <v>151</v>
      </c>
      <c r="D8">
        <v>21</v>
      </c>
      <c r="E8">
        <v>684.6</v>
      </c>
      <c r="F8">
        <v>1744.5</v>
      </c>
      <c r="G8">
        <v>181</v>
      </c>
      <c r="H8">
        <v>181</v>
      </c>
      <c r="I8">
        <v>0</v>
      </c>
      <c r="J8">
        <v>0</v>
      </c>
      <c r="K8">
        <v>0</v>
      </c>
      <c r="L8">
        <v>0</v>
      </c>
      <c r="M8">
        <v>865.6</v>
      </c>
      <c r="N8">
        <v>1925.5</v>
      </c>
      <c r="O8">
        <v>2791.1</v>
      </c>
    </row>
    <row r="9" spans="1:15">
      <c r="A9" t="s">
        <v>163</v>
      </c>
      <c r="B9" t="s">
        <v>164</v>
      </c>
      <c r="C9" t="s">
        <v>165</v>
      </c>
      <c r="D9">
        <v>21</v>
      </c>
      <c r="E9">
        <v>684.6</v>
      </c>
      <c r="F9">
        <v>1744.5</v>
      </c>
      <c r="G9">
        <v>181</v>
      </c>
      <c r="H9">
        <v>181</v>
      </c>
      <c r="I9">
        <v>0</v>
      </c>
      <c r="J9">
        <v>0</v>
      </c>
      <c r="K9">
        <v>0</v>
      </c>
      <c r="L9">
        <v>0</v>
      </c>
      <c r="M9">
        <v>865.6</v>
      </c>
      <c r="N9">
        <v>1925.5</v>
      </c>
      <c r="O9">
        <v>2791.1</v>
      </c>
    </row>
    <row r="10" spans="1:15">
      <c r="A10" t="s">
        <v>353</v>
      </c>
      <c r="B10" t="s">
        <v>354</v>
      </c>
      <c r="C10" t="s">
        <v>238</v>
      </c>
      <c r="D10">
        <v>21</v>
      </c>
      <c r="E10">
        <v>684.6</v>
      </c>
      <c r="F10">
        <v>1744.5</v>
      </c>
      <c r="G10">
        <v>181</v>
      </c>
      <c r="H10">
        <v>181</v>
      </c>
      <c r="I10">
        <v>0</v>
      </c>
      <c r="J10">
        <v>0</v>
      </c>
      <c r="K10">
        <v>0</v>
      </c>
      <c r="L10">
        <v>0</v>
      </c>
      <c r="M10">
        <v>865.6</v>
      </c>
      <c r="N10">
        <v>1925.5</v>
      </c>
      <c r="O10">
        <v>2791.1</v>
      </c>
    </row>
    <row r="11" spans="1:15">
      <c r="A11" t="s">
        <v>383</v>
      </c>
      <c r="B11" t="s">
        <v>385</v>
      </c>
      <c r="C11" t="s">
        <v>95</v>
      </c>
      <c r="D11">
        <v>21</v>
      </c>
      <c r="E11">
        <v>684.6</v>
      </c>
      <c r="F11">
        <v>1744.5</v>
      </c>
      <c r="G11">
        <v>181</v>
      </c>
      <c r="H11">
        <v>181</v>
      </c>
      <c r="I11">
        <v>0</v>
      </c>
      <c r="J11">
        <v>0</v>
      </c>
      <c r="K11">
        <v>0</v>
      </c>
      <c r="L11">
        <v>0</v>
      </c>
      <c r="M11">
        <v>865.6</v>
      </c>
      <c r="N11">
        <v>1925.5</v>
      </c>
      <c r="O11">
        <v>2791.1</v>
      </c>
    </row>
    <row r="12" spans="1:15">
      <c r="A12" t="s">
        <v>96</v>
      </c>
      <c r="B12" t="s">
        <v>97</v>
      </c>
      <c r="C12" t="s">
        <v>414</v>
      </c>
      <c r="D12">
        <v>21</v>
      </c>
      <c r="E12">
        <v>684.6</v>
      </c>
      <c r="F12">
        <v>1744.5</v>
      </c>
      <c r="G12">
        <v>181</v>
      </c>
      <c r="H12">
        <v>181</v>
      </c>
      <c r="I12">
        <v>0</v>
      </c>
      <c r="J12">
        <v>0</v>
      </c>
      <c r="K12">
        <v>0</v>
      </c>
      <c r="L12">
        <v>0</v>
      </c>
      <c r="M12">
        <v>865.6</v>
      </c>
      <c r="N12">
        <v>1925.5</v>
      </c>
      <c r="O12">
        <v>2791.1</v>
      </c>
    </row>
    <row r="13" spans="1:15">
      <c r="A13" t="s">
        <v>135</v>
      </c>
      <c r="B13" t="s">
        <v>136</v>
      </c>
      <c r="C13" t="s">
        <v>138</v>
      </c>
      <c r="D13">
        <v>21</v>
      </c>
      <c r="E13">
        <v>684.6</v>
      </c>
      <c r="F13">
        <v>1744.5</v>
      </c>
      <c r="G13">
        <v>181</v>
      </c>
      <c r="H13">
        <v>181</v>
      </c>
      <c r="I13">
        <v>0</v>
      </c>
      <c r="J13">
        <v>0</v>
      </c>
      <c r="K13">
        <v>0</v>
      </c>
      <c r="L13">
        <v>0</v>
      </c>
      <c r="M13">
        <v>865.6</v>
      </c>
      <c r="N13">
        <v>1925.5</v>
      </c>
      <c r="O13">
        <v>2791.1</v>
      </c>
    </row>
    <row r="14" spans="1:15">
      <c r="A14" t="s">
        <v>375</v>
      </c>
      <c r="B14" t="s">
        <v>378</v>
      </c>
      <c r="C14" t="s">
        <v>109</v>
      </c>
      <c r="D14">
        <v>21</v>
      </c>
      <c r="E14">
        <v>684.6</v>
      </c>
      <c r="F14">
        <v>1744.5</v>
      </c>
      <c r="G14">
        <v>181</v>
      </c>
      <c r="H14">
        <v>181</v>
      </c>
      <c r="I14">
        <v>0</v>
      </c>
      <c r="J14">
        <v>0</v>
      </c>
      <c r="K14">
        <v>0</v>
      </c>
      <c r="L14">
        <v>0</v>
      </c>
      <c r="M14">
        <v>865.6</v>
      </c>
      <c r="N14">
        <v>1925.5</v>
      </c>
      <c r="O14">
        <v>2791.1</v>
      </c>
    </row>
    <row r="15" spans="1:15">
      <c r="A15" t="s">
        <v>132</v>
      </c>
      <c r="B15" t="s">
        <v>133</v>
      </c>
      <c r="C15" t="s">
        <v>416</v>
      </c>
      <c r="D15">
        <v>21</v>
      </c>
      <c r="E15">
        <v>684.6</v>
      </c>
      <c r="F15">
        <v>1744.5</v>
      </c>
      <c r="G15">
        <v>181</v>
      </c>
      <c r="H15">
        <v>181</v>
      </c>
      <c r="I15">
        <v>0</v>
      </c>
      <c r="J15">
        <v>0</v>
      </c>
      <c r="K15">
        <v>0</v>
      </c>
      <c r="L15">
        <v>0</v>
      </c>
      <c r="M15">
        <v>865.6</v>
      </c>
      <c r="N15">
        <v>1925.5</v>
      </c>
      <c r="O15">
        <v>2791.1</v>
      </c>
    </row>
    <row r="16" spans="1:15">
      <c r="A16" t="s">
        <v>152</v>
      </c>
      <c r="B16" t="s">
        <v>153</v>
      </c>
      <c r="C16" t="s">
        <v>154</v>
      </c>
      <c r="D16">
        <v>21</v>
      </c>
      <c r="E16">
        <v>684.6</v>
      </c>
      <c r="F16">
        <v>1744.5</v>
      </c>
      <c r="G16">
        <v>181</v>
      </c>
      <c r="H16">
        <v>181</v>
      </c>
      <c r="I16">
        <v>0</v>
      </c>
      <c r="J16">
        <v>0</v>
      </c>
      <c r="K16">
        <v>0</v>
      </c>
      <c r="L16">
        <v>0</v>
      </c>
      <c r="M16">
        <v>865.6</v>
      </c>
      <c r="N16">
        <v>1925.5</v>
      </c>
      <c r="O16">
        <v>2791.1</v>
      </c>
    </row>
    <row r="17" spans="1:15">
      <c r="A17" t="s">
        <v>158</v>
      </c>
      <c r="B17" t="s">
        <v>159</v>
      </c>
      <c r="C17" t="s">
        <v>160</v>
      </c>
      <c r="D17">
        <v>21</v>
      </c>
      <c r="E17">
        <v>684.6</v>
      </c>
      <c r="F17">
        <v>1744.5</v>
      </c>
      <c r="G17">
        <v>181</v>
      </c>
      <c r="H17">
        <v>181</v>
      </c>
      <c r="I17">
        <v>0</v>
      </c>
      <c r="J17">
        <v>0</v>
      </c>
      <c r="K17">
        <v>0</v>
      </c>
      <c r="L17">
        <v>0</v>
      </c>
      <c r="M17">
        <v>865.6</v>
      </c>
      <c r="N17">
        <v>1925.5</v>
      </c>
      <c r="O17">
        <v>2791.1</v>
      </c>
    </row>
    <row r="18" spans="1:15">
      <c r="A18" t="s">
        <v>123</v>
      </c>
      <c r="B18" t="s">
        <v>124</v>
      </c>
      <c r="C18" t="s">
        <v>125</v>
      </c>
      <c r="D18">
        <v>21</v>
      </c>
      <c r="E18">
        <v>684.6</v>
      </c>
      <c r="F18">
        <v>1744.5</v>
      </c>
      <c r="G18">
        <v>181</v>
      </c>
      <c r="H18">
        <v>181</v>
      </c>
      <c r="I18">
        <v>0</v>
      </c>
      <c r="J18">
        <v>0</v>
      </c>
      <c r="K18">
        <v>0</v>
      </c>
      <c r="L18">
        <v>0</v>
      </c>
      <c r="M18">
        <v>865.6</v>
      </c>
      <c r="N18">
        <v>1925.5</v>
      </c>
      <c r="O18">
        <v>2791.1</v>
      </c>
    </row>
    <row r="19" spans="1:15">
      <c r="A19" t="s">
        <v>139</v>
      </c>
      <c r="B19" t="s">
        <v>140</v>
      </c>
      <c r="C19" t="s">
        <v>98</v>
      </c>
      <c r="D19">
        <v>21</v>
      </c>
      <c r="E19">
        <v>684.6</v>
      </c>
      <c r="F19">
        <v>1744.5</v>
      </c>
      <c r="G19">
        <v>181</v>
      </c>
      <c r="H19">
        <v>181</v>
      </c>
      <c r="I19">
        <v>0</v>
      </c>
      <c r="J19">
        <v>0</v>
      </c>
      <c r="K19">
        <v>0</v>
      </c>
      <c r="L19">
        <v>0</v>
      </c>
      <c r="M19">
        <v>865.6</v>
      </c>
      <c r="N19">
        <v>1925.5</v>
      </c>
      <c r="O19">
        <v>2791.1</v>
      </c>
    </row>
    <row r="20" spans="1:15">
      <c r="A20" t="s">
        <v>141</v>
      </c>
      <c r="B20" t="s">
        <v>142</v>
      </c>
      <c r="C20" t="s">
        <v>143</v>
      </c>
      <c r="D20">
        <v>21</v>
      </c>
      <c r="E20">
        <v>684.6</v>
      </c>
      <c r="F20">
        <v>1744.5</v>
      </c>
      <c r="G20">
        <v>181</v>
      </c>
      <c r="H20">
        <v>181</v>
      </c>
      <c r="I20">
        <v>0</v>
      </c>
      <c r="J20">
        <v>0</v>
      </c>
      <c r="K20">
        <v>0</v>
      </c>
      <c r="L20">
        <v>0</v>
      </c>
      <c r="M20">
        <v>865.6</v>
      </c>
      <c r="N20">
        <v>1925.5</v>
      </c>
      <c r="O20">
        <v>2791.1</v>
      </c>
    </row>
    <row r="21" spans="1:15">
      <c r="A21" t="s">
        <v>218</v>
      </c>
      <c r="B21" t="s">
        <v>219</v>
      </c>
      <c r="C21" t="s">
        <v>220</v>
      </c>
      <c r="D21">
        <v>21</v>
      </c>
      <c r="E21">
        <v>684.6</v>
      </c>
      <c r="F21">
        <v>1744.5</v>
      </c>
      <c r="G21">
        <v>181</v>
      </c>
      <c r="H21">
        <v>181</v>
      </c>
      <c r="I21">
        <v>0</v>
      </c>
      <c r="J21">
        <v>0</v>
      </c>
      <c r="K21">
        <v>0</v>
      </c>
      <c r="L21">
        <v>0</v>
      </c>
      <c r="M21">
        <v>865.6</v>
      </c>
      <c r="N21">
        <v>1925.5</v>
      </c>
      <c r="O21">
        <v>2791.1</v>
      </c>
    </row>
    <row r="22" spans="1:15">
      <c r="A22" t="s">
        <v>214</v>
      </c>
      <c r="B22" t="s">
        <v>215</v>
      </c>
      <c r="C22" t="s">
        <v>216</v>
      </c>
      <c r="D22">
        <v>21</v>
      </c>
      <c r="E22">
        <v>684.6</v>
      </c>
      <c r="F22">
        <v>1744.5</v>
      </c>
      <c r="G22">
        <v>181</v>
      </c>
      <c r="H22">
        <v>181</v>
      </c>
      <c r="I22">
        <v>0</v>
      </c>
      <c r="J22">
        <v>0</v>
      </c>
      <c r="K22">
        <v>0</v>
      </c>
      <c r="L22">
        <v>0</v>
      </c>
      <c r="M22">
        <v>865.6</v>
      </c>
      <c r="N22">
        <v>1925.5</v>
      </c>
      <c r="O22">
        <v>2791.1</v>
      </c>
    </row>
    <row r="23" spans="1:15">
      <c r="A23" t="s">
        <v>100</v>
      </c>
      <c r="B23" t="s">
        <v>101</v>
      </c>
      <c r="C23" t="s">
        <v>102</v>
      </c>
      <c r="D23">
        <v>21</v>
      </c>
      <c r="E23">
        <v>684.6</v>
      </c>
      <c r="F23">
        <v>1744.5</v>
      </c>
      <c r="G23">
        <v>181</v>
      </c>
      <c r="H23">
        <v>181</v>
      </c>
      <c r="I23">
        <v>0</v>
      </c>
      <c r="J23">
        <v>0</v>
      </c>
      <c r="K23">
        <v>0</v>
      </c>
      <c r="L23">
        <v>0</v>
      </c>
      <c r="M23">
        <v>865.6</v>
      </c>
      <c r="N23">
        <v>1925.5</v>
      </c>
      <c r="O23">
        <v>2791.1</v>
      </c>
    </row>
    <row r="24" spans="1:15">
      <c r="A24" t="s">
        <v>264</v>
      </c>
      <c r="B24" t="s">
        <v>379</v>
      </c>
      <c r="C24" t="s">
        <v>397</v>
      </c>
      <c r="D24">
        <v>21</v>
      </c>
      <c r="E24">
        <v>684.6</v>
      </c>
      <c r="F24">
        <v>1744.5</v>
      </c>
      <c r="G24">
        <v>181</v>
      </c>
      <c r="H24">
        <v>181</v>
      </c>
      <c r="I24">
        <v>0</v>
      </c>
      <c r="J24">
        <v>0</v>
      </c>
      <c r="K24">
        <v>0</v>
      </c>
      <c r="L24">
        <v>0</v>
      </c>
      <c r="M24">
        <v>865.6</v>
      </c>
      <c r="N24">
        <v>1925.5</v>
      </c>
      <c r="O24">
        <v>2791.1</v>
      </c>
    </row>
    <row r="25" spans="1:15">
      <c r="A25" t="s">
        <v>117</v>
      </c>
      <c r="B25" t="s">
        <v>118</v>
      </c>
      <c r="C25" t="s">
        <v>119</v>
      </c>
      <c r="D25">
        <v>21</v>
      </c>
      <c r="E25">
        <v>684.6</v>
      </c>
      <c r="F25">
        <v>1744.5</v>
      </c>
      <c r="G25">
        <v>181</v>
      </c>
      <c r="H25">
        <v>181</v>
      </c>
      <c r="I25">
        <v>0</v>
      </c>
      <c r="J25">
        <v>0</v>
      </c>
      <c r="K25">
        <v>0</v>
      </c>
      <c r="L25">
        <v>0</v>
      </c>
      <c r="M25">
        <v>865.6</v>
      </c>
      <c r="N25">
        <v>1925.5</v>
      </c>
      <c r="O25">
        <v>2791.1</v>
      </c>
    </row>
    <row r="26" spans="1:15">
      <c r="A26" t="s">
        <v>126</v>
      </c>
      <c r="B26" t="s">
        <v>127</v>
      </c>
      <c r="C26" t="s">
        <v>128</v>
      </c>
      <c r="D26">
        <v>21</v>
      </c>
      <c r="E26">
        <v>684.6</v>
      </c>
      <c r="F26">
        <v>1744.5</v>
      </c>
      <c r="G26">
        <v>181</v>
      </c>
      <c r="H26">
        <v>181</v>
      </c>
      <c r="I26">
        <v>0</v>
      </c>
      <c r="J26">
        <v>0</v>
      </c>
      <c r="K26">
        <v>0</v>
      </c>
      <c r="L26">
        <v>0</v>
      </c>
      <c r="M26">
        <v>865.6</v>
      </c>
      <c r="N26">
        <v>1925.5</v>
      </c>
      <c r="O26">
        <v>2791.1</v>
      </c>
    </row>
    <row r="27" spans="1:15">
      <c r="A27" t="s">
        <v>277</v>
      </c>
      <c r="B27" t="s">
        <v>278</v>
      </c>
      <c r="C27" t="s">
        <v>279</v>
      </c>
      <c r="D27">
        <v>21</v>
      </c>
      <c r="E27">
        <v>684.6</v>
      </c>
      <c r="F27">
        <v>1744.5</v>
      </c>
      <c r="G27">
        <v>181</v>
      </c>
      <c r="H27">
        <v>181</v>
      </c>
      <c r="I27">
        <v>0</v>
      </c>
      <c r="J27">
        <v>0</v>
      </c>
      <c r="K27">
        <v>0</v>
      </c>
      <c r="L27">
        <v>0</v>
      </c>
      <c r="M27">
        <v>865.6</v>
      </c>
      <c r="N27">
        <v>1925.5</v>
      </c>
      <c r="O27">
        <v>2791.1</v>
      </c>
    </row>
    <row r="28" spans="1:15">
      <c r="A28" t="s">
        <v>228</v>
      </c>
      <c r="B28" t="s">
        <v>229</v>
      </c>
      <c r="C28" t="s">
        <v>230</v>
      </c>
      <c r="D28">
        <v>21</v>
      </c>
      <c r="E28">
        <v>684.6</v>
      </c>
      <c r="F28">
        <v>1744.5</v>
      </c>
      <c r="G28">
        <v>181</v>
      </c>
      <c r="H28">
        <v>181</v>
      </c>
      <c r="I28">
        <v>0</v>
      </c>
      <c r="J28">
        <v>0</v>
      </c>
      <c r="K28">
        <v>0</v>
      </c>
      <c r="L28">
        <v>0</v>
      </c>
      <c r="M28">
        <v>865.6</v>
      </c>
      <c r="N28">
        <v>1925.5</v>
      </c>
      <c r="O28">
        <v>2791.1</v>
      </c>
    </row>
    <row r="29" spans="1:15">
      <c r="A29" t="s">
        <v>106</v>
      </c>
      <c r="B29" t="s">
        <v>107</v>
      </c>
      <c r="C29" t="s">
        <v>105</v>
      </c>
      <c r="D29">
        <v>21</v>
      </c>
      <c r="E29">
        <v>684.6</v>
      </c>
      <c r="F29">
        <v>1744.5</v>
      </c>
      <c r="G29">
        <v>181</v>
      </c>
      <c r="H29">
        <v>181</v>
      </c>
      <c r="I29">
        <v>0</v>
      </c>
      <c r="J29">
        <v>0</v>
      </c>
      <c r="K29">
        <v>0</v>
      </c>
      <c r="L29">
        <v>0</v>
      </c>
      <c r="M29">
        <v>865.6</v>
      </c>
      <c r="N29">
        <v>1925.5</v>
      </c>
      <c r="O29">
        <v>2791.1</v>
      </c>
    </row>
    <row r="30" spans="1:15">
      <c r="A30" t="s">
        <v>231</v>
      </c>
      <c r="B30" t="s">
        <v>232</v>
      </c>
      <c r="C30" t="s">
        <v>233</v>
      </c>
      <c r="D30">
        <v>21</v>
      </c>
      <c r="E30">
        <v>684.6</v>
      </c>
      <c r="F30">
        <v>1744.5</v>
      </c>
      <c r="G30">
        <v>181</v>
      </c>
      <c r="H30">
        <v>181</v>
      </c>
      <c r="I30">
        <v>0</v>
      </c>
      <c r="J30">
        <v>0</v>
      </c>
      <c r="K30">
        <v>0</v>
      </c>
      <c r="L30">
        <v>0</v>
      </c>
      <c r="M30">
        <v>865.6</v>
      </c>
      <c r="N30">
        <v>1925.5</v>
      </c>
      <c r="O30">
        <v>2791.1</v>
      </c>
    </row>
    <row r="31" spans="1:15">
      <c r="A31" t="s">
        <v>265</v>
      </c>
      <c r="B31" t="s">
        <v>266</v>
      </c>
      <c r="C31" t="s">
        <v>267</v>
      </c>
      <c r="D31">
        <v>21</v>
      </c>
      <c r="E31">
        <v>684.6</v>
      </c>
      <c r="F31">
        <v>1744.5</v>
      </c>
      <c r="G31">
        <v>181</v>
      </c>
      <c r="H31">
        <v>181</v>
      </c>
      <c r="I31">
        <v>0</v>
      </c>
      <c r="J31">
        <v>0</v>
      </c>
      <c r="K31">
        <v>0</v>
      </c>
      <c r="L31">
        <v>0</v>
      </c>
      <c r="M31">
        <v>865.6</v>
      </c>
      <c r="N31">
        <v>1925.5</v>
      </c>
      <c r="O31">
        <v>2791.1</v>
      </c>
    </row>
    <row r="32" spans="1:15">
      <c r="A32" t="s">
        <v>360</v>
      </c>
      <c r="B32" t="s">
        <v>361</v>
      </c>
      <c r="C32" t="s">
        <v>147</v>
      </c>
      <c r="D32">
        <v>21</v>
      </c>
      <c r="E32">
        <v>684.6</v>
      </c>
      <c r="F32">
        <v>1744.5</v>
      </c>
      <c r="G32">
        <v>181</v>
      </c>
      <c r="H32">
        <v>181</v>
      </c>
      <c r="I32">
        <v>0</v>
      </c>
      <c r="J32">
        <v>0</v>
      </c>
      <c r="K32">
        <v>0</v>
      </c>
      <c r="L32">
        <v>0</v>
      </c>
      <c r="M32">
        <v>865.6</v>
      </c>
      <c r="N32">
        <v>1925.5</v>
      </c>
      <c r="O32">
        <v>2791.1</v>
      </c>
    </row>
    <row r="33" spans="1:15">
      <c r="A33" t="s">
        <v>198</v>
      </c>
      <c r="B33" t="s">
        <v>199</v>
      </c>
      <c r="C33" t="s">
        <v>200</v>
      </c>
      <c r="D33">
        <v>21</v>
      </c>
      <c r="E33">
        <v>684.6</v>
      </c>
      <c r="F33">
        <v>1744.5</v>
      </c>
      <c r="G33">
        <v>181</v>
      </c>
      <c r="H33">
        <v>181</v>
      </c>
      <c r="I33">
        <v>0</v>
      </c>
      <c r="J33">
        <v>0</v>
      </c>
      <c r="K33">
        <v>0</v>
      </c>
      <c r="L33">
        <v>0</v>
      </c>
      <c r="M33">
        <v>865.6</v>
      </c>
      <c r="N33">
        <v>1925.5</v>
      </c>
      <c r="O33">
        <v>2791.1</v>
      </c>
    </row>
    <row r="34" spans="1:15">
      <c r="A34" t="s">
        <v>129</v>
      </c>
      <c r="B34" t="s">
        <v>130</v>
      </c>
      <c r="C34" t="s">
        <v>131</v>
      </c>
      <c r="D34">
        <v>21</v>
      </c>
      <c r="E34">
        <v>684.6</v>
      </c>
      <c r="F34">
        <v>1744.5</v>
      </c>
      <c r="G34">
        <v>181</v>
      </c>
      <c r="H34">
        <v>181</v>
      </c>
      <c r="I34">
        <v>0</v>
      </c>
      <c r="J34">
        <v>0</v>
      </c>
      <c r="K34">
        <v>0</v>
      </c>
      <c r="L34">
        <v>0</v>
      </c>
      <c r="M34">
        <v>865.6</v>
      </c>
      <c r="N34">
        <v>1925.5</v>
      </c>
      <c r="O34">
        <v>2791.1</v>
      </c>
    </row>
    <row r="35" spans="1:15">
      <c r="A35" t="s">
        <v>187</v>
      </c>
      <c r="B35" t="s">
        <v>188</v>
      </c>
      <c r="C35" t="s">
        <v>189</v>
      </c>
      <c r="D35">
        <v>21</v>
      </c>
      <c r="E35">
        <v>684.6</v>
      </c>
      <c r="F35">
        <v>1744.5</v>
      </c>
      <c r="G35">
        <v>181</v>
      </c>
      <c r="H35">
        <v>181</v>
      </c>
      <c r="I35">
        <v>0</v>
      </c>
      <c r="J35">
        <v>0</v>
      </c>
      <c r="K35">
        <v>0</v>
      </c>
      <c r="L35">
        <v>0</v>
      </c>
      <c r="M35">
        <v>865.6</v>
      </c>
      <c r="N35">
        <v>1925.5</v>
      </c>
      <c r="O35">
        <v>2791.1</v>
      </c>
    </row>
    <row r="36" spans="1:15">
      <c r="A36" t="s">
        <v>282</v>
      </c>
      <c r="B36" t="s">
        <v>283</v>
      </c>
      <c r="C36" t="s">
        <v>284</v>
      </c>
      <c r="D36">
        <v>21</v>
      </c>
      <c r="E36">
        <v>684.6</v>
      </c>
      <c r="F36">
        <v>1744.5</v>
      </c>
      <c r="G36">
        <v>181</v>
      </c>
      <c r="H36">
        <v>181</v>
      </c>
      <c r="I36">
        <v>0</v>
      </c>
      <c r="J36">
        <v>0</v>
      </c>
      <c r="K36">
        <v>0</v>
      </c>
      <c r="L36">
        <v>0</v>
      </c>
      <c r="M36">
        <v>865.6</v>
      </c>
      <c r="N36">
        <v>1925.5</v>
      </c>
      <c r="O36">
        <v>2791.1</v>
      </c>
    </row>
    <row r="37" spans="1:15">
      <c r="A37" t="s">
        <v>144</v>
      </c>
      <c r="B37" t="s">
        <v>145</v>
      </c>
      <c r="C37" t="s">
        <v>143</v>
      </c>
      <c r="D37">
        <v>21</v>
      </c>
      <c r="E37">
        <v>684.6</v>
      </c>
      <c r="F37">
        <v>1744.5</v>
      </c>
      <c r="G37">
        <v>181</v>
      </c>
      <c r="H37">
        <v>181</v>
      </c>
      <c r="I37">
        <v>0</v>
      </c>
      <c r="J37">
        <v>0</v>
      </c>
      <c r="K37">
        <v>0</v>
      </c>
      <c r="L37">
        <v>0</v>
      </c>
      <c r="M37">
        <v>865.6</v>
      </c>
      <c r="N37">
        <v>1925.5</v>
      </c>
      <c r="O37">
        <v>2791.1</v>
      </c>
    </row>
    <row r="38" spans="1:15">
      <c r="A38" t="s">
        <v>239</v>
      </c>
      <c r="B38" t="s">
        <v>240</v>
      </c>
      <c r="C38" t="s">
        <v>241</v>
      </c>
      <c r="D38">
        <v>21</v>
      </c>
      <c r="E38">
        <v>684.6</v>
      </c>
      <c r="F38">
        <v>1744.5</v>
      </c>
      <c r="G38">
        <v>181</v>
      </c>
      <c r="H38">
        <v>181</v>
      </c>
      <c r="I38">
        <v>0</v>
      </c>
      <c r="J38">
        <v>0</v>
      </c>
      <c r="K38">
        <v>0</v>
      </c>
      <c r="L38">
        <v>0</v>
      </c>
      <c r="M38">
        <v>865.6</v>
      </c>
      <c r="N38">
        <v>1925.5</v>
      </c>
      <c r="O38">
        <v>2791.1</v>
      </c>
    </row>
    <row r="39" spans="1:15">
      <c r="A39" t="s">
        <v>120</v>
      </c>
      <c r="B39" t="s">
        <v>121</v>
      </c>
      <c r="C39" t="s">
        <v>122</v>
      </c>
      <c r="D39">
        <v>21</v>
      </c>
      <c r="E39">
        <v>684.6</v>
      </c>
      <c r="F39">
        <v>1744.5</v>
      </c>
      <c r="G39">
        <v>181</v>
      </c>
      <c r="H39">
        <v>181</v>
      </c>
      <c r="I39">
        <v>0</v>
      </c>
      <c r="J39">
        <v>0</v>
      </c>
      <c r="K39">
        <v>0</v>
      </c>
      <c r="L39">
        <v>0</v>
      </c>
      <c r="M39">
        <v>865.6</v>
      </c>
      <c r="N39">
        <v>1925.5</v>
      </c>
      <c r="O39">
        <v>2791.1</v>
      </c>
    </row>
    <row r="40" spans="1:15">
      <c r="A40" t="s">
        <v>221</v>
      </c>
      <c r="B40" t="s">
        <v>222</v>
      </c>
      <c r="C40" t="s">
        <v>131</v>
      </c>
      <c r="D40">
        <v>21</v>
      </c>
      <c r="E40">
        <v>684.6</v>
      </c>
      <c r="F40">
        <v>1744.5</v>
      </c>
      <c r="G40">
        <v>181</v>
      </c>
      <c r="H40">
        <v>181</v>
      </c>
      <c r="I40">
        <v>0</v>
      </c>
      <c r="J40">
        <v>0</v>
      </c>
      <c r="K40">
        <v>0</v>
      </c>
      <c r="L40">
        <v>0</v>
      </c>
      <c r="M40">
        <v>865.6</v>
      </c>
      <c r="N40">
        <v>1925.5</v>
      </c>
      <c r="O40">
        <v>2791.1</v>
      </c>
    </row>
    <row r="41" spans="1:15">
      <c r="A41" t="s">
        <v>259</v>
      </c>
      <c r="B41" t="s">
        <v>260</v>
      </c>
      <c r="C41" t="s">
        <v>261</v>
      </c>
      <c r="D41">
        <v>21</v>
      </c>
      <c r="E41">
        <v>684.6</v>
      </c>
      <c r="F41">
        <v>1744.5</v>
      </c>
      <c r="G41">
        <v>181</v>
      </c>
      <c r="H41">
        <v>181</v>
      </c>
      <c r="I41">
        <v>0</v>
      </c>
      <c r="J41">
        <v>0</v>
      </c>
      <c r="K41">
        <v>0</v>
      </c>
      <c r="L41">
        <v>0</v>
      </c>
      <c r="M41">
        <v>865.6</v>
      </c>
      <c r="N41">
        <v>1925.5</v>
      </c>
      <c r="O41">
        <v>2791.1</v>
      </c>
    </row>
    <row r="42" spans="1:15">
      <c r="A42" t="s">
        <v>155</v>
      </c>
      <c r="B42" t="s">
        <v>156</v>
      </c>
      <c r="C42" t="s">
        <v>157</v>
      </c>
      <c r="D42">
        <v>21</v>
      </c>
      <c r="E42">
        <v>684.6</v>
      </c>
      <c r="F42">
        <v>1744.5</v>
      </c>
      <c r="G42">
        <v>181</v>
      </c>
      <c r="H42">
        <v>181</v>
      </c>
      <c r="I42">
        <v>0</v>
      </c>
      <c r="J42">
        <v>0</v>
      </c>
      <c r="K42">
        <v>0</v>
      </c>
      <c r="L42">
        <v>0</v>
      </c>
      <c r="M42">
        <v>865.6</v>
      </c>
      <c r="N42">
        <v>1925.5</v>
      </c>
      <c r="O42">
        <v>2791.1</v>
      </c>
    </row>
    <row r="43" spans="1:15">
      <c r="A43" t="s">
        <v>234</v>
      </c>
      <c r="B43" t="s">
        <v>235</v>
      </c>
      <c r="C43" t="s">
        <v>233</v>
      </c>
      <c r="D43">
        <v>21</v>
      </c>
      <c r="E43">
        <v>684.6</v>
      </c>
      <c r="F43">
        <v>1744.5</v>
      </c>
      <c r="G43">
        <v>181</v>
      </c>
      <c r="H43">
        <v>181</v>
      </c>
      <c r="I43">
        <v>0</v>
      </c>
      <c r="J43">
        <v>0</v>
      </c>
      <c r="K43">
        <v>0</v>
      </c>
      <c r="L43">
        <v>0</v>
      </c>
      <c r="M43">
        <v>865.6</v>
      </c>
      <c r="N43">
        <v>1925.5</v>
      </c>
      <c r="O43">
        <v>2791.1</v>
      </c>
    </row>
    <row r="44" spans="1:15">
      <c r="A44" t="s">
        <v>384</v>
      </c>
      <c r="B44" t="s">
        <v>386</v>
      </c>
      <c r="C44" t="s">
        <v>395</v>
      </c>
      <c r="D44">
        <v>21</v>
      </c>
      <c r="E44">
        <v>684.6</v>
      </c>
      <c r="F44">
        <v>1744.5</v>
      </c>
      <c r="G44">
        <v>181</v>
      </c>
      <c r="H44">
        <v>181</v>
      </c>
      <c r="I44">
        <v>0</v>
      </c>
      <c r="J44">
        <v>0</v>
      </c>
      <c r="K44">
        <v>0</v>
      </c>
      <c r="L44">
        <v>0</v>
      </c>
      <c r="M44">
        <v>865.6</v>
      </c>
      <c r="N44">
        <v>1925.5</v>
      </c>
      <c r="O44">
        <v>2791.1</v>
      </c>
    </row>
    <row r="45" spans="1:15">
      <c r="A45" t="s">
        <v>190</v>
      </c>
      <c r="B45" t="s">
        <v>191</v>
      </c>
      <c r="C45" t="s">
        <v>192</v>
      </c>
      <c r="D45">
        <v>21</v>
      </c>
      <c r="E45">
        <v>684.6</v>
      </c>
      <c r="F45">
        <v>1744.5</v>
      </c>
      <c r="G45">
        <v>181</v>
      </c>
      <c r="H45">
        <v>181</v>
      </c>
      <c r="I45">
        <v>0</v>
      </c>
      <c r="J45">
        <v>0</v>
      </c>
      <c r="K45">
        <v>0</v>
      </c>
      <c r="L45">
        <v>0</v>
      </c>
      <c r="M45">
        <v>865.6</v>
      </c>
      <c r="N45">
        <v>1925.5</v>
      </c>
      <c r="O45">
        <v>2791.1</v>
      </c>
    </row>
    <row r="46" spans="1:15">
      <c r="A46" t="s">
        <v>184</v>
      </c>
      <c r="B46" t="s">
        <v>185</v>
      </c>
      <c r="C46" t="s">
        <v>186</v>
      </c>
      <c r="D46">
        <v>21</v>
      </c>
      <c r="E46">
        <v>684.6</v>
      </c>
      <c r="F46">
        <v>1744.5</v>
      </c>
      <c r="G46">
        <v>181</v>
      </c>
      <c r="H46">
        <v>181</v>
      </c>
      <c r="I46">
        <v>0</v>
      </c>
      <c r="J46">
        <v>0</v>
      </c>
      <c r="K46">
        <v>0</v>
      </c>
      <c r="L46">
        <v>0</v>
      </c>
      <c r="M46">
        <v>865.6</v>
      </c>
      <c r="N46">
        <v>1925.5</v>
      </c>
      <c r="O46">
        <v>2791.1</v>
      </c>
    </row>
    <row r="47" spans="1:15">
      <c r="A47" t="s">
        <v>368</v>
      </c>
      <c r="B47" t="s">
        <v>364</v>
      </c>
      <c r="C47" t="s">
        <v>116</v>
      </c>
      <c r="D47">
        <v>21</v>
      </c>
      <c r="E47">
        <v>684.6</v>
      </c>
      <c r="F47">
        <v>1744.5</v>
      </c>
      <c r="G47">
        <v>181</v>
      </c>
      <c r="H47">
        <v>181</v>
      </c>
      <c r="I47">
        <v>0</v>
      </c>
      <c r="J47">
        <v>0</v>
      </c>
      <c r="K47">
        <v>0</v>
      </c>
      <c r="L47">
        <v>0</v>
      </c>
      <c r="M47">
        <v>865.6</v>
      </c>
      <c r="N47">
        <v>1925.5</v>
      </c>
      <c r="O47">
        <v>2791.1</v>
      </c>
    </row>
    <row r="48" spans="1:15">
      <c r="A48" t="s">
        <v>168</v>
      </c>
      <c r="B48" t="s">
        <v>169</v>
      </c>
      <c r="C48" t="s">
        <v>170</v>
      </c>
      <c r="D48">
        <v>21</v>
      </c>
      <c r="E48">
        <v>684.6</v>
      </c>
      <c r="F48">
        <v>1744.5</v>
      </c>
      <c r="G48">
        <v>181</v>
      </c>
      <c r="H48">
        <v>181</v>
      </c>
      <c r="I48">
        <v>0</v>
      </c>
      <c r="J48">
        <v>0</v>
      </c>
      <c r="K48">
        <v>0</v>
      </c>
      <c r="L48">
        <v>0</v>
      </c>
      <c r="M48">
        <v>865.6</v>
      </c>
      <c r="N48">
        <v>1925.5</v>
      </c>
      <c r="O48">
        <v>2791.1</v>
      </c>
    </row>
    <row r="49" spans="1:15">
      <c r="A49" t="s">
        <v>207</v>
      </c>
      <c r="B49" t="s">
        <v>208</v>
      </c>
      <c r="C49" t="s">
        <v>209</v>
      </c>
      <c r="D49">
        <v>21</v>
      </c>
      <c r="E49">
        <v>684.6</v>
      </c>
      <c r="F49">
        <v>1744.5</v>
      </c>
      <c r="G49">
        <v>181</v>
      </c>
      <c r="H49">
        <v>181</v>
      </c>
      <c r="I49">
        <v>0</v>
      </c>
      <c r="J49">
        <v>0</v>
      </c>
      <c r="K49">
        <v>0</v>
      </c>
      <c r="L49">
        <v>0</v>
      </c>
      <c r="M49">
        <v>865.6</v>
      </c>
      <c r="N49">
        <v>1925.5</v>
      </c>
      <c r="O49">
        <v>2791.1</v>
      </c>
    </row>
    <row r="50" spans="1:15">
      <c r="A50" t="s">
        <v>256</v>
      </c>
      <c r="B50" t="s">
        <v>337</v>
      </c>
      <c r="C50" t="s">
        <v>257</v>
      </c>
      <c r="D50">
        <v>21</v>
      </c>
      <c r="E50">
        <v>684.6</v>
      </c>
      <c r="F50">
        <v>1744.5</v>
      </c>
      <c r="G50">
        <v>181</v>
      </c>
      <c r="H50">
        <v>181</v>
      </c>
      <c r="I50">
        <v>0</v>
      </c>
      <c r="J50">
        <v>0</v>
      </c>
      <c r="K50">
        <v>0</v>
      </c>
      <c r="L50">
        <v>0</v>
      </c>
      <c r="M50">
        <v>865.6</v>
      </c>
      <c r="N50">
        <v>1925.5</v>
      </c>
      <c r="O50">
        <v>2791.1</v>
      </c>
    </row>
    <row r="51" spans="1:15">
      <c r="A51" t="s">
        <v>110</v>
      </c>
      <c r="B51" t="s">
        <v>111</v>
      </c>
      <c r="C51" t="s">
        <v>112</v>
      </c>
      <c r="D51">
        <v>21</v>
      </c>
      <c r="E51">
        <v>684.6</v>
      </c>
      <c r="F51">
        <v>1744.5</v>
      </c>
      <c r="G51">
        <v>181</v>
      </c>
      <c r="H51">
        <v>181</v>
      </c>
      <c r="I51">
        <v>0</v>
      </c>
      <c r="J51">
        <v>0</v>
      </c>
      <c r="K51">
        <v>0</v>
      </c>
      <c r="L51">
        <v>0</v>
      </c>
      <c r="M51">
        <v>865.6</v>
      </c>
      <c r="N51">
        <v>1925.5</v>
      </c>
      <c r="O51">
        <v>2791.1</v>
      </c>
    </row>
    <row r="52" spans="1:15">
      <c r="A52" t="s">
        <v>90</v>
      </c>
      <c r="B52" t="s">
        <v>91</v>
      </c>
      <c r="C52" t="s">
        <v>89</v>
      </c>
      <c r="D52">
        <v>21</v>
      </c>
      <c r="E52">
        <v>684.6</v>
      </c>
      <c r="F52">
        <v>1744.5</v>
      </c>
      <c r="G52">
        <v>181</v>
      </c>
      <c r="H52">
        <v>181</v>
      </c>
      <c r="I52">
        <v>0</v>
      </c>
      <c r="J52">
        <v>0</v>
      </c>
      <c r="K52">
        <v>0</v>
      </c>
      <c r="L52">
        <v>0</v>
      </c>
      <c r="M52">
        <v>865.6</v>
      </c>
      <c r="N52">
        <v>1925.5</v>
      </c>
      <c r="O52">
        <v>2791.1</v>
      </c>
    </row>
    <row r="53" spans="1:15">
      <c r="A53" t="s">
        <v>369</v>
      </c>
      <c r="B53" t="s">
        <v>370</v>
      </c>
      <c r="C53" t="s">
        <v>230</v>
      </c>
      <c r="D53">
        <v>21</v>
      </c>
      <c r="E53">
        <v>684.6</v>
      </c>
      <c r="F53">
        <v>1744.5</v>
      </c>
      <c r="G53">
        <v>181</v>
      </c>
      <c r="H53">
        <v>181</v>
      </c>
      <c r="I53">
        <v>0</v>
      </c>
      <c r="J53">
        <v>0</v>
      </c>
      <c r="K53">
        <v>0</v>
      </c>
      <c r="L53">
        <v>0</v>
      </c>
      <c r="M53">
        <v>865.6</v>
      </c>
      <c r="N53">
        <v>1925.5</v>
      </c>
      <c r="O53">
        <v>2791.1</v>
      </c>
    </row>
    <row r="54" spans="1:15">
      <c r="A54" t="s">
        <v>355</v>
      </c>
      <c r="B54" t="s">
        <v>356</v>
      </c>
      <c r="C54" t="s">
        <v>268</v>
      </c>
      <c r="D54">
        <v>21</v>
      </c>
      <c r="E54">
        <v>684.6</v>
      </c>
      <c r="F54">
        <v>1744.5</v>
      </c>
      <c r="G54">
        <v>181</v>
      </c>
      <c r="H54">
        <v>181</v>
      </c>
      <c r="I54">
        <v>0</v>
      </c>
      <c r="J54">
        <v>0</v>
      </c>
      <c r="K54">
        <v>0</v>
      </c>
      <c r="L54">
        <v>0</v>
      </c>
      <c r="M54">
        <v>865.6</v>
      </c>
      <c r="N54">
        <v>1925.5</v>
      </c>
      <c r="O54">
        <v>2791.1</v>
      </c>
    </row>
    <row r="55" spans="1:15">
      <c r="A55" t="s">
        <v>350</v>
      </c>
      <c r="B55" t="s">
        <v>351</v>
      </c>
      <c r="C55" t="s">
        <v>352</v>
      </c>
      <c r="D55">
        <v>21</v>
      </c>
      <c r="E55">
        <v>684.6</v>
      </c>
      <c r="F55">
        <v>1744.5</v>
      </c>
      <c r="G55">
        <v>181</v>
      </c>
      <c r="H55">
        <v>181</v>
      </c>
      <c r="I55">
        <v>0</v>
      </c>
      <c r="J55">
        <v>0</v>
      </c>
      <c r="K55">
        <v>0</v>
      </c>
      <c r="L55">
        <v>0</v>
      </c>
      <c r="M55">
        <v>865.6</v>
      </c>
      <c r="N55">
        <v>1925.5</v>
      </c>
      <c r="O55">
        <v>2791.1</v>
      </c>
    </row>
    <row r="56" spans="1:15">
      <c r="A56" t="s">
        <v>196</v>
      </c>
      <c r="B56" t="s">
        <v>197</v>
      </c>
      <c r="C56" t="s">
        <v>419</v>
      </c>
      <c r="D56">
        <v>21</v>
      </c>
      <c r="E56">
        <v>684.6</v>
      </c>
      <c r="F56">
        <v>1744.5</v>
      </c>
      <c r="G56">
        <v>181</v>
      </c>
      <c r="H56">
        <v>181</v>
      </c>
      <c r="I56">
        <v>0</v>
      </c>
      <c r="J56">
        <v>0</v>
      </c>
      <c r="K56">
        <v>0</v>
      </c>
      <c r="L56">
        <v>0</v>
      </c>
      <c r="M56">
        <v>865.6</v>
      </c>
      <c r="N56">
        <v>1925.5</v>
      </c>
      <c r="O56">
        <v>2791.1</v>
      </c>
    </row>
    <row r="57" spans="1:15">
      <c r="A57" t="s">
        <v>226</v>
      </c>
      <c r="B57" t="s">
        <v>227</v>
      </c>
      <c r="C57" t="s">
        <v>225</v>
      </c>
      <c r="D57">
        <v>21</v>
      </c>
      <c r="E57">
        <v>684.6</v>
      </c>
      <c r="F57">
        <v>1744.5</v>
      </c>
      <c r="G57">
        <v>181</v>
      </c>
      <c r="H57">
        <v>181</v>
      </c>
      <c r="I57">
        <v>0</v>
      </c>
      <c r="J57">
        <v>0</v>
      </c>
      <c r="K57">
        <v>0</v>
      </c>
      <c r="L57">
        <v>0</v>
      </c>
      <c r="M57">
        <v>865.6</v>
      </c>
      <c r="N57">
        <v>1925.5</v>
      </c>
      <c r="O57">
        <v>2791.1</v>
      </c>
    </row>
    <row r="58" spans="1:15">
      <c r="A58" t="s">
        <v>179</v>
      </c>
      <c r="B58" t="s">
        <v>180</v>
      </c>
      <c r="C58" t="s">
        <v>181</v>
      </c>
      <c r="D58">
        <v>21</v>
      </c>
      <c r="E58">
        <v>684.6</v>
      </c>
      <c r="F58">
        <v>1744.5</v>
      </c>
      <c r="G58">
        <v>181</v>
      </c>
      <c r="H58">
        <v>181</v>
      </c>
      <c r="I58">
        <v>0</v>
      </c>
      <c r="J58">
        <v>0</v>
      </c>
      <c r="K58">
        <v>0</v>
      </c>
      <c r="L58">
        <v>0</v>
      </c>
      <c r="M58">
        <v>865.6</v>
      </c>
      <c r="N58">
        <v>1925.5</v>
      </c>
      <c r="O58">
        <v>2791.1</v>
      </c>
    </row>
    <row r="59" spans="1:15">
      <c r="A59" t="s">
        <v>85</v>
      </c>
      <c r="B59" t="s">
        <v>86</v>
      </c>
      <c r="C59" t="s">
        <v>88</v>
      </c>
      <c r="D59">
        <v>21</v>
      </c>
      <c r="E59">
        <v>684.6</v>
      </c>
      <c r="F59">
        <v>1744.5</v>
      </c>
      <c r="G59">
        <v>181</v>
      </c>
      <c r="H59">
        <v>181</v>
      </c>
      <c r="I59">
        <v>0</v>
      </c>
      <c r="J59">
        <v>0</v>
      </c>
      <c r="K59">
        <v>0</v>
      </c>
      <c r="L59">
        <v>0</v>
      </c>
      <c r="M59">
        <v>865.6</v>
      </c>
      <c r="N59">
        <v>1925.5</v>
      </c>
      <c r="O59">
        <v>2791.1</v>
      </c>
    </row>
    <row r="60" spans="1:15">
      <c r="A60" t="s">
        <v>253</v>
      </c>
      <c r="B60" t="s">
        <v>254</v>
      </c>
      <c r="C60" t="s">
        <v>255</v>
      </c>
      <c r="D60">
        <v>21</v>
      </c>
      <c r="E60">
        <v>684.6</v>
      </c>
      <c r="F60">
        <v>1744.5</v>
      </c>
      <c r="G60">
        <v>181</v>
      </c>
      <c r="H60">
        <v>181</v>
      </c>
      <c r="I60">
        <v>0</v>
      </c>
      <c r="J60">
        <v>0</v>
      </c>
      <c r="K60">
        <v>0</v>
      </c>
      <c r="L60">
        <v>0</v>
      </c>
      <c r="M60">
        <v>865.6</v>
      </c>
      <c r="N60">
        <v>1925.5</v>
      </c>
      <c r="O60">
        <v>2791.1</v>
      </c>
    </row>
    <row r="61" spans="1:15">
      <c r="A61" t="s">
        <v>211</v>
      </c>
      <c r="B61" t="s">
        <v>212</v>
      </c>
      <c r="C61" t="s">
        <v>213</v>
      </c>
      <c r="D61">
        <v>21</v>
      </c>
      <c r="E61">
        <v>684.6</v>
      </c>
      <c r="F61">
        <v>1744.5</v>
      </c>
      <c r="G61">
        <v>181</v>
      </c>
      <c r="H61">
        <v>181</v>
      </c>
      <c r="I61">
        <v>0</v>
      </c>
      <c r="J61">
        <v>0</v>
      </c>
      <c r="K61">
        <v>0</v>
      </c>
      <c r="L61">
        <v>0</v>
      </c>
      <c r="M61">
        <v>865.6</v>
      </c>
      <c r="N61">
        <v>1925.5</v>
      </c>
      <c r="O61">
        <v>2791.1</v>
      </c>
    </row>
    <row r="62" spans="1:15">
      <c r="A62" t="s">
        <v>272</v>
      </c>
      <c r="B62" t="s">
        <v>273</v>
      </c>
      <c r="C62" t="s">
        <v>274</v>
      </c>
      <c r="D62">
        <v>21</v>
      </c>
      <c r="E62">
        <v>684.6</v>
      </c>
      <c r="F62">
        <v>1744.5</v>
      </c>
      <c r="G62">
        <v>181</v>
      </c>
      <c r="H62">
        <v>181</v>
      </c>
      <c r="I62">
        <v>0</v>
      </c>
      <c r="J62">
        <v>0</v>
      </c>
      <c r="K62">
        <v>0</v>
      </c>
      <c r="L62">
        <v>0</v>
      </c>
      <c r="M62">
        <v>865.6</v>
      </c>
      <c r="N62">
        <v>1925.5</v>
      </c>
      <c r="O62">
        <v>2791.1</v>
      </c>
    </row>
    <row r="63" spans="1:15">
      <c r="A63" t="s">
        <v>269</v>
      </c>
      <c r="B63" t="s">
        <v>270</v>
      </c>
      <c r="C63" t="s">
        <v>271</v>
      </c>
      <c r="D63">
        <v>21</v>
      </c>
      <c r="E63">
        <v>684.6</v>
      </c>
      <c r="F63">
        <v>1744.5</v>
      </c>
      <c r="G63">
        <v>181</v>
      </c>
      <c r="H63">
        <v>181</v>
      </c>
      <c r="I63">
        <v>0</v>
      </c>
      <c r="J63">
        <v>0</v>
      </c>
      <c r="K63">
        <v>0</v>
      </c>
      <c r="L63">
        <v>0</v>
      </c>
      <c r="M63">
        <v>865.6</v>
      </c>
      <c r="N63">
        <v>1925.5</v>
      </c>
      <c r="O63">
        <v>2791.1</v>
      </c>
    </row>
    <row r="64" spans="1:15">
      <c r="A64" t="s">
        <v>173</v>
      </c>
      <c r="B64" t="s">
        <v>174</v>
      </c>
      <c r="C64" t="s">
        <v>175</v>
      </c>
      <c r="D64">
        <v>21</v>
      </c>
      <c r="E64">
        <v>684.6</v>
      </c>
      <c r="F64">
        <v>1744.5</v>
      </c>
      <c r="G64">
        <v>181</v>
      </c>
      <c r="H64">
        <v>181</v>
      </c>
      <c r="I64">
        <v>0</v>
      </c>
      <c r="J64">
        <v>0</v>
      </c>
      <c r="K64">
        <v>0</v>
      </c>
      <c r="L64">
        <v>0</v>
      </c>
      <c r="M64">
        <v>865.6</v>
      </c>
      <c r="N64">
        <v>1925.5</v>
      </c>
      <c r="O64">
        <v>2791.1</v>
      </c>
    </row>
    <row r="65" spans="1:15">
      <c r="A65" t="s">
        <v>400</v>
      </c>
      <c r="B65" t="s">
        <v>401</v>
      </c>
      <c r="C65" t="s">
        <v>125</v>
      </c>
      <c r="D65">
        <v>21</v>
      </c>
      <c r="E65">
        <v>684.6</v>
      </c>
      <c r="F65">
        <v>1744.5</v>
      </c>
      <c r="G65">
        <v>181</v>
      </c>
      <c r="H65">
        <v>181</v>
      </c>
      <c r="I65">
        <v>0</v>
      </c>
      <c r="J65">
        <v>0</v>
      </c>
      <c r="K65">
        <v>0</v>
      </c>
      <c r="L65">
        <v>0</v>
      </c>
      <c r="M65">
        <v>865.6</v>
      </c>
      <c r="N65">
        <v>1925.5</v>
      </c>
      <c r="O65">
        <v>2791.1</v>
      </c>
    </row>
    <row r="66" spans="1:15">
      <c r="A66" t="s">
        <v>404</v>
      </c>
      <c r="B66" t="s">
        <v>405</v>
      </c>
      <c r="C66" t="s">
        <v>415</v>
      </c>
      <c r="D66">
        <v>21</v>
      </c>
      <c r="E66">
        <v>684.6</v>
      </c>
      <c r="F66">
        <v>1744.5</v>
      </c>
      <c r="G66">
        <v>181</v>
      </c>
      <c r="H66">
        <v>181</v>
      </c>
      <c r="I66">
        <v>0</v>
      </c>
      <c r="J66">
        <v>0</v>
      </c>
      <c r="K66">
        <v>0</v>
      </c>
      <c r="L66">
        <v>0</v>
      </c>
      <c r="M66">
        <v>865.6</v>
      </c>
      <c r="N66">
        <v>1925.5</v>
      </c>
      <c r="O66">
        <v>2791.1</v>
      </c>
    </row>
    <row r="67" spans="1:15">
      <c r="A67" t="s">
        <v>406</v>
      </c>
      <c r="B67" t="s">
        <v>407</v>
      </c>
      <c r="C67" t="s">
        <v>134</v>
      </c>
      <c r="D67">
        <v>21</v>
      </c>
      <c r="E67">
        <v>684.6</v>
      </c>
      <c r="F67">
        <v>1744.5</v>
      </c>
      <c r="G67">
        <v>181</v>
      </c>
      <c r="H67">
        <v>181</v>
      </c>
      <c r="I67">
        <v>0</v>
      </c>
      <c r="J67">
        <v>0</v>
      </c>
      <c r="K67">
        <v>0</v>
      </c>
      <c r="L67">
        <v>0</v>
      </c>
      <c r="M67">
        <v>865.6</v>
      </c>
      <c r="N67">
        <v>1925.5</v>
      </c>
      <c r="O67">
        <v>2791.1</v>
      </c>
    </row>
    <row r="68" spans="1:15">
      <c r="A68" t="s">
        <v>412</v>
      </c>
      <c r="B68" t="s">
        <v>413</v>
      </c>
      <c r="C68" t="s">
        <v>429</v>
      </c>
      <c r="D68">
        <v>21</v>
      </c>
      <c r="E68">
        <v>684.6</v>
      </c>
      <c r="F68">
        <v>1744.5</v>
      </c>
      <c r="G68">
        <v>181</v>
      </c>
      <c r="H68">
        <v>181</v>
      </c>
      <c r="I68">
        <v>0</v>
      </c>
      <c r="J68">
        <v>0</v>
      </c>
      <c r="K68">
        <v>0</v>
      </c>
      <c r="L68">
        <v>0</v>
      </c>
      <c r="M68">
        <v>865.6</v>
      </c>
      <c r="N68">
        <v>1925.5</v>
      </c>
      <c r="O68">
        <v>2791.1</v>
      </c>
    </row>
    <row r="69" spans="1:15">
      <c r="A69" t="s">
        <v>422</v>
      </c>
      <c r="B69" t="s">
        <v>423</v>
      </c>
      <c r="C69" t="s">
        <v>98</v>
      </c>
      <c r="D69">
        <v>21</v>
      </c>
      <c r="E69">
        <v>684.6</v>
      </c>
      <c r="F69">
        <v>1744.5</v>
      </c>
      <c r="G69">
        <v>181</v>
      </c>
      <c r="H69">
        <v>181</v>
      </c>
      <c r="I69">
        <v>0</v>
      </c>
      <c r="J69">
        <v>0</v>
      </c>
      <c r="K69">
        <v>0</v>
      </c>
      <c r="L69">
        <v>0</v>
      </c>
      <c r="M69">
        <v>865.6</v>
      </c>
      <c r="N69">
        <v>1925.5</v>
      </c>
      <c r="O69">
        <v>2791.1</v>
      </c>
    </row>
    <row r="70" spans="1:15">
      <c r="A70" t="s">
        <v>430</v>
      </c>
      <c r="B70" t="s">
        <v>431</v>
      </c>
      <c r="C70" t="s">
        <v>102</v>
      </c>
      <c r="D70">
        <v>21</v>
      </c>
      <c r="E70">
        <v>684.6</v>
      </c>
      <c r="F70">
        <v>1744.5</v>
      </c>
      <c r="G70">
        <v>181</v>
      </c>
      <c r="H70">
        <v>181</v>
      </c>
      <c r="I70">
        <v>0</v>
      </c>
      <c r="J70">
        <v>0</v>
      </c>
      <c r="K70">
        <v>0</v>
      </c>
      <c r="L70">
        <v>0</v>
      </c>
      <c r="M70">
        <v>865.6</v>
      </c>
      <c r="N70">
        <v>1925.5</v>
      </c>
      <c r="O70">
        <v>2791.1</v>
      </c>
    </row>
    <row r="71" spans="1:15">
      <c r="A71" t="s">
        <v>451</v>
      </c>
      <c r="B71" t="s">
        <v>442</v>
      </c>
      <c r="C71" t="s">
        <v>112</v>
      </c>
      <c r="D71">
        <v>21</v>
      </c>
      <c r="E71">
        <v>684.6</v>
      </c>
      <c r="F71">
        <v>1744.5</v>
      </c>
      <c r="G71">
        <v>181</v>
      </c>
      <c r="H71">
        <v>181</v>
      </c>
      <c r="I71">
        <v>0</v>
      </c>
      <c r="J71">
        <v>0</v>
      </c>
      <c r="K71">
        <v>0</v>
      </c>
      <c r="L71">
        <v>0</v>
      </c>
      <c r="M71">
        <v>865.6</v>
      </c>
      <c r="N71">
        <v>1925.5</v>
      </c>
      <c r="O71">
        <v>2791.1</v>
      </c>
    </row>
    <row r="72" spans="1:15">
      <c r="A72" t="s">
        <v>444</v>
      </c>
      <c r="B72" t="s">
        <v>445</v>
      </c>
      <c r="C72" t="s">
        <v>128</v>
      </c>
      <c r="D72">
        <v>21</v>
      </c>
      <c r="E72">
        <v>684.6</v>
      </c>
      <c r="F72">
        <v>1744.5</v>
      </c>
      <c r="G72">
        <v>181</v>
      </c>
      <c r="H72">
        <v>181</v>
      </c>
      <c r="I72">
        <v>0</v>
      </c>
      <c r="J72">
        <v>0</v>
      </c>
      <c r="K72">
        <v>0</v>
      </c>
      <c r="L72">
        <v>0</v>
      </c>
      <c r="M72">
        <v>865.6</v>
      </c>
      <c r="N72">
        <v>1925.5</v>
      </c>
      <c r="O72">
        <v>2791.1</v>
      </c>
    </row>
    <row r="73" spans="1:15">
      <c r="A73" t="s">
        <v>446</v>
      </c>
      <c r="B73" t="s">
        <v>447</v>
      </c>
      <c r="C73" t="s">
        <v>134</v>
      </c>
      <c r="D73">
        <v>21</v>
      </c>
      <c r="E73">
        <v>684.6</v>
      </c>
      <c r="F73">
        <v>1744.5</v>
      </c>
      <c r="G73">
        <v>181</v>
      </c>
      <c r="H73">
        <v>181</v>
      </c>
      <c r="I73">
        <v>0</v>
      </c>
      <c r="J73">
        <v>0</v>
      </c>
      <c r="K73">
        <v>0</v>
      </c>
      <c r="L73">
        <v>0</v>
      </c>
      <c r="M73">
        <v>865.6</v>
      </c>
      <c r="N73">
        <v>1925.5</v>
      </c>
      <c r="O73">
        <v>2791.1</v>
      </c>
    </row>
    <row r="74" spans="1:15">
      <c r="A74" t="s">
        <v>448</v>
      </c>
      <c r="B74" t="s">
        <v>449</v>
      </c>
      <c r="C74" t="s">
        <v>450</v>
      </c>
      <c r="D74">
        <v>21</v>
      </c>
      <c r="E74">
        <v>684.6</v>
      </c>
      <c r="F74">
        <v>1744.5</v>
      </c>
      <c r="G74">
        <v>181</v>
      </c>
      <c r="H74">
        <v>181</v>
      </c>
      <c r="I74">
        <v>0</v>
      </c>
      <c r="J74">
        <v>0</v>
      </c>
      <c r="K74">
        <v>0</v>
      </c>
      <c r="L74">
        <v>0</v>
      </c>
      <c r="M74">
        <v>865.6</v>
      </c>
      <c r="N74">
        <v>1925.5</v>
      </c>
      <c r="O74">
        <v>2791.1</v>
      </c>
    </row>
    <row r="75" spans="1:15">
      <c r="A75" t="s">
        <v>420</v>
      </c>
      <c r="B75" t="s">
        <v>457</v>
      </c>
      <c r="C75" t="s">
        <v>459</v>
      </c>
      <c r="D75">
        <v>21</v>
      </c>
      <c r="E75">
        <v>684.6</v>
      </c>
      <c r="F75">
        <v>1744.5</v>
      </c>
      <c r="G75">
        <v>181</v>
      </c>
      <c r="H75">
        <v>181</v>
      </c>
      <c r="I75">
        <v>0</v>
      </c>
      <c r="J75">
        <v>0</v>
      </c>
      <c r="K75">
        <v>0</v>
      </c>
      <c r="L75">
        <v>0</v>
      </c>
      <c r="M75">
        <v>865.6</v>
      </c>
      <c r="N75">
        <v>1925.5</v>
      </c>
      <c r="O75">
        <v>2791.1</v>
      </c>
    </row>
    <row r="76" spans="1:15">
      <c r="A76" t="s">
        <v>201</v>
      </c>
      <c r="B76" t="s">
        <v>338</v>
      </c>
      <c r="D76">
        <v>21</v>
      </c>
      <c r="E76">
        <v>415.49</v>
      </c>
      <c r="F76">
        <v>967.5</v>
      </c>
      <c r="G76">
        <v>182</v>
      </c>
      <c r="H76">
        <v>182</v>
      </c>
      <c r="I76">
        <v>0</v>
      </c>
      <c r="J76">
        <v>0</v>
      </c>
      <c r="K76">
        <v>0</v>
      </c>
      <c r="L76">
        <v>0</v>
      </c>
      <c r="M76">
        <v>597.49</v>
      </c>
      <c r="N76">
        <v>1149.5</v>
      </c>
      <c r="O76">
        <v>1746.99</v>
      </c>
    </row>
    <row r="77" spans="1:15">
      <c r="A77" t="s">
        <v>402</v>
      </c>
      <c r="B77" t="s">
        <v>403</v>
      </c>
      <c r="D77">
        <v>21</v>
      </c>
      <c r="E77">
        <v>341.35</v>
      </c>
      <c r="F77">
        <v>977.05</v>
      </c>
      <c r="G77">
        <v>317</v>
      </c>
      <c r="H77">
        <v>317</v>
      </c>
      <c r="I77">
        <v>0</v>
      </c>
      <c r="J77">
        <v>0</v>
      </c>
      <c r="K77">
        <v>0</v>
      </c>
      <c r="L77">
        <v>0</v>
      </c>
      <c r="M77">
        <v>658.35</v>
      </c>
      <c r="N77">
        <v>1294.05</v>
      </c>
      <c r="O77">
        <v>1952.4</v>
      </c>
    </row>
    <row r="78" spans="1:15">
      <c r="A78" t="s">
        <v>204</v>
      </c>
      <c r="B78" t="s">
        <v>205</v>
      </c>
      <c r="D78">
        <v>21</v>
      </c>
      <c r="E78">
        <v>415.49</v>
      </c>
      <c r="F78">
        <v>967.5</v>
      </c>
      <c r="G78">
        <v>182</v>
      </c>
      <c r="H78">
        <v>182</v>
      </c>
      <c r="I78">
        <v>0</v>
      </c>
      <c r="J78">
        <v>0</v>
      </c>
      <c r="K78">
        <v>0</v>
      </c>
      <c r="L78">
        <v>0</v>
      </c>
      <c r="M78">
        <v>597.49</v>
      </c>
      <c r="N78">
        <v>1149.5</v>
      </c>
      <c r="O78">
        <v>1746.99</v>
      </c>
    </row>
    <row r="79" spans="1:15">
      <c r="A79" t="s">
        <v>408</v>
      </c>
      <c r="B79" t="s">
        <v>409</v>
      </c>
      <c r="D79">
        <v>21</v>
      </c>
      <c r="E79">
        <v>415.49</v>
      </c>
      <c r="F79">
        <v>967.5</v>
      </c>
      <c r="G79">
        <v>182</v>
      </c>
      <c r="H79">
        <v>182</v>
      </c>
      <c r="I79">
        <v>0</v>
      </c>
      <c r="J79">
        <v>0</v>
      </c>
      <c r="K79">
        <v>0</v>
      </c>
      <c r="L79">
        <v>0</v>
      </c>
      <c r="M79">
        <v>597.49</v>
      </c>
      <c r="N79">
        <v>1149.5</v>
      </c>
      <c r="O79">
        <v>1746.99</v>
      </c>
    </row>
    <row r="80" spans="1:15">
      <c r="A80" t="s">
        <v>371</v>
      </c>
      <c r="B80" t="s">
        <v>372</v>
      </c>
      <c r="D80">
        <v>21</v>
      </c>
      <c r="E80">
        <v>446.25</v>
      </c>
      <c r="F80">
        <v>1096.5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446.25</v>
      </c>
      <c r="N80">
        <v>1096.5</v>
      </c>
      <c r="O80">
        <v>1542.75</v>
      </c>
    </row>
    <row r="81" spans="1:15">
      <c r="A81" t="s">
        <v>293</v>
      </c>
      <c r="B81" t="s">
        <v>294</v>
      </c>
      <c r="D81">
        <v>21</v>
      </c>
      <c r="E81">
        <v>451.25</v>
      </c>
      <c r="F81">
        <v>1051.8800000000001</v>
      </c>
      <c r="G81">
        <v>340</v>
      </c>
      <c r="H81">
        <v>340</v>
      </c>
      <c r="I81">
        <v>0</v>
      </c>
      <c r="J81">
        <v>0</v>
      </c>
      <c r="K81">
        <v>36</v>
      </c>
      <c r="L81">
        <v>36</v>
      </c>
      <c r="M81">
        <v>827.25</v>
      </c>
      <c r="N81">
        <v>1427.88</v>
      </c>
      <c r="O81">
        <v>2255.13</v>
      </c>
    </row>
    <row r="82" spans="1:15">
      <c r="A82" t="s">
        <v>373</v>
      </c>
      <c r="B82" t="s">
        <v>374</v>
      </c>
      <c r="D82">
        <v>21</v>
      </c>
      <c r="E82">
        <v>446.25</v>
      </c>
      <c r="F82">
        <v>1096.5</v>
      </c>
      <c r="G82">
        <v>183</v>
      </c>
      <c r="H82">
        <v>183</v>
      </c>
      <c r="I82">
        <v>0</v>
      </c>
      <c r="J82">
        <v>0</v>
      </c>
      <c r="K82">
        <v>21</v>
      </c>
      <c r="L82">
        <v>21</v>
      </c>
      <c r="M82">
        <v>650.25</v>
      </c>
      <c r="N82">
        <v>1300.5</v>
      </c>
      <c r="O82">
        <v>1950.75</v>
      </c>
    </row>
    <row r="83" spans="1:15">
      <c r="A83" t="s">
        <v>289</v>
      </c>
      <c r="B83" t="s">
        <v>290</v>
      </c>
      <c r="D83">
        <v>21</v>
      </c>
      <c r="E83">
        <v>446.25</v>
      </c>
      <c r="F83">
        <v>1096.5</v>
      </c>
      <c r="G83">
        <v>183</v>
      </c>
      <c r="H83">
        <v>183</v>
      </c>
      <c r="I83">
        <v>0</v>
      </c>
      <c r="J83">
        <v>0</v>
      </c>
      <c r="K83">
        <v>21</v>
      </c>
      <c r="L83">
        <v>21</v>
      </c>
      <c r="M83">
        <v>650.25</v>
      </c>
      <c r="N83">
        <v>1300.5</v>
      </c>
      <c r="O83">
        <v>1950.75</v>
      </c>
    </row>
    <row r="84" spans="1:15">
      <c r="A84" t="s">
        <v>381</v>
      </c>
      <c r="B84" t="s">
        <v>382</v>
      </c>
      <c r="D84">
        <v>21</v>
      </c>
      <c r="E84">
        <v>446.25</v>
      </c>
      <c r="F84">
        <v>1096.5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446.25</v>
      </c>
      <c r="N84">
        <v>1096.5</v>
      </c>
      <c r="O84">
        <v>1542.75</v>
      </c>
    </row>
    <row r="85" spans="1:15">
      <c r="A85" t="s">
        <v>358</v>
      </c>
      <c r="B85" t="s">
        <v>359</v>
      </c>
      <c r="D85">
        <v>21</v>
      </c>
      <c r="E85">
        <v>456.25</v>
      </c>
      <c r="F85">
        <v>1092.25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456.25</v>
      </c>
      <c r="N85">
        <v>1092.25</v>
      </c>
      <c r="O85">
        <v>1548.5</v>
      </c>
    </row>
    <row r="86" spans="1:15">
      <c r="A86" t="s">
        <v>285</v>
      </c>
      <c r="B86" t="s">
        <v>286</v>
      </c>
      <c r="D86">
        <v>21</v>
      </c>
      <c r="E86">
        <v>446.25</v>
      </c>
      <c r="F86">
        <v>1096.5</v>
      </c>
      <c r="G86">
        <v>183</v>
      </c>
      <c r="H86">
        <v>183</v>
      </c>
      <c r="I86">
        <v>0</v>
      </c>
      <c r="J86">
        <v>0</v>
      </c>
      <c r="K86">
        <v>21</v>
      </c>
      <c r="L86">
        <v>21</v>
      </c>
      <c r="M86">
        <v>650.25</v>
      </c>
      <c r="N86">
        <v>1300.5</v>
      </c>
      <c r="O86">
        <v>1950.75</v>
      </c>
    </row>
    <row r="87" spans="1:15">
      <c r="A87" t="s">
        <v>347</v>
      </c>
      <c r="B87" t="s">
        <v>348</v>
      </c>
      <c r="D87">
        <v>21</v>
      </c>
      <c r="E87">
        <v>451.25</v>
      </c>
      <c r="F87">
        <v>1051.8800000000001</v>
      </c>
      <c r="G87">
        <v>340</v>
      </c>
      <c r="H87">
        <v>340</v>
      </c>
      <c r="I87">
        <v>0</v>
      </c>
      <c r="J87">
        <v>0</v>
      </c>
      <c r="K87">
        <v>36</v>
      </c>
      <c r="L87">
        <v>36</v>
      </c>
      <c r="M87">
        <v>827.25</v>
      </c>
      <c r="N87">
        <v>1427.88</v>
      </c>
      <c r="O87">
        <v>2255.13</v>
      </c>
    </row>
    <row r="88" spans="1:15">
      <c r="A88" t="s">
        <v>427</v>
      </c>
      <c r="B88" t="s">
        <v>428</v>
      </c>
      <c r="D88">
        <v>21</v>
      </c>
      <c r="E88">
        <v>446.25</v>
      </c>
      <c r="F88">
        <v>1096.5</v>
      </c>
      <c r="G88">
        <v>183</v>
      </c>
      <c r="H88">
        <v>183</v>
      </c>
      <c r="I88">
        <v>0</v>
      </c>
      <c r="J88">
        <v>0</v>
      </c>
      <c r="K88">
        <v>0</v>
      </c>
      <c r="L88">
        <v>0</v>
      </c>
      <c r="M88">
        <v>629.25</v>
      </c>
      <c r="N88">
        <v>1279.5</v>
      </c>
      <c r="O88">
        <v>1908.75</v>
      </c>
    </row>
    <row r="89" spans="1:15">
      <c r="D89">
        <f t="shared" ref="D89:N89" si="0">SUM(D4:D88)</f>
        <v>1785</v>
      </c>
      <c r="E89">
        <f t="shared" si="0"/>
        <v>54915.269999999931</v>
      </c>
      <c r="F89">
        <f t="shared" si="0"/>
        <v>139258.56</v>
      </c>
      <c r="G89">
        <f t="shared" si="0"/>
        <v>15307</v>
      </c>
      <c r="H89">
        <f t="shared" si="0"/>
        <v>15307</v>
      </c>
      <c r="I89">
        <f t="shared" si="0"/>
        <v>0</v>
      </c>
      <c r="J89">
        <f t="shared" si="0"/>
        <v>0</v>
      </c>
      <c r="K89">
        <f t="shared" si="0"/>
        <v>135</v>
      </c>
      <c r="L89">
        <f t="shared" si="0"/>
        <v>135</v>
      </c>
      <c r="M89">
        <f t="shared" si="0"/>
        <v>70357.269999999931</v>
      </c>
      <c r="N89">
        <f t="shared" si="0"/>
        <v>154700.56</v>
      </c>
      <c r="O89">
        <f>SUM(O4:O88)</f>
        <v>225057.83000000022</v>
      </c>
    </row>
    <row r="92" spans="1:15">
      <c r="D92" s="61" t="s">
        <v>460</v>
      </c>
      <c r="E92">
        <f>F89+J89</f>
        <v>139258.56</v>
      </c>
    </row>
    <row r="93" spans="1:15">
      <c r="D93" s="61" t="s">
        <v>461</v>
      </c>
      <c r="E93">
        <f>H89+L89</f>
        <v>15442</v>
      </c>
    </row>
    <row r="94" spans="1:15">
      <c r="D94" s="61" t="s">
        <v>462</v>
      </c>
      <c r="E94">
        <f>E89+I89</f>
        <v>54915.269999999931</v>
      </c>
    </row>
    <row r="95" spans="1:15">
      <c r="D95" s="61" t="s">
        <v>463</v>
      </c>
      <c r="E95">
        <f>G89+K89</f>
        <v>15442</v>
      </c>
    </row>
  </sheetData>
  <phoneticPr fontId="2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CT40"/>
  <sheetViews>
    <sheetView tabSelected="1" workbookViewId="0">
      <pane xSplit="3" ySplit="3" topLeftCell="F30" activePane="bottomRight" state="frozen"/>
      <selection pane="topRight"/>
      <selection pane="bottomLeft"/>
      <selection pane="bottomRight" activeCell="G40" sqref="G40"/>
    </sheetView>
  </sheetViews>
  <sheetFormatPr defaultColWidth="9" defaultRowHeight="15"/>
  <cols>
    <col min="1" max="1" width="9" style="32"/>
    <col min="2" max="2" width="18.33203125" style="32" customWidth="1"/>
    <col min="3" max="3" width="10.6640625" style="50" customWidth="1"/>
    <col min="4" max="4" width="22.77734375" style="50" customWidth="1"/>
    <col min="5" max="5" width="11.33203125" style="50" customWidth="1"/>
    <col min="6" max="6" width="22.77734375" style="50" customWidth="1"/>
    <col min="7" max="7" width="13.88671875" style="32" customWidth="1"/>
    <col min="8" max="84" width="15.77734375" style="32" customWidth="1"/>
    <col min="85" max="85" width="16.44140625" style="32" customWidth="1"/>
    <col min="86" max="90" width="12.33203125" style="32" customWidth="1"/>
    <col min="91" max="91" width="13.109375" style="32" customWidth="1"/>
    <col min="92" max="92" width="34.33203125" style="32" customWidth="1"/>
    <col min="93" max="95" width="11.44140625" style="32" hidden="1" customWidth="1"/>
    <col min="96" max="96" width="8.44140625" style="32" hidden="1" customWidth="1"/>
    <col min="97" max="97" width="34.44140625" style="110" customWidth="1"/>
    <col min="98" max="16384" width="9" style="32"/>
  </cols>
  <sheetData>
    <row r="1" spans="1:97" ht="14.4" customHeight="1" thickBot="1">
      <c r="C1" s="32"/>
      <c r="D1" s="32"/>
      <c r="E1" s="32"/>
      <c r="F1" s="32"/>
    </row>
    <row r="2" spans="1:97" s="50" customFormat="1" ht="25.2" customHeight="1">
      <c r="A2" s="113"/>
      <c r="B2" s="114"/>
      <c r="C2" s="114"/>
      <c r="D2" s="117"/>
      <c r="E2" s="117"/>
      <c r="F2" s="117"/>
      <c r="G2" s="118"/>
      <c r="H2" s="219" t="s">
        <v>307</v>
      </c>
      <c r="I2" s="224"/>
      <c r="J2" s="224"/>
      <c r="K2" s="224"/>
      <c r="L2" s="224"/>
      <c r="M2" s="224"/>
      <c r="N2" s="224"/>
      <c r="O2" s="219" t="s">
        <v>308</v>
      </c>
      <c r="P2" s="224"/>
      <c r="Q2" s="224"/>
      <c r="R2" s="224"/>
      <c r="S2" s="224"/>
      <c r="T2" s="224"/>
      <c r="U2" s="224"/>
      <c r="V2" s="224"/>
      <c r="W2" s="224"/>
      <c r="X2" s="219" t="s">
        <v>309</v>
      </c>
      <c r="Y2" s="224"/>
      <c r="Z2" s="224"/>
      <c r="AA2" s="224"/>
      <c r="AB2" s="224"/>
      <c r="AC2" s="224"/>
      <c r="AD2" s="224"/>
      <c r="AE2" s="219" t="s">
        <v>310</v>
      </c>
      <c r="AF2" s="224"/>
      <c r="AG2" s="224"/>
      <c r="AH2" s="224"/>
      <c r="AI2" s="224"/>
      <c r="AJ2" s="224"/>
      <c r="AK2" s="224"/>
      <c r="AL2" s="219" t="s">
        <v>311</v>
      </c>
      <c r="AM2" s="224"/>
      <c r="AN2" s="224"/>
      <c r="AO2" s="224"/>
      <c r="AP2" s="224"/>
      <c r="AQ2" s="224"/>
      <c r="AR2" s="224"/>
      <c r="AS2" s="224"/>
      <c r="AT2" s="224"/>
      <c r="AU2" s="224"/>
      <c r="AV2" s="224"/>
      <c r="AW2" s="224"/>
      <c r="AX2" s="224"/>
      <c r="AY2" s="224"/>
      <c r="AZ2" s="224"/>
      <c r="BA2" s="219" t="s">
        <v>464</v>
      </c>
      <c r="BB2" s="224"/>
      <c r="BC2" s="224"/>
      <c r="BD2" s="224"/>
      <c r="BE2" s="224"/>
      <c r="BF2" s="224"/>
      <c r="BG2" s="224"/>
      <c r="BH2" s="219" t="s">
        <v>313</v>
      </c>
      <c r="BI2" s="224"/>
      <c r="BJ2" s="224"/>
      <c r="BK2" s="224"/>
      <c r="BL2" s="224"/>
      <c r="BM2" s="224"/>
      <c r="BN2" s="224"/>
      <c r="BO2" s="219" t="s">
        <v>314</v>
      </c>
      <c r="BP2" s="224"/>
      <c r="BQ2" s="224"/>
      <c r="BR2" s="224"/>
      <c r="BS2" s="224"/>
      <c r="BT2" s="224"/>
      <c r="BU2" s="224"/>
      <c r="BV2" s="217" t="s">
        <v>315</v>
      </c>
      <c r="BW2" s="218"/>
      <c r="BX2" s="218"/>
      <c r="BY2" s="219"/>
      <c r="BZ2" s="208" t="s">
        <v>316</v>
      </c>
      <c r="CA2" s="209"/>
      <c r="CB2" s="209"/>
      <c r="CC2" s="210"/>
      <c r="CD2" s="208" t="s">
        <v>317</v>
      </c>
      <c r="CE2" s="210"/>
      <c r="CF2" s="118"/>
      <c r="CG2" s="118"/>
      <c r="CH2" s="205" t="s">
        <v>42</v>
      </c>
      <c r="CI2" s="202" t="s">
        <v>436</v>
      </c>
      <c r="CJ2" s="205" t="s">
        <v>491</v>
      </c>
      <c r="CK2" s="202" t="s">
        <v>489</v>
      </c>
      <c r="CS2" s="119"/>
    </row>
    <row r="3" spans="1:97" s="50" customFormat="1" ht="25.2" customHeight="1">
      <c r="A3" s="225" t="s">
        <v>16</v>
      </c>
      <c r="B3" s="216" t="s">
        <v>303</v>
      </c>
      <c r="C3" s="216" t="s">
        <v>22</v>
      </c>
      <c r="D3" s="220" t="s">
        <v>467</v>
      </c>
      <c r="E3" s="220" t="s">
        <v>474</v>
      </c>
      <c r="F3" s="220" t="s">
        <v>475</v>
      </c>
      <c r="G3" s="222" t="s">
        <v>469</v>
      </c>
      <c r="H3" s="115" t="s">
        <v>318</v>
      </c>
      <c r="I3" s="215" t="s">
        <v>319</v>
      </c>
      <c r="J3" s="216"/>
      <c r="K3" s="216"/>
      <c r="L3" s="215" t="s">
        <v>320</v>
      </c>
      <c r="M3" s="216"/>
      <c r="N3" s="216"/>
      <c r="O3" s="115" t="s">
        <v>318</v>
      </c>
      <c r="P3" s="215" t="s">
        <v>319</v>
      </c>
      <c r="Q3" s="216"/>
      <c r="R3" s="216"/>
      <c r="S3" s="216"/>
      <c r="T3" s="215" t="s">
        <v>320</v>
      </c>
      <c r="U3" s="216"/>
      <c r="V3" s="216"/>
      <c r="W3" s="216"/>
      <c r="X3" s="115" t="s">
        <v>318</v>
      </c>
      <c r="Y3" s="215" t="s">
        <v>319</v>
      </c>
      <c r="Z3" s="216"/>
      <c r="AA3" s="216"/>
      <c r="AB3" s="215" t="s">
        <v>320</v>
      </c>
      <c r="AC3" s="216"/>
      <c r="AD3" s="216"/>
      <c r="AE3" s="115" t="s">
        <v>318</v>
      </c>
      <c r="AF3" s="215" t="s">
        <v>319</v>
      </c>
      <c r="AG3" s="216"/>
      <c r="AH3" s="216"/>
      <c r="AI3" s="215" t="s">
        <v>320</v>
      </c>
      <c r="AJ3" s="216"/>
      <c r="AK3" s="216"/>
      <c r="AL3" s="215" t="s">
        <v>321</v>
      </c>
      <c r="AM3" s="216"/>
      <c r="AN3" s="215" t="s">
        <v>322</v>
      </c>
      <c r="AO3" s="216"/>
      <c r="AP3" s="215" t="s">
        <v>323</v>
      </c>
      <c r="AQ3" s="216"/>
      <c r="AR3" s="215" t="s">
        <v>324</v>
      </c>
      <c r="AS3" s="216"/>
      <c r="AT3" s="215" t="s">
        <v>325</v>
      </c>
      <c r="AU3" s="216"/>
      <c r="AV3" s="215" t="s">
        <v>326</v>
      </c>
      <c r="AW3" s="216"/>
      <c r="AX3" s="215" t="s">
        <v>327</v>
      </c>
      <c r="AY3" s="216"/>
      <c r="AZ3" s="115" t="s">
        <v>328</v>
      </c>
      <c r="BA3" s="115" t="s">
        <v>318</v>
      </c>
      <c r="BB3" s="215" t="s">
        <v>319</v>
      </c>
      <c r="BC3" s="216"/>
      <c r="BD3" s="216"/>
      <c r="BE3" s="215" t="s">
        <v>320</v>
      </c>
      <c r="BF3" s="216"/>
      <c r="BG3" s="216"/>
      <c r="BH3" s="115" t="s">
        <v>318</v>
      </c>
      <c r="BI3" s="215" t="s">
        <v>319</v>
      </c>
      <c r="BJ3" s="216"/>
      <c r="BK3" s="216"/>
      <c r="BL3" s="215" t="s">
        <v>320</v>
      </c>
      <c r="BM3" s="216"/>
      <c r="BN3" s="216"/>
      <c r="BO3" s="115" t="s">
        <v>318</v>
      </c>
      <c r="BP3" s="215" t="s">
        <v>319</v>
      </c>
      <c r="BQ3" s="216"/>
      <c r="BR3" s="216"/>
      <c r="BS3" s="215" t="s">
        <v>320</v>
      </c>
      <c r="BT3" s="216"/>
      <c r="BU3" s="216"/>
      <c r="BV3" s="215" t="s">
        <v>329</v>
      </c>
      <c r="BW3" s="216"/>
      <c r="BX3" s="215" t="s">
        <v>329</v>
      </c>
      <c r="BY3" s="216"/>
      <c r="BZ3" s="213" t="s">
        <v>329</v>
      </c>
      <c r="CA3" s="214"/>
      <c r="CB3" s="211" t="s">
        <v>473</v>
      </c>
      <c r="CC3" s="212"/>
      <c r="CD3" s="120" t="s">
        <v>320</v>
      </c>
      <c r="CE3" s="120" t="s">
        <v>319</v>
      </c>
      <c r="CF3" s="120" t="s">
        <v>331</v>
      </c>
      <c r="CG3" s="121"/>
      <c r="CH3" s="206"/>
      <c r="CI3" s="203"/>
      <c r="CJ3" s="206"/>
      <c r="CK3" s="203"/>
      <c r="CS3" s="119"/>
    </row>
    <row r="4" spans="1:97" s="50" customFormat="1" ht="25.2" customHeight="1">
      <c r="A4" s="226"/>
      <c r="B4" s="227"/>
      <c r="C4" s="227"/>
      <c r="D4" s="221"/>
      <c r="E4" s="221"/>
      <c r="F4" s="221"/>
      <c r="G4" s="223"/>
      <c r="H4" s="115" t="s">
        <v>318</v>
      </c>
      <c r="I4" s="116" t="s">
        <v>332</v>
      </c>
      <c r="J4" s="115" t="s">
        <v>333</v>
      </c>
      <c r="K4" s="115" t="s">
        <v>334</v>
      </c>
      <c r="L4" s="116" t="s">
        <v>332</v>
      </c>
      <c r="M4" s="115" t="s">
        <v>333</v>
      </c>
      <c r="N4" s="115" t="s">
        <v>334</v>
      </c>
      <c r="O4" s="115" t="s">
        <v>318</v>
      </c>
      <c r="P4" s="116" t="s">
        <v>332</v>
      </c>
      <c r="Q4" s="115" t="s">
        <v>335</v>
      </c>
      <c r="R4" s="115" t="s">
        <v>333</v>
      </c>
      <c r="S4" s="115" t="s">
        <v>334</v>
      </c>
      <c r="T4" s="116" t="s">
        <v>332</v>
      </c>
      <c r="U4" s="115" t="s">
        <v>335</v>
      </c>
      <c r="V4" s="115" t="s">
        <v>333</v>
      </c>
      <c r="W4" s="115" t="s">
        <v>334</v>
      </c>
      <c r="X4" s="115" t="s">
        <v>318</v>
      </c>
      <c r="Y4" s="116" t="s">
        <v>332</v>
      </c>
      <c r="Z4" s="115" t="s">
        <v>333</v>
      </c>
      <c r="AA4" s="115" t="s">
        <v>334</v>
      </c>
      <c r="AB4" s="116" t="s">
        <v>332</v>
      </c>
      <c r="AC4" s="115" t="s">
        <v>333</v>
      </c>
      <c r="AD4" s="115" t="s">
        <v>334</v>
      </c>
      <c r="AE4" s="115" t="s">
        <v>318</v>
      </c>
      <c r="AF4" s="116" t="s">
        <v>332</v>
      </c>
      <c r="AG4" s="115" t="s">
        <v>333</v>
      </c>
      <c r="AH4" s="115" t="s">
        <v>334</v>
      </c>
      <c r="AI4" s="116" t="s">
        <v>332</v>
      </c>
      <c r="AJ4" s="115" t="s">
        <v>333</v>
      </c>
      <c r="AK4" s="115" t="s">
        <v>334</v>
      </c>
      <c r="AL4" s="115" t="s">
        <v>333</v>
      </c>
      <c r="AM4" s="115" t="s">
        <v>334</v>
      </c>
      <c r="AN4" s="115" t="s">
        <v>333</v>
      </c>
      <c r="AO4" s="115" t="s">
        <v>334</v>
      </c>
      <c r="AP4" s="115" t="s">
        <v>333</v>
      </c>
      <c r="AQ4" s="115" t="s">
        <v>334</v>
      </c>
      <c r="AR4" s="115" t="s">
        <v>333</v>
      </c>
      <c r="AS4" s="115" t="s">
        <v>334</v>
      </c>
      <c r="AT4" s="115" t="s">
        <v>333</v>
      </c>
      <c r="AU4" s="115" t="s">
        <v>334</v>
      </c>
      <c r="AV4" s="115" t="s">
        <v>333</v>
      </c>
      <c r="AW4" s="115" t="s">
        <v>334</v>
      </c>
      <c r="AX4" s="115" t="s">
        <v>333</v>
      </c>
      <c r="AY4" s="115" t="s">
        <v>334</v>
      </c>
      <c r="AZ4" s="115" t="s">
        <v>328</v>
      </c>
      <c r="BA4" s="115" t="s">
        <v>318</v>
      </c>
      <c r="BB4" s="116" t="s">
        <v>332</v>
      </c>
      <c r="BC4" s="115" t="s">
        <v>333</v>
      </c>
      <c r="BD4" s="115" t="s">
        <v>334</v>
      </c>
      <c r="BE4" s="116" t="s">
        <v>332</v>
      </c>
      <c r="BF4" s="115" t="s">
        <v>333</v>
      </c>
      <c r="BG4" s="115" t="s">
        <v>334</v>
      </c>
      <c r="BH4" s="115" t="s">
        <v>318</v>
      </c>
      <c r="BI4" s="116" t="s">
        <v>332</v>
      </c>
      <c r="BJ4" s="115" t="s">
        <v>333</v>
      </c>
      <c r="BK4" s="115" t="s">
        <v>334</v>
      </c>
      <c r="BL4" s="116" t="s">
        <v>332</v>
      </c>
      <c r="BM4" s="115" t="s">
        <v>333</v>
      </c>
      <c r="BN4" s="115" t="s">
        <v>334</v>
      </c>
      <c r="BO4" s="115" t="s">
        <v>318</v>
      </c>
      <c r="BP4" s="116" t="s">
        <v>332</v>
      </c>
      <c r="BQ4" s="115" t="s">
        <v>333</v>
      </c>
      <c r="BR4" s="115" t="s">
        <v>334</v>
      </c>
      <c r="BS4" s="116" t="s">
        <v>332</v>
      </c>
      <c r="BT4" s="115" t="s">
        <v>333</v>
      </c>
      <c r="BU4" s="115" t="s">
        <v>334</v>
      </c>
      <c r="BV4" s="115" t="s">
        <v>320</v>
      </c>
      <c r="BW4" s="115" t="s">
        <v>319</v>
      </c>
      <c r="BX4" s="115" t="s">
        <v>320</v>
      </c>
      <c r="BY4" s="115" t="s">
        <v>319</v>
      </c>
      <c r="BZ4" s="115" t="s">
        <v>320</v>
      </c>
      <c r="CA4" s="115" t="s">
        <v>319</v>
      </c>
      <c r="CB4" s="115" t="s">
        <v>320</v>
      </c>
      <c r="CC4" s="115" t="s">
        <v>319</v>
      </c>
      <c r="CD4" s="120"/>
      <c r="CE4" s="120"/>
      <c r="CF4" s="120"/>
      <c r="CG4" s="121"/>
      <c r="CH4" s="207"/>
      <c r="CI4" s="204"/>
      <c r="CJ4" s="207"/>
      <c r="CK4" s="204"/>
      <c r="CS4" s="119"/>
    </row>
    <row r="5" spans="1:97" s="50" customFormat="1" ht="26.25" customHeight="1">
      <c r="A5" s="122">
        <v>1</v>
      </c>
      <c r="B5" s="123" t="s">
        <v>465</v>
      </c>
      <c r="C5" s="124" t="s">
        <v>114</v>
      </c>
      <c r="D5" s="125" t="s">
        <v>115</v>
      </c>
      <c r="E5" s="126" t="str">
        <f>VLOOKUP(D5,长促工资明细!H:P,3,0)</f>
        <v>NKA</v>
      </c>
      <c r="F5" s="126" t="str">
        <f>VLOOKUP(D5,长促工资明细!H:P,7,0)</f>
        <v>大润发松江店</v>
      </c>
      <c r="G5" s="123">
        <v>19.670000000000002</v>
      </c>
      <c r="H5" s="127">
        <v>7460</v>
      </c>
      <c r="I5" s="128">
        <v>16</v>
      </c>
      <c r="J5" s="127">
        <v>1193.5999999999999</v>
      </c>
      <c r="K5" s="127">
        <v>0</v>
      </c>
      <c r="L5" s="128">
        <v>8</v>
      </c>
      <c r="M5" s="127">
        <v>596.79999999999995</v>
      </c>
      <c r="N5" s="127">
        <v>0</v>
      </c>
      <c r="O5" s="127">
        <v>7460</v>
      </c>
      <c r="P5" s="128">
        <v>9</v>
      </c>
      <c r="Q5" s="127"/>
      <c r="R5" s="127">
        <v>671.4</v>
      </c>
      <c r="S5" s="127">
        <v>0</v>
      </c>
      <c r="T5" s="128">
        <v>2</v>
      </c>
      <c r="U5" s="127"/>
      <c r="V5" s="127">
        <v>149.19999999999999</v>
      </c>
      <c r="W5" s="127">
        <v>0</v>
      </c>
      <c r="X5" s="127">
        <v>7460</v>
      </c>
      <c r="Y5" s="128">
        <v>0.5</v>
      </c>
      <c r="Z5" s="127">
        <v>37.299999999999997</v>
      </c>
      <c r="AA5" s="127">
        <v>0</v>
      </c>
      <c r="AB5" s="128">
        <v>0.5</v>
      </c>
      <c r="AC5" s="127">
        <v>37.299999999999997</v>
      </c>
      <c r="AD5" s="127">
        <v>0</v>
      </c>
      <c r="AE5" s="127">
        <v>2690</v>
      </c>
      <c r="AF5" s="128">
        <v>7</v>
      </c>
      <c r="AG5" s="127">
        <v>188</v>
      </c>
      <c r="AH5" s="127">
        <v>0</v>
      </c>
      <c r="AI5" s="128">
        <v>7</v>
      </c>
      <c r="AJ5" s="127">
        <v>188</v>
      </c>
      <c r="AK5" s="127">
        <v>0</v>
      </c>
      <c r="AL5" s="127">
        <v>0</v>
      </c>
      <c r="AM5" s="127">
        <v>0</v>
      </c>
      <c r="AN5" s="127">
        <v>0</v>
      </c>
      <c r="AO5" s="127">
        <v>0</v>
      </c>
      <c r="AP5" s="127">
        <v>0</v>
      </c>
      <c r="AQ5" s="127">
        <v>0</v>
      </c>
      <c r="AR5" s="127"/>
      <c r="AS5" s="127">
        <v>0</v>
      </c>
      <c r="AT5" s="127">
        <v>0</v>
      </c>
      <c r="AU5" s="127">
        <v>0</v>
      </c>
      <c r="AV5" s="127">
        <v>0</v>
      </c>
      <c r="AW5" s="127">
        <v>0</v>
      </c>
      <c r="AX5" s="127">
        <v>0</v>
      </c>
      <c r="AY5" s="127">
        <v>0</v>
      </c>
      <c r="AZ5" s="127"/>
      <c r="BA5" s="127"/>
      <c r="BB5" s="128"/>
      <c r="BC5" s="127">
        <v>0</v>
      </c>
      <c r="BD5" s="127">
        <v>0</v>
      </c>
      <c r="BE5" s="128"/>
      <c r="BF5" s="127">
        <v>0</v>
      </c>
      <c r="BG5" s="127">
        <v>0</v>
      </c>
      <c r="BH5" s="127">
        <v>7460</v>
      </c>
      <c r="BI5" s="128">
        <v>0.32</v>
      </c>
      <c r="BJ5" s="127">
        <v>23.87</v>
      </c>
      <c r="BK5" s="127">
        <v>0</v>
      </c>
      <c r="BL5" s="128"/>
      <c r="BM5" s="127">
        <v>0</v>
      </c>
      <c r="BN5" s="127">
        <v>0</v>
      </c>
      <c r="BO5" s="127"/>
      <c r="BP5" s="128"/>
      <c r="BQ5" s="127">
        <v>0</v>
      </c>
      <c r="BR5" s="127">
        <v>0</v>
      </c>
      <c r="BS5" s="128"/>
      <c r="BT5" s="127">
        <v>0</v>
      </c>
      <c r="BU5" s="127">
        <v>0</v>
      </c>
      <c r="BV5" s="127">
        <f t="shared" ref="BV5" si="0">M5+V5+AC5+AN5+AX5+BF5+BM5</f>
        <v>783.3</v>
      </c>
      <c r="BW5" s="127">
        <f t="shared" ref="BW5" si="1">BJ5+BC5+AV5+AT5+AR5+AP5+AL5+Z5+R5+J5</f>
        <v>1926.1699999999998</v>
      </c>
      <c r="BX5" s="127">
        <f t="shared" ref="BX5" si="2">AJ5</f>
        <v>188</v>
      </c>
      <c r="BY5" s="127">
        <f t="shared" ref="BY5" si="3">AG5</f>
        <v>188</v>
      </c>
      <c r="BZ5" s="127">
        <f>N5+W5+AD5+AO5+AY5+BG5+BN5</f>
        <v>0</v>
      </c>
      <c r="CA5" s="127">
        <f>K5+S5+AA5+AM5+AQ5+AS5+AU5+AW5+BD5+BK5+BR5</f>
        <v>0</v>
      </c>
      <c r="CB5" s="127">
        <f t="shared" ref="CB5" si="4">BU5+AK5</f>
        <v>0</v>
      </c>
      <c r="CC5" s="127">
        <f t="shared" ref="CC5" si="5">BR5+AH5</f>
        <v>0</v>
      </c>
      <c r="CD5" s="127">
        <f t="shared" ref="CD5" si="6">BV5+BX5+BZ5+CB5</f>
        <v>971.3</v>
      </c>
      <c r="CE5" s="127">
        <f t="shared" ref="CE5" si="7">BW5+BY5+CA5+CC5</f>
        <v>2114.17</v>
      </c>
      <c r="CF5" s="127">
        <f t="shared" ref="CF5" si="8">CD5+CE5</f>
        <v>3085.4700000000003</v>
      </c>
      <c r="CG5" s="123" t="s">
        <v>466</v>
      </c>
      <c r="CH5" s="129">
        <f t="shared" ref="CH5" si="9">BV5+BZ5</f>
        <v>783.3</v>
      </c>
      <c r="CI5" s="129">
        <f t="shared" ref="CI5" si="10">BW5+CA5</f>
        <v>1926.1699999999998</v>
      </c>
      <c r="CJ5" s="129">
        <f t="shared" ref="CJ5" si="11">BX5+CB5</f>
        <v>188</v>
      </c>
      <c r="CK5" s="129">
        <f t="shared" ref="CK5" si="12">BY5+CC5</f>
        <v>188</v>
      </c>
      <c r="CL5" s="130">
        <f>CH5+CI5</f>
        <v>2709.47</v>
      </c>
      <c r="CM5" s="130">
        <f t="shared" ref="CM5:CM21" si="13">CJ5+CK5</f>
        <v>376</v>
      </c>
      <c r="CN5" s="131" t="s">
        <v>479</v>
      </c>
      <c r="CO5" s="50">
        <f t="shared" ref="CO5:CO21" si="14">N5+M5</f>
        <v>596.79999999999995</v>
      </c>
      <c r="CP5" s="50">
        <f t="shared" ref="CP5:CP21" si="15">V5+W5+AN5+AO5</f>
        <v>149.19999999999999</v>
      </c>
      <c r="CQ5" s="50">
        <f t="shared" ref="CQ5:CQ21" si="16">AD5+AC5</f>
        <v>37.299999999999997</v>
      </c>
      <c r="CR5" s="50" t="b">
        <f t="shared" ref="CR5:CR21" si="17">CQ5+CP5+CO5=CH5</f>
        <v>1</v>
      </c>
      <c r="CS5" s="119" t="str">
        <f>VLOOKUP(C5,长促工资明细!G:G,1,0)</f>
        <v>车文秀</v>
      </c>
    </row>
    <row r="6" spans="1:97" s="50" customFormat="1" ht="26.25" customHeight="1">
      <c r="A6" s="122">
        <v>2</v>
      </c>
      <c r="B6" s="123" t="s">
        <v>465</v>
      </c>
      <c r="C6" s="124" t="s">
        <v>223</v>
      </c>
      <c r="D6" s="125" t="s">
        <v>224</v>
      </c>
      <c r="E6" s="126" t="str">
        <f>VLOOKUP(D6,长促工资明细!H:P,3,0)</f>
        <v>NKA</v>
      </c>
      <c r="F6" s="126" t="str">
        <f>VLOOKUP(D6,长促工资明细!H:P,7,0)</f>
        <v>欧尚嘉定店</v>
      </c>
      <c r="G6" s="123">
        <v>19.670000000000002</v>
      </c>
      <c r="H6" s="127">
        <v>7460</v>
      </c>
      <c r="I6" s="128">
        <v>16</v>
      </c>
      <c r="J6" s="127">
        <v>1193.5999999999999</v>
      </c>
      <c r="K6" s="127">
        <v>0</v>
      </c>
      <c r="L6" s="128">
        <v>8</v>
      </c>
      <c r="M6" s="127">
        <v>596.79999999999995</v>
      </c>
      <c r="N6" s="127">
        <v>0</v>
      </c>
      <c r="O6" s="127">
        <v>7460</v>
      </c>
      <c r="P6" s="128">
        <v>9</v>
      </c>
      <c r="Q6" s="127"/>
      <c r="R6" s="127">
        <v>671.4</v>
      </c>
      <c r="S6" s="127">
        <v>0</v>
      </c>
      <c r="T6" s="128">
        <v>2</v>
      </c>
      <c r="U6" s="127"/>
      <c r="V6" s="127">
        <v>149.19999999999999</v>
      </c>
      <c r="W6" s="127">
        <v>0</v>
      </c>
      <c r="X6" s="127">
        <v>7460</v>
      </c>
      <c r="Y6" s="128">
        <v>0.5</v>
      </c>
      <c r="Z6" s="127">
        <v>37.299999999999997</v>
      </c>
      <c r="AA6" s="127">
        <v>0</v>
      </c>
      <c r="AB6" s="128">
        <v>0.5</v>
      </c>
      <c r="AC6" s="127">
        <v>37.299999999999997</v>
      </c>
      <c r="AD6" s="127">
        <v>0</v>
      </c>
      <c r="AE6" s="127">
        <v>2690</v>
      </c>
      <c r="AF6" s="128">
        <v>7</v>
      </c>
      <c r="AG6" s="127">
        <v>188</v>
      </c>
      <c r="AH6" s="127">
        <v>0</v>
      </c>
      <c r="AI6" s="128">
        <v>7</v>
      </c>
      <c r="AJ6" s="127">
        <v>188</v>
      </c>
      <c r="AK6" s="127">
        <v>0</v>
      </c>
      <c r="AL6" s="127">
        <v>0</v>
      </c>
      <c r="AM6" s="127">
        <v>0</v>
      </c>
      <c r="AN6" s="127">
        <v>0</v>
      </c>
      <c r="AO6" s="127">
        <v>0</v>
      </c>
      <c r="AP6" s="127">
        <v>0</v>
      </c>
      <c r="AQ6" s="127">
        <v>0</v>
      </c>
      <c r="AR6" s="127"/>
      <c r="AS6" s="127">
        <v>0</v>
      </c>
      <c r="AT6" s="127">
        <v>0</v>
      </c>
      <c r="AU6" s="127">
        <v>0</v>
      </c>
      <c r="AV6" s="127">
        <v>0</v>
      </c>
      <c r="AW6" s="127">
        <v>0</v>
      </c>
      <c r="AX6" s="127">
        <v>0</v>
      </c>
      <c r="AY6" s="127">
        <v>0</v>
      </c>
      <c r="AZ6" s="127"/>
      <c r="BA6" s="127"/>
      <c r="BB6" s="128"/>
      <c r="BC6" s="127">
        <v>0</v>
      </c>
      <c r="BD6" s="127">
        <v>0</v>
      </c>
      <c r="BE6" s="128"/>
      <c r="BF6" s="127">
        <v>0</v>
      </c>
      <c r="BG6" s="127">
        <v>0</v>
      </c>
      <c r="BH6" s="127">
        <v>7460</v>
      </c>
      <c r="BI6" s="128">
        <v>0.32</v>
      </c>
      <c r="BJ6" s="127">
        <v>23.87</v>
      </c>
      <c r="BK6" s="127">
        <v>0</v>
      </c>
      <c r="BL6" s="128"/>
      <c r="BM6" s="127">
        <v>0</v>
      </c>
      <c r="BN6" s="127">
        <v>0</v>
      </c>
      <c r="BO6" s="127"/>
      <c r="BP6" s="128"/>
      <c r="BQ6" s="127">
        <v>0</v>
      </c>
      <c r="BR6" s="127">
        <v>0</v>
      </c>
      <c r="BS6" s="128"/>
      <c r="BT6" s="127">
        <v>0</v>
      </c>
      <c r="BU6" s="127">
        <v>0</v>
      </c>
      <c r="BV6" s="127">
        <f t="shared" ref="BV6:BV7" si="18">M6+V6+AC6+AN6+AX6+BF6+BM6</f>
        <v>783.3</v>
      </c>
      <c r="BW6" s="127">
        <f t="shared" ref="BW6:BW7" si="19">BJ6+BC6+AV6+AT6+AR6+AP6+AL6+Z6+R6+J6</f>
        <v>1926.1699999999998</v>
      </c>
      <c r="BX6" s="127">
        <f t="shared" ref="BX6:BX7" si="20">AJ6</f>
        <v>188</v>
      </c>
      <c r="BY6" s="127">
        <f t="shared" ref="BY6:BY7" si="21">AG6</f>
        <v>188</v>
      </c>
      <c r="BZ6" s="127">
        <f t="shared" ref="BZ6:BZ7" si="22">N6+W6+AD6+AO6+AY6+BG6+BN6</f>
        <v>0</v>
      </c>
      <c r="CA6" s="127">
        <f t="shared" ref="CA6:CA7" si="23">K6+S6+AA6+AM6+AQ6+AS6+AU6+AW6+BD6+BK6+BR6</f>
        <v>0</v>
      </c>
      <c r="CB6" s="127">
        <f t="shared" ref="CB6:CB7" si="24">BU6+AK6</f>
        <v>0</v>
      </c>
      <c r="CC6" s="127">
        <f t="shared" ref="CC6:CC7" si="25">BR6+AH6</f>
        <v>0</v>
      </c>
      <c r="CD6" s="127">
        <f t="shared" ref="CD6:CD7" si="26">BV6+BX6+BZ6+CB6</f>
        <v>971.3</v>
      </c>
      <c r="CE6" s="127">
        <f t="shared" ref="CE6:CE7" si="27">BW6+BY6+CA6+CC6</f>
        <v>2114.17</v>
      </c>
      <c r="CF6" s="127">
        <f t="shared" ref="CF6:CF7" si="28">CD6+CE6</f>
        <v>3085.4700000000003</v>
      </c>
      <c r="CG6" s="123" t="s">
        <v>466</v>
      </c>
      <c r="CH6" s="129">
        <f t="shared" ref="CH6:CH7" si="29">BV6+BZ6</f>
        <v>783.3</v>
      </c>
      <c r="CI6" s="129">
        <f t="shared" ref="CI6:CI7" si="30">BW6+CA6</f>
        <v>1926.1699999999998</v>
      </c>
      <c r="CJ6" s="129">
        <f t="shared" ref="CJ6:CJ7" si="31">BX6+CB6</f>
        <v>188</v>
      </c>
      <c r="CK6" s="129">
        <f t="shared" ref="CK6:CK7" si="32">BY6+CC6</f>
        <v>188</v>
      </c>
      <c r="CL6" s="130">
        <f t="shared" ref="CL6:CL21" si="33">CH6+CI6</f>
        <v>2709.47</v>
      </c>
      <c r="CM6" s="130">
        <f t="shared" si="13"/>
        <v>376</v>
      </c>
      <c r="CN6" s="131" t="s">
        <v>479</v>
      </c>
      <c r="CO6" s="50">
        <f t="shared" si="14"/>
        <v>596.79999999999995</v>
      </c>
      <c r="CP6" s="50">
        <f t="shared" si="15"/>
        <v>149.19999999999999</v>
      </c>
      <c r="CQ6" s="50">
        <f t="shared" si="16"/>
        <v>37.299999999999997</v>
      </c>
      <c r="CR6" s="50" t="b">
        <f t="shared" si="17"/>
        <v>1</v>
      </c>
      <c r="CS6" s="119" t="str">
        <f>VLOOKUP(C6,长促工资明细!G:G,1,0)</f>
        <v>东港</v>
      </c>
    </row>
    <row r="7" spans="1:97" s="50" customFormat="1" ht="26.25" customHeight="1">
      <c r="A7" s="122">
        <v>3</v>
      </c>
      <c r="B7" s="123" t="s">
        <v>465</v>
      </c>
      <c r="C7" s="124" t="s">
        <v>471</v>
      </c>
      <c r="D7" s="125" t="s">
        <v>472</v>
      </c>
      <c r="E7" s="126" t="str">
        <f>VLOOKUP(D7,长促工资明细!H:P,3,0)</f>
        <v>NKA</v>
      </c>
      <c r="F7" s="126" t="str">
        <f>VLOOKUP(D7,长促工资明细!H:P,7,0)</f>
        <v>大润发泥城店</v>
      </c>
      <c r="G7" s="123">
        <v>19.670000000000002</v>
      </c>
      <c r="H7" s="127">
        <v>7460</v>
      </c>
      <c r="I7" s="128">
        <v>16</v>
      </c>
      <c r="J7" s="127">
        <v>1193.5999999999999</v>
      </c>
      <c r="K7" s="127">
        <v>0</v>
      </c>
      <c r="L7" s="128">
        <v>8</v>
      </c>
      <c r="M7" s="127">
        <v>596.79999999999995</v>
      </c>
      <c r="N7" s="127">
        <v>0</v>
      </c>
      <c r="O7" s="127">
        <v>7460</v>
      </c>
      <c r="P7" s="128">
        <v>9</v>
      </c>
      <c r="Q7" s="127"/>
      <c r="R7" s="127">
        <v>671.4</v>
      </c>
      <c r="S7" s="127">
        <v>0</v>
      </c>
      <c r="T7" s="128">
        <v>2</v>
      </c>
      <c r="U7" s="127"/>
      <c r="V7" s="127">
        <v>149.19999999999999</v>
      </c>
      <c r="W7" s="127">
        <v>0</v>
      </c>
      <c r="X7" s="127">
        <v>7460</v>
      </c>
      <c r="Y7" s="128">
        <v>0.5</v>
      </c>
      <c r="Z7" s="127">
        <v>37.299999999999997</v>
      </c>
      <c r="AA7" s="127">
        <v>0</v>
      </c>
      <c r="AB7" s="128">
        <v>0.5</v>
      </c>
      <c r="AC7" s="127">
        <v>37.299999999999997</v>
      </c>
      <c r="AD7" s="127">
        <v>0</v>
      </c>
      <c r="AE7" s="127">
        <v>2690</v>
      </c>
      <c r="AF7" s="128">
        <v>7</v>
      </c>
      <c r="AG7" s="127">
        <v>188</v>
      </c>
      <c r="AH7" s="127">
        <v>0</v>
      </c>
      <c r="AI7" s="128">
        <v>7</v>
      </c>
      <c r="AJ7" s="127">
        <v>188</v>
      </c>
      <c r="AK7" s="127">
        <v>0</v>
      </c>
      <c r="AL7" s="127">
        <v>0</v>
      </c>
      <c r="AM7" s="127">
        <v>0</v>
      </c>
      <c r="AN7" s="127">
        <v>0</v>
      </c>
      <c r="AO7" s="127">
        <v>0</v>
      </c>
      <c r="AP7" s="127">
        <v>0</v>
      </c>
      <c r="AQ7" s="127">
        <v>0</v>
      </c>
      <c r="AR7" s="127"/>
      <c r="AS7" s="127">
        <v>0</v>
      </c>
      <c r="AT7" s="127">
        <v>0</v>
      </c>
      <c r="AU7" s="127">
        <v>0</v>
      </c>
      <c r="AV7" s="127">
        <v>0</v>
      </c>
      <c r="AW7" s="127">
        <v>0</v>
      </c>
      <c r="AX7" s="127">
        <v>0</v>
      </c>
      <c r="AY7" s="127">
        <v>0</v>
      </c>
      <c r="AZ7" s="127"/>
      <c r="BA7" s="127"/>
      <c r="BB7" s="128"/>
      <c r="BC7" s="127">
        <v>0</v>
      </c>
      <c r="BD7" s="127">
        <v>0</v>
      </c>
      <c r="BE7" s="128"/>
      <c r="BF7" s="127">
        <v>0</v>
      </c>
      <c r="BG7" s="127">
        <v>0</v>
      </c>
      <c r="BH7" s="127">
        <v>7460</v>
      </c>
      <c r="BI7" s="128">
        <v>0.32</v>
      </c>
      <c r="BJ7" s="127">
        <v>23.87</v>
      </c>
      <c r="BK7" s="127">
        <v>0</v>
      </c>
      <c r="BL7" s="128"/>
      <c r="BM7" s="127">
        <v>0</v>
      </c>
      <c r="BN7" s="127">
        <v>0</v>
      </c>
      <c r="BO7" s="127"/>
      <c r="BP7" s="128"/>
      <c r="BQ7" s="127">
        <v>0</v>
      </c>
      <c r="BR7" s="127">
        <v>0</v>
      </c>
      <c r="BS7" s="128"/>
      <c r="BT7" s="127">
        <v>0</v>
      </c>
      <c r="BU7" s="127">
        <v>0</v>
      </c>
      <c r="BV7" s="127">
        <f t="shared" si="18"/>
        <v>783.3</v>
      </c>
      <c r="BW7" s="127">
        <f t="shared" si="19"/>
        <v>1926.1699999999998</v>
      </c>
      <c r="BX7" s="127">
        <f t="shared" si="20"/>
        <v>188</v>
      </c>
      <c r="BY7" s="127">
        <f t="shared" si="21"/>
        <v>188</v>
      </c>
      <c r="BZ7" s="127">
        <f t="shared" si="22"/>
        <v>0</v>
      </c>
      <c r="CA7" s="127">
        <f t="shared" si="23"/>
        <v>0</v>
      </c>
      <c r="CB7" s="127">
        <f t="shared" si="24"/>
        <v>0</v>
      </c>
      <c r="CC7" s="127">
        <f t="shared" si="25"/>
        <v>0</v>
      </c>
      <c r="CD7" s="127">
        <f t="shared" si="26"/>
        <v>971.3</v>
      </c>
      <c r="CE7" s="127">
        <f t="shared" si="27"/>
        <v>2114.17</v>
      </c>
      <c r="CF7" s="127">
        <f t="shared" si="28"/>
        <v>3085.4700000000003</v>
      </c>
      <c r="CG7" s="123" t="s">
        <v>466</v>
      </c>
      <c r="CH7" s="129">
        <f t="shared" si="29"/>
        <v>783.3</v>
      </c>
      <c r="CI7" s="129">
        <f t="shared" si="30"/>
        <v>1926.1699999999998</v>
      </c>
      <c r="CJ7" s="129">
        <f t="shared" si="31"/>
        <v>188</v>
      </c>
      <c r="CK7" s="129">
        <f t="shared" si="32"/>
        <v>188</v>
      </c>
      <c r="CL7" s="130">
        <f t="shared" si="33"/>
        <v>2709.47</v>
      </c>
      <c r="CM7" s="130">
        <f t="shared" si="13"/>
        <v>376</v>
      </c>
      <c r="CN7" s="131" t="s">
        <v>479</v>
      </c>
      <c r="CO7" s="50">
        <f t="shared" si="14"/>
        <v>596.79999999999995</v>
      </c>
      <c r="CP7" s="50">
        <f t="shared" si="15"/>
        <v>149.19999999999999</v>
      </c>
      <c r="CQ7" s="50">
        <f t="shared" si="16"/>
        <v>37.299999999999997</v>
      </c>
      <c r="CR7" s="50" t="b">
        <f t="shared" si="17"/>
        <v>1</v>
      </c>
      <c r="CS7" s="119" t="str">
        <f>VLOOKUP(C7,长促工资明细!G:G,1,0)</f>
        <v>董燕芳</v>
      </c>
    </row>
    <row r="8" spans="1:97" s="50" customFormat="1" ht="26.25" customHeight="1">
      <c r="A8" s="122">
        <v>4</v>
      </c>
      <c r="B8" s="123" t="s">
        <v>465</v>
      </c>
      <c r="C8" s="124" t="s">
        <v>477</v>
      </c>
      <c r="D8" s="125" t="s">
        <v>478</v>
      </c>
      <c r="E8" s="126" t="str">
        <f>VLOOKUP(D8,长促工资明细!H:P,3,0)</f>
        <v>NKA</v>
      </c>
      <c r="F8" s="126" t="str">
        <f>VLOOKUP(D8,长促工资明细!H:P,7,0)</f>
        <v>麦德龙真北店</v>
      </c>
      <c r="G8" s="123">
        <v>19.670000000000002</v>
      </c>
      <c r="H8" s="127">
        <v>7460</v>
      </c>
      <c r="I8" s="128">
        <v>16</v>
      </c>
      <c r="J8" s="127">
        <v>1193.5999999999999</v>
      </c>
      <c r="K8" s="127">
        <v>0</v>
      </c>
      <c r="L8" s="128">
        <v>8</v>
      </c>
      <c r="M8" s="127">
        <v>596.79999999999995</v>
      </c>
      <c r="N8" s="127">
        <v>0</v>
      </c>
      <c r="O8" s="127">
        <v>7460</v>
      </c>
      <c r="P8" s="128">
        <v>9</v>
      </c>
      <c r="Q8" s="127"/>
      <c r="R8" s="127">
        <v>671.4</v>
      </c>
      <c r="S8" s="127">
        <v>0</v>
      </c>
      <c r="T8" s="128">
        <v>2</v>
      </c>
      <c r="U8" s="127"/>
      <c r="V8" s="127">
        <v>149.19999999999999</v>
      </c>
      <c r="W8" s="127">
        <v>0</v>
      </c>
      <c r="X8" s="127">
        <v>7460</v>
      </c>
      <c r="Y8" s="128">
        <v>0.5</v>
      </c>
      <c r="Z8" s="127">
        <v>37.299999999999997</v>
      </c>
      <c r="AA8" s="127">
        <v>0</v>
      </c>
      <c r="AB8" s="128">
        <v>0.5</v>
      </c>
      <c r="AC8" s="127">
        <v>37.299999999999997</v>
      </c>
      <c r="AD8" s="127">
        <v>0</v>
      </c>
      <c r="AE8" s="127">
        <v>2690</v>
      </c>
      <c r="AF8" s="128">
        <v>7</v>
      </c>
      <c r="AG8" s="127">
        <v>188</v>
      </c>
      <c r="AH8" s="127">
        <v>0</v>
      </c>
      <c r="AI8" s="128">
        <v>7</v>
      </c>
      <c r="AJ8" s="127">
        <v>188</v>
      </c>
      <c r="AK8" s="127">
        <v>0</v>
      </c>
      <c r="AL8" s="127">
        <v>0</v>
      </c>
      <c r="AM8" s="127">
        <v>0</v>
      </c>
      <c r="AN8" s="127">
        <v>0</v>
      </c>
      <c r="AO8" s="127">
        <v>0</v>
      </c>
      <c r="AP8" s="127">
        <v>0</v>
      </c>
      <c r="AQ8" s="127">
        <v>0</v>
      </c>
      <c r="AR8" s="127"/>
      <c r="AS8" s="127">
        <v>0</v>
      </c>
      <c r="AT8" s="127">
        <v>0</v>
      </c>
      <c r="AU8" s="127">
        <v>0</v>
      </c>
      <c r="AV8" s="127">
        <v>0</v>
      </c>
      <c r="AW8" s="127">
        <v>0</v>
      </c>
      <c r="AX8" s="127">
        <v>0</v>
      </c>
      <c r="AY8" s="127">
        <v>0</v>
      </c>
      <c r="AZ8" s="127"/>
      <c r="BA8" s="127"/>
      <c r="BB8" s="128"/>
      <c r="BC8" s="127">
        <v>0</v>
      </c>
      <c r="BD8" s="127">
        <v>0</v>
      </c>
      <c r="BE8" s="128"/>
      <c r="BF8" s="127">
        <v>0</v>
      </c>
      <c r="BG8" s="127">
        <v>0</v>
      </c>
      <c r="BH8" s="127">
        <v>7460</v>
      </c>
      <c r="BI8" s="128">
        <v>0.32</v>
      </c>
      <c r="BJ8" s="127">
        <v>23.87</v>
      </c>
      <c r="BK8" s="127">
        <v>0</v>
      </c>
      <c r="BL8" s="128"/>
      <c r="BM8" s="127">
        <v>0</v>
      </c>
      <c r="BN8" s="127">
        <v>0</v>
      </c>
      <c r="BO8" s="127"/>
      <c r="BP8" s="128"/>
      <c r="BQ8" s="127">
        <v>0</v>
      </c>
      <c r="BR8" s="127">
        <v>0</v>
      </c>
      <c r="BS8" s="128"/>
      <c r="BT8" s="127">
        <v>0</v>
      </c>
      <c r="BU8" s="127">
        <v>0</v>
      </c>
      <c r="BV8" s="127">
        <f t="shared" ref="BV8:BV33" si="34">M8+V8+AC8+AN8+AX8+BF8+BM8</f>
        <v>783.3</v>
      </c>
      <c r="BW8" s="127">
        <f t="shared" ref="BW8:BW33" si="35">BJ8+BC8+AV8+AT8+AR8+AP8+AL8+Z8+R8+J8</f>
        <v>1926.1699999999998</v>
      </c>
      <c r="BX8" s="127">
        <f t="shared" ref="BX8:BX33" si="36">AJ8</f>
        <v>188</v>
      </c>
      <c r="BY8" s="127">
        <f t="shared" ref="BY8:BY33" si="37">AG8</f>
        <v>188</v>
      </c>
      <c r="BZ8" s="127">
        <f t="shared" ref="BZ8:BZ33" si="38">N8+W8+AD8+AO8+AY8+BG8+BN8</f>
        <v>0</v>
      </c>
      <c r="CA8" s="127">
        <f t="shared" ref="CA8:CA33" si="39">K8+S8+AA8+AM8+AQ8+AS8+AU8+AW8+BD8+BK8+BR8</f>
        <v>0</v>
      </c>
      <c r="CB8" s="127">
        <f t="shared" ref="CB8:CB33" si="40">BU8+AK8</f>
        <v>0</v>
      </c>
      <c r="CC8" s="127">
        <f t="shared" ref="CC8:CC33" si="41">BR8+AH8</f>
        <v>0</v>
      </c>
      <c r="CD8" s="127">
        <f t="shared" ref="CD8:CD23" si="42">BV8+BX8+BZ8+CB8</f>
        <v>971.3</v>
      </c>
      <c r="CE8" s="127">
        <f t="shared" ref="CE8:CE23" si="43">BW8+BY8+CA8+CC8</f>
        <v>2114.17</v>
      </c>
      <c r="CF8" s="127">
        <f t="shared" ref="CF8:CF23" si="44">CD8+CE8</f>
        <v>3085.4700000000003</v>
      </c>
      <c r="CG8" s="123" t="s">
        <v>466</v>
      </c>
      <c r="CH8" s="129">
        <f t="shared" ref="CH8:CH33" si="45">BV8+BZ8</f>
        <v>783.3</v>
      </c>
      <c r="CI8" s="129">
        <f t="shared" ref="CI8:CI33" si="46">BW8+CA8</f>
        <v>1926.1699999999998</v>
      </c>
      <c r="CJ8" s="129">
        <f t="shared" ref="CJ8:CJ33" si="47">BX8+CB8</f>
        <v>188</v>
      </c>
      <c r="CK8" s="129">
        <f t="shared" ref="CK8:CK33" si="48">BY8+CC8</f>
        <v>188</v>
      </c>
      <c r="CL8" s="130">
        <f t="shared" si="33"/>
        <v>2709.47</v>
      </c>
      <c r="CM8" s="130">
        <f t="shared" si="13"/>
        <v>376</v>
      </c>
      <c r="CN8" s="131" t="s">
        <v>479</v>
      </c>
      <c r="CO8" s="50">
        <f t="shared" si="14"/>
        <v>596.79999999999995</v>
      </c>
      <c r="CP8" s="50">
        <f t="shared" si="15"/>
        <v>149.19999999999999</v>
      </c>
      <c r="CQ8" s="50">
        <f t="shared" si="16"/>
        <v>37.299999999999997</v>
      </c>
      <c r="CR8" s="50" t="b">
        <f t="shared" si="17"/>
        <v>1</v>
      </c>
      <c r="CS8" s="119" t="str">
        <f>VLOOKUP(C8,长促工资明细!G:G,1,0)</f>
        <v>杜雷军</v>
      </c>
    </row>
    <row r="9" spans="1:97" s="50" customFormat="1" ht="26.25" customHeight="1">
      <c r="A9" s="122">
        <v>5</v>
      </c>
      <c r="B9" s="123" t="s">
        <v>465</v>
      </c>
      <c r="C9" s="124" t="s">
        <v>451</v>
      </c>
      <c r="D9" s="125" t="s">
        <v>442</v>
      </c>
      <c r="E9" s="126" t="str">
        <f>VLOOKUP(D9,长促工资明细!H:P,3,0)</f>
        <v>NKA</v>
      </c>
      <c r="F9" s="126" t="str">
        <f>VLOOKUP(D9,长促工资明细!H:P,7,0)</f>
        <v>大润发泗泾店</v>
      </c>
      <c r="G9" s="123">
        <v>19.670000000000002</v>
      </c>
      <c r="H9" s="127">
        <v>7460</v>
      </c>
      <c r="I9" s="128">
        <v>16</v>
      </c>
      <c r="J9" s="127">
        <v>1193.5999999999999</v>
      </c>
      <c r="K9" s="127">
        <v>0</v>
      </c>
      <c r="L9" s="128">
        <v>8</v>
      </c>
      <c r="M9" s="127">
        <v>596.79999999999995</v>
      </c>
      <c r="N9" s="127">
        <v>0</v>
      </c>
      <c r="O9" s="127">
        <v>7460</v>
      </c>
      <c r="P9" s="128">
        <v>9</v>
      </c>
      <c r="Q9" s="127"/>
      <c r="R9" s="127">
        <v>671.4</v>
      </c>
      <c r="S9" s="127">
        <v>0</v>
      </c>
      <c r="T9" s="128">
        <v>2</v>
      </c>
      <c r="U9" s="127"/>
      <c r="V9" s="127">
        <v>149.19999999999999</v>
      </c>
      <c r="W9" s="127">
        <v>0</v>
      </c>
      <c r="X9" s="127">
        <v>7460</v>
      </c>
      <c r="Y9" s="128">
        <v>0.5</v>
      </c>
      <c r="Z9" s="127">
        <v>37.299999999999997</v>
      </c>
      <c r="AA9" s="127">
        <v>0</v>
      </c>
      <c r="AB9" s="128">
        <v>0.5</v>
      </c>
      <c r="AC9" s="127">
        <v>37.299999999999997</v>
      </c>
      <c r="AD9" s="127">
        <v>0</v>
      </c>
      <c r="AE9" s="127">
        <v>2690</v>
      </c>
      <c r="AF9" s="128">
        <v>7</v>
      </c>
      <c r="AG9" s="127">
        <v>188</v>
      </c>
      <c r="AH9" s="127">
        <v>0</v>
      </c>
      <c r="AI9" s="128">
        <v>7</v>
      </c>
      <c r="AJ9" s="127">
        <v>188</v>
      </c>
      <c r="AK9" s="127">
        <v>0</v>
      </c>
      <c r="AL9" s="127">
        <v>0</v>
      </c>
      <c r="AM9" s="127">
        <v>0</v>
      </c>
      <c r="AN9" s="127">
        <v>0</v>
      </c>
      <c r="AO9" s="127">
        <v>0</v>
      </c>
      <c r="AP9" s="127">
        <v>0</v>
      </c>
      <c r="AQ9" s="127">
        <v>0</v>
      </c>
      <c r="AR9" s="127"/>
      <c r="AS9" s="127">
        <v>0</v>
      </c>
      <c r="AT9" s="127">
        <v>0</v>
      </c>
      <c r="AU9" s="127">
        <v>0</v>
      </c>
      <c r="AV9" s="127">
        <v>0</v>
      </c>
      <c r="AW9" s="127">
        <v>0</v>
      </c>
      <c r="AX9" s="127">
        <v>0</v>
      </c>
      <c r="AY9" s="127">
        <v>0</v>
      </c>
      <c r="AZ9" s="127"/>
      <c r="BA9" s="127"/>
      <c r="BB9" s="128"/>
      <c r="BC9" s="127">
        <v>0</v>
      </c>
      <c r="BD9" s="127">
        <v>0</v>
      </c>
      <c r="BE9" s="128"/>
      <c r="BF9" s="127">
        <v>0</v>
      </c>
      <c r="BG9" s="127">
        <v>0</v>
      </c>
      <c r="BH9" s="127">
        <v>7460</v>
      </c>
      <c r="BI9" s="128">
        <v>0.32</v>
      </c>
      <c r="BJ9" s="127">
        <v>23.87</v>
      </c>
      <c r="BK9" s="127">
        <v>0</v>
      </c>
      <c r="BL9" s="128"/>
      <c r="BM9" s="127">
        <v>0</v>
      </c>
      <c r="BN9" s="127">
        <v>0</v>
      </c>
      <c r="BO9" s="127"/>
      <c r="BP9" s="128"/>
      <c r="BQ9" s="127">
        <v>0</v>
      </c>
      <c r="BR9" s="127">
        <v>0</v>
      </c>
      <c r="BS9" s="128"/>
      <c r="BT9" s="127">
        <v>0</v>
      </c>
      <c r="BU9" s="127">
        <v>0</v>
      </c>
      <c r="BV9" s="127">
        <f t="shared" si="34"/>
        <v>783.3</v>
      </c>
      <c r="BW9" s="127">
        <f t="shared" si="35"/>
        <v>1926.1699999999998</v>
      </c>
      <c r="BX9" s="127">
        <f t="shared" si="36"/>
        <v>188</v>
      </c>
      <c r="BY9" s="127">
        <f t="shared" si="37"/>
        <v>188</v>
      </c>
      <c r="BZ9" s="127">
        <f t="shared" si="38"/>
        <v>0</v>
      </c>
      <c r="CA9" s="127">
        <f t="shared" si="39"/>
        <v>0</v>
      </c>
      <c r="CB9" s="127">
        <f t="shared" si="40"/>
        <v>0</v>
      </c>
      <c r="CC9" s="127">
        <f t="shared" si="41"/>
        <v>0</v>
      </c>
      <c r="CD9" s="127">
        <f t="shared" si="42"/>
        <v>971.3</v>
      </c>
      <c r="CE9" s="127">
        <f t="shared" si="43"/>
        <v>2114.17</v>
      </c>
      <c r="CF9" s="127">
        <f t="shared" si="44"/>
        <v>3085.4700000000003</v>
      </c>
      <c r="CG9" s="123" t="s">
        <v>466</v>
      </c>
      <c r="CH9" s="129">
        <f t="shared" si="45"/>
        <v>783.3</v>
      </c>
      <c r="CI9" s="129">
        <f t="shared" si="46"/>
        <v>1926.1699999999998</v>
      </c>
      <c r="CJ9" s="129">
        <f t="shared" si="47"/>
        <v>188</v>
      </c>
      <c r="CK9" s="129">
        <f t="shared" si="48"/>
        <v>188</v>
      </c>
      <c r="CL9" s="130">
        <f t="shared" si="33"/>
        <v>2709.47</v>
      </c>
      <c r="CM9" s="130">
        <f t="shared" si="13"/>
        <v>376</v>
      </c>
      <c r="CN9" s="131" t="s">
        <v>479</v>
      </c>
      <c r="CO9" s="50">
        <f t="shared" si="14"/>
        <v>596.79999999999995</v>
      </c>
      <c r="CP9" s="50">
        <f t="shared" si="15"/>
        <v>149.19999999999999</v>
      </c>
      <c r="CQ9" s="50">
        <f t="shared" si="16"/>
        <v>37.299999999999997</v>
      </c>
      <c r="CR9" s="50" t="b">
        <f t="shared" si="17"/>
        <v>1</v>
      </c>
      <c r="CS9" s="119" t="str">
        <f>VLOOKUP(C9,长促工资明细!G:G,1,0)</f>
        <v>杜以花</v>
      </c>
    </row>
    <row r="10" spans="1:97" s="50" customFormat="1" ht="26.25" customHeight="1">
      <c r="A10" s="122">
        <v>6</v>
      </c>
      <c r="B10" s="123" t="s">
        <v>465</v>
      </c>
      <c r="C10" s="124" t="s">
        <v>163</v>
      </c>
      <c r="D10" s="125" t="s">
        <v>164</v>
      </c>
      <c r="E10" s="126" t="str">
        <f>VLOOKUP(D10,长促工资明细!H:P,3,0)</f>
        <v>NKA</v>
      </c>
      <c r="F10" s="126" t="str">
        <f>VLOOKUP(D10,长促工资明细!H:P,7,0)</f>
        <v>大润发泗泾店</v>
      </c>
      <c r="G10" s="123">
        <v>19.670000000000002</v>
      </c>
      <c r="H10" s="127">
        <v>7460</v>
      </c>
      <c r="I10" s="128">
        <v>16</v>
      </c>
      <c r="J10" s="127">
        <v>1193.5999999999999</v>
      </c>
      <c r="K10" s="127">
        <v>0</v>
      </c>
      <c r="L10" s="128">
        <v>8</v>
      </c>
      <c r="M10" s="127">
        <v>596.79999999999995</v>
      </c>
      <c r="N10" s="127">
        <v>0</v>
      </c>
      <c r="O10" s="127">
        <v>7460</v>
      </c>
      <c r="P10" s="128">
        <v>9</v>
      </c>
      <c r="Q10" s="127"/>
      <c r="R10" s="127">
        <v>671.4</v>
      </c>
      <c r="S10" s="127">
        <v>0</v>
      </c>
      <c r="T10" s="128">
        <v>2</v>
      </c>
      <c r="U10" s="127"/>
      <c r="V10" s="127">
        <v>149.19999999999999</v>
      </c>
      <c r="W10" s="127">
        <v>0</v>
      </c>
      <c r="X10" s="127">
        <v>7460</v>
      </c>
      <c r="Y10" s="128">
        <v>0.5</v>
      </c>
      <c r="Z10" s="127">
        <v>37.299999999999997</v>
      </c>
      <c r="AA10" s="127">
        <v>0</v>
      </c>
      <c r="AB10" s="128">
        <v>0.5</v>
      </c>
      <c r="AC10" s="127">
        <v>37.299999999999997</v>
      </c>
      <c r="AD10" s="127">
        <v>0</v>
      </c>
      <c r="AE10" s="127">
        <v>2690</v>
      </c>
      <c r="AF10" s="128">
        <v>7</v>
      </c>
      <c r="AG10" s="127">
        <v>188</v>
      </c>
      <c r="AH10" s="127">
        <v>0</v>
      </c>
      <c r="AI10" s="128">
        <v>7</v>
      </c>
      <c r="AJ10" s="127">
        <v>188</v>
      </c>
      <c r="AK10" s="127">
        <v>0</v>
      </c>
      <c r="AL10" s="127">
        <v>0</v>
      </c>
      <c r="AM10" s="127">
        <v>0</v>
      </c>
      <c r="AN10" s="127">
        <v>0</v>
      </c>
      <c r="AO10" s="127">
        <v>0</v>
      </c>
      <c r="AP10" s="127">
        <v>0</v>
      </c>
      <c r="AQ10" s="127">
        <v>0</v>
      </c>
      <c r="AR10" s="127"/>
      <c r="AS10" s="127">
        <v>0</v>
      </c>
      <c r="AT10" s="127">
        <v>0</v>
      </c>
      <c r="AU10" s="127">
        <v>0</v>
      </c>
      <c r="AV10" s="127">
        <v>0</v>
      </c>
      <c r="AW10" s="127">
        <v>0</v>
      </c>
      <c r="AX10" s="127">
        <v>0</v>
      </c>
      <c r="AY10" s="127">
        <v>0</v>
      </c>
      <c r="AZ10" s="127"/>
      <c r="BA10" s="127"/>
      <c r="BB10" s="128"/>
      <c r="BC10" s="127">
        <v>0</v>
      </c>
      <c r="BD10" s="127">
        <v>0</v>
      </c>
      <c r="BE10" s="128"/>
      <c r="BF10" s="127">
        <v>0</v>
      </c>
      <c r="BG10" s="127">
        <v>0</v>
      </c>
      <c r="BH10" s="127">
        <v>7460</v>
      </c>
      <c r="BI10" s="128">
        <v>0.32</v>
      </c>
      <c r="BJ10" s="127">
        <v>23.87</v>
      </c>
      <c r="BK10" s="127">
        <v>0</v>
      </c>
      <c r="BL10" s="128"/>
      <c r="BM10" s="127">
        <v>0</v>
      </c>
      <c r="BN10" s="127">
        <v>0</v>
      </c>
      <c r="BO10" s="127"/>
      <c r="BP10" s="128"/>
      <c r="BQ10" s="127">
        <v>0</v>
      </c>
      <c r="BR10" s="127">
        <v>0</v>
      </c>
      <c r="BS10" s="128"/>
      <c r="BT10" s="127">
        <v>0</v>
      </c>
      <c r="BU10" s="127">
        <v>0</v>
      </c>
      <c r="BV10" s="127">
        <f t="shared" si="34"/>
        <v>783.3</v>
      </c>
      <c r="BW10" s="127">
        <f t="shared" si="35"/>
        <v>1926.1699999999998</v>
      </c>
      <c r="BX10" s="127">
        <f t="shared" si="36"/>
        <v>188</v>
      </c>
      <c r="BY10" s="127">
        <f t="shared" si="37"/>
        <v>188</v>
      </c>
      <c r="BZ10" s="127">
        <f t="shared" si="38"/>
        <v>0</v>
      </c>
      <c r="CA10" s="127">
        <f t="shared" si="39"/>
        <v>0</v>
      </c>
      <c r="CB10" s="127">
        <f t="shared" si="40"/>
        <v>0</v>
      </c>
      <c r="CC10" s="127">
        <f t="shared" si="41"/>
        <v>0</v>
      </c>
      <c r="CD10" s="127">
        <f t="shared" si="42"/>
        <v>971.3</v>
      </c>
      <c r="CE10" s="127">
        <f t="shared" si="43"/>
        <v>2114.17</v>
      </c>
      <c r="CF10" s="127">
        <f t="shared" si="44"/>
        <v>3085.4700000000003</v>
      </c>
      <c r="CG10" s="123" t="s">
        <v>466</v>
      </c>
      <c r="CH10" s="129">
        <f t="shared" si="45"/>
        <v>783.3</v>
      </c>
      <c r="CI10" s="129">
        <f t="shared" si="46"/>
        <v>1926.1699999999998</v>
      </c>
      <c r="CJ10" s="129">
        <f t="shared" si="47"/>
        <v>188</v>
      </c>
      <c r="CK10" s="129">
        <f t="shared" si="48"/>
        <v>188</v>
      </c>
      <c r="CL10" s="130">
        <f t="shared" si="33"/>
        <v>2709.47</v>
      </c>
      <c r="CM10" s="130">
        <f t="shared" si="13"/>
        <v>376</v>
      </c>
      <c r="CN10" s="131" t="s">
        <v>479</v>
      </c>
      <c r="CO10" s="50">
        <f t="shared" si="14"/>
        <v>596.79999999999995</v>
      </c>
      <c r="CP10" s="50">
        <f t="shared" si="15"/>
        <v>149.19999999999999</v>
      </c>
      <c r="CQ10" s="50">
        <f t="shared" si="16"/>
        <v>37.299999999999997</v>
      </c>
      <c r="CR10" s="50" t="b">
        <f t="shared" si="17"/>
        <v>1</v>
      </c>
      <c r="CS10" s="119" t="str">
        <f>VLOOKUP(C10,长促工资明细!G:G,1,0)</f>
        <v>戈艳青</v>
      </c>
    </row>
    <row r="11" spans="1:97" s="50" customFormat="1" ht="26.25" customHeight="1">
      <c r="A11" s="122">
        <v>7</v>
      </c>
      <c r="B11" s="123" t="s">
        <v>465</v>
      </c>
      <c r="C11" s="124" t="s">
        <v>96</v>
      </c>
      <c r="D11" s="125" t="s">
        <v>97</v>
      </c>
      <c r="E11" s="126" t="str">
        <f>VLOOKUP(D11,长促工资明细!H:P,3,0)</f>
        <v>NKA</v>
      </c>
      <c r="F11" s="126" t="str">
        <f>VLOOKUP(D11,长促工资明细!H:P,7,0)</f>
        <v>大润发安亭店</v>
      </c>
      <c r="G11" s="123">
        <v>19.670000000000002</v>
      </c>
      <c r="H11" s="127">
        <v>7460</v>
      </c>
      <c r="I11" s="128">
        <v>16</v>
      </c>
      <c r="J11" s="127">
        <v>1193.5999999999999</v>
      </c>
      <c r="K11" s="127">
        <v>0</v>
      </c>
      <c r="L11" s="128">
        <v>8</v>
      </c>
      <c r="M11" s="127">
        <v>596.79999999999995</v>
      </c>
      <c r="N11" s="127">
        <v>0</v>
      </c>
      <c r="O11" s="127">
        <v>7460</v>
      </c>
      <c r="P11" s="128">
        <v>9</v>
      </c>
      <c r="Q11" s="127"/>
      <c r="R11" s="127">
        <v>671.4</v>
      </c>
      <c r="S11" s="127">
        <v>0</v>
      </c>
      <c r="T11" s="128">
        <v>2</v>
      </c>
      <c r="U11" s="127"/>
      <c r="V11" s="127">
        <v>149.19999999999999</v>
      </c>
      <c r="W11" s="127">
        <v>0</v>
      </c>
      <c r="X11" s="127">
        <v>7460</v>
      </c>
      <c r="Y11" s="128">
        <v>0.5</v>
      </c>
      <c r="Z11" s="127">
        <v>37.299999999999997</v>
      </c>
      <c r="AA11" s="127">
        <v>0</v>
      </c>
      <c r="AB11" s="128">
        <v>0.5</v>
      </c>
      <c r="AC11" s="127">
        <v>37.299999999999997</v>
      </c>
      <c r="AD11" s="127">
        <v>0</v>
      </c>
      <c r="AE11" s="127">
        <v>2690</v>
      </c>
      <c r="AF11" s="128">
        <v>7</v>
      </c>
      <c r="AG11" s="127">
        <v>188</v>
      </c>
      <c r="AH11" s="127">
        <v>0</v>
      </c>
      <c r="AI11" s="128">
        <v>7</v>
      </c>
      <c r="AJ11" s="127">
        <v>188</v>
      </c>
      <c r="AK11" s="127">
        <v>0</v>
      </c>
      <c r="AL11" s="127">
        <v>0</v>
      </c>
      <c r="AM11" s="127">
        <v>0</v>
      </c>
      <c r="AN11" s="127">
        <v>0</v>
      </c>
      <c r="AO11" s="127">
        <v>0</v>
      </c>
      <c r="AP11" s="127">
        <v>0</v>
      </c>
      <c r="AQ11" s="127">
        <v>0</v>
      </c>
      <c r="AR11" s="127"/>
      <c r="AS11" s="127">
        <v>0</v>
      </c>
      <c r="AT11" s="127">
        <v>0</v>
      </c>
      <c r="AU11" s="127">
        <v>0</v>
      </c>
      <c r="AV11" s="127">
        <v>0</v>
      </c>
      <c r="AW11" s="127">
        <v>0</v>
      </c>
      <c r="AX11" s="127">
        <v>0</v>
      </c>
      <c r="AY11" s="127">
        <v>0</v>
      </c>
      <c r="AZ11" s="127"/>
      <c r="BA11" s="127"/>
      <c r="BB11" s="128"/>
      <c r="BC11" s="127">
        <v>0</v>
      </c>
      <c r="BD11" s="127">
        <v>0</v>
      </c>
      <c r="BE11" s="128"/>
      <c r="BF11" s="127">
        <v>0</v>
      </c>
      <c r="BG11" s="127">
        <v>0</v>
      </c>
      <c r="BH11" s="127">
        <v>7460</v>
      </c>
      <c r="BI11" s="128">
        <v>0.32</v>
      </c>
      <c r="BJ11" s="127">
        <v>23.87</v>
      </c>
      <c r="BK11" s="127">
        <v>0</v>
      </c>
      <c r="BL11" s="128"/>
      <c r="BM11" s="127">
        <v>0</v>
      </c>
      <c r="BN11" s="127">
        <v>0</v>
      </c>
      <c r="BO11" s="127"/>
      <c r="BP11" s="128"/>
      <c r="BQ11" s="127">
        <v>0</v>
      </c>
      <c r="BR11" s="127">
        <v>0</v>
      </c>
      <c r="BS11" s="128"/>
      <c r="BT11" s="127">
        <v>0</v>
      </c>
      <c r="BU11" s="127">
        <v>0</v>
      </c>
      <c r="BV11" s="127">
        <f t="shared" si="34"/>
        <v>783.3</v>
      </c>
      <c r="BW11" s="127">
        <f t="shared" si="35"/>
        <v>1926.1699999999998</v>
      </c>
      <c r="BX11" s="127">
        <f t="shared" si="36"/>
        <v>188</v>
      </c>
      <c r="BY11" s="127">
        <f t="shared" si="37"/>
        <v>188</v>
      </c>
      <c r="BZ11" s="127">
        <f t="shared" si="38"/>
        <v>0</v>
      </c>
      <c r="CA11" s="127">
        <f t="shared" si="39"/>
        <v>0</v>
      </c>
      <c r="CB11" s="127">
        <f t="shared" si="40"/>
        <v>0</v>
      </c>
      <c r="CC11" s="127">
        <f t="shared" si="41"/>
        <v>0</v>
      </c>
      <c r="CD11" s="127">
        <f t="shared" si="42"/>
        <v>971.3</v>
      </c>
      <c r="CE11" s="127">
        <f t="shared" si="43"/>
        <v>2114.17</v>
      </c>
      <c r="CF11" s="127">
        <f t="shared" si="44"/>
        <v>3085.4700000000003</v>
      </c>
      <c r="CG11" s="123" t="s">
        <v>466</v>
      </c>
      <c r="CH11" s="129">
        <f t="shared" si="45"/>
        <v>783.3</v>
      </c>
      <c r="CI11" s="129">
        <f t="shared" si="46"/>
        <v>1926.1699999999998</v>
      </c>
      <c r="CJ11" s="129">
        <f t="shared" si="47"/>
        <v>188</v>
      </c>
      <c r="CK11" s="129">
        <f t="shared" si="48"/>
        <v>188</v>
      </c>
      <c r="CL11" s="130">
        <f t="shared" si="33"/>
        <v>2709.47</v>
      </c>
      <c r="CM11" s="130">
        <f t="shared" si="13"/>
        <v>376</v>
      </c>
      <c r="CN11" s="131" t="s">
        <v>479</v>
      </c>
      <c r="CO11" s="50">
        <f t="shared" si="14"/>
        <v>596.79999999999995</v>
      </c>
      <c r="CP11" s="50">
        <f t="shared" si="15"/>
        <v>149.19999999999999</v>
      </c>
      <c r="CQ11" s="50">
        <f t="shared" si="16"/>
        <v>37.299999999999997</v>
      </c>
      <c r="CR11" s="50" t="b">
        <f t="shared" si="17"/>
        <v>1</v>
      </c>
      <c r="CS11" s="119" t="str">
        <f>VLOOKUP(C11,长促工资明细!G:G,1,0)</f>
        <v>管兵娥</v>
      </c>
    </row>
    <row r="12" spans="1:97" s="50" customFormat="1" ht="26.25" customHeight="1">
      <c r="A12" s="122">
        <v>8</v>
      </c>
      <c r="B12" s="123" t="s">
        <v>465</v>
      </c>
      <c r="C12" s="124" t="s">
        <v>135</v>
      </c>
      <c r="D12" s="125" t="s">
        <v>136</v>
      </c>
      <c r="E12" s="126" t="str">
        <f>VLOOKUP(D12,长促工资明细!H:P,3,0)</f>
        <v>NKA</v>
      </c>
      <c r="F12" s="126" t="str">
        <f>VLOOKUP(D12,长促工资明细!H:P,7,0)</f>
        <v>大润发华漕店</v>
      </c>
      <c r="G12" s="123">
        <v>19.670000000000002</v>
      </c>
      <c r="H12" s="127">
        <v>7460</v>
      </c>
      <c r="I12" s="128">
        <v>16</v>
      </c>
      <c r="J12" s="127">
        <v>1193.5999999999999</v>
      </c>
      <c r="K12" s="127">
        <v>0</v>
      </c>
      <c r="L12" s="128">
        <v>8</v>
      </c>
      <c r="M12" s="127">
        <v>596.79999999999995</v>
      </c>
      <c r="N12" s="127">
        <v>0</v>
      </c>
      <c r="O12" s="127">
        <v>7460</v>
      </c>
      <c r="P12" s="128">
        <v>9</v>
      </c>
      <c r="Q12" s="127"/>
      <c r="R12" s="127">
        <v>671.4</v>
      </c>
      <c r="S12" s="127">
        <v>0</v>
      </c>
      <c r="T12" s="128">
        <v>2</v>
      </c>
      <c r="U12" s="127"/>
      <c r="V12" s="127">
        <v>149.19999999999999</v>
      </c>
      <c r="W12" s="127">
        <v>0</v>
      </c>
      <c r="X12" s="127">
        <v>7460</v>
      </c>
      <c r="Y12" s="128">
        <v>0.5</v>
      </c>
      <c r="Z12" s="127">
        <v>37.299999999999997</v>
      </c>
      <c r="AA12" s="127">
        <v>0</v>
      </c>
      <c r="AB12" s="128">
        <v>0.5</v>
      </c>
      <c r="AC12" s="127">
        <v>37.299999999999997</v>
      </c>
      <c r="AD12" s="127">
        <v>0</v>
      </c>
      <c r="AE12" s="127">
        <v>2690</v>
      </c>
      <c r="AF12" s="128">
        <v>7</v>
      </c>
      <c r="AG12" s="127">
        <v>188</v>
      </c>
      <c r="AH12" s="127">
        <v>0</v>
      </c>
      <c r="AI12" s="128">
        <v>7</v>
      </c>
      <c r="AJ12" s="127">
        <v>188</v>
      </c>
      <c r="AK12" s="127">
        <v>0</v>
      </c>
      <c r="AL12" s="127">
        <v>0</v>
      </c>
      <c r="AM12" s="127">
        <v>0</v>
      </c>
      <c r="AN12" s="127">
        <v>0</v>
      </c>
      <c r="AO12" s="127">
        <v>0</v>
      </c>
      <c r="AP12" s="127">
        <v>0</v>
      </c>
      <c r="AQ12" s="127">
        <v>0</v>
      </c>
      <c r="AR12" s="127"/>
      <c r="AS12" s="127">
        <v>0</v>
      </c>
      <c r="AT12" s="127">
        <v>0</v>
      </c>
      <c r="AU12" s="127">
        <v>0</v>
      </c>
      <c r="AV12" s="127">
        <v>0</v>
      </c>
      <c r="AW12" s="127">
        <v>0</v>
      </c>
      <c r="AX12" s="127">
        <v>0</v>
      </c>
      <c r="AY12" s="127">
        <v>0</v>
      </c>
      <c r="AZ12" s="127"/>
      <c r="BA12" s="127"/>
      <c r="BB12" s="128"/>
      <c r="BC12" s="127">
        <v>0</v>
      </c>
      <c r="BD12" s="127">
        <v>0</v>
      </c>
      <c r="BE12" s="128"/>
      <c r="BF12" s="127">
        <v>0</v>
      </c>
      <c r="BG12" s="127">
        <v>0</v>
      </c>
      <c r="BH12" s="127">
        <v>7460</v>
      </c>
      <c r="BI12" s="128">
        <v>0.32</v>
      </c>
      <c r="BJ12" s="127">
        <v>23.87</v>
      </c>
      <c r="BK12" s="127">
        <v>0</v>
      </c>
      <c r="BL12" s="128"/>
      <c r="BM12" s="127">
        <v>0</v>
      </c>
      <c r="BN12" s="127">
        <v>0</v>
      </c>
      <c r="BO12" s="127"/>
      <c r="BP12" s="128"/>
      <c r="BQ12" s="127">
        <v>0</v>
      </c>
      <c r="BR12" s="127">
        <v>0</v>
      </c>
      <c r="BS12" s="128"/>
      <c r="BT12" s="127">
        <v>0</v>
      </c>
      <c r="BU12" s="127">
        <v>0</v>
      </c>
      <c r="BV12" s="127">
        <f t="shared" si="34"/>
        <v>783.3</v>
      </c>
      <c r="BW12" s="127">
        <f t="shared" si="35"/>
        <v>1926.1699999999998</v>
      </c>
      <c r="BX12" s="127">
        <f t="shared" si="36"/>
        <v>188</v>
      </c>
      <c r="BY12" s="127">
        <f t="shared" si="37"/>
        <v>188</v>
      </c>
      <c r="BZ12" s="127">
        <f t="shared" si="38"/>
        <v>0</v>
      </c>
      <c r="CA12" s="127">
        <f t="shared" si="39"/>
        <v>0</v>
      </c>
      <c r="CB12" s="127">
        <f t="shared" si="40"/>
        <v>0</v>
      </c>
      <c r="CC12" s="127">
        <f t="shared" si="41"/>
        <v>0</v>
      </c>
      <c r="CD12" s="127">
        <f t="shared" si="42"/>
        <v>971.3</v>
      </c>
      <c r="CE12" s="127">
        <f t="shared" si="43"/>
        <v>2114.17</v>
      </c>
      <c r="CF12" s="127">
        <f t="shared" si="44"/>
        <v>3085.4700000000003</v>
      </c>
      <c r="CG12" s="123" t="s">
        <v>466</v>
      </c>
      <c r="CH12" s="129">
        <f t="shared" si="45"/>
        <v>783.3</v>
      </c>
      <c r="CI12" s="129">
        <f t="shared" si="46"/>
        <v>1926.1699999999998</v>
      </c>
      <c r="CJ12" s="129">
        <f t="shared" si="47"/>
        <v>188</v>
      </c>
      <c r="CK12" s="129">
        <f t="shared" si="48"/>
        <v>188</v>
      </c>
      <c r="CL12" s="130">
        <f t="shared" si="33"/>
        <v>2709.47</v>
      </c>
      <c r="CM12" s="130">
        <f t="shared" si="13"/>
        <v>376</v>
      </c>
      <c r="CN12" s="131" t="s">
        <v>479</v>
      </c>
      <c r="CO12" s="50">
        <f t="shared" si="14"/>
        <v>596.79999999999995</v>
      </c>
      <c r="CP12" s="50">
        <f t="shared" si="15"/>
        <v>149.19999999999999</v>
      </c>
      <c r="CQ12" s="50">
        <f t="shared" si="16"/>
        <v>37.299999999999997</v>
      </c>
      <c r="CR12" s="50" t="b">
        <f t="shared" si="17"/>
        <v>1</v>
      </c>
      <c r="CS12" s="119" t="str">
        <f>VLOOKUP(C12,长促工资明细!G:G,1,0)</f>
        <v>郭胜霞</v>
      </c>
    </row>
    <row r="13" spans="1:97" s="50" customFormat="1" ht="26.25" customHeight="1">
      <c r="A13" s="122">
        <v>9</v>
      </c>
      <c r="B13" s="123" t="s">
        <v>465</v>
      </c>
      <c r="C13" s="124" t="s">
        <v>375</v>
      </c>
      <c r="D13" s="125" t="s">
        <v>378</v>
      </c>
      <c r="E13" s="126" t="str">
        <f>VLOOKUP(D13,长促工资明细!H:P,3,0)</f>
        <v>NKA</v>
      </c>
      <c r="F13" s="126" t="str">
        <f>VLOOKUP(D13,长促工资明细!H:P,7,0)</f>
        <v>大润发平型关店</v>
      </c>
      <c r="G13" s="123">
        <v>19.670000000000002</v>
      </c>
      <c r="H13" s="127">
        <v>7460</v>
      </c>
      <c r="I13" s="128">
        <v>16</v>
      </c>
      <c r="J13" s="127">
        <v>1193.5999999999999</v>
      </c>
      <c r="K13" s="127">
        <v>0</v>
      </c>
      <c r="L13" s="128">
        <v>8</v>
      </c>
      <c r="M13" s="127">
        <v>596.79999999999995</v>
      </c>
      <c r="N13" s="127">
        <v>0</v>
      </c>
      <c r="O13" s="127">
        <v>7460</v>
      </c>
      <c r="P13" s="128">
        <v>9</v>
      </c>
      <c r="Q13" s="127"/>
      <c r="R13" s="127">
        <v>671.4</v>
      </c>
      <c r="S13" s="127">
        <v>0</v>
      </c>
      <c r="T13" s="128">
        <v>2</v>
      </c>
      <c r="U13" s="127"/>
      <c r="V13" s="127">
        <v>149.19999999999999</v>
      </c>
      <c r="W13" s="127">
        <v>0</v>
      </c>
      <c r="X13" s="127">
        <v>7460</v>
      </c>
      <c r="Y13" s="128">
        <v>0.5</v>
      </c>
      <c r="Z13" s="127">
        <v>37.299999999999997</v>
      </c>
      <c r="AA13" s="127">
        <v>0</v>
      </c>
      <c r="AB13" s="128">
        <v>0.5</v>
      </c>
      <c r="AC13" s="127">
        <v>37.299999999999997</v>
      </c>
      <c r="AD13" s="127">
        <v>0</v>
      </c>
      <c r="AE13" s="127">
        <v>2690</v>
      </c>
      <c r="AF13" s="128">
        <v>7</v>
      </c>
      <c r="AG13" s="127">
        <v>188</v>
      </c>
      <c r="AH13" s="127">
        <v>0</v>
      </c>
      <c r="AI13" s="128">
        <v>7</v>
      </c>
      <c r="AJ13" s="127">
        <v>188</v>
      </c>
      <c r="AK13" s="127">
        <v>0</v>
      </c>
      <c r="AL13" s="127">
        <v>0</v>
      </c>
      <c r="AM13" s="127">
        <v>0</v>
      </c>
      <c r="AN13" s="127">
        <v>0</v>
      </c>
      <c r="AO13" s="127">
        <v>0</v>
      </c>
      <c r="AP13" s="127">
        <v>0</v>
      </c>
      <c r="AQ13" s="127">
        <v>0</v>
      </c>
      <c r="AR13" s="127"/>
      <c r="AS13" s="127">
        <v>0</v>
      </c>
      <c r="AT13" s="127">
        <v>0</v>
      </c>
      <c r="AU13" s="127">
        <v>0</v>
      </c>
      <c r="AV13" s="127">
        <v>0</v>
      </c>
      <c r="AW13" s="127">
        <v>0</v>
      </c>
      <c r="AX13" s="127">
        <v>0</v>
      </c>
      <c r="AY13" s="127">
        <v>0</v>
      </c>
      <c r="AZ13" s="127"/>
      <c r="BA13" s="127"/>
      <c r="BB13" s="128"/>
      <c r="BC13" s="127">
        <v>0</v>
      </c>
      <c r="BD13" s="127">
        <v>0</v>
      </c>
      <c r="BE13" s="128"/>
      <c r="BF13" s="127">
        <v>0</v>
      </c>
      <c r="BG13" s="127">
        <v>0</v>
      </c>
      <c r="BH13" s="127">
        <v>7460</v>
      </c>
      <c r="BI13" s="128">
        <v>0.32</v>
      </c>
      <c r="BJ13" s="127">
        <v>23.87</v>
      </c>
      <c r="BK13" s="127">
        <v>0</v>
      </c>
      <c r="BL13" s="128"/>
      <c r="BM13" s="127">
        <v>0</v>
      </c>
      <c r="BN13" s="127">
        <v>0</v>
      </c>
      <c r="BO13" s="127"/>
      <c r="BP13" s="128"/>
      <c r="BQ13" s="127">
        <v>0</v>
      </c>
      <c r="BR13" s="127">
        <v>0</v>
      </c>
      <c r="BS13" s="128"/>
      <c r="BT13" s="127">
        <v>0</v>
      </c>
      <c r="BU13" s="127">
        <v>0</v>
      </c>
      <c r="BV13" s="127">
        <f t="shared" si="34"/>
        <v>783.3</v>
      </c>
      <c r="BW13" s="127">
        <f t="shared" si="35"/>
        <v>1926.1699999999998</v>
      </c>
      <c r="BX13" s="127">
        <f t="shared" si="36"/>
        <v>188</v>
      </c>
      <c r="BY13" s="127">
        <f t="shared" si="37"/>
        <v>188</v>
      </c>
      <c r="BZ13" s="127">
        <f t="shared" si="38"/>
        <v>0</v>
      </c>
      <c r="CA13" s="127">
        <f t="shared" si="39"/>
        <v>0</v>
      </c>
      <c r="CB13" s="127">
        <f t="shared" si="40"/>
        <v>0</v>
      </c>
      <c r="CC13" s="127">
        <f t="shared" si="41"/>
        <v>0</v>
      </c>
      <c r="CD13" s="127">
        <f t="shared" si="42"/>
        <v>971.3</v>
      </c>
      <c r="CE13" s="127">
        <f t="shared" si="43"/>
        <v>2114.17</v>
      </c>
      <c r="CF13" s="127">
        <f t="shared" si="44"/>
        <v>3085.4700000000003</v>
      </c>
      <c r="CG13" s="123" t="s">
        <v>466</v>
      </c>
      <c r="CH13" s="129">
        <f t="shared" si="45"/>
        <v>783.3</v>
      </c>
      <c r="CI13" s="129">
        <f t="shared" si="46"/>
        <v>1926.1699999999998</v>
      </c>
      <c r="CJ13" s="129">
        <f t="shared" si="47"/>
        <v>188</v>
      </c>
      <c r="CK13" s="129">
        <f t="shared" si="48"/>
        <v>188</v>
      </c>
      <c r="CL13" s="130">
        <f t="shared" si="33"/>
        <v>2709.47</v>
      </c>
      <c r="CM13" s="130">
        <f t="shared" si="13"/>
        <v>376</v>
      </c>
      <c r="CN13" s="131" t="s">
        <v>479</v>
      </c>
      <c r="CO13" s="50">
        <f t="shared" si="14"/>
        <v>596.79999999999995</v>
      </c>
      <c r="CP13" s="50">
        <f t="shared" si="15"/>
        <v>149.19999999999999</v>
      </c>
      <c r="CQ13" s="50">
        <f t="shared" si="16"/>
        <v>37.299999999999997</v>
      </c>
      <c r="CR13" s="50" t="b">
        <f t="shared" si="17"/>
        <v>1</v>
      </c>
      <c r="CS13" s="119" t="str">
        <f>VLOOKUP(C13,长促工资明细!G:G,1,0)</f>
        <v>过苗苗</v>
      </c>
    </row>
    <row r="14" spans="1:97" s="50" customFormat="1" ht="26.25" customHeight="1">
      <c r="A14" s="122">
        <v>10</v>
      </c>
      <c r="B14" s="123" t="s">
        <v>465</v>
      </c>
      <c r="C14" s="124" t="s">
        <v>492</v>
      </c>
      <c r="D14" s="125" t="s">
        <v>493</v>
      </c>
      <c r="E14" s="126" t="str">
        <f>VLOOKUP(D14,长促工资明细!H:P,3,0)</f>
        <v>NKA</v>
      </c>
      <c r="F14" s="126" t="str">
        <f>VLOOKUP(D14,长促工资明细!H:P,7,0)</f>
        <v>大润发南翔店</v>
      </c>
      <c r="G14" s="123">
        <v>19.670000000000002</v>
      </c>
      <c r="H14" s="127">
        <v>7460</v>
      </c>
      <c r="I14" s="128">
        <v>16</v>
      </c>
      <c r="J14" s="127">
        <v>1193.5999999999999</v>
      </c>
      <c r="K14" s="127">
        <v>0</v>
      </c>
      <c r="L14" s="128">
        <v>8</v>
      </c>
      <c r="M14" s="127">
        <v>596.79999999999995</v>
      </c>
      <c r="N14" s="127">
        <v>0</v>
      </c>
      <c r="O14" s="127">
        <v>7460</v>
      </c>
      <c r="P14" s="128">
        <v>9</v>
      </c>
      <c r="Q14" s="127"/>
      <c r="R14" s="127">
        <v>671.4</v>
      </c>
      <c r="S14" s="127">
        <v>0</v>
      </c>
      <c r="T14" s="128">
        <v>2</v>
      </c>
      <c r="U14" s="127"/>
      <c r="V14" s="127">
        <v>149.19999999999999</v>
      </c>
      <c r="W14" s="127">
        <v>0</v>
      </c>
      <c r="X14" s="127">
        <v>7460</v>
      </c>
      <c r="Y14" s="128">
        <v>0.5</v>
      </c>
      <c r="Z14" s="127">
        <v>37.299999999999997</v>
      </c>
      <c r="AA14" s="127">
        <v>0</v>
      </c>
      <c r="AB14" s="128">
        <v>0.5</v>
      </c>
      <c r="AC14" s="127">
        <v>37.299999999999997</v>
      </c>
      <c r="AD14" s="127">
        <v>0</v>
      </c>
      <c r="AE14" s="127">
        <v>2690</v>
      </c>
      <c r="AF14" s="128">
        <v>7</v>
      </c>
      <c r="AG14" s="127">
        <v>188</v>
      </c>
      <c r="AH14" s="127">
        <v>0</v>
      </c>
      <c r="AI14" s="128">
        <v>7</v>
      </c>
      <c r="AJ14" s="127">
        <v>188</v>
      </c>
      <c r="AK14" s="127">
        <v>0</v>
      </c>
      <c r="AL14" s="127">
        <v>0</v>
      </c>
      <c r="AM14" s="127">
        <v>0</v>
      </c>
      <c r="AN14" s="127">
        <v>0</v>
      </c>
      <c r="AO14" s="127">
        <v>0</v>
      </c>
      <c r="AP14" s="127">
        <v>0</v>
      </c>
      <c r="AQ14" s="127">
        <v>0</v>
      </c>
      <c r="AR14" s="127"/>
      <c r="AS14" s="127">
        <v>0</v>
      </c>
      <c r="AT14" s="127">
        <v>0</v>
      </c>
      <c r="AU14" s="127">
        <v>0</v>
      </c>
      <c r="AV14" s="127">
        <v>0</v>
      </c>
      <c r="AW14" s="127">
        <v>0</v>
      </c>
      <c r="AX14" s="127">
        <v>0</v>
      </c>
      <c r="AY14" s="127">
        <v>0</v>
      </c>
      <c r="AZ14" s="127"/>
      <c r="BA14" s="127"/>
      <c r="BB14" s="128"/>
      <c r="BC14" s="127">
        <v>0</v>
      </c>
      <c r="BD14" s="127">
        <v>0</v>
      </c>
      <c r="BE14" s="128"/>
      <c r="BF14" s="127">
        <v>0</v>
      </c>
      <c r="BG14" s="127">
        <v>0</v>
      </c>
      <c r="BH14" s="127">
        <v>7460</v>
      </c>
      <c r="BI14" s="128">
        <v>0.32</v>
      </c>
      <c r="BJ14" s="127">
        <v>23.87</v>
      </c>
      <c r="BK14" s="127">
        <v>0</v>
      </c>
      <c r="BL14" s="128"/>
      <c r="BM14" s="127">
        <v>0</v>
      </c>
      <c r="BN14" s="127">
        <v>0</v>
      </c>
      <c r="BO14" s="127"/>
      <c r="BP14" s="128"/>
      <c r="BQ14" s="127">
        <v>0</v>
      </c>
      <c r="BR14" s="127">
        <v>0</v>
      </c>
      <c r="BS14" s="128"/>
      <c r="BT14" s="127">
        <v>0</v>
      </c>
      <c r="BU14" s="127">
        <v>0</v>
      </c>
      <c r="BV14" s="127">
        <f t="shared" si="34"/>
        <v>783.3</v>
      </c>
      <c r="BW14" s="127">
        <f t="shared" si="35"/>
        <v>1926.1699999999998</v>
      </c>
      <c r="BX14" s="127">
        <f t="shared" si="36"/>
        <v>188</v>
      </c>
      <c r="BY14" s="127">
        <f t="shared" si="37"/>
        <v>188</v>
      </c>
      <c r="BZ14" s="127">
        <f t="shared" si="38"/>
        <v>0</v>
      </c>
      <c r="CA14" s="127">
        <f t="shared" si="39"/>
        <v>0</v>
      </c>
      <c r="CB14" s="127">
        <f t="shared" si="40"/>
        <v>0</v>
      </c>
      <c r="CC14" s="127">
        <f t="shared" si="41"/>
        <v>0</v>
      </c>
      <c r="CD14" s="127">
        <f t="shared" si="42"/>
        <v>971.3</v>
      </c>
      <c r="CE14" s="127">
        <f t="shared" si="43"/>
        <v>2114.17</v>
      </c>
      <c r="CF14" s="127">
        <f t="shared" si="44"/>
        <v>3085.4700000000003</v>
      </c>
      <c r="CG14" s="123" t="s">
        <v>466</v>
      </c>
      <c r="CH14" s="129">
        <f t="shared" si="45"/>
        <v>783.3</v>
      </c>
      <c r="CI14" s="129">
        <f t="shared" si="46"/>
        <v>1926.1699999999998</v>
      </c>
      <c r="CJ14" s="129">
        <f t="shared" si="47"/>
        <v>188</v>
      </c>
      <c r="CK14" s="129">
        <f t="shared" si="48"/>
        <v>188</v>
      </c>
      <c r="CL14" s="130">
        <f t="shared" si="33"/>
        <v>2709.47</v>
      </c>
      <c r="CM14" s="130">
        <f t="shared" si="13"/>
        <v>376</v>
      </c>
      <c r="CN14" s="131" t="s">
        <v>479</v>
      </c>
      <c r="CO14" s="50">
        <f t="shared" si="14"/>
        <v>596.79999999999995</v>
      </c>
      <c r="CP14" s="50">
        <f t="shared" si="15"/>
        <v>149.19999999999999</v>
      </c>
      <c r="CQ14" s="50">
        <f t="shared" si="16"/>
        <v>37.299999999999997</v>
      </c>
      <c r="CR14" s="50" t="b">
        <f t="shared" si="17"/>
        <v>1</v>
      </c>
      <c r="CS14" s="119" t="str">
        <f>VLOOKUP(C14,长促工资明细!G:G,1,0)</f>
        <v>过小娟</v>
      </c>
    </row>
    <row r="15" spans="1:97" s="50" customFormat="1" ht="26.25" customHeight="1">
      <c r="A15" s="122">
        <v>11</v>
      </c>
      <c r="B15" s="123" t="s">
        <v>465</v>
      </c>
      <c r="C15" s="124" t="s">
        <v>123</v>
      </c>
      <c r="D15" s="125" t="s">
        <v>124</v>
      </c>
      <c r="E15" s="126" t="str">
        <f>VLOOKUP(D15,长促工资明细!H:P,3,0)</f>
        <v>NKA</v>
      </c>
      <c r="F15" s="126" t="str">
        <f>VLOOKUP(D15,长促工资明细!H:P,7,0)</f>
        <v>大润发美兰湖店</v>
      </c>
      <c r="G15" s="123">
        <v>19.670000000000002</v>
      </c>
      <c r="H15" s="127">
        <v>7460</v>
      </c>
      <c r="I15" s="128">
        <v>16</v>
      </c>
      <c r="J15" s="127">
        <v>1193.5999999999999</v>
      </c>
      <c r="K15" s="127">
        <v>0</v>
      </c>
      <c r="L15" s="128">
        <v>8</v>
      </c>
      <c r="M15" s="127">
        <v>596.79999999999995</v>
      </c>
      <c r="N15" s="127">
        <v>0</v>
      </c>
      <c r="O15" s="127">
        <v>7460</v>
      </c>
      <c r="P15" s="128">
        <v>9</v>
      </c>
      <c r="Q15" s="127"/>
      <c r="R15" s="127">
        <v>671.4</v>
      </c>
      <c r="S15" s="127">
        <v>0</v>
      </c>
      <c r="T15" s="128">
        <v>2</v>
      </c>
      <c r="U15" s="127"/>
      <c r="V15" s="127">
        <v>149.19999999999999</v>
      </c>
      <c r="W15" s="127">
        <v>0</v>
      </c>
      <c r="X15" s="127">
        <v>7460</v>
      </c>
      <c r="Y15" s="128">
        <v>0.5</v>
      </c>
      <c r="Z15" s="127">
        <v>37.299999999999997</v>
      </c>
      <c r="AA15" s="127">
        <v>0</v>
      </c>
      <c r="AB15" s="128">
        <v>0.5</v>
      </c>
      <c r="AC15" s="127">
        <v>37.299999999999997</v>
      </c>
      <c r="AD15" s="127">
        <v>0</v>
      </c>
      <c r="AE15" s="127">
        <v>2690</v>
      </c>
      <c r="AF15" s="128">
        <v>7</v>
      </c>
      <c r="AG15" s="127">
        <v>188</v>
      </c>
      <c r="AH15" s="127">
        <v>0</v>
      </c>
      <c r="AI15" s="128">
        <v>7</v>
      </c>
      <c r="AJ15" s="127">
        <v>188</v>
      </c>
      <c r="AK15" s="127">
        <v>0</v>
      </c>
      <c r="AL15" s="127">
        <v>0</v>
      </c>
      <c r="AM15" s="127">
        <v>0</v>
      </c>
      <c r="AN15" s="127">
        <v>0</v>
      </c>
      <c r="AO15" s="127">
        <v>0</v>
      </c>
      <c r="AP15" s="127">
        <v>0</v>
      </c>
      <c r="AQ15" s="127">
        <v>0</v>
      </c>
      <c r="AR15" s="127"/>
      <c r="AS15" s="127">
        <v>0</v>
      </c>
      <c r="AT15" s="127">
        <v>0</v>
      </c>
      <c r="AU15" s="127">
        <v>0</v>
      </c>
      <c r="AV15" s="127">
        <v>0</v>
      </c>
      <c r="AW15" s="127">
        <v>0</v>
      </c>
      <c r="AX15" s="127">
        <v>0</v>
      </c>
      <c r="AY15" s="127">
        <v>0</v>
      </c>
      <c r="AZ15" s="127"/>
      <c r="BA15" s="127"/>
      <c r="BB15" s="128"/>
      <c r="BC15" s="127">
        <v>0</v>
      </c>
      <c r="BD15" s="127">
        <v>0</v>
      </c>
      <c r="BE15" s="128"/>
      <c r="BF15" s="127">
        <v>0</v>
      </c>
      <c r="BG15" s="127">
        <v>0</v>
      </c>
      <c r="BH15" s="127">
        <v>7460</v>
      </c>
      <c r="BI15" s="128">
        <v>0.32</v>
      </c>
      <c r="BJ15" s="127">
        <v>23.87</v>
      </c>
      <c r="BK15" s="127">
        <v>0</v>
      </c>
      <c r="BL15" s="128"/>
      <c r="BM15" s="127">
        <v>0</v>
      </c>
      <c r="BN15" s="127">
        <v>0</v>
      </c>
      <c r="BO15" s="127"/>
      <c r="BP15" s="128"/>
      <c r="BQ15" s="127">
        <v>0</v>
      </c>
      <c r="BR15" s="127">
        <v>0</v>
      </c>
      <c r="BS15" s="128"/>
      <c r="BT15" s="127">
        <v>0</v>
      </c>
      <c r="BU15" s="127">
        <v>0</v>
      </c>
      <c r="BV15" s="127">
        <f t="shared" si="34"/>
        <v>783.3</v>
      </c>
      <c r="BW15" s="127">
        <f t="shared" si="35"/>
        <v>1926.1699999999998</v>
      </c>
      <c r="BX15" s="127">
        <f t="shared" si="36"/>
        <v>188</v>
      </c>
      <c r="BY15" s="127">
        <f t="shared" si="37"/>
        <v>188</v>
      </c>
      <c r="BZ15" s="127">
        <f t="shared" si="38"/>
        <v>0</v>
      </c>
      <c r="CA15" s="127">
        <f t="shared" si="39"/>
        <v>0</v>
      </c>
      <c r="CB15" s="127">
        <f t="shared" si="40"/>
        <v>0</v>
      </c>
      <c r="CC15" s="127">
        <f t="shared" si="41"/>
        <v>0</v>
      </c>
      <c r="CD15" s="127">
        <f t="shared" si="42"/>
        <v>971.3</v>
      </c>
      <c r="CE15" s="127">
        <f t="shared" si="43"/>
        <v>2114.17</v>
      </c>
      <c r="CF15" s="127">
        <f t="shared" si="44"/>
        <v>3085.4700000000003</v>
      </c>
      <c r="CG15" s="123" t="s">
        <v>466</v>
      </c>
      <c r="CH15" s="129">
        <f t="shared" si="45"/>
        <v>783.3</v>
      </c>
      <c r="CI15" s="129">
        <f t="shared" si="46"/>
        <v>1926.1699999999998</v>
      </c>
      <c r="CJ15" s="129">
        <f t="shared" si="47"/>
        <v>188</v>
      </c>
      <c r="CK15" s="129">
        <f t="shared" si="48"/>
        <v>188</v>
      </c>
      <c r="CL15" s="130">
        <f t="shared" si="33"/>
        <v>2709.47</v>
      </c>
      <c r="CM15" s="130">
        <f t="shared" si="13"/>
        <v>376</v>
      </c>
      <c r="CN15" s="131" t="s">
        <v>479</v>
      </c>
      <c r="CO15" s="50">
        <f t="shared" si="14"/>
        <v>596.79999999999995</v>
      </c>
      <c r="CP15" s="50">
        <f t="shared" si="15"/>
        <v>149.19999999999999</v>
      </c>
      <c r="CQ15" s="50">
        <f t="shared" si="16"/>
        <v>37.299999999999997</v>
      </c>
      <c r="CR15" s="50" t="b">
        <f t="shared" si="17"/>
        <v>1</v>
      </c>
      <c r="CS15" s="119" t="str">
        <f>VLOOKUP(C15,长促工资明细!G:G,1,0)</f>
        <v>黄莹</v>
      </c>
    </row>
    <row r="16" spans="1:97" s="50" customFormat="1" ht="26.25" customHeight="1">
      <c r="A16" s="122">
        <v>12</v>
      </c>
      <c r="B16" s="123" t="s">
        <v>465</v>
      </c>
      <c r="C16" s="124" t="s">
        <v>483</v>
      </c>
      <c r="D16" s="125" t="s">
        <v>484</v>
      </c>
      <c r="E16" s="126" t="str">
        <f>VLOOKUP(D16,长促工资明细!H:P,3,0)</f>
        <v>NKA</v>
      </c>
      <c r="F16" s="126" t="str">
        <f>VLOOKUP(D16,长促工资明细!H:P,7,0)</f>
        <v>大润发奉贤店</v>
      </c>
      <c r="G16" s="123">
        <v>19.670000000000002</v>
      </c>
      <c r="H16" s="127">
        <v>7460</v>
      </c>
      <c r="I16" s="128">
        <v>16</v>
      </c>
      <c r="J16" s="127">
        <v>1193.5999999999999</v>
      </c>
      <c r="K16" s="127">
        <v>0</v>
      </c>
      <c r="L16" s="128">
        <v>8</v>
      </c>
      <c r="M16" s="127">
        <v>596.79999999999995</v>
      </c>
      <c r="N16" s="127">
        <v>0</v>
      </c>
      <c r="O16" s="127">
        <v>7460</v>
      </c>
      <c r="P16" s="128">
        <v>9</v>
      </c>
      <c r="Q16" s="127"/>
      <c r="R16" s="127">
        <v>671.4</v>
      </c>
      <c r="S16" s="127">
        <v>0</v>
      </c>
      <c r="T16" s="128">
        <v>2</v>
      </c>
      <c r="U16" s="127"/>
      <c r="V16" s="127">
        <v>149.19999999999999</v>
      </c>
      <c r="W16" s="127">
        <v>0</v>
      </c>
      <c r="X16" s="127">
        <v>7460</v>
      </c>
      <c r="Y16" s="128">
        <v>0.5</v>
      </c>
      <c r="Z16" s="127">
        <v>37.299999999999997</v>
      </c>
      <c r="AA16" s="127">
        <v>0</v>
      </c>
      <c r="AB16" s="128">
        <v>0.5</v>
      </c>
      <c r="AC16" s="127">
        <v>37.299999999999997</v>
      </c>
      <c r="AD16" s="127">
        <v>0</v>
      </c>
      <c r="AE16" s="127">
        <v>2690</v>
      </c>
      <c r="AF16" s="128">
        <v>7</v>
      </c>
      <c r="AG16" s="127">
        <v>188</v>
      </c>
      <c r="AH16" s="127">
        <v>0</v>
      </c>
      <c r="AI16" s="128">
        <v>7</v>
      </c>
      <c r="AJ16" s="127">
        <v>188</v>
      </c>
      <c r="AK16" s="127">
        <v>0</v>
      </c>
      <c r="AL16" s="127">
        <v>0</v>
      </c>
      <c r="AM16" s="127">
        <v>0</v>
      </c>
      <c r="AN16" s="127">
        <v>0</v>
      </c>
      <c r="AO16" s="127">
        <v>0</v>
      </c>
      <c r="AP16" s="127">
        <v>0</v>
      </c>
      <c r="AQ16" s="127">
        <v>0</v>
      </c>
      <c r="AR16" s="127"/>
      <c r="AS16" s="127">
        <v>0</v>
      </c>
      <c r="AT16" s="127">
        <v>0</v>
      </c>
      <c r="AU16" s="127">
        <v>0</v>
      </c>
      <c r="AV16" s="127">
        <v>0</v>
      </c>
      <c r="AW16" s="127">
        <v>0</v>
      </c>
      <c r="AX16" s="127">
        <v>0</v>
      </c>
      <c r="AY16" s="127">
        <v>0</v>
      </c>
      <c r="AZ16" s="127"/>
      <c r="BA16" s="127"/>
      <c r="BB16" s="128"/>
      <c r="BC16" s="127">
        <v>0</v>
      </c>
      <c r="BD16" s="127">
        <v>0</v>
      </c>
      <c r="BE16" s="128"/>
      <c r="BF16" s="127">
        <v>0</v>
      </c>
      <c r="BG16" s="127">
        <v>0</v>
      </c>
      <c r="BH16" s="127">
        <v>7460</v>
      </c>
      <c r="BI16" s="128">
        <v>0.32</v>
      </c>
      <c r="BJ16" s="127">
        <v>23.87</v>
      </c>
      <c r="BK16" s="127">
        <v>0</v>
      </c>
      <c r="BL16" s="128"/>
      <c r="BM16" s="127">
        <v>0</v>
      </c>
      <c r="BN16" s="127">
        <v>0</v>
      </c>
      <c r="BO16" s="127"/>
      <c r="BP16" s="128"/>
      <c r="BQ16" s="127">
        <v>0</v>
      </c>
      <c r="BR16" s="127">
        <v>0</v>
      </c>
      <c r="BS16" s="128"/>
      <c r="BT16" s="127">
        <v>0</v>
      </c>
      <c r="BU16" s="127">
        <v>0</v>
      </c>
      <c r="BV16" s="127">
        <f t="shared" si="34"/>
        <v>783.3</v>
      </c>
      <c r="BW16" s="127">
        <f t="shared" si="35"/>
        <v>1926.1699999999998</v>
      </c>
      <c r="BX16" s="127">
        <f t="shared" si="36"/>
        <v>188</v>
      </c>
      <c r="BY16" s="127">
        <f t="shared" si="37"/>
        <v>188</v>
      </c>
      <c r="BZ16" s="127">
        <f t="shared" si="38"/>
        <v>0</v>
      </c>
      <c r="CA16" s="127">
        <f t="shared" si="39"/>
        <v>0</v>
      </c>
      <c r="CB16" s="127">
        <f t="shared" si="40"/>
        <v>0</v>
      </c>
      <c r="CC16" s="127">
        <f t="shared" si="41"/>
        <v>0</v>
      </c>
      <c r="CD16" s="127">
        <f t="shared" si="42"/>
        <v>971.3</v>
      </c>
      <c r="CE16" s="127">
        <f t="shared" si="43"/>
        <v>2114.17</v>
      </c>
      <c r="CF16" s="127">
        <f t="shared" si="44"/>
        <v>3085.4700000000003</v>
      </c>
      <c r="CG16" s="123" t="s">
        <v>466</v>
      </c>
      <c r="CH16" s="129">
        <f t="shared" si="45"/>
        <v>783.3</v>
      </c>
      <c r="CI16" s="129">
        <f t="shared" si="46"/>
        <v>1926.1699999999998</v>
      </c>
      <c r="CJ16" s="129">
        <f t="shared" si="47"/>
        <v>188</v>
      </c>
      <c r="CK16" s="129">
        <f t="shared" si="48"/>
        <v>188</v>
      </c>
      <c r="CL16" s="130">
        <f t="shared" si="33"/>
        <v>2709.47</v>
      </c>
      <c r="CM16" s="130">
        <f t="shared" si="13"/>
        <v>376</v>
      </c>
      <c r="CN16" s="131" t="s">
        <v>479</v>
      </c>
      <c r="CO16" s="50">
        <f t="shared" si="14"/>
        <v>596.79999999999995</v>
      </c>
      <c r="CP16" s="50">
        <f t="shared" si="15"/>
        <v>149.19999999999999</v>
      </c>
      <c r="CQ16" s="50">
        <f t="shared" si="16"/>
        <v>37.299999999999997</v>
      </c>
      <c r="CR16" s="50" t="b">
        <f t="shared" si="17"/>
        <v>1</v>
      </c>
      <c r="CS16" s="119" t="str">
        <f>VLOOKUP(C16,长促工资明细!G:G,1,0)</f>
        <v>雷年枝</v>
      </c>
    </row>
    <row r="17" spans="1:98" s="50" customFormat="1" ht="26.25" customHeight="1">
      <c r="A17" s="122">
        <v>13</v>
      </c>
      <c r="B17" s="123" t="s">
        <v>465</v>
      </c>
      <c r="C17" s="124" t="s">
        <v>218</v>
      </c>
      <c r="D17" s="125" t="s">
        <v>219</v>
      </c>
      <c r="E17" s="126" t="str">
        <f>VLOOKUP(D17,长促工资明细!H:P,3,0)</f>
        <v>NKA</v>
      </c>
      <c r="F17" s="126" t="str">
        <f>VLOOKUP(D17,长促工资明细!H:P,7,0)</f>
        <v>欧尚澄浏店</v>
      </c>
      <c r="G17" s="123">
        <v>19.670000000000002</v>
      </c>
      <c r="H17" s="127">
        <v>7460</v>
      </c>
      <c r="I17" s="128">
        <v>16</v>
      </c>
      <c r="J17" s="127">
        <v>1193.5999999999999</v>
      </c>
      <c r="K17" s="127">
        <v>0</v>
      </c>
      <c r="L17" s="128">
        <v>8</v>
      </c>
      <c r="M17" s="127">
        <v>596.79999999999995</v>
      </c>
      <c r="N17" s="127">
        <v>0</v>
      </c>
      <c r="O17" s="127">
        <v>7460</v>
      </c>
      <c r="P17" s="128">
        <v>9</v>
      </c>
      <c r="Q17" s="127"/>
      <c r="R17" s="127">
        <v>671.4</v>
      </c>
      <c r="S17" s="127">
        <v>0</v>
      </c>
      <c r="T17" s="128">
        <v>2</v>
      </c>
      <c r="U17" s="127"/>
      <c r="V17" s="127">
        <v>149.19999999999999</v>
      </c>
      <c r="W17" s="127">
        <v>0</v>
      </c>
      <c r="X17" s="127">
        <v>7460</v>
      </c>
      <c r="Y17" s="128">
        <v>0.5</v>
      </c>
      <c r="Z17" s="127">
        <v>37.299999999999997</v>
      </c>
      <c r="AA17" s="127">
        <v>0</v>
      </c>
      <c r="AB17" s="128">
        <v>0.5</v>
      </c>
      <c r="AC17" s="127">
        <v>37.299999999999997</v>
      </c>
      <c r="AD17" s="127">
        <v>0</v>
      </c>
      <c r="AE17" s="127">
        <v>2690</v>
      </c>
      <c r="AF17" s="128">
        <v>7</v>
      </c>
      <c r="AG17" s="127">
        <v>188</v>
      </c>
      <c r="AH17" s="127">
        <v>0</v>
      </c>
      <c r="AI17" s="128">
        <v>7</v>
      </c>
      <c r="AJ17" s="127">
        <v>188</v>
      </c>
      <c r="AK17" s="127">
        <v>0</v>
      </c>
      <c r="AL17" s="127">
        <v>0</v>
      </c>
      <c r="AM17" s="127">
        <v>0</v>
      </c>
      <c r="AN17" s="127">
        <v>0</v>
      </c>
      <c r="AO17" s="127">
        <v>0</v>
      </c>
      <c r="AP17" s="127">
        <v>0</v>
      </c>
      <c r="AQ17" s="127">
        <v>0</v>
      </c>
      <c r="AR17" s="127"/>
      <c r="AS17" s="127">
        <v>0</v>
      </c>
      <c r="AT17" s="127">
        <v>0</v>
      </c>
      <c r="AU17" s="127">
        <v>0</v>
      </c>
      <c r="AV17" s="127">
        <v>0</v>
      </c>
      <c r="AW17" s="127">
        <v>0</v>
      </c>
      <c r="AX17" s="127">
        <v>0</v>
      </c>
      <c r="AY17" s="127">
        <v>0</v>
      </c>
      <c r="AZ17" s="127"/>
      <c r="BA17" s="127"/>
      <c r="BB17" s="128"/>
      <c r="BC17" s="127">
        <v>0</v>
      </c>
      <c r="BD17" s="127">
        <v>0</v>
      </c>
      <c r="BE17" s="128"/>
      <c r="BF17" s="127">
        <v>0</v>
      </c>
      <c r="BG17" s="127">
        <v>0</v>
      </c>
      <c r="BH17" s="127">
        <v>7460</v>
      </c>
      <c r="BI17" s="128">
        <v>0.32</v>
      </c>
      <c r="BJ17" s="127">
        <v>23.87</v>
      </c>
      <c r="BK17" s="127">
        <v>0</v>
      </c>
      <c r="BL17" s="128"/>
      <c r="BM17" s="127">
        <v>0</v>
      </c>
      <c r="BN17" s="127">
        <v>0</v>
      </c>
      <c r="BO17" s="127"/>
      <c r="BP17" s="128"/>
      <c r="BQ17" s="127">
        <v>0</v>
      </c>
      <c r="BR17" s="127">
        <v>0</v>
      </c>
      <c r="BS17" s="128"/>
      <c r="BT17" s="127">
        <v>0</v>
      </c>
      <c r="BU17" s="127">
        <v>0</v>
      </c>
      <c r="BV17" s="127">
        <f t="shared" ref="BV17:BV19" si="49">M17+V17+AC17+AN17+AX17+BF17+BM17</f>
        <v>783.3</v>
      </c>
      <c r="BW17" s="127">
        <f t="shared" ref="BW17:BW19" si="50">BJ17+BC17+AV17+AT17+AR17+AP17+AL17+Z17+R17+J17</f>
        <v>1926.1699999999998</v>
      </c>
      <c r="BX17" s="127">
        <f t="shared" ref="BX17:BX19" si="51">AJ17</f>
        <v>188</v>
      </c>
      <c r="BY17" s="127">
        <f t="shared" ref="BY17:BY19" si="52">AG17</f>
        <v>188</v>
      </c>
      <c r="BZ17" s="127">
        <f t="shared" ref="BZ17:BZ19" si="53">N17+W17+AD17+AO17+AY17+BG17+BN17</f>
        <v>0</v>
      </c>
      <c r="CA17" s="127">
        <f t="shared" ref="CA17:CA19" si="54">K17+S17+AA17+AM17+AQ17+AS17+AU17+AW17+BD17+BK17+BR17</f>
        <v>0</v>
      </c>
      <c r="CB17" s="127">
        <f t="shared" ref="CB17:CB19" si="55">BU17+AK17</f>
        <v>0</v>
      </c>
      <c r="CC17" s="127">
        <f t="shared" ref="CC17:CC19" si="56">BR17+AH17</f>
        <v>0</v>
      </c>
      <c r="CD17" s="127">
        <f t="shared" ref="CD17:CD19" si="57">BV17+BX17+BZ17+CB17</f>
        <v>971.3</v>
      </c>
      <c r="CE17" s="127">
        <f t="shared" ref="CE17:CE19" si="58">BW17+BY17+CA17+CC17</f>
        <v>2114.17</v>
      </c>
      <c r="CF17" s="127">
        <f t="shared" ref="CF17:CF19" si="59">CD17+CE17</f>
        <v>3085.4700000000003</v>
      </c>
      <c r="CG17" s="123" t="s">
        <v>466</v>
      </c>
      <c r="CH17" s="129">
        <f t="shared" ref="CH17:CH19" si="60">BV17+BZ17</f>
        <v>783.3</v>
      </c>
      <c r="CI17" s="129">
        <f t="shared" ref="CI17:CI19" si="61">BW17+CA17</f>
        <v>1926.1699999999998</v>
      </c>
      <c r="CJ17" s="129">
        <f t="shared" ref="CJ17:CJ19" si="62">BX17+CB17</f>
        <v>188</v>
      </c>
      <c r="CK17" s="129">
        <f t="shared" ref="CK17:CK19" si="63">BY17+CC17</f>
        <v>188</v>
      </c>
      <c r="CL17" s="130">
        <f t="shared" si="33"/>
        <v>2709.47</v>
      </c>
      <c r="CM17" s="130">
        <f t="shared" si="13"/>
        <v>376</v>
      </c>
      <c r="CN17" s="131" t="s">
        <v>479</v>
      </c>
      <c r="CO17" s="50">
        <f t="shared" si="14"/>
        <v>596.79999999999995</v>
      </c>
      <c r="CP17" s="50">
        <f t="shared" si="15"/>
        <v>149.19999999999999</v>
      </c>
      <c r="CQ17" s="50">
        <f t="shared" si="16"/>
        <v>37.299999999999997</v>
      </c>
      <c r="CR17" s="50" t="b">
        <f t="shared" si="17"/>
        <v>1</v>
      </c>
      <c r="CS17" s="119" t="str">
        <f>VLOOKUP(C17,长促工资明细!G:G,1,0)</f>
        <v>李春霞</v>
      </c>
    </row>
    <row r="18" spans="1:98" s="50" customFormat="1" ht="26.25" customHeight="1">
      <c r="A18" s="122">
        <v>14</v>
      </c>
      <c r="B18" s="123" t="s">
        <v>465</v>
      </c>
      <c r="C18" s="124" t="s">
        <v>117</v>
      </c>
      <c r="D18" s="125" t="s">
        <v>118</v>
      </c>
      <c r="E18" s="126" t="str">
        <f>VLOOKUP(D18,长促工资明细!H:P,3,0)</f>
        <v>NKA</v>
      </c>
      <c r="F18" s="126" t="str">
        <f>VLOOKUP(D18,长促工资明细!H:P,7,0)</f>
        <v>大润发杨浦店</v>
      </c>
      <c r="G18" s="123">
        <v>19.670000000000002</v>
      </c>
      <c r="H18" s="127">
        <v>7460</v>
      </c>
      <c r="I18" s="128">
        <v>16</v>
      </c>
      <c r="J18" s="127">
        <v>1193.5999999999999</v>
      </c>
      <c r="K18" s="127">
        <v>0</v>
      </c>
      <c r="L18" s="128">
        <v>8</v>
      </c>
      <c r="M18" s="127">
        <v>596.79999999999995</v>
      </c>
      <c r="N18" s="127">
        <v>0</v>
      </c>
      <c r="O18" s="127">
        <v>7460</v>
      </c>
      <c r="P18" s="128">
        <v>9</v>
      </c>
      <c r="Q18" s="127"/>
      <c r="R18" s="127">
        <v>671.4</v>
      </c>
      <c r="S18" s="127">
        <v>0</v>
      </c>
      <c r="T18" s="128">
        <v>2</v>
      </c>
      <c r="U18" s="127"/>
      <c r="V18" s="127">
        <v>149.19999999999999</v>
      </c>
      <c r="W18" s="127">
        <v>0</v>
      </c>
      <c r="X18" s="127">
        <v>7460</v>
      </c>
      <c r="Y18" s="128">
        <v>0.5</v>
      </c>
      <c r="Z18" s="127">
        <v>37.299999999999997</v>
      </c>
      <c r="AA18" s="127">
        <v>0</v>
      </c>
      <c r="AB18" s="128">
        <v>0.5</v>
      </c>
      <c r="AC18" s="127">
        <v>37.299999999999997</v>
      </c>
      <c r="AD18" s="127">
        <v>0</v>
      </c>
      <c r="AE18" s="127">
        <v>2690</v>
      </c>
      <c r="AF18" s="128">
        <v>7</v>
      </c>
      <c r="AG18" s="127">
        <v>188</v>
      </c>
      <c r="AH18" s="127">
        <v>0</v>
      </c>
      <c r="AI18" s="128">
        <v>7</v>
      </c>
      <c r="AJ18" s="127">
        <v>188</v>
      </c>
      <c r="AK18" s="127">
        <v>0</v>
      </c>
      <c r="AL18" s="127">
        <v>0</v>
      </c>
      <c r="AM18" s="127">
        <v>0</v>
      </c>
      <c r="AN18" s="127">
        <v>0</v>
      </c>
      <c r="AO18" s="127">
        <v>0</v>
      </c>
      <c r="AP18" s="127">
        <v>0</v>
      </c>
      <c r="AQ18" s="127">
        <v>0</v>
      </c>
      <c r="AR18" s="127"/>
      <c r="AS18" s="127">
        <v>0</v>
      </c>
      <c r="AT18" s="127">
        <v>0</v>
      </c>
      <c r="AU18" s="127">
        <v>0</v>
      </c>
      <c r="AV18" s="127">
        <v>0</v>
      </c>
      <c r="AW18" s="127">
        <v>0</v>
      </c>
      <c r="AX18" s="127">
        <v>0</v>
      </c>
      <c r="AY18" s="127">
        <v>0</v>
      </c>
      <c r="AZ18" s="127"/>
      <c r="BA18" s="127"/>
      <c r="BB18" s="128"/>
      <c r="BC18" s="127">
        <v>0</v>
      </c>
      <c r="BD18" s="127">
        <v>0</v>
      </c>
      <c r="BE18" s="128"/>
      <c r="BF18" s="127">
        <v>0</v>
      </c>
      <c r="BG18" s="127">
        <v>0</v>
      </c>
      <c r="BH18" s="127">
        <v>7460</v>
      </c>
      <c r="BI18" s="128">
        <v>0.32</v>
      </c>
      <c r="BJ18" s="127">
        <v>23.87</v>
      </c>
      <c r="BK18" s="127">
        <v>0</v>
      </c>
      <c r="BL18" s="128"/>
      <c r="BM18" s="127">
        <v>0</v>
      </c>
      <c r="BN18" s="127">
        <v>0</v>
      </c>
      <c r="BO18" s="127"/>
      <c r="BP18" s="128"/>
      <c r="BQ18" s="127">
        <v>0</v>
      </c>
      <c r="BR18" s="127">
        <v>0</v>
      </c>
      <c r="BS18" s="128"/>
      <c r="BT18" s="127">
        <v>0</v>
      </c>
      <c r="BU18" s="127">
        <v>0</v>
      </c>
      <c r="BV18" s="127">
        <f t="shared" si="49"/>
        <v>783.3</v>
      </c>
      <c r="BW18" s="127">
        <f t="shared" si="50"/>
        <v>1926.1699999999998</v>
      </c>
      <c r="BX18" s="127">
        <f t="shared" si="51"/>
        <v>188</v>
      </c>
      <c r="BY18" s="127">
        <f t="shared" si="52"/>
        <v>188</v>
      </c>
      <c r="BZ18" s="127">
        <f t="shared" si="53"/>
        <v>0</v>
      </c>
      <c r="CA18" s="127">
        <f t="shared" si="54"/>
        <v>0</v>
      </c>
      <c r="CB18" s="127">
        <f t="shared" si="55"/>
        <v>0</v>
      </c>
      <c r="CC18" s="127">
        <f t="shared" si="56"/>
        <v>0</v>
      </c>
      <c r="CD18" s="127">
        <f t="shared" si="57"/>
        <v>971.3</v>
      </c>
      <c r="CE18" s="127">
        <f t="shared" si="58"/>
        <v>2114.17</v>
      </c>
      <c r="CF18" s="127">
        <f t="shared" si="59"/>
        <v>3085.4700000000003</v>
      </c>
      <c r="CG18" s="123" t="s">
        <v>466</v>
      </c>
      <c r="CH18" s="129">
        <f t="shared" si="60"/>
        <v>783.3</v>
      </c>
      <c r="CI18" s="129">
        <f t="shared" si="61"/>
        <v>1926.1699999999998</v>
      </c>
      <c r="CJ18" s="129">
        <f t="shared" si="62"/>
        <v>188</v>
      </c>
      <c r="CK18" s="129">
        <f t="shared" si="63"/>
        <v>188</v>
      </c>
      <c r="CL18" s="130">
        <f t="shared" si="33"/>
        <v>2709.47</v>
      </c>
      <c r="CM18" s="130">
        <f t="shared" si="13"/>
        <v>376</v>
      </c>
      <c r="CN18" s="131" t="s">
        <v>479</v>
      </c>
      <c r="CO18" s="50">
        <f t="shared" si="14"/>
        <v>596.79999999999995</v>
      </c>
      <c r="CP18" s="50">
        <f t="shared" si="15"/>
        <v>149.19999999999999</v>
      </c>
      <c r="CQ18" s="50">
        <f t="shared" si="16"/>
        <v>37.299999999999997</v>
      </c>
      <c r="CR18" s="50" t="b">
        <f t="shared" si="17"/>
        <v>1</v>
      </c>
      <c r="CS18" s="119" t="str">
        <f>VLOOKUP(C18,长促工资明细!G:G,1,0)</f>
        <v>李永杰</v>
      </c>
    </row>
    <row r="19" spans="1:98" s="50" customFormat="1" ht="26.25" customHeight="1">
      <c r="A19" s="122">
        <v>15</v>
      </c>
      <c r="B19" s="123" t="s">
        <v>465</v>
      </c>
      <c r="C19" s="124" t="s">
        <v>126</v>
      </c>
      <c r="D19" s="125" t="s">
        <v>127</v>
      </c>
      <c r="E19" s="126" t="str">
        <f>VLOOKUP(D19,长促工资明细!H:P,3,0)</f>
        <v>NKA</v>
      </c>
      <c r="F19" s="126" t="str">
        <f>VLOOKUP(D19,长促工资明细!H:P,7,0)</f>
        <v>大润发大华店</v>
      </c>
      <c r="G19" s="123">
        <v>19.670000000000002</v>
      </c>
      <c r="H19" s="127">
        <v>7460</v>
      </c>
      <c r="I19" s="128">
        <v>16</v>
      </c>
      <c r="J19" s="127">
        <v>1193.5999999999999</v>
      </c>
      <c r="K19" s="127">
        <v>0</v>
      </c>
      <c r="L19" s="128">
        <v>8</v>
      </c>
      <c r="M19" s="127">
        <v>596.79999999999995</v>
      </c>
      <c r="N19" s="127">
        <v>0</v>
      </c>
      <c r="O19" s="127">
        <v>7460</v>
      </c>
      <c r="P19" s="128">
        <v>9</v>
      </c>
      <c r="Q19" s="127"/>
      <c r="R19" s="127">
        <v>671.4</v>
      </c>
      <c r="S19" s="127">
        <v>0</v>
      </c>
      <c r="T19" s="128">
        <v>2</v>
      </c>
      <c r="U19" s="127"/>
      <c r="V19" s="127">
        <v>149.19999999999999</v>
      </c>
      <c r="W19" s="127">
        <v>0</v>
      </c>
      <c r="X19" s="127">
        <v>7460</v>
      </c>
      <c r="Y19" s="128">
        <v>0.5</v>
      </c>
      <c r="Z19" s="127">
        <v>37.299999999999997</v>
      </c>
      <c r="AA19" s="127">
        <v>0</v>
      </c>
      <c r="AB19" s="128">
        <v>0.5</v>
      </c>
      <c r="AC19" s="127">
        <v>37.299999999999997</v>
      </c>
      <c r="AD19" s="127">
        <v>0</v>
      </c>
      <c r="AE19" s="127">
        <v>2690</v>
      </c>
      <c r="AF19" s="128">
        <v>7</v>
      </c>
      <c r="AG19" s="127">
        <v>188</v>
      </c>
      <c r="AH19" s="127">
        <v>0</v>
      </c>
      <c r="AI19" s="128">
        <v>7</v>
      </c>
      <c r="AJ19" s="127">
        <v>188</v>
      </c>
      <c r="AK19" s="127">
        <v>0</v>
      </c>
      <c r="AL19" s="127">
        <v>0</v>
      </c>
      <c r="AM19" s="127">
        <v>0</v>
      </c>
      <c r="AN19" s="127">
        <v>0</v>
      </c>
      <c r="AO19" s="127">
        <v>0</v>
      </c>
      <c r="AP19" s="127">
        <v>0</v>
      </c>
      <c r="AQ19" s="127">
        <v>0</v>
      </c>
      <c r="AR19" s="127"/>
      <c r="AS19" s="127">
        <v>0</v>
      </c>
      <c r="AT19" s="127">
        <v>0</v>
      </c>
      <c r="AU19" s="127">
        <v>0</v>
      </c>
      <c r="AV19" s="127">
        <v>0</v>
      </c>
      <c r="AW19" s="127">
        <v>0</v>
      </c>
      <c r="AX19" s="127">
        <v>0</v>
      </c>
      <c r="AY19" s="127">
        <v>0</v>
      </c>
      <c r="AZ19" s="127"/>
      <c r="BA19" s="127"/>
      <c r="BB19" s="128"/>
      <c r="BC19" s="127">
        <v>0</v>
      </c>
      <c r="BD19" s="127">
        <v>0</v>
      </c>
      <c r="BE19" s="128"/>
      <c r="BF19" s="127">
        <v>0</v>
      </c>
      <c r="BG19" s="127">
        <v>0</v>
      </c>
      <c r="BH19" s="127">
        <v>7460</v>
      </c>
      <c r="BI19" s="128">
        <v>0.32</v>
      </c>
      <c r="BJ19" s="127">
        <v>23.87</v>
      </c>
      <c r="BK19" s="127">
        <v>0</v>
      </c>
      <c r="BL19" s="128"/>
      <c r="BM19" s="127">
        <v>0</v>
      </c>
      <c r="BN19" s="127">
        <v>0</v>
      </c>
      <c r="BO19" s="127"/>
      <c r="BP19" s="128"/>
      <c r="BQ19" s="127">
        <v>0</v>
      </c>
      <c r="BR19" s="127">
        <v>0</v>
      </c>
      <c r="BS19" s="128"/>
      <c r="BT19" s="127">
        <v>0</v>
      </c>
      <c r="BU19" s="127">
        <v>0</v>
      </c>
      <c r="BV19" s="127">
        <f t="shared" si="49"/>
        <v>783.3</v>
      </c>
      <c r="BW19" s="127">
        <f t="shared" si="50"/>
        <v>1926.1699999999998</v>
      </c>
      <c r="BX19" s="127">
        <f t="shared" si="51"/>
        <v>188</v>
      </c>
      <c r="BY19" s="127">
        <f t="shared" si="52"/>
        <v>188</v>
      </c>
      <c r="BZ19" s="127">
        <f t="shared" si="53"/>
        <v>0</v>
      </c>
      <c r="CA19" s="127">
        <f t="shared" si="54"/>
        <v>0</v>
      </c>
      <c r="CB19" s="127">
        <f t="shared" si="55"/>
        <v>0</v>
      </c>
      <c r="CC19" s="127">
        <f t="shared" si="56"/>
        <v>0</v>
      </c>
      <c r="CD19" s="127">
        <f t="shared" si="57"/>
        <v>971.3</v>
      </c>
      <c r="CE19" s="127">
        <f t="shared" si="58"/>
        <v>2114.17</v>
      </c>
      <c r="CF19" s="127">
        <f t="shared" si="59"/>
        <v>3085.4700000000003</v>
      </c>
      <c r="CG19" s="123" t="s">
        <v>466</v>
      </c>
      <c r="CH19" s="129">
        <f t="shared" si="60"/>
        <v>783.3</v>
      </c>
      <c r="CI19" s="129">
        <f t="shared" si="61"/>
        <v>1926.1699999999998</v>
      </c>
      <c r="CJ19" s="129">
        <f t="shared" si="62"/>
        <v>188</v>
      </c>
      <c r="CK19" s="129">
        <f t="shared" si="63"/>
        <v>188</v>
      </c>
      <c r="CL19" s="130">
        <f t="shared" ref="CL19" si="64">CH19+CI19</f>
        <v>2709.47</v>
      </c>
      <c r="CM19" s="130">
        <f t="shared" ref="CM19" si="65">CJ19+CK19</f>
        <v>376</v>
      </c>
      <c r="CN19" s="131" t="s">
        <v>479</v>
      </c>
      <c r="CO19" s="50">
        <f t="shared" ref="CO19" si="66">N19+M19</f>
        <v>596.79999999999995</v>
      </c>
      <c r="CP19" s="50">
        <f t="shared" ref="CP19" si="67">V19+W19+AN19+AO19</f>
        <v>149.19999999999999</v>
      </c>
      <c r="CQ19" s="50">
        <f t="shared" ref="CQ19" si="68">AD19+AC19</f>
        <v>37.299999999999997</v>
      </c>
      <c r="CR19" s="50" t="b">
        <f t="shared" ref="CR19" si="69">CQ19+CP19+CO19=CH19</f>
        <v>1</v>
      </c>
      <c r="CS19" s="119" t="str">
        <f>VLOOKUP(C19,长促工资明细!G:G,1,0)</f>
        <v>刘宝连</v>
      </c>
    </row>
    <row r="20" spans="1:98" s="50" customFormat="1" ht="26.25" customHeight="1">
      <c r="A20" s="122">
        <v>16</v>
      </c>
      <c r="B20" s="123" t="s">
        <v>465</v>
      </c>
      <c r="C20" s="124" t="s">
        <v>360</v>
      </c>
      <c r="D20" s="125" t="s">
        <v>361</v>
      </c>
      <c r="E20" s="126" t="str">
        <f>VLOOKUP(D20,长促工资明细!H:P,3,0)</f>
        <v>NKA</v>
      </c>
      <c r="F20" s="126" t="str">
        <f>VLOOKUP(D20,长促工资明细!H:P,7,0)</f>
        <v>大润发闸北店</v>
      </c>
      <c r="G20" s="123">
        <v>19.670000000000002</v>
      </c>
      <c r="H20" s="127">
        <v>7460</v>
      </c>
      <c r="I20" s="128">
        <v>16</v>
      </c>
      <c r="J20" s="127">
        <v>1193.5999999999999</v>
      </c>
      <c r="K20" s="127">
        <v>0</v>
      </c>
      <c r="L20" s="128">
        <v>8</v>
      </c>
      <c r="M20" s="127">
        <v>596.79999999999995</v>
      </c>
      <c r="N20" s="127">
        <v>0</v>
      </c>
      <c r="O20" s="127">
        <v>7460</v>
      </c>
      <c r="P20" s="128">
        <v>9</v>
      </c>
      <c r="Q20" s="127"/>
      <c r="R20" s="127">
        <v>671.4</v>
      </c>
      <c r="S20" s="127">
        <v>0</v>
      </c>
      <c r="T20" s="128">
        <v>2</v>
      </c>
      <c r="U20" s="127"/>
      <c r="V20" s="127">
        <v>149.19999999999999</v>
      </c>
      <c r="W20" s="127">
        <v>0</v>
      </c>
      <c r="X20" s="127">
        <v>7460</v>
      </c>
      <c r="Y20" s="128">
        <v>0.5</v>
      </c>
      <c r="Z20" s="127">
        <v>37.299999999999997</v>
      </c>
      <c r="AA20" s="127">
        <v>0</v>
      </c>
      <c r="AB20" s="128">
        <v>0.5</v>
      </c>
      <c r="AC20" s="127">
        <v>37.299999999999997</v>
      </c>
      <c r="AD20" s="127">
        <v>0</v>
      </c>
      <c r="AE20" s="127">
        <v>2690</v>
      </c>
      <c r="AF20" s="128">
        <v>7</v>
      </c>
      <c r="AG20" s="127">
        <v>188</v>
      </c>
      <c r="AH20" s="127">
        <v>0</v>
      </c>
      <c r="AI20" s="128">
        <v>7</v>
      </c>
      <c r="AJ20" s="127">
        <v>188</v>
      </c>
      <c r="AK20" s="127">
        <v>0</v>
      </c>
      <c r="AL20" s="127">
        <v>0</v>
      </c>
      <c r="AM20" s="127">
        <v>0</v>
      </c>
      <c r="AN20" s="127">
        <v>0</v>
      </c>
      <c r="AO20" s="127">
        <v>0</v>
      </c>
      <c r="AP20" s="127">
        <v>0</v>
      </c>
      <c r="AQ20" s="127">
        <v>0</v>
      </c>
      <c r="AR20" s="127"/>
      <c r="AS20" s="127">
        <v>0</v>
      </c>
      <c r="AT20" s="127">
        <v>0</v>
      </c>
      <c r="AU20" s="127">
        <v>0</v>
      </c>
      <c r="AV20" s="127">
        <v>0</v>
      </c>
      <c r="AW20" s="127">
        <v>0</v>
      </c>
      <c r="AX20" s="127">
        <v>0</v>
      </c>
      <c r="AY20" s="127">
        <v>0</v>
      </c>
      <c r="AZ20" s="127"/>
      <c r="BA20" s="127"/>
      <c r="BB20" s="128"/>
      <c r="BC20" s="127">
        <v>0</v>
      </c>
      <c r="BD20" s="127">
        <v>0</v>
      </c>
      <c r="BE20" s="128"/>
      <c r="BF20" s="127">
        <v>0</v>
      </c>
      <c r="BG20" s="127">
        <v>0</v>
      </c>
      <c r="BH20" s="127">
        <v>7460</v>
      </c>
      <c r="BI20" s="128">
        <v>0.32</v>
      </c>
      <c r="BJ20" s="127">
        <v>23.87</v>
      </c>
      <c r="BK20" s="127">
        <v>0</v>
      </c>
      <c r="BL20" s="128"/>
      <c r="BM20" s="127">
        <v>0</v>
      </c>
      <c r="BN20" s="127">
        <v>0</v>
      </c>
      <c r="BO20" s="127"/>
      <c r="BP20" s="128"/>
      <c r="BQ20" s="127">
        <v>0</v>
      </c>
      <c r="BR20" s="127">
        <v>0</v>
      </c>
      <c r="BS20" s="128"/>
      <c r="BT20" s="127">
        <v>0</v>
      </c>
      <c r="BU20" s="127">
        <v>0</v>
      </c>
      <c r="BV20" s="127">
        <f t="shared" si="34"/>
        <v>783.3</v>
      </c>
      <c r="BW20" s="127">
        <f t="shared" si="35"/>
        <v>1926.1699999999998</v>
      </c>
      <c r="BX20" s="127">
        <f t="shared" si="36"/>
        <v>188</v>
      </c>
      <c r="BY20" s="127">
        <f t="shared" si="37"/>
        <v>188</v>
      </c>
      <c r="BZ20" s="127">
        <f t="shared" si="38"/>
        <v>0</v>
      </c>
      <c r="CA20" s="127">
        <f t="shared" si="39"/>
        <v>0</v>
      </c>
      <c r="CB20" s="127">
        <f t="shared" si="40"/>
        <v>0</v>
      </c>
      <c r="CC20" s="127">
        <f t="shared" si="41"/>
        <v>0</v>
      </c>
      <c r="CD20" s="127">
        <f t="shared" si="42"/>
        <v>971.3</v>
      </c>
      <c r="CE20" s="127">
        <f t="shared" si="43"/>
        <v>2114.17</v>
      </c>
      <c r="CF20" s="127">
        <f t="shared" si="44"/>
        <v>3085.4700000000003</v>
      </c>
      <c r="CG20" s="123" t="s">
        <v>466</v>
      </c>
      <c r="CH20" s="129">
        <f t="shared" si="45"/>
        <v>783.3</v>
      </c>
      <c r="CI20" s="129">
        <f t="shared" si="46"/>
        <v>1926.1699999999998</v>
      </c>
      <c r="CJ20" s="129">
        <f t="shared" si="47"/>
        <v>188</v>
      </c>
      <c r="CK20" s="129">
        <f t="shared" si="48"/>
        <v>188</v>
      </c>
      <c r="CL20" s="130">
        <f t="shared" ref="CL20" si="70">CH20+CI20</f>
        <v>2709.47</v>
      </c>
      <c r="CM20" s="130">
        <f t="shared" ref="CM20" si="71">CJ20+CK20</f>
        <v>376</v>
      </c>
      <c r="CN20" s="131" t="s">
        <v>479</v>
      </c>
      <c r="CO20" s="50">
        <f t="shared" ref="CO20" si="72">N20+M20</f>
        <v>596.79999999999995</v>
      </c>
      <c r="CP20" s="50">
        <f t="shared" ref="CP20" si="73">V20+W20+AN20+AO20</f>
        <v>149.19999999999999</v>
      </c>
      <c r="CQ20" s="50">
        <f t="shared" ref="CQ20" si="74">AD20+AC20</f>
        <v>37.299999999999997</v>
      </c>
      <c r="CR20" s="50" t="b">
        <f t="shared" ref="CR20" si="75">CQ20+CP20+CO20=CH20</f>
        <v>1</v>
      </c>
      <c r="CS20" s="119" t="str">
        <f>VLOOKUP(C20,长促工资明细!G:G,1,0)</f>
        <v>孟书丽</v>
      </c>
    </row>
    <row r="21" spans="1:98" s="50" customFormat="1" ht="26.25" customHeight="1">
      <c r="A21" s="122">
        <v>17</v>
      </c>
      <c r="B21" s="123" t="s">
        <v>465</v>
      </c>
      <c r="C21" s="124" t="s">
        <v>504</v>
      </c>
      <c r="D21" s="125" t="s">
        <v>503</v>
      </c>
      <c r="E21" s="126" t="str">
        <f>VLOOKUP(D21,长促工资明细!H:P,3,0)</f>
        <v>NKA</v>
      </c>
      <c r="F21" s="126" t="str">
        <f>VLOOKUP(D21,长促工资明细!H:P,7,0)</f>
        <v>欧尚中原店</v>
      </c>
      <c r="G21" s="123">
        <v>19.670000000000002</v>
      </c>
      <c r="H21" s="127">
        <v>7460</v>
      </c>
      <c r="I21" s="128">
        <v>16</v>
      </c>
      <c r="J21" s="127">
        <v>1193.5999999999999</v>
      </c>
      <c r="K21" s="127">
        <v>0</v>
      </c>
      <c r="L21" s="128">
        <v>8</v>
      </c>
      <c r="M21" s="127">
        <v>596.79999999999995</v>
      </c>
      <c r="N21" s="127">
        <v>0</v>
      </c>
      <c r="O21" s="127">
        <v>7460</v>
      </c>
      <c r="P21" s="128">
        <v>9</v>
      </c>
      <c r="Q21" s="127"/>
      <c r="R21" s="127">
        <v>671.4</v>
      </c>
      <c r="S21" s="127">
        <v>0</v>
      </c>
      <c r="T21" s="128">
        <v>2</v>
      </c>
      <c r="U21" s="127"/>
      <c r="V21" s="127">
        <v>149.19999999999999</v>
      </c>
      <c r="W21" s="127">
        <v>0</v>
      </c>
      <c r="X21" s="127">
        <v>7460</v>
      </c>
      <c r="Y21" s="128">
        <v>0.5</v>
      </c>
      <c r="Z21" s="127">
        <v>37.299999999999997</v>
      </c>
      <c r="AA21" s="127">
        <v>0</v>
      </c>
      <c r="AB21" s="128">
        <v>0.5</v>
      </c>
      <c r="AC21" s="127">
        <v>37.299999999999997</v>
      </c>
      <c r="AD21" s="127">
        <v>0</v>
      </c>
      <c r="AE21" s="127">
        <v>2690</v>
      </c>
      <c r="AF21" s="128">
        <v>7</v>
      </c>
      <c r="AG21" s="127">
        <v>188</v>
      </c>
      <c r="AH21" s="127">
        <v>0</v>
      </c>
      <c r="AI21" s="128">
        <v>7</v>
      </c>
      <c r="AJ21" s="127">
        <v>188</v>
      </c>
      <c r="AK21" s="127">
        <v>0</v>
      </c>
      <c r="AL21" s="127">
        <v>0</v>
      </c>
      <c r="AM21" s="127">
        <v>0</v>
      </c>
      <c r="AN21" s="127">
        <v>0</v>
      </c>
      <c r="AO21" s="127">
        <v>0</v>
      </c>
      <c r="AP21" s="127">
        <v>0</v>
      </c>
      <c r="AQ21" s="127">
        <v>0</v>
      </c>
      <c r="AR21" s="127"/>
      <c r="AS21" s="127">
        <v>0</v>
      </c>
      <c r="AT21" s="127">
        <v>0</v>
      </c>
      <c r="AU21" s="127">
        <v>0</v>
      </c>
      <c r="AV21" s="127">
        <v>0</v>
      </c>
      <c r="AW21" s="127">
        <v>0</v>
      </c>
      <c r="AX21" s="127">
        <v>0</v>
      </c>
      <c r="AY21" s="127">
        <v>0</v>
      </c>
      <c r="AZ21" s="127"/>
      <c r="BA21" s="127"/>
      <c r="BB21" s="128"/>
      <c r="BC21" s="127">
        <v>0</v>
      </c>
      <c r="BD21" s="127">
        <v>0</v>
      </c>
      <c r="BE21" s="128"/>
      <c r="BF21" s="127">
        <v>0</v>
      </c>
      <c r="BG21" s="127">
        <v>0</v>
      </c>
      <c r="BH21" s="127">
        <v>7460</v>
      </c>
      <c r="BI21" s="128">
        <v>0.32</v>
      </c>
      <c r="BJ21" s="127">
        <v>23.87</v>
      </c>
      <c r="BK21" s="127">
        <v>0</v>
      </c>
      <c r="BL21" s="128"/>
      <c r="BM21" s="127">
        <v>0</v>
      </c>
      <c r="BN21" s="127">
        <v>0</v>
      </c>
      <c r="BO21" s="127"/>
      <c r="BP21" s="128"/>
      <c r="BQ21" s="127">
        <v>0</v>
      </c>
      <c r="BR21" s="127">
        <v>0</v>
      </c>
      <c r="BS21" s="128"/>
      <c r="BT21" s="127">
        <v>0</v>
      </c>
      <c r="BU21" s="127">
        <v>0</v>
      </c>
      <c r="BV21" s="127">
        <f t="shared" si="34"/>
        <v>783.3</v>
      </c>
      <c r="BW21" s="127">
        <f t="shared" si="35"/>
        <v>1926.1699999999998</v>
      </c>
      <c r="BX21" s="127">
        <f t="shared" si="36"/>
        <v>188</v>
      </c>
      <c r="BY21" s="127">
        <f t="shared" si="37"/>
        <v>188</v>
      </c>
      <c r="BZ21" s="127">
        <f t="shared" si="38"/>
        <v>0</v>
      </c>
      <c r="CA21" s="127">
        <f t="shared" si="39"/>
        <v>0</v>
      </c>
      <c r="CB21" s="127">
        <f t="shared" si="40"/>
        <v>0</v>
      </c>
      <c r="CC21" s="127">
        <f t="shared" si="41"/>
        <v>0</v>
      </c>
      <c r="CD21" s="127">
        <f t="shared" si="42"/>
        <v>971.3</v>
      </c>
      <c r="CE21" s="127">
        <f t="shared" si="43"/>
        <v>2114.17</v>
      </c>
      <c r="CF21" s="127">
        <f t="shared" si="44"/>
        <v>3085.4700000000003</v>
      </c>
      <c r="CG21" s="123" t="s">
        <v>466</v>
      </c>
      <c r="CH21" s="129">
        <f t="shared" si="45"/>
        <v>783.3</v>
      </c>
      <c r="CI21" s="129">
        <f t="shared" si="46"/>
        <v>1926.1699999999998</v>
      </c>
      <c r="CJ21" s="129">
        <f t="shared" si="47"/>
        <v>188</v>
      </c>
      <c r="CK21" s="129">
        <f t="shared" si="48"/>
        <v>188</v>
      </c>
      <c r="CL21" s="130">
        <f t="shared" si="33"/>
        <v>2709.47</v>
      </c>
      <c r="CM21" s="130">
        <f t="shared" si="13"/>
        <v>376</v>
      </c>
      <c r="CN21" s="131" t="s">
        <v>479</v>
      </c>
      <c r="CO21" s="50">
        <f t="shared" si="14"/>
        <v>596.79999999999995</v>
      </c>
      <c r="CP21" s="50">
        <f t="shared" si="15"/>
        <v>149.19999999999999</v>
      </c>
      <c r="CQ21" s="50">
        <f t="shared" si="16"/>
        <v>37.299999999999997</v>
      </c>
      <c r="CR21" s="50" t="b">
        <f t="shared" si="17"/>
        <v>1</v>
      </c>
      <c r="CS21" s="119" t="str">
        <f>VLOOKUP(C21,长促工资明细!G:G,1,0)</f>
        <v>邵旱萍</v>
      </c>
    </row>
    <row r="22" spans="1:98" s="132" customFormat="1" ht="26.25" customHeight="1">
      <c r="A22" s="122">
        <v>18</v>
      </c>
      <c r="B22" s="123" t="s">
        <v>465</v>
      </c>
      <c r="C22" s="124" t="s">
        <v>430</v>
      </c>
      <c r="D22" s="125" t="s">
        <v>431</v>
      </c>
      <c r="E22" s="126" t="str">
        <f>VLOOKUP(D22,长促工资明细!H:P,3,0)</f>
        <v>NKA</v>
      </c>
      <c r="F22" s="126" t="str">
        <f>VLOOKUP(D22,长促工资明细!H:P,7,0)</f>
        <v>大润发康桥店</v>
      </c>
      <c r="G22" s="123">
        <v>19.670000000000002</v>
      </c>
      <c r="H22" s="127">
        <v>7460</v>
      </c>
      <c r="I22" s="128">
        <v>16</v>
      </c>
      <c r="J22" s="127">
        <v>1193.5999999999999</v>
      </c>
      <c r="K22" s="127">
        <v>0</v>
      </c>
      <c r="L22" s="128">
        <v>8</v>
      </c>
      <c r="M22" s="127">
        <v>596.79999999999995</v>
      </c>
      <c r="N22" s="127">
        <v>0</v>
      </c>
      <c r="O22" s="127">
        <v>7460</v>
      </c>
      <c r="P22" s="128">
        <v>9</v>
      </c>
      <c r="Q22" s="127"/>
      <c r="R22" s="127">
        <v>671.4</v>
      </c>
      <c r="S22" s="127">
        <v>0</v>
      </c>
      <c r="T22" s="128">
        <v>2</v>
      </c>
      <c r="U22" s="127"/>
      <c r="V22" s="127">
        <v>149.19999999999999</v>
      </c>
      <c r="W22" s="127">
        <v>0</v>
      </c>
      <c r="X22" s="127">
        <v>7460</v>
      </c>
      <c r="Y22" s="128">
        <v>0.5</v>
      </c>
      <c r="Z22" s="127">
        <v>37.299999999999997</v>
      </c>
      <c r="AA22" s="127">
        <v>0</v>
      </c>
      <c r="AB22" s="128">
        <v>0.5</v>
      </c>
      <c r="AC22" s="127">
        <v>37.299999999999997</v>
      </c>
      <c r="AD22" s="127">
        <v>0</v>
      </c>
      <c r="AE22" s="127">
        <v>2690</v>
      </c>
      <c r="AF22" s="128">
        <v>7</v>
      </c>
      <c r="AG22" s="127">
        <v>188</v>
      </c>
      <c r="AH22" s="127">
        <v>0</v>
      </c>
      <c r="AI22" s="128">
        <v>7</v>
      </c>
      <c r="AJ22" s="127">
        <v>188</v>
      </c>
      <c r="AK22" s="127">
        <v>0</v>
      </c>
      <c r="AL22" s="127">
        <v>0</v>
      </c>
      <c r="AM22" s="127">
        <v>0</v>
      </c>
      <c r="AN22" s="127">
        <v>0</v>
      </c>
      <c r="AO22" s="127">
        <v>0</v>
      </c>
      <c r="AP22" s="127">
        <v>0</v>
      </c>
      <c r="AQ22" s="127">
        <v>0</v>
      </c>
      <c r="AR22" s="127"/>
      <c r="AS22" s="127">
        <v>0</v>
      </c>
      <c r="AT22" s="127">
        <v>0</v>
      </c>
      <c r="AU22" s="127">
        <v>0</v>
      </c>
      <c r="AV22" s="127">
        <v>0</v>
      </c>
      <c r="AW22" s="127">
        <v>0</v>
      </c>
      <c r="AX22" s="127">
        <v>0</v>
      </c>
      <c r="AY22" s="127">
        <v>0</v>
      </c>
      <c r="AZ22" s="127"/>
      <c r="BA22" s="127"/>
      <c r="BB22" s="128"/>
      <c r="BC22" s="127">
        <v>0</v>
      </c>
      <c r="BD22" s="127">
        <v>0</v>
      </c>
      <c r="BE22" s="128"/>
      <c r="BF22" s="127">
        <v>0</v>
      </c>
      <c r="BG22" s="127">
        <v>0</v>
      </c>
      <c r="BH22" s="127">
        <v>7460</v>
      </c>
      <c r="BI22" s="128">
        <v>0.32</v>
      </c>
      <c r="BJ22" s="127">
        <v>23.87</v>
      </c>
      <c r="BK22" s="127">
        <v>0</v>
      </c>
      <c r="BL22" s="128"/>
      <c r="BM22" s="127">
        <v>0</v>
      </c>
      <c r="BN22" s="127">
        <v>0</v>
      </c>
      <c r="BO22" s="127"/>
      <c r="BP22" s="128"/>
      <c r="BQ22" s="127">
        <v>0</v>
      </c>
      <c r="BR22" s="127">
        <v>0</v>
      </c>
      <c r="BS22" s="128"/>
      <c r="BT22" s="127">
        <v>0</v>
      </c>
      <c r="BU22" s="127">
        <v>0</v>
      </c>
      <c r="BV22" s="127">
        <f t="shared" si="34"/>
        <v>783.3</v>
      </c>
      <c r="BW22" s="127">
        <f t="shared" si="35"/>
        <v>1926.1699999999998</v>
      </c>
      <c r="BX22" s="127">
        <f t="shared" si="36"/>
        <v>188</v>
      </c>
      <c r="BY22" s="127">
        <f t="shared" si="37"/>
        <v>188</v>
      </c>
      <c r="BZ22" s="127">
        <f t="shared" si="38"/>
        <v>0</v>
      </c>
      <c r="CA22" s="127">
        <f t="shared" si="39"/>
        <v>0</v>
      </c>
      <c r="CB22" s="127">
        <f t="shared" si="40"/>
        <v>0</v>
      </c>
      <c r="CC22" s="127">
        <f t="shared" si="41"/>
        <v>0</v>
      </c>
      <c r="CD22" s="127">
        <f t="shared" si="42"/>
        <v>971.3</v>
      </c>
      <c r="CE22" s="127">
        <f t="shared" si="43"/>
        <v>2114.17</v>
      </c>
      <c r="CF22" s="127">
        <f t="shared" si="44"/>
        <v>3085.4700000000003</v>
      </c>
      <c r="CG22" s="123" t="s">
        <v>466</v>
      </c>
      <c r="CH22" s="129">
        <f t="shared" si="45"/>
        <v>783.3</v>
      </c>
      <c r="CI22" s="129">
        <f t="shared" si="46"/>
        <v>1926.1699999999998</v>
      </c>
      <c r="CJ22" s="129">
        <f t="shared" si="47"/>
        <v>188</v>
      </c>
      <c r="CK22" s="129">
        <f t="shared" si="48"/>
        <v>188</v>
      </c>
      <c r="CL22" s="130">
        <f t="shared" ref="CL22:CL26" si="76">CH22+CI22</f>
        <v>2709.47</v>
      </c>
      <c r="CM22" s="130">
        <f t="shared" ref="CM22:CM26" si="77">CJ22+CK22</f>
        <v>376</v>
      </c>
      <c r="CN22" s="131" t="s">
        <v>479</v>
      </c>
      <c r="CO22" s="50">
        <f t="shared" ref="CO22:CO30" si="78">N22+M22</f>
        <v>596.79999999999995</v>
      </c>
      <c r="CP22" s="50">
        <f t="shared" ref="CP22:CP30" si="79">V22+W22+AN22+AO22</f>
        <v>149.19999999999999</v>
      </c>
      <c r="CQ22" s="50">
        <f t="shared" ref="CQ22:CQ30" si="80">AD22+AC22</f>
        <v>37.299999999999997</v>
      </c>
      <c r="CR22" s="50" t="b">
        <f t="shared" ref="CR22:CR30" si="81">CQ22+CP22+CO22=CH22</f>
        <v>1</v>
      </c>
      <c r="CS22" s="119" t="str">
        <f>VLOOKUP(C22,长促工资明细!G:G,1,0)</f>
        <v>孙艳</v>
      </c>
      <c r="CT22" s="50"/>
    </row>
    <row r="23" spans="1:98" s="132" customFormat="1" ht="26.25" customHeight="1">
      <c r="A23" s="122">
        <v>19</v>
      </c>
      <c r="B23" s="123" t="s">
        <v>465</v>
      </c>
      <c r="C23" s="124" t="s">
        <v>120</v>
      </c>
      <c r="D23" s="125" t="s">
        <v>121</v>
      </c>
      <c r="E23" s="126" t="str">
        <f>VLOOKUP(D23,长促工资明细!H:P,3,0)</f>
        <v>NKA</v>
      </c>
      <c r="F23" s="126" t="str">
        <f>VLOOKUP(D23,长促工资明细!H:P,7,0)</f>
        <v>大润发大宁店</v>
      </c>
      <c r="G23" s="123">
        <v>19.670000000000002</v>
      </c>
      <c r="H23" s="127">
        <v>7460</v>
      </c>
      <c r="I23" s="128">
        <v>16</v>
      </c>
      <c r="J23" s="127">
        <v>1193.5999999999999</v>
      </c>
      <c r="K23" s="127">
        <v>0</v>
      </c>
      <c r="L23" s="128">
        <v>8</v>
      </c>
      <c r="M23" s="127">
        <v>596.79999999999995</v>
      </c>
      <c r="N23" s="127">
        <v>0</v>
      </c>
      <c r="O23" s="127">
        <v>7460</v>
      </c>
      <c r="P23" s="128">
        <v>9</v>
      </c>
      <c r="Q23" s="127"/>
      <c r="R23" s="127">
        <v>671.4</v>
      </c>
      <c r="S23" s="127">
        <v>0</v>
      </c>
      <c r="T23" s="128">
        <v>2</v>
      </c>
      <c r="U23" s="127"/>
      <c r="V23" s="127">
        <v>149.19999999999999</v>
      </c>
      <c r="W23" s="127">
        <v>0</v>
      </c>
      <c r="X23" s="127">
        <v>7460</v>
      </c>
      <c r="Y23" s="128">
        <v>0.5</v>
      </c>
      <c r="Z23" s="127">
        <v>37.299999999999997</v>
      </c>
      <c r="AA23" s="127">
        <v>0</v>
      </c>
      <c r="AB23" s="128">
        <v>0.5</v>
      </c>
      <c r="AC23" s="127">
        <v>37.299999999999997</v>
      </c>
      <c r="AD23" s="127">
        <v>0</v>
      </c>
      <c r="AE23" s="127">
        <v>2690</v>
      </c>
      <c r="AF23" s="128">
        <v>7</v>
      </c>
      <c r="AG23" s="127">
        <v>188</v>
      </c>
      <c r="AH23" s="127">
        <v>0</v>
      </c>
      <c r="AI23" s="128">
        <v>7</v>
      </c>
      <c r="AJ23" s="127">
        <v>188</v>
      </c>
      <c r="AK23" s="127">
        <v>0</v>
      </c>
      <c r="AL23" s="127">
        <v>0</v>
      </c>
      <c r="AM23" s="127">
        <v>0</v>
      </c>
      <c r="AN23" s="127">
        <v>0</v>
      </c>
      <c r="AO23" s="127">
        <v>0</v>
      </c>
      <c r="AP23" s="127">
        <v>0</v>
      </c>
      <c r="AQ23" s="127">
        <v>0</v>
      </c>
      <c r="AR23" s="127"/>
      <c r="AS23" s="127">
        <v>0</v>
      </c>
      <c r="AT23" s="127">
        <v>0</v>
      </c>
      <c r="AU23" s="127">
        <v>0</v>
      </c>
      <c r="AV23" s="127">
        <v>0</v>
      </c>
      <c r="AW23" s="127">
        <v>0</v>
      </c>
      <c r="AX23" s="127">
        <v>0</v>
      </c>
      <c r="AY23" s="127">
        <v>0</v>
      </c>
      <c r="AZ23" s="127"/>
      <c r="BA23" s="127"/>
      <c r="BB23" s="128"/>
      <c r="BC23" s="127">
        <v>0</v>
      </c>
      <c r="BD23" s="127">
        <v>0</v>
      </c>
      <c r="BE23" s="128"/>
      <c r="BF23" s="127">
        <v>0</v>
      </c>
      <c r="BG23" s="127">
        <v>0</v>
      </c>
      <c r="BH23" s="127">
        <v>7460</v>
      </c>
      <c r="BI23" s="128">
        <v>0.32</v>
      </c>
      <c r="BJ23" s="127">
        <v>23.87</v>
      </c>
      <c r="BK23" s="127">
        <v>0</v>
      </c>
      <c r="BL23" s="128"/>
      <c r="BM23" s="127">
        <v>0</v>
      </c>
      <c r="BN23" s="127">
        <v>0</v>
      </c>
      <c r="BO23" s="127"/>
      <c r="BP23" s="128"/>
      <c r="BQ23" s="127">
        <v>0</v>
      </c>
      <c r="BR23" s="127">
        <v>0</v>
      </c>
      <c r="BS23" s="128"/>
      <c r="BT23" s="127">
        <v>0</v>
      </c>
      <c r="BU23" s="127">
        <v>0</v>
      </c>
      <c r="BV23" s="127">
        <f t="shared" si="34"/>
        <v>783.3</v>
      </c>
      <c r="BW23" s="127">
        <f t="shared" si="35"/>
        <v>1926.1699999999998</v>
      </c>
      <c r="BX23" s="127">
        <f t="shared" si="36"/>
        <v>188</v>
      </c>
      <c r="BY23" s="127">
        <f t="shared" si="37"/>
        <v>188</v>
      </c>
      <c r="BZ23" s="127">
        <f t="shared" si="38"/>
        <v>0</v>
      </c>
      <c r="CA23" s="127">
        <f t="shared" si="39"/>
        <v>0</v>
      </c>
      <c r="CB23" s="127">
        <f t="shared" si="40"/>
        <v>0</v>
      </c>
      <c r="CC23" s="127">
        <f t="shared" si="41"/>
        <v>0</v>
      </c>
      <c r="CD23" s="127">
        <f t="shared" si="42"/>
        <v>971.3</v>
      </c>
      <c r="CE23" s="127">
        <f t="shared" si="43"/>
        <v>2114.17</v>
      </c>
      <c r="CF23" s="127">
        <f t="shared" si="44"/>
        <v>3085.4700000000003</v>
      </c>
      <c r="CG23" s="123" t="s">
        <v>466</v>
      </c>
      <c r="CH23" s="129">
        <f t="shared" si="45"/>
        <v>783.3</v>
      </c>
      <c r="CI23" s="129">
        <f t="shared" si="46"/>
        <v>1926.1699999999998</v>
      </c>
      <c r="CJ23" s="129">
        <f t="shared" si="47"/>
        <v>188</v>
      </c>
      <c r="CK23" s="129">
        <f t="shared" si="48"/>
        <v>188</v>
      </c>
      <c r="CL23" s="130">
        <f t="shared" si="76"/>
        <v>2709.47</v>
      </c>
      <c r="CM23" s="130">
        <f t="shared" si="77"/>
        <v>376</v>
      </c>
      <c r="CN23" s="131" t="s">
        <v>479</v>
      </c>
      <c r="CO23" s="50">
        <f t="shared" si="78"/>
        <v>596.79999999999995</v>
      </c>
      <c r="CP23" s="50">
        <f t="shared" si="79"/>
        <v>149.19999999999999</v>
      </c>
      <c r="CQ23" s="50">
        <f t="shared" si="80"/>
        <v>37.299999999999997</v>
      </c>
      <c r="CR23" s="50" t="b">
        <f t="shared" si="81"/>
        <v>1</v>
      </c>
      <c r="CS23" s="119" t="str">
        <f>VLOOKUP(C23,长促工资明细!G:G,1,0)</f>
        <v>王丽莉</v>
      </c>
      <c r="CT23" s="50"/>
    </row>
    <row r="24" spans="1:98" s="132" customFormat="1" ht="26.25" customHeight="1">
      <c r="A24" s="122">
        <v>20</v>
      </c>
      <c r="B24" s="123" t="s">
        <v>465</v>
      </c>
      <c r="C24" s="124" t="s">
        <v>221</v>
      </c>
      <c r="D24" s="125" t="s">
        <v>222</v>
      </c>
      <c r="E24" s="126" t="str">
        <f>VLOOKUP(D24,长促工资明细!H:P,3,0)</f>
        <v>NKA</v>
      </c>
      <c r="F24" s="126" t="str">
        <f>VLOOKUP(D24,长促工资明细!H:P,7,0)</f>
        <v>欧尚嘉定店</v>
      </c>
      <c r="G24" s="123">
        <v>19.670000000000002</v>
      </c>
      <c r="H24" s="127">
        <v>7460</v>
      </c>
      <c r="I24" s="128">
        <v>16</v>
      </c>
      <c r="J24" s="127">
        <v>1193.5999999999999</v>
      </c>
      <c r="K24" s="127">
        <v>0</v>
      </c>
      <c r="L24" s="128">
        <v>8</v>
      </c>
      <c r="M24" s="127">
        <v>596.79999999999995</v>
      </c>
      <c r="N24" s="127">
        <v>0</v>
      </c>
      <c r="O24" s="127">
        <v>7460</v>
      </c>
      <c r="P24" s="128">
        <v>9</v>
      </c>
      <c r="Q24" s="127"/>
      <c r="R24" s="127">
        <v>671.4</v>
      </c>
      <c r="S24" s="127">
        <v>0</v>
      </c>
      <c r="T24" s="128">
        <v>2</v>
      </c>
      <c r="U24" s="127"/>
      <c r="V24" s="127">
        <v>149.19999999999999</v>
      </c>
      <c r="W24" s="127">
        <v>0</v>
      </c>
      <c r="X24" s="127">
        <v>7460</v>
      </c>
      <c r="Y24" s="128">
        <v>0.5</v>
      </c>
      <c r="Z24" s="127">
        <v>37.299999999999997</v>
      </c>
      <c r="AA24" s="127">
        <v>0</v>
      </c>
      <c r="AB24" s="128">
        <v>0.5</v>
      </c>
      <c r="AC24" s="127">
        <v>37.299999999999997</v>
      </c>
      <c r="AD24" s="127">
        <v>0</v>
      </c>
      <c r="AE24" s="127">
        <v>2690</v>
      </c>
      <c r="AF24" s="128">
        <v>7</v>
      </c>
      <c r="AG24" s="127">
        <v>188</v>
      </c>
      <c r="AH24" s="127">
        <v>0</v>
      </c>
      <c r="AI24" s="128">
        <v>7</v>
      </c>
      <c r="AJ24" s="127">
        <v>188</v>
      </c>
      <c r="AK24" s="127">
        <v>0</v>
      </c>
      <c r="AL24" s="127">
        <v>0</v>
      </c>
      <c r="AM24" s="127">
        <v>0</v>
      </c>
      <c r="AN24" s="127">
        <v>0</v>
      </c>
      <c r="AO24" s="127">
        <v>0</v>
      </c>
      <c r="AP24" s="127">
        <v>0</v>
      </c>
      <c r="AQ24" s="127">
        <v>0</v>
      </c>
      <c r="AR24" s="127"/>
      <c r="AS24" s="127">
        <v>0</v>
      </c>
      <c r="AT24" s="127">
        <v>0</v>
      </c>
      <c r="AU24" s="127">
        <v>0</v>
      </c>
      <c r="AV24" s="127">
        <v>0</v>
      </c>
      <c r="AW24" s="127">
        <v>0</v>
      </c>
      <c r="AX24" s="127">
        <v>0</v>
      </c>
      <c r="AY24" s="127">
        <v>0</v>
      </c>
      <c r="AZ24" s="127"/>
      <c r="BA24" s="127"/>
      <c r="BB24" s="128"/>
      <c r="BC24" s="127">
        <v>0</v>
      </c>
      <c r="BD24" s="127">
        <v>0</v>
      </c>
      <c r="BE24" s="128"/>
      <c r="BF24" s="127">
        <v>0</v>
      </c>
      <c r="BG24" s="127">
        <v>0</v>
      </c>
      <c r="BH24" s="127">
        <v>7460</v>
      </c>
      <c r="BI24" s="128">
        <v>0.32</v>
      </c>
      <c r="BJ24" s="127">
        <v>23.87</v>
      </c>
      <c r="BK24" s="127">
        <v>0</v>
      </c>
      <c r="BL24" s="128"/>
      <c r="BM24" s="127">
        <v>0</v>
      </c>
      <c r="BN24" s="127">
        <v>0</v>
      </c>
      <c r="BO24" s="127"/>
      <c r="BP24" s="128"/>
      <c r="BQ24" s="127">
        <v>0</v>
      </c>
      <c r="BR24" s="127">
        <v>0</v>
      </c>
      <c r="BS24" s="128"/>
      <c r="BT24" s="127">
        <v>0</v>
      </c>
      <c r="BU24" s="127">
        <v>0</v>
      </c>
      <c r="BV24" s="127">
        <f t="shared" ref="BV24:BV25" si="82">M24+V24+AC24+AN24+AX24+BF24+BM24</f>
        <v>783.3</v>
      </c>
      <c r="BW24" s="127">
        <f t="shared" ref="BW24:BW25" si="83">BJ24+BC24+AV24+AT24+AR24+AP24+AL24+Z24+R24+J24</f>
        <v>1926.1699999999998</v>
      </c>
      <c r="BX24" s="127">
        <f t="shared" ref="BX24:BX25" si="84">AJ24</f>
        <v>188</v>
      </c>
      <c r="BY24" s="127">
        <f t="shared" ref="BY24:BY25" si="85">AG24</f>
        <v>188</v>
      </c>
      <c r="BZ24" s="127">
        <f t="shared" ref="BZ24:BZ25" si="86">N24+W24+AD24+AO24+AY24+BG24+BN24</f>
        <v>0</v>
      </c>
      <c r="CA24" s="127">
        <f t="shared" ref="CA24:CA25" si="87">K24+S24+AA24+AM24+AQ24+AS24+AU24+AW24+BD24+BK24+BR24</f>
        <v>0</v>
      </c>
      <c r="CB24" s="127">
        <f t="shared" ref="CB24:CB25" si="88">BU24+AK24</f>
        <v>0</v>
      </c>
      <c r="CC24" s="127">
        <f t="shared" ref="CC24:CC25" si="89">BR24+AH24</f>
        <v>0</v>
      </c>
      <c r="CD24" s="127">
        <f t="shared" ref="CD24:CD27" si="90">BV24+BX24+BZ24+CB24</f>
        <v>971.3</v>
      </c>
      <c r="CE24" s="127">
        <f t="shared" ref="CE24:CE27" si="91">BW24+BY24+CA24+CC24</f>
        <v>2114.17</v>
      </c>
      <c r="CF24" s="127">
        <f t="shared" ref="CF24:CF27" si="92">CD24+CE24</f>
        <v>3085.4700000000003</v>
      </c>
      <c r="CG24" s="123" t="s">
        <v>466</v>
      </c>
      <c r="CH24" s="129">
        <f t="shared" ref="CH24:CH25" si="93">BV24+BZ24</f>
        <v>783.3</v>
      </c>
      <c r="CI24" s="129">
        <f t="shared" ref="CI24:CI25" si="94">BW24+CA24</f>
        <v>1926.1699999999998</v>
      </c>
      <c r="CJ24" s="129">
        <f t="shared" ref="CJ24:CJ25" si="95">BX24+CB24</f>
        <v>188</v>
      </c>
      <c r="CK24" s="129">
        <f t="shared" ref="CK24:CK25" si="96">BY24+CC24</f>
        <v>188</v>
      </c>
      <c r="CL24" s="130">
        <f t="shared" ref="CL24:CL25" si="97">CH24+CI24</f>
        <v>2709.47</v>
      </c>
      <c r="CM24" s="130">
        <f t="shared" ref="CM24:CM25" si="98">CJ24+CK24</f>
        <v>376</v>
      </c>
      <c r="CN24" s="131" t="s">
        <v>479</v>
      </c>
      <c r="CO24" s="50">
        <f t="shared" ref="CO24:CO25" si="99">N24+M24</f>
        <v>596.79999999999995</v>
      </c>
      <c r="CP24" s="50">
        <f t="shared" ref="CP24:CP25" si="100">V24+W24+AN24+AO24</f>
        <v>149.19999999999999</v>
      </c>
      <c r="CQ24" s="50">
        <f t="shared" ref="CQ24:CQ25" si="101">AD24+AC24</f>
        <v>37.299999999999997</v>
      </c>
      <c r="CR24" s="50" t="b">
        <f t="shared" ref="CR24:CR25" si="102">CQ24+CP24+CO24=CH24</f>
        <v>1</v>
      </c>
      <c r="CS24" s="119" t="str">
        <f>VLOOKUP(C24,长促工资明细!G:G,1,0)</f>
        <v>王美芳</v>
      </c>
      <c r="CT24" s="50"/>
    </row>
    <row r="25" spans="1:98" s="132" customFormat="1" ht="26.25" customHeight="1">
      <c r="A25" s="122">
        <v>21</v>
      </c>
      <c r="B25" s="123" t="s">
        <v>465</v>
      </c>
      <c r="C25" s="124" t="s">
        <v>234</v>
      </c>
      <c r="D25" s="125" t="s">
        <v>235</v>
      </c>
      <c r="E25" s="126" t="str">
        <f>VLOOKUP(D25,长促工资明细!H:P,3,0)</f>
        <v>NKA</v>
      </c>
      <c r="F25" s="126" t="str">
        <f>VLOOKUP(D25,长促工资明细!H:P,7,0)</f>
        <v>欧尚南汇店</v>
      </c>
      <c r="G25" s="123">
        <v>19.670000000000002</v>
      </c>
      <c r="H25" s="127">
        <v>7460</v>
      </c>
      <c r="I25" s="128">
        <v>16</v>
      </c>
      <c r="J25" s="127">
        <v>1193.5999999999999</v>
      </c>
      <c r="K25" s="127">
        <v>0</v>
      </c>
      <c r="L25" s="128">
        <v>8</v>
      </c>
      <c r="M25" s="127">
        <v>596.79999999999995</v>
      </c>
      <c r="N25" s="127">
        <v>0</v>
      </c>
      <c r="O25" s="127">
        <v>7460</v>
      </c>
      <c r="P25" s="128">
        <v>9</v>
      </c>
      <c r="Q25" s="127"/>
      <c r="R25" s="127">
        <v>671.4</v>
      </c>
      <c r="S25" s="127">
        <v>0</v>
      </c>
      <c r="T25" s="128">
        <v>2</v>
      </c>
      <c r="U25" s="127"/>
      <c r="V25" s="127">
        <v>149.19999999999999</v>
      </c>
      <c r="W25" s="127">
        <v>0</v>
      </c>
      <c r="X25" s="127">
        <v>7460</v>
      </c>
      <c r="Y25" s="128">
        <v>0.5</v>
      </c>
      <c r="Z25" s="127">
        <v>37.299999999999997</v>
      </c>
      <c r="AA25" s="127">
        <v>0</v>
      </c>
      <c r="AB25" s="128">
        <v>0.5</v>
      </c>
      <c r="AC25" s="127">
        <v>37.299999999999997</v>
      </c>
      <c r="AD25" s="127">
        <v>0</v>
      </c>
      <c r="AE25" s="127">
        <v>2690</v>
      </c>
      <c r="AF25" s="128">
        <v>7</v>
      </c>
      <c r="AG25" s="127">
        <v>188</v>
      </c>
      <c r="AH25" s="127">
        <v>0</v>
      </c>
      <c r="AI25" s="128">
        <v>7</v>
      </c>
      <c r="AJ25" s="127">
        <v>188</v>
      </c>
      <c r="AK25" s="127">
        <v>0</v>
      </c>
      <c r="AL25" s="127">
        <v>0</v>
      </c>
      <c r="AM25" s="127">
        <v>0</v>
      </c>
      <c r="AN25" s="127">
        <v>0</v>
      </c>
      <c r="AO25" s="127">
        <v>0</v>
      </c>
      <c r="AP25" s="127">
        <v>0</v>
      </c>
      <c r="AQ25" s="127">
        <v>0</v>
      </c>
      <c r="AR25" s="127"/>
      <c r="AS25" s="127">
        <v>0</v>
      </c>
      <c r="AT25" s="127">
        <v>0</v>
      </c>
      <c r="AU25" s="127">
        <v>0</v>
      </c>
      <c r="AV25" s="127">
        <v>0</v>
      </c>
      <c r="AW25" s="127">
        <v>0</v>
      </c>
      <c r="AX25" s="127">
        <v>0</v>
      </c>
      <c r="AY25" s="127">
        <v>0</v>
      </c>
      <c r="AZ25" s="127"/>
      <c r="BA25" s="127"/>
      <c r="BB25" s="128"/>
      <c r="BC25" s="127">
        <v>0</v>
      </c>
      <c r="BD25" s="127">
        <v>0</v>
      </c>
      <c r="BE25" s="128"/>
      <c r="BF25" s="127">
        <v>0</v>
      </c>
      <c r="BG25" s="127">
        <v>0</v>
      </c>
      <c r="BH25" s="127">
        <v>7460</v>
      </c>
      <c r="BI25" s="128">
        <v>0.32</v>
      </c>
      <c r="BJ25" s="127">
        <v>23.87</v>
      </c>
      <c r="BK25" s="127">
        <v>0</v>
      </c>
      <c r="BL25" s="128"/>
      <c r="BM25" s="127">
        <v>0</v>
      </c>
      <c r="BN25" s="127">
        <v>0</v>
      </c>
      <c r="BO25" s="127"/>
      <c r="BP25" s="128"/>
      <c r="BQ25" s="127">
        <v>0</v>
      </c>
      <c r="BR25" s="127">
        <v>0</v>
      </c>
      <c r="BS25" s="128"/>
      <c r="BT25" s="127">
        <v>0</v>
      </c>
      <c r="BU25" s="127">
        <v>0</v>
      </c>
      <c r="BV25" s="127">
        <f t="shared" si="82"/>
        <v>783.3</v>
      </c>
      <c r="BW25" s="127">
        <f t="shared" si="83"/>
        <v>1926.1699999999998</v>
      </c>
      <c r="BX25" s="127">
        <f t="shared" si="84"/>
        <v>188</v>
      </c>
      <c r="BY25" s="127">
        <f t="shared" si="85"/>
        <v>188</v>
      </c>
      <c r="BZ25" s="127">
        <f t="shared" si="86"/>
        <v>0</v>
      </c>
      <c r="CA25" s="127">
        <f t="shared" si="87"/>
        <v>0</v>
      </c>
      <c r="CB25" s="127">
        <f t="shared" si="88"/>
        <v>0</v>
      </c>
      <c r="CC25" s="127">
        <f t="shared" si="89"/>
        <v>0</v>
      </c>
      <c r="CD25" s="127">
        <f t="shared" si="90"/>
        <v>971.3</v>
      </c>
      <c r="CE25" s="127">
        <f t="shared" si="91"/>
        <v>2114.17</v>
      </c>
      <c r="CF25" s="127">
        <f t="shared" si="92"/>
        <v>3085.4700000000003</v>
      </c>
      <c r="CG25" s="123" t="s">
        <v>466</v>
      </c>
      <c r="CH25" s="129">
        <f t="shared" si="93"/>
        <v>783.3</v>
      </c>
      <c r="CI25" s="129">
        <f t="shared" si="94"/>
        <v>1926.1699999999998</v>
      </c>
      <c r="CJ25" s="129">
        <f t="shared" si="95"/>
        <v>188</v>
      </c>
      <c r="CK25" s="129">
        <f t="shared" si="96"/>
        <v>188</v>
      </c>
      <c r="CL25" s="130">
        <f t="shared" si="97"/>
        <v>2709.47</v>
      </c>
      <c r="CM25" s="130">
        <f t="shared" si="98"/>
        <v>376</v>
      </c>
      <c r="CN25" s="131" t="s">
        <v>479</v>
      </c>
      <c r="CO25" s="50">
        <f t="shared" si="99"/>
        <v>596.79999999999995</v>
      </c>
      <c r="CP25" s="50">
        <f t="shared" si="100"/>
        <v>149.19999999999999</v>
      </c>
      <c r="CQ25" s="50">
        <f t="shared" si="101"/>
        <v>37.299999999999997</v>
      </c>
      <c r="CR25" s="50" t="b">
        <f t="shared" si="102"/>
        <v>1</v>
      </c>
      <c r="CS25" s="119" t="str">
        <f>VLOOKUP(C25,长促工资明细!G:G,1,0)</f>
        <v>王霞芹</v>
      </c>
      <c r="CT25" s="50"/>
    </row>
    <row r="26" spans="1:98" s="132" customFormat="1" ht="26.25" customHeight="1">
      <c r="A26" s="122">
        <v>22</v>
      </c>
      <c r="B26" s="123" t="s">
        <v>465</v>
      </c>
      <c r="C26" s="124" t="s">
        <v>184</v>
      </c>
      <c r="D26" s="125" t="s">
        <v>185</v>
      </c>
      <c r="E26" s="126" t="str">
        <f>VLOOKUP(D26,长促工资明细!H:P,3,0)</f>
        <v>NKA</v>
      </c>
      <c r="F26" s="126" t="str">
        <f>VLOOKUP(D26,长促工资明细!H:P,7,0)</f>
        <v>欧尚长阳店</v>
      </c>
      <c r="G26" s="123">
        <v>19.670000000000002</v>
      </c>
      <c r="H26" s="127">
        <v>7460</v>
      </c>
      <c r="I26" s="128">
        <v>16</v>
      </c>
      <c r="J26" s="127">
        <v>1193.5999999999999</v>
      </c>
      <c r="K26" s="127">
        <v>0</v>
      </c>
      <c r="L26" s="128">
        <v>8</v>
      </c>
      <c r="M26" s="127">
        <v>596.79999999999995</v>
      </c>
      <c r="N26" s="127">
        <v>0</v>
      </c>
      <c r="O26" s="127">
        <v>7460</v>
      </c>
      <c r="P26" s="128">
        <v>9</v>
      </c>
      <c r="Q26" s="127"/>
      <c r="R26" s="127">
        <v>671.4</v>
      </c>
      <c r="S26" s="127">
        <v>0</v>
      </c>
      <c r="T26" s="128">
        <v>2</v>
      </c>
      <c r="U26" s="127"/>
      <c r="V26" s="127">
        <v>149.19999999999999</v>
      </c>
      <c r="W26" s="127">
        <v>0</v>
      </c>
      <c r="X26" s="127">
        <v>7460</v>
      </c>
      <c r="Y26" s="128">
        <v>0.5</v>
      </c>
      <c r="Z26" s="127">
        <v>37.299999999999997</v>
      </c>
      <c r="AA26" s="127">
        <v>0</v>
      </c>
      <c r="AB26" s="128">
        <v>0.5</v>
      </c>
      <c r="AC26" s="127">
        <v>37.299999999999997</v>
      </c>
      <c r="AD26" s="127">
        <v>0</v>
      </c>
      <c r="AE26" s="127">
        <v>2690</v>
      </c>
      <c r="AF26" s="128">
        <v>7</v>
      </c>
      <c r="AG26" s="127">
        <v>188</v>
      </c>
      <c r="AH26" s="127">
        <v>0</v>
      </c>
      <c r="AI26" s="128">
        <v>7</v>
      </c>
      <c r="AJ26" s="127">
        <v>188</v>
      </c>
      <c r="AK26" s="127">
        <v>0</v>
      </c>
      <c r="AL26" s="127">
        <v>0</v>
      </c>
      <c r="AM26" s="127">
        <v>0</v>
      </c>
      <c r="AN26" s="127">
        <v>0</v>
      </c>
      <c r="AO26" s="127">
        <v>0</v>
      </c>
      <c r="AP26" s="127">
        <v>0</v>
      </c>
      <c r="AQ26" s="127">
        <v>0</v>
      </c>
      <c r="AR26" s="127"/>
      <c r="AS26" s="127">
        <v>0</v>
      </c>
      <c r="AT26" s="127">
        <v>0</v>
      </c>
      <c r="AU26" s="127">
        <v>0</v>
      </c>
      <c r="AV26" s="127">
        <v>0</v>
      </c>
      <c r="AW26" s="127">
        <v>0</v>
      </c>
      <c r="AX26" s="127">
        <v>0</v>
      </c>
      <c r="AY26" s="127">
        <v>0</v>
      </c>
      <c r="AZ26" s="127"/>
      <c r="BA26" s="127"/>
      <c r="BB26" s="128"/>
      <c r="BC26" s="127">
        <v>0</v>
      </c>
      <c r="BD26" s="127">
        <v>0</v>
      </c>
      <c r="BE26" s="128"/>
      <c r="BF26" s="127">
        <v>0</v>
      </c>
      <c r="BG26" s="127">
        <v>0</v>
      </c>
      <c r="BH26" s="127">
        <v>7460</v>
      </c>
      <c r="BI26" s="128">
        <v>0.32</v>
      </c>
      <c r="BJ26" s="127">
        <v>23.87</v>
      </c>
      <c r="BK26" s="127">
        <v>0</v>
      </c>
      <c r="BL26" s="128"/>
      <c r="BM26" s="127">
        <v>0</v>
      </c>
      <c r="BN26" s="127">
        <v>0</v>
      </c>
      <c r="BO26" s="127"/>
      <c r="BP26" s="128"/>
      <c r="BQ26" s="127">
        <v>0</v>
      </c>
      <c r="BR26" s="127">
        <v>0</v>
      </c>
      <c r="BS26" s="128"/>
      <c r="BT26" s="127">
        <v>0</v>
      </c>
      <c r="BU26" s="127">
        <v>0</v>
      </c>
      <c r="BV26" s="127">
        <f t="shared" si="34"/>
        <v>783.3</v>
      </c>
      <c r="BW26" s="127">
        <f t="shared" si="35"/>
        <v>1926.1699999999998</v>
      </c>
      <c r="BX26" s="127">
        <f t="shared" si="36"/>
        <v>188</v>
      </c>
      <c r="BY26" s="127">
        <f t="shared" si="37"/>
        <v>188</v>
      </c>
      <c r="BZ26" s="127">
        <f t="shared" si="38"/>
        <v>0</v>
      </c>
      <c r="CA26" s="127">
        <f t="shared" si="39"/>
        <v>0</v>
      </c>
      <c r="CB26" s="127">
        <f t="shared" si="40"/>
        <v>0</v>
      </c>
      <c r="CC26" s="127">
        <f t="shared" si="41"/>
        <v>0</v>
      </c>
      <c r="CD26" s="127">
        <f t="shared" si="90"/>
        <v>971.3</v>
      </c>
      <c r="CE26" s="127">
        <f t="shared" si="91"/>
        <v>2114.17</v>
      </c>
      <c r="CF26" s="127">
        <f t="shared" si="92"/>
        <v>3085.4700000000003</v>
      </c>
      <c r="CG26" s="123" t="s">
        <v>466</v>
      </c>
      <c r="CH26" s="129">
        <f t="shared" si="45"/>
        <v>783.3</v>
      </c>
      <c r="CI26" s="129">
        <f t="shared" si="46"/>
        <v>1926.1699999999998</v>
      </c>
      <c r="CJ26" s="129">
        <f t="shared" si="47"/>
        <v>188</v>
      </c>
      <c r="CK26" s="129">
        <f t="shared" si="48"/>
        <v>188</v>
      </c>
      <c r="CL26" s="130">
        <f t="shared" si="76"/>
        <v>2709.47</v>
      </c>
      <c r="CM26" s="130">
        <f t="shared" si="77"/>
        <v>376</v>
      </c>
      <c r="CN26" s="131" t="s">
        <v>479</v>
      </c>
      <c r="CO26" s="50">
        <f t="shared" si="78"/>
        <v>596.79999999999995</v>
      </c>
      <c r="CP26" s="50">
        <f t="shared" si="79"/>
        <v>149.19999999999999</v>
      </c>
      <c r="CQ26" s="50">
        <f t="shared" si="80"/>
        <v>37.299999999999997</v>
      </c>
      <c r="CR26" s="50" t="b">
        <f t="shared" si="81"/>
        <v>1</v>
      </c>
      <c r="CS26" s="119" t="str">
        <f>VLOOKUP(C26,长促工资明细!G:G,1,0)</f>
        <v>王运乐</v>
      </c>
      <c r="CT26" s="50"/>
    </row>
    <row r="27" spans="1:98" s="50" customFormat="1" ht="26.25" customHeight="1">
      <c r="A27" s="122">
        <v>23</v>
      </c>
      <c r="B27" s="123" t="s">
        <v>465</v>
      </c>
      <c r="C27" s="124" t="s">
        <v>368</v>
      </c>
      <c r="D27" s="125" t="s">
        <v>364</v>
      </c>
      <c r="E27" s="126" t="str">
        <f>VLOOKUP(D27,长促工资明细!H:P,3,0)</f>
        <v>NKA</v>
      </c>
      <c r="F27" s="126" t="str">
        <f>VLOOKUP(D27,长促工资明细!H:P,7,0)</f>
        <v>大润发松江店</v>
      </c>
      <c r="G27" s="123">
        <v>19.670000000000002</v>
      </c>
      <c r="H27" s="127">
        <v>7460</v>
      </c>
      <c r="I27" s="128">
        <v>16</v>
      </c>
      <c r="J27" s="127">
        <v>1193.5999999999999</v>
      </c>
      <c r="K27" s="127">
        <v>0</v>
      </c>
      <c r="L27" s="128">
        <v>8</v>
      </c>
      <c r="M27" s="127">
        <v>596.79999999999995</v>
      </c>
      <c r="N27" s="127">
        <v>0</v>
      </c>
      <c r="O27" s="127">
        <v>7460</v>
      </c>
      <c r="P27" s="128">
        <v>9</v>
      </c>
      <c r="Q27" s="127"/>
      <c r="R27" s="127">
        <v>671.4</v>
      </c>
      <c r="S27" s="127">
        <v>0</v>
      </c>
      <c r="T27" s="128">
        <v>2</v>
      </c>
      <c r="U27" s="127"/>
      <c r="V27" s="127">
        <v>149.19999999999999</v>
      </c>
      <c r="W27" s="127">
        <v>0</v>
      </c>
      <c r="X27" s="127">
        <v>7460</v>
      </c>
      <c r="Y27" s="128">
        <v>0.5</v>
      </c>
      <c r="Z27" s="127">
        <v>37.299999999999997</v>
      </c>
      <c r="AA27" s="127">
        <v>0</v>
      </c>
      <c r="AB27" s="128">
        <v>0.5</v>
      </c>
      <c r="AC27" s="127">
        <v>37.299999999999997</v>
      </c>
      <c r="AD27" s="127">
        <v>0</v>
      </c>
      <c r="AE27" s="127">
        <v>2690</v>
      </c>
      <c r="AF27" s="128">
        <v>7</v>
      </c>
      <c r="AG27" s="127">
        <v>188</v>
      </c>
      <c r="AH27" s="127">
        <v>0</v>
      </c>
      <c r="AI27" s="128">
        <v>7</v>
      </c>
      <c r="AJ27" s="127">
        <v>188</v>
      </c>
      <c r="AK27" s="127">
        <v>0</v>
      </c>
      <c r="AL27" s="127">
        <v>0</v>
      </c>
      <c r="AM27" s="127">
        <v>0</v>
      </c>
      <c r="AN27" s="127">
        <v>0</v>
      </c>
      <c r="AO27" s="127">
        <v>0</v>
      </c>
      <c r="AP27" s="127">
        <v>0</v>
      </c>
      <c r="AQ27" s="127">
        <v>0</v>
      </c>
      <c r="AR27" s="127"/>
      <c r="AS27" s="127">
        <v>0</v>
      </c>
      <c r="AT27" s="127">
        <v>0</v>
      </c>
      <c r="AU27" s="127">
        <v>0</v>
      </c>
      <c r="AV27" s="127">
        <v>0</v>
      </c>
      <c r="AW27" s="127">
        <v>0</v>
      </c>
      <c r="AX27" s="127">
        <v>0</v>
      </c>
      <c r="AY27" s="127">
        <v>0</v>
      </c>
      <c r="AZ27" s="127"/>
      <c r="BA27" s="127"/>
      <c r="BB27" s="128"/>
      <c r="BC27" s="127">
        <v>0</v>
      </c>
      <c r="BD27" s="127">
        <v>0</v>
      </c>
      <c r="BE27" s="128"/>
      <c r="BF27" s="127">
        <v>0</v>
      </c>
      <c r="BG27" s="127">
        <v>0</v>
      </c>
      <c r="BH27" s="127">
        <v>7460</v>
      </c>
      <c r="BI27" s="128">
        <v>0.32</v>
      </c>
      <c r="BJ27" s="127">
        <v>23.87</v>
      </c>
      <c r="BK27" s="127">
        <v>0</v>
      </c>
      <c r="BL27" s="128"/>
      <c r="BM27" s="127">
        <v>0</v>
      </c>
      <c r="BN27" s="127">
        <v>0</v>
      </c>
      <c r="BO27" s="127"/>
      <c r="BP27" s="128"/>
      <c r="BQ27" s="127">
        <v>0</v>
      </c>
      <c r="BR27" s="127">
        <v>0</v>
      </c>
      <c r="BS27" s="128"/>
      <c r="BT27" s="127">
        <v>0</v>
      </c>
      <c r="BU27" s="127">
        <v>0</v>
      </c>
      <c r="BV27" s="127">
        <f t="shared" si="34"/>
        <v>783.3</v>
      </c>
      <c r="BW27" s="127">
        <f t="shared" si="35"/>
        <v>1926.1699999999998</v>
      </c>
      <c r="BX27" s="127">
        <f t="shared" si="36"/>
        <v>188</v>
      </c>
      <c r="BY27" s="127">
        <f t="shared" si="37"/>
        <v>188</v>
      </c>
      <c r="BZ27" s="127">
        <f t="shared" si="38"/>
        <v>0</v>
      </c>
      <c r="CA27" s="127">
        <f t="shared" si="39"/>
        <v>0</v>
      </c>
      <c r="CB27" s="127">
        <f t="shared" si="40"/>
        <v>0</v>
      </c>
      <c r="CC27" s="127">
        <f t="shared" si="41"/>
        <v>0</v>
      </c>
      <c r="CD27" s="127">
        <f t="shared" si="90"/>
        <v>971.3</v>
      </c>
      <c r="CE27" s="127">
        <f t="shared" si="91"/>
        <v>2114.17</v>
      </c>
      <c r="CF27" s="127">
        <f t="shared" si="92"/>
        <v>3085.4700000000003</v>
      </c>
      <c r="CG27" s="123" t="s">
        <v>466</v>
      </c>
      <c r="CH27" s="129">
        <f t="shared" si="45"/>
        <v>783.3</v>
      </c>
      <c r="CI27" s="129">
        <f t="shared" si="46"/>
        <v>1926.1699999999998</v>
      </c>
      <c r="CJ27" s="129">
        <f t="shared" si="47"/>
        <v>188</v>
      </c>
      <c r="CK27" s="129">
        <f t="shared" si="48"/>
        <v>188</v>
      </c>
      <c r="CL27" s="130">
        <f t="shared" ref="CL27:CL30" si="103">CH27+CI27</f>
        <v>2709.47</v>
      </c>
      <c r="CM27" s="130">
        <f t="shared" ref="CM27:CM30" si="104">CJ27+CK27</f>
        <v>376</v>
      </c>
      <c r="CN27" s="131" t="s">
        <v>479</v>
      </c>
      <c r="CO27" s="50">
        <f t="shared" si="78"/>
        <v>596.79999999999995</v>
      </c>
      <c r="CP27" s="50">
        <f t="shared" si="79"/>
        <v>149.19999999999999</v>
      </c>
      <c r="CQ27" s="50">
        <f t="shared" si="80"/>
        <v>37.299999999999997</v>
      </c>
      <c r="CR27" s="50" t="b">
        <f t="shared" si="81"/>
        <v>1</v>
      </c>
      <c r="CS27" s="119" t="str">
        <f>VLOOKUP(C27,长促工资明细!G:G,1,0)</f>
        <v>魏永慧</v>
      </c>
    </row>
    <row r="28" spans="1:98" s="50" customFormat="1" ht="26.25" customHeight="1">
      <c r="A28" s="122">
        <v>24</v>
      </c>
      <c r="B28" s="123" t="s">
        <v>465</v>
      </c>
      <c r="C28" s="124" t="s">
        <v>207</v>
      </c>
      <c r="D28" s="125" t="s">
        <v>208</v>
      </c>
      <c r="E28" s="126" t="str">
        <f>VLOOKUP(D28,长促工资明细!H:P,3,0)</f>
        <v>NKA</v>
      </c>
      <c r="F28" s="126" t="str">
        <f>VLOOKUP(D28,长促工资明细!H:P,7,0)</f>
        <v>麦德龙闵行店</v>
      </c>
      <c r="G28" s="123">
        <v>19.670000000000002</v>
      </c>
      <c r="H28" s="127">
        <v>7460</v>
      </c>
      <c r="I28" s="128">
        <v>16</v>
      </c>
      <c r="J28" s="127">
        <v>1193.5999999999999</v>
      </c>
      <c r="K28" s="127">
        <v>0</v>
      </c>
      <c r="L28" s="128">
        <v>8</v>
      </c>
      <c r="M28" s="127">
        <v>596.79999999999995</v>
      </c>
      <c r="N28" s="127">
        <v>0</v>
      </c>
      <c r="O28" s="127">
        <v>7460</v>
      </c>
      <c r="P28" s="128">
        <v>9</v>
      </c>
      <c r="Q28" s="127"/>
      <c r="R28" s="127">
        <v>671.4</v>
      </c>
      <c r="S28" s="127">
        <v>0</v>
      </c>
      <c r="T28" s="128">
        <v>2</v>
      </c>
      <c r="U28" s="127"/>
      <c r="V28" s="127">
        <v>149.19999999999999</v>
      </c>
      <c r="W28" s="127">
        <v>0</v>
      </c>
      <c r="X28" s="127">
        <v>7460</v>
      </c>
      <c r="Y28" s="128">
        <v>0.5</v>
      </c>
      <c r="Z28" s="127">
        <v>37.299999999999997</v>
      </c>
      <c r="AA28" s="127">
        <v>0</v>
      </c>
      <c r="AB28" s="128">
        <v>0.5</v>
      </c>
      <c r="AC28" s="127">
        <v>37.299999999999997</v>
      </c>
      <c r="AD28" s="127">
        <v>0</v>
      </c>
      <c r="AE28" s="127">
        <v>2690</v>
      </c>
      <c r="AF28" s="128">
        <v>7</v>
      </c>
      <c r="AG28" s="127">
        <v>188</v>
      </c>
      <c r="AH28" s="127">
        <v>0</v>
      </c>
      <c r="AI28" s="128">
        <v>7</v>
      </c>
      <c r="AJ28" s="127">
        <v>188</v>
      </c>
      <c r="AK28" s="127">
        <v>0</v>
      </c>
      <c r="AL28" s="127">
        <v>0</v>
      </c>
      <c r="AM28" s="127">
        <v>0</v>
      </c>
      <c r="AN28" s="127">
        <v>0</v>
      </c>
      <c r="AO28" s="127">
        <v>0</v>
      </c>
      <c r="AP28" s="127">
        <v>0</v>
      </c>
      <c r="AQ28" s="127">
        <v>0</v>
      </c>
      <c r="AR28" s="127"/>
      <c r="AS28" s="127">
        <v>0</v>
      </c>
      <c r="AT28" s="127">
        <v>0</v>
      </c>
      <c r="AU28" s="127">
        <v>0</v>
      </c>
      <c r="AV28" s="127">
        <v>0</v>
      </c>
      <c r="AW28" s="127">
        <v>0</v>
      </c>
      <c r="AX28" s="127">
        <v>0</v>
      </c>
      <c r="AY28" s="127">
        <v>0</v>
      </c>
      <c r="AZ28" s="127"/>
      <c r="BA28" s="127"/>
      <c r="BB28" s="128"/>
      <c r="BC28" s="127">
        <v>0</v>
      </c>
      <c r="BD28" s="127">
        <v>0</v>
      </c>
      <c r="BE28" s="128"/>
      <c r="BF28" s="127">
        <v>0</v>
      </c>
      <c r="BG28" s="127">
        <v>0</v>
      </c>
      <c r="BH28" s="127">
        <v>7460</v>
      </c>
      <c r="BI28" s="128">
        <v>0.32</v>
      </c>
      <c r="BJ28" s="127">
        <v>23.87</v>
      </c>
      <c r="BK28" s="127">
        <v>0</v>
      </c>
      <c r="BL28" s="128"/>
      <c r="BM28" s="127">
        <v>0</v>
      </c>
      <c r="BN28" s="127">
        <v>0</v>
      </c>
      <c r="BO28" s="127"/>
      <c r="BP28" s="128"/>
      <c r="BQ28" s="127">
        <v>0</v>
      </c>
      <c r="BR28" s="127">
        <v>0</v>
      </c>
      <c r="BS28" s="128"/>
      <c r="BT28" s="127">
        <v>0</v>
      </c>
      <c r="BU28" s="127">
        <v>0</v>
      </c>
      <c r="BV28" s="127">
        <f t="shared" si="34"/>
        <v>783.3</v>
      </c>
      <c r="BW28" s="127">
        <f t="shared" si="35"/>
        <v>1926.1699999999998</v>
      </c>
      <c r="BX28" s="127">
        <f t="shared" si="36"/>
        <v>188</v>
      </c>
      <c r="BY28" s="127">
        <f t="shared" si="37"/>
        <v>188</v>
      </c>
      <c r="BZ28" s="127">
        <f t="shared" si="38"/>
        <v>0</v>
      </c>
      <c r="CA28" s="127">
        <f t="shared" si="39"/>
        <v>0</v>
      </c>
      <c r="CB28" s="127">
        <f t="shared" si="40"/>
        <v>0</v>
      </c>
      <c r="CC28" s="127">
        <f t="shared" si="41"/>
        <v>0</v>
      </c>
      <c r="CD28" s="127">
        <f t="shared" ref="CD28:CD35" si="105">BV28+BX28+BZ28+CB28</f>
        <v>971.3</v>
      </c>
      <c r="CE28" s="127">
        <f t="shared" ref="CE28:CE35" si="106">BW28+BY28+CA28+CC28</f>
        <v>2114.17</v>
      </c>
      <c r="CF28" s="127">
        <f t="shared" ref="CF28:CF35" si="107">CD28+CE28</f>
        <v>3085.4700000000003</v>
      </c>
      <c r="CG28" s="123" t="s">
        <v>466</v>
      </c>
      <c r="CH28" s="129">
        <f t="shared" si="45"/>
        <v>783.3</v>
      </c>
      <c r="CI28" s="129">
        <f t="shared" si="46"/>
        <v>1926.1699999999998</v>
      </c>
      <c r="CJ28" s="129">
        <f t="shared" si="47"/>
        <v>188</v>
      </c>
      <c r="CK28" s="129">
        <f t="shared" si="48"/>
        <v>188</v>
      </c>
      <c r="CL28" s="130">
        <f t="shared" si="103"/>
        <v>2709.47</v>
      </c>
      <c r="CM28" s="130">
        <f t="shared" si="104"/>
        <v>376</v>
      </c>
      <c r="CN28" s="131" t="s">
        <v>479</v>
      </c>
      <c r="CO28" s="50">
        <f t="shared" si="78"/>
        <v>596.79999999999995</v>
      </c>
      <c r="CP28" s="50">
        <f t="shared" si="79"/>
        <v>149.19999999999999</v>
      </c>
      <c r="CQ28" s="50">
        <f t="shared" si="80"/>
        <v>37.299999999999997</v>
      </c>
      <c r="CR28" s="50" t="b">
        <f t="shared" si="81"/>
        <v>1</v>
      </c>
      <c r="CS28" s="119" t="str">
        <f>VLOOKUP(C28,长促工资明细!G:G,1,0)</f>
        <v>吴思堂</v>
      </c>
    </row>
    <row r="29" spans="1:98" s="50" customFormat="1" ht="26.25" customHeight="1">
      <c r="A29" s="122">
        <v>25</v>
      </c>
      <c r="B29" s="123" t="s">
        <v>465</v>
      </c>
      <c r="C29" s="124" t="s">
        <v>511</v>
      </c>
      <c r="D29" s="125" t="s">
        <v>512</v>
      </c>
      <c r="E29" s="126" t="str">
        <f>VLOOKUP(D29,长促工资明细!H:P,3,0)</f>
        <v>NKA</v>
      </c>
      <c r="F29" s="126" t="str">
        <f>VLOOKUP(D29,长促工资明细!H:P,7,0)</f>
        <v>欧尚金山店</v>
      </c>
      <c r="G29" s="123">
        <v>0</v>
      </c>
      <c r="H29" s="127">
        <v>7460</v>
      </c>
      <c r="I29" s="128">
        <v>16</v>
      </c>
      <c r="J29" s="127">
        <v>1193.5999999999999</v>
      </c>
      <c r="K29" s="127">
        <v>0</v>
      </c>
      <c r="L29" s="128">
        <v>8</v>
      </c>
      <c r="M29" s="127">
        <v>596.79999999999995</v>
      </c>
      <c r="N29" s="127">
        <v>0</v>
      </c>
      <c r="O29" s="127">
        <v>7460</v>
      </c>
      <c r="P29" s="128">
        <v>9</v>
      </c>
      <c r="Q29" s="127"/>
      <c r="R29" s="127">
        <v>671.4</v>
      </c>
      <c r="S29" s="127">
        <v>0</v>
      </c>
      <c r="T29" s="128">
        <v>2</v>
      </c>
      <c r="U29" s="127"/>
      <c r="V29" s="127">
        <v>149.19999999999999</v>
      </c>
      <c r="W29" s="127">
        <v>0</v>
      </c>
      <c r="X29" s="127">
        <v>7460</v>
      </c>
      <c r="Y29" s="128">
        <v>0.5</v>
      </c>
      <c r="Z29" s="127">
        <v>37.299999999999997</v>
      </c>
      <c r="AA29" s="127">
        <v>0</v>
      </c>
      <c r="AB29" s="128">
        <v>0.5</v>
      </c>
      <c r="AC29" s="127">
        <v>37.299999999999997</v>
      </c>
      <c r="AD29" s="127">
        <v>0</v>
      </c>
      <c r="AE29" s="127">
        <v>2740</v>
      </c>
      <c r="AF29" s="128">
        <v>7</v>
      </c>
      <c r="AG29" s="127">
        <v>192</v>
      </c>
      <c r="AH29" s="127">
        <v>0</v>
      </c>
      <c r="AI29" s="128">
        <v>7</v>
      </c>
      <c r="AJ29" s="127">
        <v>192</v>
      </c>
      <c r="AK29" s="127">
        <v>0</v>
      </c>
      <c r="AL29" s="127">
        <v>0</v>
      </c>
      <c r="AM29" s="127">
        <v>0</v>
      </c>
      <c r="AN29" s="127">
        <v>0</v>
      </c>
      <c r="AO29" s="127">
        <v>0</v>
      </c>
      <c r="AP29" s="127">
        <v>0</v>
      </c>
      <c r="AQ29" s="127">
        <v>0</v>
      </c>
      <c r="AR29" s="127"/>
      <c r="AS29" s="127">
        <v>0</v>
      </c>
      <c r="AT29" s="127">
        <v>0</v>
      </c>
      <c r="AU29" s="127">
        <v>0</v>
      </c>
      <c r="AV29" s="127">
        <v>0</v>
      </c>
      <c r="AW29" s="127">
        <v>0</v>
      </c>
      <c r="AX29" s="127">
        <v>0</v>
      </c>
      <c r="AY29" s="127">
        <v>0</v>
      </c>
      <c r="AZ29" s="127"/>
      <c r="BA29" s="127"/>
      <c r="BB29" s="128"/>
      <c r="BC29" s="127">
        <v>0</v>
      </c>
      <c r="BD29" s="127">
        <v>0</v>
      </c>
      <c r="BE29" s="128"/>
      <c r="BF29" s="127">
        <v>0</v>
      </c>
      <c r="BG29" s="127">
        <v>0</v>
      </c>
      <c r="BH29" s="127">
        <v>7460</v>
      </c>
      <c r="BI29" s="128">
        <v>0.32</v>
      </c>
      <c r="BJ29" s="127">
        <v>23.87</v>
      </c>
      <c r="BK29" s="127">
        <v>0</v>
      </c>
      <c r="BL29" s="128"/>
      <c r="BM29" s="127">
        <v>0</v>
      </c>
      <c r="BN29" s="127">
        <v>0</v>
      </c>
      <c r="BO29" s="127"/>
      <c r="BP29" s="128"/>
      <c r="BQ29" s="127">
        <v>0</v>
      </c>
      <c r="BR29" s="127">
        <v>0</v>
      </c>
      <c r="BS29" s="128"/>
      <c r="BT29" s="127">
        <v>0</v>
      </c>
      <c r="BU29" s="127">
        <v>0</v>
      </c>
      <c r="BV29" s="127">
        <f t="shared" si="34"/>
        <v>783.3</v>
      </c>
      <c r="BW29" s="127">
        <f t="shared" si="35"/>
        <v>1926.1699999999998</v>
      </c>
      <c r="BX29" s="127">
        <f t="shared" si="36"/>
        <v>192</v>
      </c>
      <c r="BY29" s="127">
        <f t="shared" si="37"/>
        <v>192</v>
      </c>
      <c r="BZ29" s="127">
        <f t="shared" si="38"/>
        <v>0</v>
      </c>
      <c r="CA29" s="127">
        <f t="shared" si="39"/>
        <v>0</v>
      </c>
      <c r="CB29" s="127">
        <f t="shared" si="40"/>
        <v>0</v>
      </c>
      <c r="CC29" s="127">
        <f t="shared" si="41"/>
        <v>0</v>
      </c>
      <c r="CD29" s="127">
        <f t="shared" si="105"/>
        <v>975.3</v>
      </c>
      <c r="CE29" s="127">
        <f t="shared" si="106"/>
        <v>2118.17</v>
      </c>
      <c r="CF29" s="127">
        <f t="shared" si="107"/>
        <v>3093.4700000000003</v>
      </c>
      <c r="CG29" s="123" t="s">
        <v>466</v>
      </c>
      <c r="CH29" s="129">
        <f t="shared" si="45"/>
        <v>783.3</v>
      </c>
      <c r="CI29" s="129">
        <f t="shared" si="46"/>
        <v>1926.1699999999998</v>
      </c>
      <c r="CJ29" s="129">
        <f t="shared" si="47"/>
        <v>192</v>
      </c>
      <c r="CK29" s="129">
        <f t="shared" si="48"/>
        <v>192</v>
      </c>
      <c r="CL29" s="130">
        <f t="shared" si="103"/>
        <v>2709.47</v>
      </c>
      <c r="CM29" s="130">
        <f t="shared" si="104"/>
        <v>384</v>
      </c>
      <c r="CN29" s="131" t="s">
        <v>479</v>
      </c>
      <c r="CO29" s="50">
        <f t="shared" si="78"/>
        <v>596.79999999999995</v>
      </c>
      <c r="CP29" s="50">
        <f t="shared" si="79"/>
        <v>149.19999999999999</v>
      </c>
      <c r="CQ29" s="50">
        <f t="shared" si="80"/>
        <v>37.299999999999997</v>
      </c>
      <c r="CR29" s="50" t="b">
        <f t="shared" si="81"/>
        <v>1</v>
      </c>
      <c r="CS29" s="119" t="str">
        <f>VLOOKUP(C29,长促工资明细!G:G,1,0)</f>
        <v>鲜秀英</v>
      </c>
    </row>
    <row r="30" spans="1:98" s="50" customFormat="1" ht="26.25" customHeight="1">
      <c r="A30" s="122">
        <v>26</v>
      </c>
      <c r="B30" s="123" t="s">
        <v>465</v>
      </c>
      <c r="C30" s="124" t="s">
        <v>562</v>
      </c>
      <c r="D30" s="125" t="s">
        <v>563</v>
      </c>
      <c r="E30" s="126"/>
      <c r="F30" s="126"/>
      <c r="G30" s="123">
        <v>0</v>
      </c>
      <c r="H30" s="127">
        <v>7460</v>
      </c>
      <c r="I30" s="128">
        <v>16</v>
      </c>
      <c r="J30" s="127">
        <v>1193.5999999999999</v>
      </c>
      <c r="K30" s="127">
        <v>0</v>
      </c>
      <c r="L30" s="128">
        <v>8</v>
      </c>
      <c r="M30" s="127">
        <v>596.79999999999995</v>
      </c>
      <c r="N30" s="127">
        <v>0</v>
      </c>
      <c r="O30" s="127">
        <v>7460</v>
      </c>
      <c r="P30" s="128">
        <v>9</v>
      </c>
      <c r="Q30" s="127"/>
      <c r="R30" s="127">
        <v>671.4</v>
      </c>
      <c r="S30" s="127">
        <v>0</v>
      </c>
      <c r="T30" s="128">
        <v>2</v>
      </c>
      <c r="U30" s="127"/>
      <c r="V30" s="127">
        <v>149.19999999999999</v>
      </c>
      <c r="W30" s="127">
        <v>0</v>
      </c>
      <c r="X30" s="127">
        <v>7460</v>
      </c>
      <c r="Y30" s="128">
        <v>0.5</v>
      </c>
      <c r="Z30" s="127">
        <v>37.299999999999997</v>
      </c>
      <c r="AA30" s="127">
        <v>0</v>
      </c>
      <c r="AB30" s="128">
        <v>0.5</v>
      </c>
      <c r="AC30" s="127">
        <v>37.299999999999997</v>
      </c>
      <c r="AD30" s="127">
        <v>0</v>
      </c>
      <c r="AE30" s="127">
        <v>2740</v>
      </c>
      <c r="AF30" s="128">
        <v>7</v>
      </c>
      <c r="AG30" s="127">
        <v>192</v>
      </c>
      <c r="AH30" s="127">
        <v>0</v>
      </c>
      <c r="AI30" s="128">
        <v>7</v>
      </c>
      <c r="AJ30" s="127">
        <v>192</v>
      </c>
      <c r="AK30" s="127">
        <v>0</v>
      </c>
      <c r="AL30" s="127">
        <v>0</v>
      </c>
      <c r="AM30" s="127">
        <v>0</v>
      </c>
      <c r="AN30" s="127">
        <v>0</v>
      </c>
      <c r="AO30" s="127">
        <v>0</v>
      </c>
      <c r="AP30" s="127">
        <v>0</v>
      </c>
      <c r="AQ30" s="127">
        <v>0</v>
      </c>
      <c r="AR30" s="127"/>
      <c r="AS30" s="127">
        <v>0</v>
      </c>
      <c r="AT30" s="127">
        <v>0</v>
      </c>
      <c r="AU30" s="127">
        <v>0</v>
      </c>
      <c r="AV30" s="127">
        <v>0</v>
      </c>
      <c r="AW30" s="127">
        <v>0</v>
      </c>
      <c r="AX30" s="127">
        <v>0</v>
      </c>
      <c r="AY30" s="127">
        <v>0</v>
      </c>
      <c r="AZ30" s="127"/>
      <c r="BA30" s="127"/>
      <c r="BB30" s="128"/>
      <c r="BC30" s="127">
        <v>0</v>
      </c>
      <c r="BD30" s="127">
        <v>0</v>
      </c>
      <c r="BE30" s="128"/>
      <c r="BF30" s="127">
        <v>0</v>
      </c>
      <c r="BG30" s="127">
        <v>0</v>
      </c>
      <c r="BH30" s="127">
        <v>7460</v>
      </c>
      <c r="BI30" s="128">
        <v>0.32</v>
      </c>
      <c r="BJ30" s="127">
        <v>23.87</v>
      </c>
      <c r="BK30" s="127">
        <v>0</v>
      </c>
      <c r="BL30" s="128"/>
      <c r="BM30" s="127">
        <v>0</v>
      </c>
      <c r="BN30" s="127">
        <v>0</v>
      </c>
      <c r="BO30" s="127"/>
      <c r="BP30" s="128"/>
      <c r="BQ30" s="127">
        <v>0</v>
      </c>
      <c r="BR30" s="127">
        <v>0</v>
      </c>
      <c r="BS30" s="128"/>
      <c r="BT30" s="127">
        <v>0</v>
      </c>
      <c r="BU30" s="127">
        <v>0</v>
      </c>
      <c r="BV30" s="127">
        <f t="shared" si="34"/>
        <v>783.3</v>
      </c>
      <c r="BW30" s="127">
        <f t="shared" si="35"/>
        <v>1926.1699999999998</v>
      </c>
      <c r="BX30" s="127">
        <f t="shared" si="36"/>
        <v>192</v>
      </c>
      <c r="BY30" s="127">
        <f t="shared" si="37"/>
        <v>192</v>
      </c>
      <c r="BZ30" s="127">
        <f t="shared" si="38"/>
        <v>0</v>
      </c>
      <c r="CA30" s="127">
        <f t="shared" si="39"/>
        <v>0</v>
      </c>
      <c r="CB30" s="127">
        <f t="shared" si="40"/>
        <v>0</v>
      </c>
      <c r="CC30" s="127">
        <f t="shared" si="41"/>
        <v>0</v>
      </c>
      <c r="CD30" s="127">
        <f t="shared" si="105"/>
        <v>975.3</v>
      </c>
      <c r="CE30" s="127">
        <f t="shared" si="106"/>
        <v>2118.17</v>
      </c>
      <c r="CF30" s="127">
        <f t="shared" si="107"/>
        <v>3093.4700000000003</v>
      </c>
      <c r="CG30" s="123" t="s">
        <v>466</v>
      </c>
      <c r="CH30" s="129">
        <f t="shared" si="45"/>
        <v>783.3</v>
      </c>
      <c r="CI30" s="129">
        <f t="shared" si="46"/>
        <v>1926.1699999999998</v>
      </c>
      <c r="CJ30" s="129">
        <f t="shared" si="47"/>
        <v>192</v>
      </c>
      <c r="CK30" s="129">
        <f t="shared" si="48"/>
        <v>192</v>
      </c>
      <c r="CL30" s="130">
        <f t="shared" si="103"/>
        <v>2709.47</v>
      </c>
      <c r="CM30" s="130">
        <f t="shared" si="104"/>
        <v>384</v>
      </c>
      <c r="CN30" s="131" t="s">
        <v>479</v>
      </c>
      <c r="CO30" s="50">
        <f t="shared" si="78"/>
        <v>596.79999999999995</v>
      </c>
      <c r="CP30" s="50">
        <f t="shared" si="79"/>
        <v>149.19999999999999</v>
      </c>
      <c r="CQ30" s="50">
        <f t="shared" si="80"/>
        <v>37.299999999999997</v>
      </c>
      <c r="CR30" s="50" t="b">
        <f t="shared" si="81"/>
        <v>1</v>
      </c>
      <c r="CS30" s="119" t="e">
        <f>VLOOKUP(C30,长促工资明细!G:G,1,0)</f>
        <v>#N/A</v>
      </c>
    </row>
    <row r="31" spans="1:98" s="50" customFormat="1" ht="26.25" customHeight="1">
      <c r="A31" s="122">
        <v>27</v>
      </c>
      <c r="B31" s="123" t="s">
        <v>465</v>
      </c>
      <c r="C31" s="124" t="s">
        <v>406</v>
      </c>
      <c r="D31" s="125" t="s">
        <v>407</v>
      </c>
      <c r="E31" s="126" t="str">
        <f>VLOOKUP(D31,长促工资明细!H:P,3,0)</f>
        <v>NKA</v>
      </c>
      <c r="F31" s="126" t="str">
        <f>VLOOKUP(D31,长促工资明细!H:P,7,0)</f>
        <v>大润发三林店</v>
      </c>
      <c r="G31" s="123">
        <v>19.670000000000002</v>
      </c>
      <c r="H31" s="127">
        <v>7460</v>
      </c>
      <c r="I31" s="128">
        <v>16</v>
      </c>
      <c r="J31" s="127">
        <v>1193.5999999999999</v>
      </c>
      <c r="K31" s="127">
        <v>0</v>
      </c>
      <c r="L31" s="128">
        <v>8</v>
      </c>
      <c r="M31" s="127">
        <v>596.79999999999995</v>
      </c>
      <c r="N31" s="127">
        <v>0</v>
      </c>
      <c r="O31" s="127">
        <v>7460</v>
      </c>
      <c r="P31" s="128">
        <v>9</v>
      </c>
      <c r="Q31" s="127"/>
      <c r="R31" s="127">
        <v>671.4</v>
      </c>
      <c r="S31" s="127">
        <v>0</v>
      </c>
      <c r="T31" s="128">
        <v>2</v>
      </c>
      <c r="U31" s="127"/>
      <c r="V31" s="127">
        <v>149.19999999999999</v>
      </c>
      <c r="W31" s="127">
        <v>0</v>
      </c>
      <c r="X31" s="127">
        <v>7460</v>
      </c>
      <c r="Y31" s="128">
        <v>0.5</v>
      </c>
      <c r="Z31" s="127">
        <v>37.299999999999997</v>
      </c>
      <c r="AA31" s="127">
        <v>0</v>
      </c>
      <c r="AB31" s="128">
        <v>0.5</v>
      </c>
      <c r="AC31" s="127">
        <v>37.299999999999997</v>
      </c>
      <c r="AD31" s="127">
        <v>0</v>
      </c>
      <c r="AE31" s="127">
        <v>2690</v>
      </c>
      <c r="AF31" s="128">
        <v>7</v>
      </c>
      <c r="AG31" s="127">
        <v>188</v>
      </c>
      <c r="AH31" s="127">
        <v>0</v>
      </c>
      <c r="AI31" s="128">
        <v>7</v>
      </c>
      <c r="AJ31" s="127">
        <v>188</v>
      </c>
      <c r="AK31" s="127">
        <v>0</v>
      </c>
      <c r="AL31" s="127">
        <v>0</v>
      </c>
      <c r="AM31" s="127">
        <v>0</v>
      </c>
      <c r="AN31" s="127">
        <v>0</v>
      </c>
      <c r="AO31" s="127">
        <v>0</v>
      </c>
      <c r="AP31" s="127">
        <v>0</v>
      </c>
      <c r="AQ31" s="127">
        <v>0</v>
      </c>
      <c r="AR31" s="127"/>
      <c r="AS31" s="127">
        <v>0</v>
      </c>
      <c r="AT31" s="127">
        <v>0</v>
      </c>
      <c r="AU31" s="127">
        <v>0</v>
      </c>
      <c r="AV31" s="127">
        <v>0</v>
      </c>
      <c r="AW31" s="127">
        <v>0</v>
      </c>
      <c r="AX31" s="127">
        <v>0</v>
      </c>
      <c r="AY31" s="127">
        <v>0</v>
      </c>
      <c r="AZ31" s="127"/>
      <c r="BA31" s="127"/>
      <c r="BB31" s="128"/>
      <c r="BC31" s="127">
        <v>0</v>
      </c>
      <c r="BD31" s="127">
        <v>0</v>
      </c>
      <c r="BE31" s="128"/>
      <c r="BF31" s="127">
        <v>0</v>
      </c>
      <c r="BG31" s="127">
        <v>0</v>
      </c>
      <c r="BH31" s="127">
        <v>7460</v>
      </c>
      <c r="BI31" s="128">
        <v>0.32</v>
      </c>
      <c r="BJ31" s="127">
        <v>23.87</v>
      </c>
      <c r="BK31" s="127">
        <v>0</v>
      </c>
      <c r="BL31" s="128"/>
      <c r="BM31" s="127">
        <v>0</v>
      </c>
      <c r="BN31" s="127">
        <v>0</v>
      </c>
      <c r="BO31" s="127"/>
      <c r="BP31" s="128"/>
      <c r="BQ31" s="127">
        <v>0</v>
      </c>
      <c r="BR31" s="127">
        <v>0</v>
      </c>
      <c r="BS31" s="128"/>
      <c r="BT31" s="127">
        <v>0</v>
      </c>
      <c r="BU31" s="127">
        <v>0</v>
      </c>
      <c r="BV31" s="127">
        <f t="shared" si="34"/>
        <v>783.3</v>
      </c>
      <c r="BW31" s="127">
        <f t="shared" si="35"/>
        <v>1926.1699999999998</v>
      </c>
      <c r="BX31" s="127">
        <f t="shared" si="36"/>
        <v>188</v>
      </c>
      <c r="BY31" s="127">
        <f t="shared" si="37"/>
        <v>188</v>
      </c>
      <c r="BZ31" s="127">
        <f t="shared" si="38"/>
        <v>0</v>
      </c>
      <c r="CA31" s="127">
        <f t="shared" si="39"/>
        <v>0</v>
      </c>
      <c r="CB31" s="127">
        <f t="shared" si="40"/>
        <v>0</v>
      </c>
      <c r="CC31" s="127">
        <f t="shared" si="41"/>
        <v>0</v>
      </c>
      <c r="CD31" s="127">
        <f t="shared" si="105"/>
        <v>971.3</v>
      </c>
      <c r="CE31" s="127">
        <f t="shared" si="106"/>
        <v>2114.17</v>
      </c>
      <c r="CF31" s="127">
        <f t="shared" si="107"/>
        <v>3085.4700000000003</v>
      </c>
      <c r="CG31" s="123" t="s">
        <v>466</v>
      </c>
      <c r="CH31" s="129">
        <f t="shared" si="45"/>
        <v>783.3</v>
      </c>
      <c r="CI31" s="129">
        <f t="shared" si="46"/>
        <v>1926.1699999999998</v>
      </c>
      <c r="CJ31" s="129">
        <f t="shared" si="47"/>
        <v>188</v>
      </c>
      <c r="CK31" s="129">
        <f t="shared" si="48"/>
        <v>188</v>
      </c>
      <c r="CL31" s="130">
        <f t="shared" ref="CL31" si="108">CH31+CI31</f>
        <v>2709.47</v>
      </c>
      <c r="CM31" s="130">
        <f t="shared" ref="CM31" si="109">CJ31+CK31</f>
        <v>376</v>
      </c>
      <c r="CN31" s="131" t="s">
        <v>479</v>
      </c>
      <c r="CO31" s="50">
        <f t="shared" ref="CO31" si="110">N31+M31</f>
        <v>596.79999999999995</v>
      </c>
      <c r="CP31" s="50">
        <f t="shared" ref="CP31" si="111">V31+W31+AN31+AO31</f>
        <v>149.19999999999999</v>
      </c>
      <c r="CQ31" s="50">
        <f t="shared" ref="CQ31" si="112">AD31+AC31</f>
        <v>37.299999999999997</v>
      </c>
      <c r="CR31" s="50" t="b">
        <f t="shared" ref="CR31" si="113">CQ31+CP31+CO31=CH31</f>
        <v>1</v>
      </c>
      <c r="CS31" s="119" t="str">
        <f>VLOOKUP(C31,长促工资明细!G:G,1,0)</f>
        <v>严洪玉</v>
      </c>
    </row>
    <row r="32" spans="1:98" s="50" customFormat="1" ht="26.25" customHeight="1">
      <c r="A32" s="122">
        <v>28</v>
      </c>
      <c r="B32" s="123" t="s">
        <v>465</v>
      </c>
      <c r="C32" s="124" t="s">
        <v>420</v>
      </c>
      <c r="D32" s="125" t="s">
        <v>457</v>
      </c>
      <c r="E32" s="126" t="str">
        <f>VLOOKUP(D32,长促工资明细!H:P,3,0)</f>
        <v>NKA</v>
      </c>
      <c r="F32" s="126" t="str">
        <f>VLOOKUP(D32,长促工资明细!H:P,7,0)</f>
        <v>大润发杨浦店</v>
      </c>
      <c r="G32" s="123">
        <v>19.670000000000002</v>
      </c>
      <c r="H32" s="127">
        <v>7460</v>
      </c>
      <c r="I32" s="128">
        <v>16</v>
      </c>
      <c r="J32" s="127">
        <v>1193.5999999999999</v>
      </c>
      <c r="K32" s="127">
        <v>0</v>
      </c>
      <c r="L32" s="128">
        <v>8</v>
      </c>
      <c r="M32" s="127">
        <v>596.79999999999995</v>
      </c>
      <c r="N32" s="127">
        <v>0</v>
      </c>
      <c r="O32" s="127">
        <v>7460</v>
      </c>
      <c r="P32" s="128">
        <v>9</v>
      </c>
      <c r="Q32" s="127"/>
      <c r="R32" s="127">
        <v>671.4</v>
      </c>
      <c r="S32" s="127">
        <v>0</v>
      </c>
      <c r="T32" s="128">
        <v>2</v>
      </c>
      <c r="U32" s="127"/>
      <c r="V32" s="127">
        <v>149.19999999999999</v>
      </c>
      <c r="W32" s="127">
        <v>0</v>
      </c>
      <c r="X32" s="127">
        <v>7460</v>
      </c>
      <c r="Y32" s="128">
        <v>0.5</v>
      </c>
      <c r="Z32" s="127">
        <v>37.299999999999997</v>
      </c>
      <c r="AA32" s="127">
        <v>0</v>
      </c>
      <c r="AB32" s="128">
        <v>0.5</v>
      </c>
      <c r="AC32" s="127">
        <v>37.299999999999997</v>
      </c>
      <c r="AD32" s="127">
        <v>0</v>
      </c>
      <c r="AE32" s="127">
        <v>2690</v>
      </c>
      <c r="AF32" s="128">
        <v>7</v>
      </c>
      <c r="AG32" s="127">
        <v>188</v>
      </c>
      <c r="AH32" s="127">
        <v>0</v>
      </c>
      <c r="AI32" s="128">
        <v>7</v>
      </c>
      <c r="AJ32" s="127">
        <v>188</v>
      </c>
      <c r="AK32" s="127">
        <v>0</v>
      </c>
      <c r="AL32" s="127">
        <v>0</v>
      </c>
      <c r="AM32" s="127">
        <v>0</v>
      </c>
      <c r="AN32" s="127">
        <v>0</v>
      </c>
      <c r="AO32" s="127">
        <v>0</v>
      </c>
      <c r="AP32" s="127">
        <v>0</v>
      </c>
      <c r="AQ32" s="127">
        <v>0</v>
      </c>
      <c r="AR32" s="127"/>
      <c r="AS32" s="127">
        <v>0</v>
      </c>
      <c r="AT32" s="127">
        <v>0</v>
      </c>
      <c r="AU32" s="127">
        <v>0</v>
      </c>
      <c r="AV32" s="127">
        <v>0</v>
      </c>
      <c r="AW32" s="127">
        <v>0</v>
      </c>
      <c r="AX32" s="127">
        <v>0</v>
      </c>
      <c r="AY32" s="127">
        <v>0</v>
      </c>
      <c r="AZ32" s="127"/>
      <c r="BA32" s="127"/>
      <c r="BB32" s="128"/>
      <c r="BC32" s="127">
        <v>0</v>
      </c>
      <c r="BD32" s="127">
        <v>0</v>
      </c>
      <c r="BE32" s="128"/>
      <c r="BF32" s="127">
        <v>0</v>
      </c>
      <c r="BG32" s="127">
        <v>0</v>
      </c>
      <c r="BH32" s="127">
        <v>7460</v>
      </c>
      <c r="BI32" s="128">
        <v>0.32</v>
      </c>
      <c r="BJ32" s="127">
        <v>23.87</v>
      </c>
      <c r="BK32" s="127">
        <v>0</v>
      </c>
      <c r="BL32" s="128"/>
      <c r="BM32" s="127">
        <v>0</v>
      </c>
      <c r="BN32" s="127">
        <v>0</v>
      </c>
      <c r="BO32" s="127"/>
      <c r="BP32" s="128"/>
      <c r="BQ32" s="127">
        <v>0</v>
      </c>
      <c r="BR32" s="127">
        <v>0</v>
      </c>
      <c r="BS32" s="128"/>
      <c r="BT32" s="127">
        <v>0</v>
      </c>
      <c r="BU32" s="127">
        <v>0</v>
      </c>
      <c r="BV32" s="127">
        <f t="shared" si="34"/>
        <v>783.3</v>
      </c>
      <c r="BW32" s="127">
        <f t="shared" si="35"/>
        <v>1926.1699999999998</v>
      </c>
      <c r="BX32" s="127">
        <f t="shared" si="36"/>
        <v>188</v>
      </c>
      <c r="BY32" s="127">
        <f t="shared" si="37"/>
        <v>188</v>
      </c>
      <c r="BZ32" s="127">
        <f t="shared" si="38"/>
        <v>0</v>
      </c>
      <c r="CA32" s="127">
        <f t="shared" si="39"/>
        <v>0</v>
      </c>
      <c r="CB32" s="127">
        <f t="shared" si="40"/>
        <v>0</v>
      </c>
      <c r="CC32" s="127">
        <f t="shared" si="41"/>
        <v>0</v>
      </c>
      <c r="CD32" s="127">
        <f t="shared" si="105"/>
        <v>971.3</v>
      </c>
      <c r="CE32" s="127">
        <f t="shared" si="106"/>
        <v>2114.17</v>
      </c>
      <c r="CF32" s="127">
        <f t="shared" si="107"/>
        <v>3085.4700000000003</v>
      </c>
      <c r="CG32" s="123" t="s">
        <v>466</v>
      </c>
      <c r="CH32" s="129">
        <f t="shared" si="45"/>
        <v>783.3</v>
      </c>
      <c r="CI32" s="129">
        <f t="shared" si="46"/>
        <v>1926.1699999999998</v>
      </c>
      <c r="CJ32" s="129">
        <f t="shared" si="47"/>
        <v>188</v>
      </c>
      <c r="CK32" s="129">
        <f t="shared" si="48"/>
        <v>188</v>
      </c>
      <c r="CL32" s="130">
        <f t="shared" ref="CL32:CL33" si="114">CH32+CI32</f>
        <v>2709.47</v>
      </c>
      <c r="CM32" s="130">
        <f t="shared" ref="CM32:CM33" si="115">CJ32+CK32</f>
        <v>376</v>
      </c>
      <c r="CN32" s="131" t="s">
        <v>479</v>
      </c>
      <c r="CO32" s="50">
        <f t="shared" ref="CO32" si="116">N32+M32</f>
        <v>596.79999999999995</v>
      </c>
      <c r="CP32" s="50">
        <f t="shared" ref="CP32" si="117">V32+W32+AN32+AO32</f>
        <v>149.19999999999999</v>
      </c>
      <c r="CQ32" s="50">
        <f t="shared" ref="CQ32" si="118">AD32+AC32</f>
        <v>37.299999999999997</v>
      </c>
      <c r="CR32" s="50" t="b">
        <f t="shared" ref="CR32" si="119">CQ32+CP32+CO32=CH32</f>
        <v>1</v>
      </c>
      <c r="CS32" s="119" t="str">
        <f>VLOOKUP(C32,长促工资明细!G:G,1,0)</f>
        <v>姚友美</v>
      </c>
    </row>
    <row r="33" spans="1:97" s="50" customFormat="1" ht="26.25" customHeight="1">
      <c r="A33" s="122">
        <v>29</v>
      </c>
      <c r="B33" s="123" t="s">
        <v>465</v>
      </c>
      <c r="C33" s="126" t="s">
        <v>509</v>
      </c>
      <c r="D33" s="125" t="s">
        <v>510</v>
      </c>
      <c r="E33" s="126" t="str">
        <f>VLOOKUP(D33,长促工资明细!H:P,3,0)</f>
        <v>NKA</v>
      </c>
      <c r="F33" s="126" t="str">
        <f>VLOOKUP(D33,长促工资明细!H:P,7,0)</f>
        <v>大润发奉贤店</v>
      </c>
      <c r="G33" s="123">
        <v>19.670000000000002</v>
      </c>
      <c r="H33" s="133">
        <v>7460</v>
      </c>
      <c r="I33" s="134">
        <v>16</v>
      </c>
      <c r="J33" s="133">
        <v>1193.5999999999999</v>
      </c>
      <c r="K33" s="133">
        <v>0</v>
      </c>
      <c r="L33" s="134">
        <v>8</v>
      </c>
      <c r="M33" s="133">
        <v>596.79999999999995</v>
      </c>
      <c r="N33" s="133">
        <v>0</v>
      </c>
      <c r="O33" s="133">
        <v>7460</v>
      </c>
      <c r="P33" s="134">
        <v>9</v>
      </c>
      <c r="Q33" s="133"/>
      <c r="R33" s="133">
        <v>671.4</v>
      </c>
      <c r="S33" s="133">
        <v>0</v>
      </c>
      <c r="T33" s="134">
        <v>2</v>
      </c>
      <c r="U33" s="133"/>
      <c r="V33" s="133">
        <v>149.19999999999999</v>
      </c>
      <c r="W33" s="133">
        <v>0</v>
      </c>
      <c r="X33" s="133">
        <v>7460</v>
      </c>
      <c r="Y33" s="134">
        <v>0.5</v>
      </c>
      <c r="Z33" s="133">
        <v>37.299999999999997</v>
      </c>
      <c r="AA33" s="133">
        <v>0</v>
      </c>
      <c r="AB33" s="134">
        <v>0.5</v>
      </c>
      <c r="AC33" s="133">
        <v>37.299999999999997</v>
      </c>
      <c r="AD33" s="133">
        <v>0</v>
      </c>
      <c r="AE33" s="133">
        <v>2740</v>
      </c>
      <c r="AF33" s="134">
        <v>7</v>
      </c>
      <c r="AG33" s="133">
        <v>192</v>
      </c>
      <c r="AH33" s="133">
        <v>0</v>
      </c>
      <c r="AI33" s="134">
        <v>7</v>
      </c>
      <c r="AJ33" s="133">
        <v>192</v>
      </c>
      <c r="AK33" s="133">
        <v>0</v>
      </c>
      <c r="AL33" s="133">
        <v>0</v>
      </c>
      <c r="AM33" s="133">
        <v>0</v>
      </c>
      <c r="AN33" s="133">
        <v>0</v>
      </c>
      <c r="AO33" s="133">
        <v>0</v>
      </c>
      <c r="AP33" s="133">
        <v>0</v>
      </c>
      <c r="AQ33" s="133">
        <v>0</v>
      </c>
      <c r="AR33" s="133"/>
      <c r="AS33" s="133">
        <v>0</v>
      </c>
      <c r="AT33" s="133">
        <v>0</v>
      </c>
      <c r="AU33" s="133">
        <v>0</v>
      </c>
      <c r="AV33" s="133">
        <v>0</v>
      </c>
      <c r="AW33" s="133">
        <v>0</v>
      </c>
      <c r="AX33" s="133">
        <v>0</v>
      </c>
      <c r="AY33" s="133">
        <v>0</v>
      </c>
      <c r="AZ33" s="133"/>
      <c r="BA33" s="133"/>
      <c r="BB33" s="134"/>
      <c r="BC33" s="133">
        <v>0</v>
      </c>
      <c r="BD33" s="133">
        <v>0</v>
      </c>
      <c r="BE33" s="134"/>
      <c r="BF33" s="133">
        <v>0</v>
      </c>
      <c r="BG33" s="133">
        <v>0</v>
      </c>
      <c r="BH33" s="133">
        <v>7460</v>
      </c>
      <c r="BI33" s="134">
        <v>0.32</v>
      </c>
      <c r="BJ33" s="133">
        <v>23.87</v>
      </c>
      <c r="BK33" s="133">
        <v>0</v>
      </c>
      <c r="BL33" s="134"/>
      <c r="BM33" s="133">
        <v>0</v>
      </c>
      <c r="BN33" s="133">
        <v>0</v>
      </c>
      <c r="BO33" s="133"/>
      <c r="BP33" s="134"/>
      <c r="BQ33" s="133">
        <v>0</v>
      </c>
      <c r="BR33" s="133">
        <v>0</v>
      </c>
      <c r="BS33" s="134"/>
      <c r="BT33" s="133">
        <v>0</v>
      </c>
      <c r="BU33" s="133">
        <v>0</v>
      </c>
      <c r="BV33" s="127">
        <f t="shared" si="34"/>
        <v>783.3</v>
      </c>
      <c r="BW33" s="127">
        <f t="shared" si="35"/>
        <v>1926.1699999999998</v>
      </c>
      <c r="BX33" s="127">
        <f t="shared" si="36"/>
        <v>192</v>
      </c>
      <c r="BY33" s="127">
        <f t="shared" si="37"/>
        <v>192</v>
      </c>
      <c r="BZ33" s="127">
        <f t="shared" si="38"/>
        <v>0</v>
      </c>
      <c r="CA33" s="127">
        <f t="shared" si="39"/>
        <v>0</v>
      </c>
      <c r="CB33" s="127">
        <f t="shared" si="40"/>
        <v>0</v>
      </c>
      <c r="CC33" s="127">
        <f t="shared" si="41"/>
        <v>0</v>
      </c>
      <c r="CD33" s="127">
        <f t="shared" ref="CD33" si="120">BV33+BX33+BZ33+CB33</f>
        <v>975.3</v>
      </c>
      <c r="CE33" s="127">
        <f t="shared" ref="CE33" si="121">BW33+BY33+CA33+CC33</f>
        <v>2118.17</v>
      </c>
      <c r="CF33" s="127">
        <f t="shared" ref="CF33" si="122">CD33+CE33</f>
        <v>3093.4700000000003</v>
      </c>
      <c r="CG33" s="135" t="s">
        <v>466</v>
      </c>
      <c r="CH33" s="136">
        <f t="shared" si="45"/>
        <v>783.3</v>
      </c>
      <c r="CI33" s="136">
        <f t="shared" si="46"/>
        <v>1926.1699999999998</v>
      </c>
      <c r="CJ33" s="136">
        <f t="shared" si="47"/>
        <v>192</v>
      </c>
      <c r="CK33" s="136">
        <f t="shared" si="48"/>
        <v>192</v>
      </c>
      <c r="CL33" s="130">
        <f t="shared" si="114"/>
        <v>2709.47</v>
      </c>
      <c r="CM33" s="130">
        <f t="shared" si="115"/>
        <v>384</v>
      </c>
      <c r="CN33" s="131" t="s">
        <v>479</v>
      </c>
      <c r="CS33" s="119" t="str">
        <f>VLOOKUP(C33,长促工资明细!G:G,1,0)</f>
        <v>姚玉环</v>
      </c>
    </row>
    <row r="34" spans="1:97" s="50" customFormat="1" ht="26.25" customHeight="1">
      <c r="A34" s="122">
        <v>30</v>
      </c>
      <c r="B34" s="123" t="s">
        <v>465</v>
      </c>
      <c r="C34" s="126" t="s">
        <v>422</v>
      </c>
      <c r="D34" s="125" t="s">
        <v>423</v>
      </c>
      <c r="E34" s="126" t="str">
        <f>VLOOKUP(D34,长促工资明细!H:P,3,0)</f>
        <v>NKA</v>
      </c>
      <c r="F34" s="126" t="str">
        <f>VLOOKUP(D34,长促工资明细!H:P,7,0)</f>
        <v>大润发华漕店</v>
      </c>
      <c r="G34" s="123">
        <v>19.670000000000002</v>
      </c>
      <c r="H34" s="133">
        <v>7460</v>
      </c>
      <c r="I34" s="134">
        <v>16</v>
      </c>
      <c r="J34" s="133">
        <v>1193.5999999999999</v>
      </c>
      <c r="K34" s="133">
        <v>0</v>
      </c>
      <c r="L34" s="134">
        <v>8</v>
      </c>
      <c r="M34" s="133">
        <v>596.79999999999995</v>
      </c>
      <c r="N34" s="133">
        <v>0</v>
      </c>
      <c r="O34" s="133">
        <v>7460</v>
      </c>
      <c r="P34" s="134">
        <v>9</v>
      </c>
      <c r="Q34" s="133"/>
      <c r="R34" s="133">
        <v>671.4</v>
      </c>
      <c r="S34" s="133">
        <v>0</v>
      </c>
      <c r="T34" s="134">
        <v>2</v>
      </c>
      <c r="U34" s="133"/>
      <c r="V34" s="133">
        <v>149.19999999999999</v>
      </c>
      <c r="W34" s="133">
        <v>0</v>
      </c>
      <c r="X34" s="133">
        <v>7460</v>
      </c>
      <c r="Y34" s="134">
        <v>0.5</v>
      </c>
      <c r="Z34" s="133">
        <v>37.299999999999997</v>
      </c>
      <c r="AA34" s="133">
        <v>0</v>
      </c>
      <c r="AB34" s="134">
        <v>0.5</v>
      </c>
      <c r="AC34" s="133">
        <v>37.299999999999997</v>
      </c>
      <c r="AD34" s="133">
        <v>0</v>
      </c>
      <c r="AE34" s="133">
        <v>2690</v>
      </c>
      <c r="AF34" s="134">
        <v>7</v>
      </c>
      <c r="AG34" s="133">
        <v>188</v>
      </c>
      <c r="AH34" s="133">
        <v>0</v>
      </c>
      <c r="AI34" s="134">
        <v>7</v>
      </c>
      <c r="AJ34" s="133">
        <v>188</v>
      </c>
      <c r="AK34" s="133">
        <v>0</v>
      </c>
      <c r="AL34" s="133">
        <v>0</v>
      </c>
      <c r="AM34" s="133">
        <v>0</v>
      </c>
      <c r="AN34" s="133">
        <v>0</v>
      </c>
      <c r="AO34" s="133">
        <v>0</v>
      </c>
      <c r="AP34" s="133">
        <v>0</v>
      </c>
      <c r="AQ34" s="133">
        <v>0</v>
      </c>
      <c r="AR34" s="133"/>
      <c r="AS34" s="133">
        <v>0</v>
      </c>
      <c r="AT34" s="133">
        <v>0</v>
      </c>
      <c r="AU34" s="133">
        <v>0</v>
      </c>
      <c r="AV34" s="133">
        <v>0</v>
      </c>
      <c r="AW34" s="133">
        <v>0</v>
      </c>
      <c r="AX34" s="133">
        <v>0</v>
      </c>
      <c r="AY34" s="133">
        <v>0</v>
      </c>
      <c r="AZ34" s="133"/>
      <c r="BA34" s="133"/>
      <c r="BB34" s="134"/>
      <c r="BC34" s="133">
        <v>0</v>
      </c>
      <c r="BD34" s="133">
        <v>0</v>
      </c>
      <c r="BE34" s="134"/>
      <c r="BF34" s="133">
        <v>0</v>
      </c>
      <c r="BG34" s="133">
        <v>0</v>
      </c>
      <c r="BH34" s="133">
        <v>7460</v>
      </c>
      <c r="BI34" s="134">
        <v>0.32</v>
      </c>
      <c r="BJ34" s="133">
        <v>23.87</v>
      </c>
      <c r="BK34" s="133">
        <v>0</v>
      </c>
      <c r="BL34" s="134"/>
      <c r="BM34" s="133">
        <v>0</v>
      </c>
      <c r="BN34" s="133">
        <v>0</v>
      </c>
      <c r="BO34" s="133"/>
      <c r="BP34" s="134"/>
      <c r="BQ34" s="133">
        <v>0</v>
      </c>
      <c r="BR34" s="133">
        <v>0</v>
      </c>
      <c r="BS34" s="134"/>
      <c r="BT34" s="133">
        <v>0</v>
      </c>
      <c r="BU34" s="133">
        <v>0</v>
      </c>
      <c r="BV34" s="127">
        <f t="shared" ref="BV34" si="123">M34+V34+AC34+AN34+AX34+BF34+BM34</f>
        <v>783.3</v>
      </c>
      <c r="BW34" s="127">
        <f t="shared" ref="BW34" si="124">BJ34+BC34+AV34+AT34+AR34+AP34+AL34+Z34+R34+J34</f>
        <v>1926.1699999999998</v>
      </c>
      <c r="BX34" s="127">
        <f t="shared" ref="BX34" si="125">AJ34</f>
        <v>188</v>
      </c>
      <c r="BY34" s="127">
        <f t="shared" ref="BY34" si="126">AG34</f>
        <v>188</v>
      </c>
      <c r="BZ34" s="127">
        <f t="shared" ref="BZ34" si="127">N34+W34+AD34+AO34+AY34+BG34+BN34</f>
        <v>0</v>
      </c>
      <c r="CA34" s="127">
        <f t="shared" ref="CA34" si="128">K34+S34+AA34+AM34+AQ34+AS34+AU34+AW34+BD34+BK34+BR34</f>
        <v>0</v>
      </c>
      <c r="CB34" s="127">
        <f t="shared" ref="CB34" si="129">BU34+AK34</f>
        <v>0</v>
      </c>
      <c r="CC34" s="127">
        <f t="shared" ref="CC34" si="130">BR34+AH34</f>
        <v>0</v>
      </c>
      <c r="CD34" s="127">
        <f t="shared" si="105"/>
        <v>971.3</v>
      </c>
      <c r="CE34" s="127">
        <f t="shared" si="106"/>
        <v>2114.17</v>
      </c>
      <c r="CF34" s="127">
        <f t="shared" si="107"/>
        <v>3085.4700000000003</v>
      </c>
      <c r="CG34" s="135" t="s">
        <v>466</v>
      </c>
      <c r="CH34" s="136">
        <f t="shared" ref="CH34" si="131">BV34+BZ34</f>
        <v>783.3</v>
      </c>
      <c r="CI34" s="136">
        <f t="shared" ref="CI34" si="132">BW34+CA34</f>
        <v>1926.1699999999998</v>
      </c>
      <c r="CJ34" s="136">
        <f t="shared" ref="CJ34" si="133">BX34+CB34</f>
        <v>188</v>
      </c>
      <c r="CK34" s="136">
        <f t="shared" ref="CK34" si="134">BY34+CC34</f>
        <v>188</v>
      </c>
      <c r="CL34" s="130">
        <f t="shared" ref="CL34" si="135">CH34+CI34</f>
        <v>2709.47</v>
      </c>
      <c r="CM34" s="130">
        <f t="shared" ref="CM34:CM36" si="136">CJ34+CK34</f>
        <v>376</v>
      </c>
      <c r="CN34" s="131" t="s">
        <v>479</v>
      </c>
      <c r="CS34" s="119" t="str">
        <f>VLOOKUP(C34,长促工资明细!G:G,1,0)</f>
        <v>张孝娟</v>
      </c>
    </row>
    <row r="35" spans="1:97" s="50" customFormat="1" ht="26.25" customHeight="1">
      <c r="A35" s="122">
        <v>31</v>
      </c>
      <c r="B35" s="123" t="s">
        <v>465</v>
      </c>
      <c r="C35" s="126" t="s">
        <v>85</v>
      </c>
      <c r="D35" s="125" t="s">
        <v>86</v>
      </c>
      <c r="E35" s="126" t="str">
        <f>VLOOKUP(D35,长促工资明细!H:P,3,0)</f>
        <v>NKA</v>
      </c>
      <c r="F35" s="126" t="str">
        <f>VLOOKUP(D35,长促工资明细!H:P,7,0)</f>
        <v>大润发曹安店</v>
      </c>
      <c r="G35" s="123">
        <v>19.670000000000002</v>
      </c>
      <c r="H35" s="133">
        <v>7460</v>
      </c>
      <c r="I35" s="134">
        <v>16</v>
      </c>
      <c r="J35" s="133">
        <v>1193.5999999999999</v>
      </c>
      <c r="K35" s="133">
        <v>0</v>
      </c>
      <c r="L35" s="134">
        <v>8</v>
      </c>
      <c r="M35" s="133">
        <v>596.79999999999995</v>
      </c>
      <c r="N35" s="133">
        <v>0</v>
      </c>
      <c r="O35" s="133">
        <v>7460</v>
      </c>
      <c r="P35" s="134">
        <v>9</v>
      </c>
      <c r="Q35" s="133"/>
      <c r="R35" s="133">
        <v>671.4</v>
      </c>
      <c r="S35" s="133">
        <v>0</v>
      </c>
      <c r="T35" s="134">
        <v>2</v>
      </c>
      <c r="U35" s="133"/>
      <c r="V35" s="133">
        <v>149.19999999999999</v>
      </c>
      <c r="W35" s="133">
        <v>0</v>
      </c>
      <c r="X35" s="133">
        <v>7460</v>
      </c>
      <c r="Y35" s="134">
        <v>0.5</v>
      </c>
      <c r="Z35" s="133">
        <v>37.299999999999997</v>
      </c>
      <c r="AA35" s="133">
        <v>0</v>
      </c>
      <c r="AB35" s="134">
        <v>0.5</v>
      </c>
      <c r="AC35" s="133">
        <v>37.299999999999997</v>
      </c>
      <c r="AD35" s="133">
        <v>0</v>
      </c>
      <c r="AE35" s="133">
        <v>2690</v>
      </c>
      <c r="AF35" s="134">
        <v>7</v>
      </c>
      <c r="AG35" s="133">
        <v>188</v>
      </c>
      <c r="AH35" s="133">
        <v>0</v>
      </c>
      <c r="AI35" s="134">
        <v>7</v>
      </c>
      <c r="AJ35" s="133">
        <v>188</v>
      </c>
      <c r="AK35" s="133">
        <v>0</v>
      </c>
      <c r="AL35" s="133">
        <v>0</v>
      </c>
      <c r="AM35" s="133">
        <v>0</v>
      </c>
      <c r="AN35" s="133">
        <v>0</v>
      </c>
      <c r="AO35" s="133">
        <v>0</v>
      </c>
      <c r="AP35" s="133">
        <v>0</v>
      </c>
      <c r="AQ35" s="133">
        <v>0</v>
      </c>
      <c r="AR35" s="133"/>
      <c r="AS35" s="133">
        <v>0</v>
      </c>
      <c r="AT35" s="133">
        <v>0</v>
      </c>
      <c r="AU35" s="133">
        <v>0</v>
      </c>
      <c r="AV35" s="133">
        <v>0</v>
      </c>
      <c r="AW35" s="133">
        <v>0</v>
      </c>
      <c r="AX35" s="133">
        <v>0</v>
      </c>
      <c r="AY35" s="133">
        <v>0</v>
      </c>
      <c r="AZ35" s="133"/>
      <c r="BA35" s="133"/>
      <c r="BB35" s="134"/>
      <c r="BC35" s="133">
        <v>0</v>
      </c>
      <c r="BD35" s="133">
        <v>0</v>
      </c>
      <c r="BE35" s="134"/>
      <c r="BF35" s="133">
        <v>0</v>
      </c>
      <c r="BG35" s="133">
        <v>0</v>
      </c>
      <c r="BH35" s="133">
        <v>7460</v>
      </c>
      <c r="BI35" s="134">
        <v>0.32</v>
      </c>
      <c r="BJ35" s="133">
        <v>23.87</v>
      </c>
      <c r="BK35" s="133">
        <v>0</v>
      </c>
      <c r="BL35" s="134"/>
      <c r="BM35" s="133">
        <v>0</v>
      </c>
      <c r="BN35" s="133">
        <v>0</v>
      </c>
      <c r="BO35" s="133"/>
      <c r="BP35" s="134"/>
      <c r="BQ35" s="133">
        <v>0</v>
      </c>
      <c r="BR35" s="133">
        <v>0</v>
      </c>
      <c r="BS35" s="134"/>
      <c r="BT35" s="133">
        <v>0</v>
      </c>
      <c r="BU35" s="133">
        <v>0</v>
      </c>
      <c r="BV35" s="127">
        <f t="shared" ref="BV35" si="137">M35+V35+AC35+AN35+AX35+BF35+BM35</f>
        <v>783.3</v>
      </c>
      <c r="BW35" s="127">
        <f t="shared" ref="BW35" si="138">BJ35+BC35+AV35+AT35+AR35+AP35+AL35+Z35+R35+J35</f>
        <v>1926.1699999999998</v>
      </c>
      <c r="BX35" s="127">
        <f t="shared" ref="BX35" si="139">AJ35</f>
        <v>188</v>
      </c>
      <c r="BY35" s="127">
        <f t="shared" ref="BY35" si="140">AG35</f>
        <v>188</v>
      </c>
      <c r="BZ35" s="127">
        <f t="shared" ref="BZ35" si="141">N35+W35+AD35+AO35+AY35+BG35+BN35</f>
        <v>0</v>
      </c>
      <c r="CA35" s="127">
        <f t="shared" ref="CA35" si="142">K35+S35+AA35+AM35+AQ35+AS35+AU35+AW35+BD35+BK35+BR35</f>
        <v>0</v>
      </c>
      <c r="CB35" s="127">
        <f t="shared" ref="CB35" si="143">BU35+AK35</f>
        <v>0</v>
      </c>
      <c r="CC35" s="127">
        <f t="shared" ref="CC35" si="144">BR35+AH35</f>
        <v>0</v>
      </c>
      <c r="CD35" s="127">
        <f t="shared" si="105"/>
        <v>971.3</v>
      </c>
      <c r="CE35" s="127">
        <f t="shared" si="106"/>
        <v>2114.17</v>
      </c>
      <c r="CF35" s="127">
        <f t="shared" si="107"/>
        <v>3085.4700000000003</v>
      </c>
      <c r="CG35" s="135" t="s">
        <v>466</v>
      </c>
      <c r="CH35" s="136">
        <f t="shared" ref="CH35:CH37" si="145">BV35+BZ35</f>
        <v>783.3</v>
      </c>
      <c r="CI35" s="136">
        <f t="shared" ref="CI35:CI37" si="146">BW35+CA35</f>
        <v>1926.1699999999998</v>
      </c>
      <c r="CJ35" s="136">
        <f t="shared" ref="CJ35:CJ37" si="147">BX35+CB35</f>
        <v>188</v>
      </c>
      <c r="CK35" s="136">
        <f t="shared" ref="CK35:CK37" si="148">BY35+CC35</f>
        <v>188</v>
      </c>
      <c r="CL35" s="130">
        <f t="shared" ref="CL35:CL37" si="149">CH35+CI35</f>
        <v>2709.47</v>
      </c>
      <c r="CM35" s="130">
        <f t="shared" si="136"/>
        <v>376</v>
      </c>
      <c r="CN35" s="131" t="s">
        <v>479</v>
      </c>
      <c r="CS35" s="119" t="str">
        <f>VLOOKUP(C35,长促工资明细!G:G,1,0)</f>
        <v>赵志炜</v>
      </c>
    </row>
    <row r="36" spans="1:97" s="50" customFormat="1" ht="26.25" customHeight="1">
      <c r="A36" s="122">
        <v>32</v>
      </c>
      <c r="B36" s="123" t="s">
        <v>465</v>
      </c>
      <c r="C36" s="126" t="s">
        <v>480</v>
      </c>
      <c r="D36" s="125" t="s">
        <v>481</v>
      </c>
      <c r="E36" s="126" t="str">
        <f>VLOOKUP(D36,长促工资明细!H:P,3,0)</f>
        <v>NKA</v>
      </c>
      <c r="F36" s="126" t="str">
        <f>VLOOKUP(D36,长促工资明细!H:P,7,0)</f>
        <v>大润发春申店</v>
      </c>
      <c r="G36" s="123">
        <v>19.670000000000002</v>
      </c>
      <c r="H36" s="133">
        <v>7460</v>
      </c>
      <c r="I36" s="134">
        <v>16</v>
      </c>
      <c r="J36" s="133">
        <v>1193.5999999999999</v>
      </c>
      <c r="K36" s="133">
        <v>0</v>
      </c>
      <c r="L36" s="134">
        <v>8</v>
      </c>
      <c r="M36" s="133">
        <v>596.79999999999995</v>
      </c>
      <c r="N36" s="133">
        <v>0</v>
      </c>
      <c r="O36" s="133">
        <v>7460</v>
      </c>
      <c r="P36" s="134">
        <v>9</v>
      </c>
      <c r="Q36" s="133"/>
      <c r="R36" s="133">
        <v>671.4</v>
      </c>
      <c r="S36" s="133">
        <v>0</v>
      </c>
      <c r="T36" s="134">
        <v>2</v>
      </c>
      <c r="U36" s="133"/>
      <c r="V36" s="133">
        <v>149.19999999999999</v>
      </c>
      <c r="W36" s="133">
        <v>0</v>
      </c>
      <c r="X36" s="133">
        <v>7460</v>
      </c>
      <c r="Y36" s="134">
        <v>0.5</v>
      </c>
      <c r="Z36" s="133">
        <v>37.299999999999997</v>
      </c>
      <c r="AA36" s="133">
        <v>0</v>
      </c>
      <c r="AB36" s="134">
        <v>0.5</v>
      </c>
      <c r="AC36" s="133">
        <v>37.299999999999997</v>
      </c>
      <c r="AD36" s="133">
        <v>0</v>
      </c>
      <c r="AE36" s="133">
        <v>2690</v>
      </c>
      <c r="AF36" s="134">
        <v>7</v>
      </c>
      <c r="AG36" s="133">
        <v>188</v>
      </c>
      <c r="AH36" s="133">
        <v>0</v>
      </c>
      <c r="AI36" s="134">
        <v>7</v>
      </c>
      <c r="AJ36" s="133">
        <v>188</v>
      </c>
      <c r="AK36" s="133">
        <v>0</v>
      </c>
      <c r="AL36" s="133">
        <v>0</v>
      </c>
      <c r="AM36" s="133">
        <v>0</v>
      </c>
      <c r="AN36" s="133">
        <v>0</v>
      </c>
      <c r="AO36" s="133">
        <v>0</v>
      </c>
      <c r="AP36" s="133">
        <v>0</v>
      </c>
      <c r="AQ36" s="133">
        <v>0</v>
      </c>
      <c r="AR36" s="133"/>
      <c r="AS36" s="133">
        <v>0</v>
      </c>
      <c r="AT36" s="133">
        <v>0</v>
      </c>
      <c r="AU36" s="133">
        <v>0</v>
      </c>
      <c r="AV36" s="133">
        <v>0</v>
      </c>
      <c r="AW36" s="133">
        <v>0</v>
      </c>
      <c r="AX36" s="133">
        <v>0</v>
      </c>
      <c r="AY36" s="133">
        <v>0</v>
      </c>
      <c r="AZ36" s="133"/>
      <c r="BA36" s="133"/>
      <c r="BB36" s="134"/>
      <c r="BC36" s="133">
        <v>0</v>
      </c>
      <c r="BD36" s="133">
        <v>0</v>
      </c>
      <c r="BE36" s="134"/>
      <c r="BF36" s="133">
        <v>0</v>
      </c>
      <c r="BG36" s="133">
        <v>0</v>
      </c>
      <c r="BH36" s="133">
        <v>7460</v>
      </c>
      <c r="BI36" s="134">
        <v>0.32</v>
      </c>
      <c r="BJ36" s="133">
        <v>23.87</v>
      </c>
      <c r="BK36" s="133">
        <v>0</v>
      </c>
      <c r="BL36" s="134"/>
      <c r="BM36" s="133">
        <v>0</v>
      </c>
      <c r="BN36" s="133">
        <v>0</v>
      </c>
      <c r="BO36" s="133"/>
      <c r="BP36" s="134"/>
      <c r="BQ36" s="133">
        <v>0</v>
      </c>
      <c r="BR36" s="133">
        <v>0</v>
      </c>
      <c r="BS36" s="134"/>
      <c r="BT36" s="133">
        <v>0</v>
      </c>
      <c r="BU36" s="133">
        <v>0</v>
      </c>
      <c r="BV36" s="127">
        <f t="shared" ref="BV36:BV37" si="150">M36+V36+AC36+AN36+AX36+BF36+BM36</f>
        <v>783.3</v>
      </c>
      <c r="BW36" s="127">
        <f t="shared" ref="BW36:BW37" si="151">BJ36+BC36+AV36+AT36+AR36+AP36+AL36+Z36+R36+J36</f>
        <v>1926.1699999999998</v>
      </c>
      <c r="BX36" s="127">
        <f t="shared" ref="BX36:BX37" si="152">AJ36</f>
        <v>188</v>
      </c>
      <c r="BY36" s="127">
        <f t="shared" ref="BY36:BY37" si="153">AG36</f>
        <v>188</v>
      </c>
      <c r="BZ36" s="127">
        <f t="shared" ref="BZ36:BZ37" si="154">N36+W36+AD36+AO36+AY36+BG36+BN36</f>
        <v>0</v>
      </c>
      <c r="CA36" s="127">
        <f t="shared" ref="CA36:CA37" si="155">K36+S36+AA36+AM36+AQ36+AS36+AU36+AW36+BD36+BK36+BR36</f>
        <v>0</v>
      </c>
      <c r="CB36" s="127">
        <f t="shared" ref="CB36:CB37" si="156">BU36+AK36</f>
        <v>0</v>
      </c>
      <c r="CC36" s="127">
        <f t="shared" ref="CC36:CC37" si="157">BR36+AH36</f>
        <v>0</v>
      </c>
      <c r="CD36" s="127">
        <f t="shared" ref="CD36:CD37" si="158">BV36+BX36+BZ36+CB36</f>
        <v>971.3</v>
      </c>
      <c r="CE36" s="127">
        <f t="shared" ref="CE36:CE37" si="159">BW36+BY36+CA36+CC36</f>
        <v>2114.17</v>
      </c>
      <c r="CF36" s="127">
        <f t="shared" ref="CF36:CF37" si="160">CD36+CE36</f>
        <v>3085.4700000000003</v>
      </c>
      <c r="CG36" s="135" t="s">
        <v>466</v>
      </c>
      <c r="CH36" s="136">
        <f t="shared" si="145"/>
        <v>783.3</v>
      </c>
      <c r="CI36" s="136">
        <f t="shared" si="146"/>
        <v>1926.1699999999998</v>
      </c>
      <c r="CJ36" s="136">
        <f t="shared" si="147"/>
        <v>188</v>
      </c>
      <c r="CK36" s="136">
        <f t="shared" si="148"/>
        <v>188</v>
      </c>
      <c r="CL36" s="130">
        <f t="shared" si="149"/>
        <v>2709.47</v>
      </c>
      <c r="CM36" s="130">
        <f t="shared" si="136"/>
        <v>376</v>
      </c>
      <c r="CN36" s="131" t="s">
        <v>479</v>
      </c>
      <c r="CS36" s="119" t="str">
        <f>VLOOKUP(C36,长促工资明细!G:G,1,0)</f>
        <v>周汝娜</v>
      </c>
    </row>
    <row r="37" spans="1:97" s="50" customFormat="1" ht="26.25" customHeight="1">
      <c r="A37" s="122">
        <v>33</v>
      </c>
      <c r="B37" s="123" t="s">
        <v>514</v>
      </c>
      <c r="C37" s="126" t="s">
        <v>198</v>
      </c>
      <c r="D37" s="125" t="s">
        <v>199</v>
      </c>
      <c r="E37" s="126" t="str">
        <f>VLOOKUP(D37,长促工资明细!H:P,3,0)</f>
        <v>NKA</v>
      </c>
      <c r="F37" s="126" t="str">
        <f>VLOOKUP(D37,长促工资明细!H:P,7,0)</f>
        <v>大润发康桥店</v>
      </c>
      <c r="G37" s="123">
        <v>19.670000000000002</v>
      </c>
      <c r="H37" s="133">
        <v>7460</v>
      </c>
      <c r="I37" s="134">
        <v>16</v>
      </c>
      <c r="J37" s="133">
        <v>1193.5999999999999</v>
      </c>
      <c r="K37" s="133">
        <v>0</v>
      </c>
      <c r="L37" s="134">
        <v>8</v>
      </c>
      <c r="M37" s="133">
        <v>596.79999999999995</v>
      </c>
      <c r="N37" s="133">
        <v>0</v>
      </c>
      <c r="O37" s="133">
        <v>7460</v>
      </c>
      <c r="P37" s="134">
        <v>9</v>
      </c>
      <c r="Q37" s="133"/>
      <c r="R37" s="133">
        <v>671.4</v>
      </c>
      <c r="S37" s="133">
        <v>0</v>
      </c>
      <c r="T37" s="134">
        <v>2</v>
      </c>
      <c r="U37" s="133"/>
      <c r="V37" s="133">
        <v>149.19999999999999</v>
      </c>
      <c r="W37" s="133">
        <v>0</v>
      </c>
      <c r="X37" s="133">
        <v>7460</v>
      </c>
      <c r="Y37" s="134">
        <v>0.5</v>
      </c>
      <c r="Z37" s="133">
        <v>37.299999999999997</v>
      </c>
      <c r="AA37" s="133">
        <v>0</v>
      </c>
      <c r="AB37" s="134">
        <v>0.5</v>
      </c>
      <c r="AC37" s="133">
        <v>37.299999999999997</v>
      </c>
      <c r="AD37" s="133">
        <v>0</v>
      </c>
      <c r="AE37" s="133">
        <v>2690</v>
      </c>
      <c r="AF37" s="134">
        <v>7</v>
      </c>
      <c r="AG37" s="133">
        <v>188</v>
      </c>
      <c r="AH37" s="133">
        <v>0</v>
      </c>
      <c r="AI37" s="134">
        <v>7</v>
      </c>
      <c r="AJ37" s="133">
        <v>188</v>
      </c>
      <c r="AK37" s="133">
        <v>0</v>
      </c>
      <c r="AL37" s="133">
        <v>0</v>
      </c>
      <c r="AM37" s="133">
        <v>0</v>
      </c>
      <c r="AN37" s="133">
        <v>0</v>
      </c>
      <c r="AO37" s="133">
        <v>0</v>
      </c>
      <c r="AP37" s="133">
        <v>0</v>
      </c>
      <c r="AQ37" s="133">
        <v>0</v>
      </c>
      <c r="AR37" s="133"/>
      <c r="AS37" s="133">
        <v>0</v>
      </c>
      <c r="AT37" s="133">
        <v>0</v>
      </c>
      <c r="AU37" s="133">
        <v>0</v>
      </c>
      <c r="AV37" s="133">
        <v>0</v>
      </c>
      <c r="AW37" s="133">
        <v>0</v>
      </c>
      <c r="AX37" s="133">
        <v>0</v>
      </c>
      <c r="AY37" s="133">
        <v>0</v>
      </c>
      <c r="AZ37" s="133"/>
      <c r="BA37" s="133"/>
      <c r="BB37" s="134"/>
      <c r="BC37" s="133">
        <v>0</v>
      </c>
      <c r="BD37" s="133">
        <v>0</v>
      </c>
      <c r="BE37" s="134"/>
      <c r="BF37" s="133">
        <v>0</v>
      </c>
      <c r="BG37" s="133">
        <v>0</v>
      </c>
      <c r="BH37" s="133">
        <v>7460</v>
      </c>
      <c r="BI37" s="134">
        <v>0.32</v>
      </c>
      <c r="BJ37" s="133">
        <v>23.87</v>
      </c>
      <c r="BK37" s="133">
        <v>0</v>
      </c>
      <c r="BL37" s="134"/>
      <c r="BM37" s="133">
        <v>0</v>
      </c>
      <c r="BN37" s="133">
        <v>0</v>
      </c>
      <c r="BO37" s="133"/>
      <c r="BP37" s="134"/>
      <c r="BQ37" s="133">
        <v>0</v>
      </c>
      <c r="BR37" s="133">
        <v>0</v>
      </c>
      <c r="BS37" s="134"/>
      <c r="BT37" s="133">
        <v>0</v>
      </c>
      <c r="BU37" s="133">
        <v>0</v>
      </c>
      <c r="BV37" s="127">
        <f t="shared" si="150"/>
        <v>783.3</v>
      </c>
      <c r="BW37" s="127">
        <f t="shared" si="151"/>
        <v>1926.1699999999998</v>
      </c>
      <c r="BX37" s="127">
        <f t="shared" si="152"/>
        <v>188</v>
      </c>
      <c r="BY37" s="127">
        <f t="shared" si="153"/>
        <v>188</v>
      </c>
      <c r="BZ37" s="127">
        <f t="shared" si="154"/>
        <v>0</v>
      </c>
      <c r="CA37" s="127">
        <f t="shared" si="155"/>
        <v>0</v>
      </c>
      <c r="CB37" s="127">
        <f t="shared" si="156"/>
        <v>0</v>
      </c>
      <c r="CC37" s="127">
        <f t="shared" si="157"/>
        <v>0</v>
      </c>
      <c r="CD37" s="127">
        <f t="shared" si="158"/>
        <v>971.3</v>
      </c>
      <c r="CE37" s="127">
        <f t="shared" si="159"/>
        <v>2114.17</v>
      </c>
      <c r="CF37" s="127">
        <f t="shared" si="160"/>
        <v>3085.4700000000003</v>
      </c>
      <c r="CG37" s="135" t="s">
        <v>466</v>
      </c>
      <c r="CH37" s="136">
        <f t="shared" si="145"/>
        <v>783.3</v>
      </c>
      <c r="CI37" s="136">
        <f t="shared" si="146"/>
        <v>1926.1699999999998</v>
      </c>
      <c r="CJ37" s="136">
        <f t="shared" si="147"/>
        <v>188</v>
      </c>
      <c r="CK37" s="136">
        <f t="shared" si="148"/>
        <v>188</v>
      </c>
      <c r="CL37" s="130">
        <f t="shared" si="149"/>
        <v>2709.47</v>
      </c>
      <c r="CM37" s="130">
        <f t="shared" ref="CM37:CM38" si="161">CJ37+CK37</f>
        <v>376</v>
      </c>
      <c r="CN37" s="131" t="s">
        <v>479</v>
      </c>
      <c r="CS37" s="119" t="str">
        <f>VLOOKUP(C37,长促工资明细!G:G,1,0)</f>
        <v>施美花</v>
      </c>
    </row>
    <row r="38" spans="1:97" s="50" customFormat="1" ht="26.25" customHeight="1">
      <c r="A38" s="122">
        <v>34</v>
      </c>
      <c r="B38" s="123" t="s">
        <v>514</v>
      </c>
      <c r="C38" s="126" t="s">
        <v>495</v>
      </c>
      <c r="D38" s="183" t="s">
        <v>496</v>
      </c>
      <c r="E38" s="126" t="str">
        <f>VLOOKUP(D38,长促工资明细!H:P,3,0)</f>
        <v>NKA</v>
      </c>
      <c r="F38" s="126" t="str">
        <f>VLOOKUP(D38,长促工资明细!H:P,7,0)</f>
        <v>大润发春申店</v>
      </c>
      <c r="G38" s="135">
        <v>19.670000000000002</v>
      </c>
      <c r="H38" s="133">
        <v>7460</v>
      </c>
      <c r="I38" s="134">
        <v>16</v>
      </c>
      <c r="J38" s="133">
        <v>1193.5999999999999</v>
      </c>
      <c r="K38" s="133">
        <v>0</v>
      </c>
      <c r="L38" s="134">
        <v>8</v>
      </c>
      <c r="M38" s="133">
        <v>596.79999999999995</v>
      </c>
      <c r="N38" s="133">
        <v>0</v>
      </c>
      <c r="O38" s="133">
        <v>7460</v>
      </c>
      <c r="P38" s="134">
        <v>9</v>
      </c>
      <c r="Q38" s="133"/>
      <c r="R38" s="133">
        <v>671.4</v>
      </c>
      <c r="S38" s="133">
        <v>0</v>
      </c>
      <c r="T38" s="134">
        <v>2</v>
      </c>
      <c r="U38" s="133"/>
      <c r="V38" s="133">
        <v>149.19999999999999</v>
      </c>
      <c r="W38" s="133">
        <v>0</v>
      </c>
      <c r="X38" s="133">
        <v>7460</v>
      </c>
      <c r="Y38" s="134">
        <v>0.5</v>
      </c>
      <c r="Z38" s="133">
        <v>37.299999999999997</v>
      </c>
      <c r="AA38" s="133">
        <v>0</v>
      </c>
      <c r="AB38" s="134">
        <v>0.5</v>
      </c>
      <c r="AC38" s="133">
        <v>37.299999999999997</v>
      </c>
      <c r="AD38" s="133">
        <v>0</v>
      </c>
      <c r="AE38" s="133">
        <v>2690</v>
      </c>
      <c r="AF38" s="134">
        <v>7</v>
      </c>
      <c r="AG38" s="133">
        <v>188</v>
      </c>
      <c r="AH38" s="133">
        <v>0</v>
      </c>
      <c r="AI38" s="134">
        <v>7</v>
      </c>
      <c r="AJ38" s="133">
        <v>188</v>
      </c>
      <c r="AK38" s="133">
        <v>0</v>
      </c>
      <c r="AL38" s="133">
        <v>0</v>
      </c>
      <c r="AM38" s="133">
        <v>0</v>
      </c>
      <c r="AN38" s="133">
        <v>0</v>
      </c>
      <c r="AO38" s="133">
        <v>0</v>
      </c>
      <c r="AP38" s="133">
        <v>0</v>
      </c>
      <c r="AQ38" s="133">
        <v>0</v>
      </c>
      <c r="AR38" s="133"/>
      <c r="AS38" s="133">
        <v>0</v>
      </c>
      <c r="AT38" s="133">
        <v>0</v>
      </c>
      <c r="AU38" s="133">
        <v>0</v>
      </c>
      <c r="AV38" s="133">
        <v>0</v>
      </c>
      <c r="AW38" s="133">
        <v>0</v>
      </c>
      <c r="AX38" s="133">
        <v>0</v>
      </c>
      <c r="AY38" s="133">
        <v>0</v>
      </c>
      <c r="AZ38" s="133"/>
      <c r="BA38" s="133"/>
      <c r="BB38" s="134"/>
      <c r="BC38" s="133">
        <v>0</v>
      </c>
      <c r="BD38" s="133">
        <v>0</v>
      </c>
      <c r="BE38" s="134"/>
      <c r="BF38" s="133">
        <v>0</v>
      </c>
      <c r="BG38" s="133">
        <v>0</v>
      </c>
      <c r="BH38" s="133">
        <v>7460</v>
      </c>
      <c r="BI38" s="134">
        <v>0.32</v>
      </c>
      <c r="BJ38" s="133">
        <v>23.87</v>
      </c>
      <c r="BK38" s="133">
        <v>0</v>
      </c>
      <c r="BL38" s="134"/>
      <c r="BM38" s="133">
        <v>0</v>
      </c>
      <c r="BN38" s="133">
        <v>0</v>
      </c>
      <c r="BO38" s="133"/>
      <c r="BP38" s="134"/>
      <c r="BQ38" s="133">
        <v>0</v>
      </c>
      <c r="BR38" s="133">
        <v>0</v>
      </c>
      <c r="BS38" s="134"/>
      <c r="BT38" s="133">
        <v>0</v>
      </c>
      <c r="BU38" s="133">
        <v>0</v>
      </c>
      <c r="BV38" s="127">
        <f t="shared" ref="BV38" si="162">M38+V38+AC38+AN38+AX38+BF38+BM38</f>
        <v>783.3</v>
      </c>
      <c r="BW38" s="127">
        <f t="shared" ref="BW38" si="163">BJ38+BC38+AV38+AT38+AR38+AP38+AL38+Z38+R38+J38</f>
        <v>1926.1699999999998</v>
      </c>
      <c r="BX38" s="127">
        <f t="shared" ref="BX38" si="164">AJ38</f>
        <v>188</v>
      </c>
      <c r="BY38" s="127">
        <f t="shared" ref="BY38" si="165">AG38</f>
        <v>188</v>
      </c>
      <c r="BZ38" s="127">
        <f t="shared" ref="BZ38" si="166">N38+W38+AD38+AO38+AY38+BG38+BN38</f>
        <v>0</v>
      </c>
      <c r="CA38" s="127">
        <f t="shared" ref="CA38" si="167">K38+S38+AA38+AM38+AQ38+AS38+AU38+AW38+BD38+BK38+BR38</f>
        <v>0</v>
      </c>
      <c r="CB38" s="127">
        <f t="shared" ref="CB38" si="168">BU38+AK38</f>
        <v>0</v>
      </c>
      <c r="CC38" s="127">
        <f t="shared" ref="CC38" si="169">BR38+AH38</f>
        <v>0</v>
      </c>
      <c r="CD38" s="127">
        <f t="shared" ref="CD38" si="170">BV38+BX38+BZ38+CB38</f>
        <v>971.3</v>
      </c>
      <c r="CE38" s="127">
        <f t="shared" ref="CE38" si="171">BW38+BY38+CA38+CC38</f>
        <v>2114.17</v>
      </c>
      <c r="CF38" s="127">
        <f t="shared" ref="CF38" si="172">CD38+CE38</f>
        <v>3085.4700000000003</v>
      </c>
      <c r="CG38" s="135" t="s">
        <v>466</v>
      </c>
      <c r="CH38" s="136">
        <f t="shared" ref="CH38" si="173">BV38+BZ38</f>
        <v>783.3</v>
      </c>
      <c r="CI38" s="136">
        <f t="shared" ref="CI38" si="174">BW38+CA38</f>
        <v>1926.1699999999998</v>
      </c>
      <c r="CJ38" s="136">
        <f t="shared" ref="CJ38" si="175">BX38+CB38</f>
        <v>188</v>
      </c>
      <c r="CK38" s="136">
        <f t="shared" ref="CK38" si="176">BY38+CC38</f>
        <v>188</v>
      </c>
      <c r="CL38" s="130">
        <f t="shared" ref="CL38" si="177">CH38+CI38</f>
        <v>2709.47</v>
      </c>
      <c r="CM38" s="130">
        <f t="shared" si="161"/>
        <v>376</v>
      </c>
      <c r="CN38" s="131" t="s">
        <v>479</v>
      </c>
      <c r="CS38" s="119" t="str">
        <f>VLOOKUP(C38,长促工资明细!G:G,1,0)</f>
        <v>余应红</v>
      </c>
    </row>
    <row r="39" spans="1:97" s="50" customFormat="1" ht="26.25" customHeight="1">
      <c r="A39" s="122"/>
      <c r="B39" s="123" t="s">
        <v>514</v>
      </c>
      <c r="C39" s="124" t="s">
        <v>507</v>
      </c>
      <c r="D39" s="183" t="s">
        <v>508</v>
      </c>
      <c r="E39" s="126"/>
      <c r="F39" s="126" t="s">
        <v>396</v>
      </c>
      <c r="G39" s="135">
        <v>19.670000000000002</v>
      </c>
      <c r="H39" s="133"/>
      <c r="I39" s="134"/>
      <c r="J39" s="127"/>
      <c r="K39" s="127"/>
      <c r="L39" s="128"/>
      <c r="M39" s="127"/>
      <c r="N39" s="127"/>
      <c r="O39" s="127"/>
      <c r="P39" s="128"/>
      <c r="Q39" s="127"/>
      <c r="R39" s="127"/>
      <c r="S39" s="127"/>
      <c r="T39" s="128"/>
      <c r="U39" s="127"/>
      <c r="V39" s="127"/>
      <c r="W39" s="127"/>
      <c r="X39" s="127"/>
      <c r="Y39" s="128"/>
      <c r="Z39" s="127"/>
      <c r="AA39" s="127"/>
      <c r="AB39" s="128"/>
      <c r="AC39" s="127"/>
      <c r="AD39" s="127"/>
      <c r="AE39" s="127"/>
      <c r="AF39" s="128"/>
      <c r="AG39" s="127"/>
      <c r="AH39" s="127"/>
      <c r="AI39" s="128"/>
      <c r="AJ39" s="127"/>
      <c r="AK39" s="127"/>
      <c r="AL39" s="127"/>
      <c r="AM39" s="127"/>
      <c r="AN39" s="127"/>
      <c r="AO39" s="127"/>
      <c r="AP39" s="127"/>
      <c r="AQ39" s="127"/>
      <c r="AR39" s="127"/>
      <c r="AS39" s="127"/>
      <c r="AT39" s="127"/>
      <c r="AU39" s="127"/>
      <c r="AV39" s="127"/>
      <c r="AW39" s="127"/>
      <c r="AX39" s="127"/>
      <c r="AY39" s="127"/>
      <c r="AZ39" s="127"/>
      <c r="BA39" s="127"/>
      <c r="BB39" s="128"/>
      <c r="BC39" s="127"/>
      <c r="BD39" s="127"/>
      <c r="BE39" s="128"/>
      <c r="BF39" s="127"/>
      <c r="BG39" s="127"/>
      <c r="BH39" s="127"/>
      <c r="BI39" s="128"/>
      <c r="BJ39" s="127"/>
      <c r="BK39" s="127"/>
      <c r="BL39" s="128"/>
      <c r="BM39" s="127"/>
      <c r="BN39" s="127"/>
      <c r="BO39" s="127"/>
      <c r="BP39" s="128"/>
      <c r="BQ39" s="127"/>
      <c r="BR39" s="127"/>
      <c r="BS39" s="128"/>
      <c r="BT39" s="127"/>
      <c r="BU39" s="127"/>
      <c r="BV39" s="127"/>
      <c r="BW39" s="127"/>
      <c r="BX39" s="127"/>
      <c r="BY39" s="127"/>
      <c r="BZ39" s="127"/>
      <c r="CA39" s="127"/>
      <c r="CB39" s="127"/>
      <c r="CC39" s="127"/>
      <c r="CD39" s="127"/>
      <c r="CE39" s="127"/>
      <c r="CF39" s="127"/>
      <c r="CG39" s="123"/>
      <c r="CH39" s="129"/>
      <c r="CI39" s="129"/>
      <c r="CJ39" s="129"/>
      <c r="CK39" s="129"/>
      <c r="CL39" s="181"/>
      <c r="CM39" s="181"/>
      <c r="CN39" s="182"/>
      <c r="CS39" s="119"/>
    </row>
    <row r="40" spans="1:97" s="50" customFormat="1" ht="25.2" customHeight="1">
      <c r="A40" s="122" t="s">
        <v>468</v>
      </c>
      <c r="B40" s="123"/>
      <c r="C40" s="123"/>
      <c r="D40" s="137"/>
      <c r="E40" s="138"/>
      <c r="F40" s="138"/>
      <c r="G40" s="123">
        <f>SUM(G5:G39)</f>
        <v>649.11</v>
      </c>
      <c r="H40" s="123">
        <f t="shared" ref="H40:BS40" si="178">SUM(H5:H39)</f>
        <v>253640</v>
      </c>
      <c r="I40" s="123">
        <f t="shared" si="178"/>
        <v>544</v>
      </c>
      <c r="J40" s="123">
        <f t="shared" si="178"/>
        <v>40582.399999999972</v>
      </c>
      <c r="K40" s="123">
        <f t="shared" si="178"/>
        <v>0</v>
      </c>
      <c r="L40" s="123">
        <f t="shared" si="178"/>
        <v>272</v>
      </c>
      <c r="M40" s="123">
        <f t="shared" si="178"/>
        <v>20291.199999999986</v>
      </c>
      <c r="N40" s="123">
        <f t="shared" si="178"/>
        <v>0</v>
      </c>
      <c r="O40" s="123">
        <f t="shared" si="178"/>
        <v>253640</v>
      </c>
      <c r="P40" s="123">
        <f t="shared" si="178"/>
        <v>306</v>
      </c>
      <c r="Q40" s="123">
        <f t="shared" si="178"/>
        <v>0</v>
      </c>
      <c r="R40" s="123">
        <f t="shared" si="178"/>
        <v>22827.600000000009</v>
      </c>
      <c r="S40" s="123">
        <f t="shared" si="178"/>
        <v>0</v>
      </c>
      <c r="T40" s="123">
        <f t="shared" si="178"/>
        <v>68</v>
      </c>
      <c r="U40" s="123">
        <f t="shared" si="178"/>
        <v>0</v>
      </c>
      <c r="V40" s="123">
        <f t="shared" si="178"/>
        <v>5072.7999999999965</v>
      </c>
      <c r="W40" s="123">
        <f t="shared" si="178"/>
        <v>0</v>
      </c>
      <c r="X40" s="123">
        <f t="shared" si="178"/>
        <v>253640</v>
      </c>
      <c r="Y40" s="123">
        <f t="shared" si="178"/>
        <v>17</v>
      </c>
      <c r="Z40" s="123">
        <f t="shared" si="178"/>
        <v>1268.1999999999991</v>
      </c>
      <c r="AA40" s="123">
        <f t="shared" si="178"/>
        <v>0</v>
      </c>
      <c r="AB40" s="123">
        <f t="shared" si="178"/>
        <v>17</v>
      </c>
      <c r="AC40" s="123">
        <f t="shared" si="178"/>
        <v>1268.1999999999991</v>
      </c>
      <c r="AD40" s="123">
        <f t="shared" si="178"/>
        <v>0</v>
      </c>
      <c r="AE40" s="123">
        <f t="shared" si="178"/>
        <v>91610</v>
      </c>
      <c r="AF40" s="123">
        <f t="shared" si="178"/>
        <v>238</v>
      </c>
      <c r="AG40" s="123">
        <f t="shared" si="178"/>
        <v>6404</v>
      </c>
      <c r="AH40" s="123">
        <f t="shared" si="178"/>
        <v>0</v>
      </c>
      <c r="AI40" s="123">
        <f t="shared" si="178"/>
        <v>238</v>
      </c>
      <c r="AJ40" s="123">
        <f t="shared" si="178"/>
        <v>6404</v>
      </c>
      <c r="AK40" s="123">
        <f t="shared" si="178"/>
        <v>0</v>
      </c>
      <c r="AL40" s="123">
        <f t="shared" si="178"/>
        <v>0</v>
      </c>
      <c r="AM40" s="123">
        <f t="shared" si="178"/>
        <v>0</v>
      </c>
      <c r="AN40" s="123">
        <f t="shared" si="178"/>
        <v>0</v>
      </c>
      <c r="AO40" s="123">
        <f t="shared" si="178"/>
        <v>0</v>
      </c>
      <c r="AP40" s="123">
        <f t="shared" si="178"/>
        <v>0</v>
      </c>
      <c r="AQ40" s="123">
        <f t="shared" si="178"/>
        <v>0</v>
      </c>
      <c r="AR40" s="123">
        <f t="shared" si="178"/>
        <v>0</v>
      </c>
      <c r="AS40" s="123">
        <f t="shared" si="178"/>
        <v>0</v>
      </c>
      <c r="AT40" s="123">
        <f t="shared" si="178"/>
        <v>0</v>
      </c>
      <c r="AU40" s="123">
        <f t="shared" si="178"/>
        <v>0</v>
      </c>
      <c r="AV40" s="123">
        <f t="shared" si="178"/>
        <v>0</v>
      </c>
      <c r="AW40" s="123">
        <f t="shared" si="178"/>
        <v>0</v>
      </c>
      <c r="AX40" s="123">
        <f t="shared" si="178"/>
        <v>0</v>
      </c>
      <c r="AY40" s="123">
        <f t="shared" si="178"/>
        <v>0</v>
      </c>
      <c r="AZ40" s="123">
        <f t="shared" si="178"/>
        <v>0</v>
      </c>
      <c r="BA40" s="123">
        <f t="shared" si="178"/>
        <v>0</v>
      </c>
      <c r="BB40" s="123">
        <f t="shared" si="178"/>
        <v>0</v>
      </c>
      <c r="BC40" s="123">
        <f t="shared" si="178"/>
        <v>0</v>
      </c>
      <c r="BD40" s="123">
        <f t="shared" si="178"/>
        <v>0</v>
      </c>
      <c r="BE40" s="123">
        <f t="shared" si="178"/>
        <v>0</v>
      </c>
      <c r="BF40" s="123">
        <f t="shared" si="178"/>
        <v>0</v>
      </c>
      <c r="BG40" s="123">
        <f t="shared" si="178"/>
        <v>0</v>
      </c>
      <c r="BH40" s="123">
        <f t="shared" si="178"/>
        <v>253640</v>
      </c>
      <c r="BI40" s="123">
        <f t="shared" si="178"/>
        <v>10.880000000000004</v>
      </c>
      <c r="BJ40" s="123">
        <f t="shared" si="178"/>
        <v>811.58</v>
      </c>
      <c r="BK40" s="123">
        <f t="shared" si="178"/>
        <v>0</v>
      </c>
      <c r="BL40" s="123">
        <f t="shared" si="178"/>
        <v>0</v>
      </c>
      <c r="BM40" s="123">
        <f t="shared" si="178"/>
        <v>0</v>
      </c>
      <c r="BN40" s="123">
        <f t="shared" si="178"/>
        <v>0</v>
      </c>
      <c r="BO40" s="123">
        <f t="shared" si="178"/>
        <v>0</v>
      </c>
      <c r="BP40" s="123">
        <f t="shared" si="178"/>
        <v>0</v>
      </c>
      <c r="BQ40" s="123">
        <f t="shared" si="178"/>
        <v>0</v>
      </c>
      <c r="BR40" s="123">
        <f t="shared" si="178"/>
        <v>0</v>
      </c>
      <c r="BS40" s="123">
        <f t="shared" si="178"/>
        <v>0</v>
      </c>
      <c r="BT40" s="123">
        <f t="shared" ref="BT40:CM40" si="179">SUM(BT5:BT39)</f>
        <v>0</v>
      </c>
      <c r="BU40" s="123">
        <f t="shared" si="179"/>
        <v>0</v>
      </c>
      <c r="BV40" s="123">
        <f t="shared" si="179"/>
        <v>26632.199999999986</v>
      </c>
      <c r="BW40" s="123">
        <f t="shared" si="179"/>
        <v>65489.779999999955</v>
      </c>
      <c r="BX40" s="123">
        <f t="shared" si="179"/>
        <v>6404</v>
      </c>
      <c r="BY40" s="123">
        <f t="shared" si="179"/>
        <v>6404</v>
      </c>
      <c r="BZ40" s="123">
        <f t="shared" si="179"/>
        <v>0</v>
      </c>
      <c r="CA40" s="123">
        <f t="shared" si="179"/>
        <v>0</v>
      </c>
      <c r="CB40" s="123">
        <f t="shared" si="179"/>
        <v>0</v>
      </c>
      <c r="CC40" s="123">
        <f t="shared" si="179"/>
        <v>0</v>
      </c>
      <c r="CD40" s="123">
        <f t="shared" si="179"/>
        <v>33036.199999999983</v>
      </c>
      <c r="CE40" s="123">
        <f t="shared" si="179"/>
        <v>71893.779999999955</v>
      </c>
      <c r="CF40" s="123">
        <f t="shared" si="179"/>
        <v>104929.98000000003</v>
      </c>
      <c r="CG40" s="123">
        <f t="shared" si="179"/>
        <v>0</v>
      </c>
      <c r="CH40" s="123">
        <f t="shared" si="179"/>
        <v>26632.199999999986</v>
      </c>
      <c r="CI40" s="123">
        <f t="shared" si="179"/>
        <v>65489.779999999955</v>
      </c>
      <c r="CJ40" s="123">
        <f t="shared" si="179"/>
        <v>6404</v>
      </c>
      <c r="CK40" s="123">
        <f t="shared" si="179"/>
        <v>6404</v>
      </c>
      <c r="CL40" s="123">
        <f t="shared" si="179"/>
        <v>92121.980000000025</v>
      </c>
      <c r="CM40" s="123">
        <f t="shared" si="179"/>
        <v>12808</v>
      </c>
      <c r="CN40" s="123">
        <f t="shared" ref="CN40" si="180">SUM(CN5:CN38)</f>
        <v>0</v>
      </c>
      <c r="CS40" s="119"/>
    </row>
  </sheetData>
  <autoFilter ref="A3:CT40">
    <filterColumn colId="8" showButton="0"/>
    <filterColumn colId="9" showButton="0"/>
    <filterColumn colId="11" showButton="0"/>
    <filterColumn colId="12" showButton="0"/>
    <filterColumn colId="15" showButton="0"/>
    <filterColumn colId="16" showButton="0"/>
    <filterColumn colId="17" showButton="0"/>
    <filterColumn colId="19" showButton="0"/>
    <filterColumn colId="20" showButton="0"/>
    <filterColumn colId="21" showButton="0"/>
    <filterColumn colId="24" showButton="0"/>
    <filterColumn colId="25" showButton="0"/>
    <filterColumn colId="27" showButton="0"/>
    <filterColumn colId="28" showButton="0"/>
    <filterColumn colId="31" showButton="0"/>
    <filterColumn colId="32" showButton="0"/>
    <filterColumn colId="34" showButton="0"/>
    <filterColumn colId="35" showButton="0"/>
    <filterColumn colId="37" showButton="0"/>
    <filterColumn colId="39" showButton="0"/>
    <filterColumn colId="41" showButton="0"/>
    <filterColumn colId="43" showButton="0"/>
    <filterColumn colId="45" showButton="0"/>
    <filterColumn colId="47" showButton="0"/>
    <filterColumn colId="49" showButton="0"/>
    <filterColumn colId="53" showButton="0"/>
    <filterColumn colId="54" showButton="0"/>
    <filterColumn colId="56" showButton="0"/>
    <filterColumn colId="57" showButton="0"/>
    <filterColumn colId="60" showButton="0"/>
    <filterColumn colId="61" showButton="0"/>
    <filterColumn colId="63" showButton="0"/>
    <filterColumn colId="64" showButton="0"/>
    <filterColumn colId="67" showButton="0"/>
    <filterColumn colId="68" showButton="0"/>
    <filterColumn colId="70" showButton="0"/>
    <filterColumn colId="71" showButton="0"/>
    <filterColumn colId="73" showButton="0"/>
    <filterColumn colId="75" showButton="0"/>
    <filterColumn colId="77" showButton="0"/>
    <filterColumn colId="79" showButton="0"/>
  </autoFilter>
  <mergeCells count="47">
    <mergeCell ref="H2:N2"/>
    <mergeCell ref="I3:K3"/>
    <mergeCell ref="L3:N3"/>
    <mergeCell ref="O2:W2"/>
    <mergeCell ref="P3:S3"/>
    <mergeCell ref="T3:W3"/>
    <mergeCell ref="Y3:AA3"/>
    <mergeCell ref="AB3:AD3"/>
    <mergeCell ref="A3:A4"/>
    <mergeCell ref="B3:B4"/>
    <mergeCell ref="C3:C4"/>
    <mergeCell ref="D3:D4"/>
    <mergeCell ref="E3:E4"/>
    <mergeCell ref="AN3:AO3"/>
    <mergeCell ref="AP3:AQ3"/>
    <mergeCell ref="AR3:AS3"/>
    <mergeCell ref="AF3:AH3"/>
    <mergeCell ref="AI3:AK3"/>
    <mergeCell ref="BV2:BY2"/>
    <mergeCell ref="F3:F4"/>
    <mergeCell ref="G3:G4"/>
    <mergeCell ref="X2:AD2"/>
    <mergeCell ref="AE2:AK2"/>
    <mergeCell ref="AL2:AZ2"/>
    <mergeCell ref="BA2:BG2"/>
    <mergeCell ref="BH2:BN2"/>
    <mergeCell ref="BO2:BU2"/>
    <mergeCell ref="AT3:AU3"/>
    <mergeCell ref="AV3:AW3"/>
    <mergeCell ref="AX3:AY3"/>
    <mergeCell ref="BB3:BD3"/>
    <mergeCell ref="BE3:BG3"/>
    <mergeCell ref="BI3:BK3"/>
    <mergeCell ref="AL3:AM3"/>
    <mergeCell ref="BL3:BN3"/>
    <mergeCell ref="BP3:BR3"/>
    <mergeCell ref="BS3:BU3"/>
    <mergeCell ref="BV3:BW3"/>
    <mergeCell ref="BX3:BY3"/>
    <mergeCell ref="CI2:CI4"/>
    <mergeCell ref="CJ2:CJ4"/>
    <mergeCell ref="CK2:CK4"/>
    <mergeCell ref="BZ2:CC2"/>
    <mergeCell ref="CB3:CC3"/>
    <mergeCell ref="BZ3:CA3"/>
    <mergeCell ref="CD2:CE2"/>
    <mergeCell ref="CH2:CH4"/>
  </mergeCells>
  <phoneticPr fontId="23" type="noConversion"/>
  <conditionalFormatting sqref="C31">
    <cfRule type="duplicateValues" dxfId="822" priority="109"/>
    <cfRule type="duplicateValues" dxfId="821" priority="110"/>
    <cfRule type="duplicateValues" dxfId="820" priority="111"/>
    <cfRule type="duplicateValues" dxfId="819" priority="112"/>
    <cfRule type="duplicateValues" dxfId="818" priority="113"/>
    <cfRule type="duplicateValues" dxfId="817" priority="114"/>
    <cfRule type="duplicateValues" dxfId="816" priority="115"/>
  </conditionalFormatting>
  <conditionalFormatting sqref="C32">
    <cfRule type="duplicateValues" dxfId="815" priority="102"/>
    <cfRule type="duplicateValues" dxfId="814" priority="103"/>
    <cfRule type="duplicateValues" dxfId="813" priority="104"/>
    <cfRule type="duplicateValues" dxfId="812" priority="105"/>
    <cfRule type="duplicateValues" dxfId="811" priority="106"/>
    <cfRule type="duplicateValues" dxfId="810" priority="107"/>
    <cfRule type="duplicateValues" dxfId="809" priority="108"/>
  </conditionalFormatting>
  <conditionalFormatting sqref="C33">
    <cfRule type="duplicateValues" dxfId="808" priority="29"/>
    <cfRule type="duplicateValues" dxfId="807" priority="30"/>
    <cfRule type="duplicateValues" dxfId="806" priority="31"/>
    <cfRule type="duplicateValues" dxfId="805" priority="32"/>
    <cfRule type="duplicateValues" dxfId="804" priority="33"/>
    <cfRule type="duplicateValues" dxfId="803" priority="34"/>
    <cfRule type="duplicateValues" dxfId="802" priority="35"/>
  </conditionalFormatting>
  <conditionalFormatting sqref="C34">
    <cfRule type="duplicateValues" dxfId="801" priority="36"/>
    <cfRule type="duplicateValues" dxfId="800" priority="37"/>
    <cfRule type="duplicateValues" dxfId="799" priority="38"/>
    <cfRule type="duplicateValues" dxfId="798" priority="39"/>
    <cfRule type="duplicateValues" dxfId="797" priority="40"/>
    <cfRule type="duplicateValues" dxfId="796" priority="41"/>
    <cfRule type="duplicateValues" dxfId="795" priority="42"/>
  </conditionalFormatting>
  <conditionalFormatting sqref="C40">
    <cfRule type="duplicateValues" dxfId="794" priority="235"/>
    <cfRule type="duplicateValues" dxfId="793" priority="236"/>
    <cfRule type="duplicateValues" dxfId="792" priority="237"/>
    <cfRule type="duplicateValues" dxfId="791" priority="238"/>
    <cfRule type="duplicateValues" dxfId="790" priority="239"/>
    <cfRule type="duplicateValues" dxfId="789" priority="240"/>
    <cfRule type="duplicateValues" dxfId="788" priority="241"/>
  </conditionalFormatting>
  <conditionalFormatting sqref="C41:C1048576">
    <cfRule type="duplicateValues" dxfId="787" priority="15648"/>
    <cfRule type="duplicateValues" dxfId="786" priority="15649"/>
  </conditionalFormatting>
  <conditionalFormatting sqref="C41:F1048576">
    <cfRule type="duplicateValues" dxfId="785" priority="15650"/>
    <cfRule type="duplicateValues" dxfId="784" priority="15651"/>
    <cfRule type="duplicateValues" dxfId="783" priority="15652"/>
    <cfRule type="duplicateValues" dxfId="782" priority="15653"/>
    <cfRule type="duplicateValues" dxfId="781" priority="15654"/>
  </conditionalFormatting>
  <conditionalFormatting sqref="C35:C39">
    <cfRule type="duplicateValues" dxfId="780" priority="16040"/>
    <cfRule type="duplicateValues" dxfId="779" priority="16041"/>
    <cfRule type="duplicateValues" dxfId="778" priority="16042"/>
    <cfRule type="duplicateValues" dxfId="777" priority="16043"/>
    <cfRule type="duplicateValues" dxfId="776" priority="16044"/>
    <cfRule type="duplicateValues" dxfId="775" priority="16045"/>
    <cfRule type="duplicateValues" dxfId="774" priority="16046"/>
  </conditionalFormatting>
  <pageMargins left="0.7" right="0.7" top="0.75" bottom="0.75" header="0.3" footer="0.3"/>
  <pageSetup paperSize="9" orientation="portrait" horizontalDpi="200" vertic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Views>
    <sheetView workbookViewId="0">
      <pane xSplit="1" ySplit="3" topLeftCell="B68" activePane="bottomRight" state="frozen"/>
      <selection pane="topRight" activeCell="B1" sqref="B1"/>
      <selection pane="bottomLeft" activeCell="A4" sqref="A4"/>
      <selection pane="bottomRight" activeCell="K96" sqref="K96"/>
    </sheetView>
  </sheetViews>
  <sheetFormatPr defaultRowHeight="14.4"/>
  <cols>
    <col min="1" max="1" width="7.109375" bestFit="1" customWidth="1"/>
    <col min="2" max="2" width="11" bestFit="1" customWidth="1"/>
    <col min="3" max="3" width="13" bestFit="1" customWidth="1"/>
    <col min="4" max="4" width="9.44140625" bestFit="1" customWidth="1"/>
    <col min="5" max="5" width="11" bestFit="1" customWidth="1"/>
    <col min="6" max="6" width="6.44140625" bestFit="1" customWidth="1"/>
    <col min="8" max="8" width="5.21875" bestFit="1" customWidth="1"/>
    <col min="9" max="9" width="7.109375" bestFit="1" customWidth="1"/>
    <col min="10" max="10" width="5.21875" bestFit="1" customWidth="1"/>
    <col min="12" max="13" width="9.44140625" bestFit="1" customWidth="1"/>
  </cols>
  <sheetData>
    <row r="1" spans="1:13">
      <c r="A1" t="s">
        <v>22</v>
      </c>
      <c r="B1" t="s">
        <v>11</v>
      </c>
      <c r="C1" t="s">
        <v>315</v>
      </c>
      <c r="G1" t="s">
        <v>316</v>
      </c>
      <c r="K1" t="s">
        <v>317</v>
      </c>
    </row>
    <row r="2" spans="1:13">
      <c r="C2" t="s">
        <v>329</v>
      </c>
      <c r="E2" t="s">
        <v>330</v>
      </c>
      <c r="G2" t="s">
        <v>329</v>
      </c>
      <c r="I2" t="s">
        <v>330</v>
      </c>
      <c r="K2" t="s">
        <v>320</v>
      </c>
      <c r="L2" t="s">
        <v>319</v>
      </c>
      <c r="M2" t="s">
        <v>331</v>
      </c>
    </row>
    <row r="3" spans="1:13">
      <c r="C3" t="s">
        <v>320</v>
      </c>
      <c r="D3" t="s">
        <v>319</v>
      </c>
      <c r="E3" t="s">
        <v>320</v>
      </c>
      <c r="F3" t="s">
        <v>319</v>
      </c>
      <c r="G3" t="s">
        <v>320</v>
      </c>
      <c r="H3" t="s">
        <v>319</v>
      </c>
      <c r="I3" t="s">
        <v>320</v>
      </c>
      <c r="J3" t="s">
        <v>319</v>
      </c>
      <c r="K3" t="s">
        <v>320</v>
      </c>
      <c r="L3" t="s">
        <v>319</v>
      </c>
      <c r="M3" t="s">
        <v>331</v>
      </c>
    </row>
    <row r="4" spans="1:13">
      <c r="A4" t="s">
        <v>114</v>
      </c>
      <c r="B4">
        <v>21</v>
      </c>
      <c r="C4">
        <v>684.6</v>
      </c>
      <c r="D4">
        <v>1777.1</v>
      </c>
      <c r="E4">
        <v>181</v>
      </c>
      <c r="F4">
        <v>181</v>
      </c>
      <c r="G4">
        <v>0</v>
      </c>
      <c r="H4">
        <v>0</v>
      </c>
      <c r="I4">
        <v>0</v>
      </c>
      <c r="J4">
        <v>0</v>
      </c>
      <c r="K4">
        <v>865.6</v>
      </c>
      <c r="L4">
        <v>1958.1</v>
      </c>
      <c r="M4">
        <v>2823.7</v>
      </c>
    </row>
    <row r="5" spans="1:13">
      <c r="A5" t="s">
        <v>366</v>
      </c>
      <c r="B5">
        <v>21</v>
      </c>
      <c r="C5">
        <v>684.6</v>
      </c>
      <c r="D5">
        <v>1777.1</v>
      </c>
      <c r="E5">
        <v>181</v>
      </c>
      <c r="F5">
        <v>181</v>
      </c>
      <c r="G5">
        <v>0</v>
      </c>
      <c r="H5">
        <v>0</v>
      </c>
      <c r="I5">
        <v>0</v>
      </c>
      <c r="J5">
        <v>0</v>
      </c>
      <c r="K5">
        <v>865.6</v>
      </c>
      <c r="L5">
        <v>1958.1</v>
      </c>
      <c r="M5">
        <v>2823.7</v>
      </c>
    </row>
    <row r="6" spans="1:13">
      <c r="A6" t="s">
        <v>93</v>
      </c>
      <c r="B6">
        <v>21</v>
      </c>
      <c r="C6">
        <v>684.6</v>
      </c>
      <c r="D6">
        <v>1777.1</v>
      </c>
      <c r="E6">
        <v>181</v>
      </c>
      <c r="F6">
        <v>181</v>
      </c>
      <c r="G6">
        <v>0</v>
      </c>
      <c r="H6">
        <v>0</v>
      </c>
      <c r="I6">
        <v>0</v>
      </c>
      <c r="J6">
        <v>0</v>
      </c>
      <c r="K6">
        <v>865.6</v>
      </c>
      <c r="L6">
        <v>1958.1</v>
      </c>
      <c r="M6">
        <v>2823.7</v>
      </c>
    </row>
    <row r="7" spans="1:13">
      <c r="A7" t="s">
        <v>194</v>
      </c>
      <c r="B7">
        <v>21</v>
      </c>
      <c r="C7">
        <v>684.6</v>
      </c>
      <c r="D7">
        <v>1777.1</v>
      </c>
      <c r="E7">
        <v>181</v>
      </c>
      <c r="F7">
        <v>181</v>
      </c>
      <c r="G7">
        <v>0</v>
      </c>
      <c r="H7">
        <v>0</v>
      </c>
      <c r="I7">
        <v>0</v>
      </c>
      <c r="J7">
        <v>0</v>
      </c>
      <c r="K7">
        <v>865.6</v>
      </c>
      <c r="L7">
        <v>1958.1</v>
      </c>
      <c r="M7">
        <v>2823.7</v>
      </c>
    </row>
    <row r="8" spans="1:13">
      <c r="A8" t="s">
        <v>223</v>
      </c>
      <c r="B8">
        <v>21</v>
      </c>
      <c r="C8">
        <v>684.6</v>
      </c>
      <c r="D8">
        <v>1777.1</v>
      </c>
      <c r="E8">
        <v>181</v>
      </c>
      <c r="F8">
        <v>181</v>
      </c>
      <c r="G8">
        <v>0</v>
      </c>
      <c r="H8">
        <v>0</v>
      </c>
      <c r="I8">
        <v>0</v>
      </c>
      <c r="J8">
        <v>0</v>
      </c>
      <c r="K8">
        <v>865.6</v>
      </c>
      <c r="L8">
        <v>1958.1</v>
      </c>
      <c r="M8">
        <v>2823.7</v>
      </c>
    </row>
    <row r="9" spans="1:13">
      <c r="A9" t="s">
        <v>171</v>
      </c>
      <c r="B9">
        <v>21</v>
      </c>
      <c r="C9">
        <v>684.6</v>
      </c>
      <c r="D9">
        <v>1777.1</v>
      </c>
      <c r="E9">
        <v>181</v>
      </c>
      <c r="F9">
        <v>181</v>
      </c>
      <c r="G9">
        <v>0</v>
      </c>
      <c r="H9">
        <v>0</v>
      </c>
      <c r="I9">
        <v>0</v>
      </c>
      <c r="J9">
        <v>0</v>
      </c>
      <c r="K9">
        <v>865.6</v>
      </c>
      <c r="L9">
        <v>1958.1</v>
      </c>
      <c r="M9">
        <v>2823.7</v>
      </c>
    </row>
    <row r="10" spans="1:13">
      <c r="A10" t="s">
        <v>163</v>
      </c>
      <c r="B10">
        <v>21</v>
      </c>
      <c r="C10">
        <v>684.6</v>
      </c>
      <c r="D10">
        <v>1777.1</v>
      </c>
      <c r="E10">
        <v>181</v>
      </c>
      <c r="F10">
        <v>181</v>
      </c>
      <c r="G10">
        <v>0</v>
      </c>
      <c r="H10">
        <v>0</v>
      </c>
      <c r="I10">
        <v>0</v>
      </c>
      <c r="J10">
        <v>0</v>
      </c>
      <c r="K10">
        <v>865.6</v>
      </c>
      <c r="L10">
        <v>1958.1</v>
      </c>
      <c r="M10">
        <v>2823.7</v>
      </c>
    </row>
    <row r="11" spans="1:13">
      <c r="A11" t="s">
        <v>353</v>
      </c>
      <c r="B11">
        <v>21</v>
      </c>
      <c r="C11">
        <v>684.6</v>
      </c>
      <c r="D11">
        <v>1777.1</v>
      </c>
      <c r="E11">
        <v>181</v>
      </c>
      <c r="F11">
        <v>181</v>
      </c>
      <c r="G11">
        <v>0</v>
      </c>
      <c r="H11">
        <v>0</v>
      </c>
      <c r="I11">
        <v>0</v>
      </c>
      <c r="J11">
        <v>0</v>
      </c>
      <c r="K11">
        <v>865.6</v>
      </c>
      <c r="L11">
        <v>1958.1</v>
      </c>
      <c r="M11">
        <v>2823.7</v>
      </c>
    </row>
    <row r="12" spans="1:13">
      <c r="A12" t="s">
        <v>383</v>
      </c>
      <c r="B12">
        <v>21</v>
      </c>
      <c r="C12">
        <v>684.6</v>
      </c>
      <c r="D12">
        <v>1777.1</v>
      </c>
      <c r="E12">
        <v>181</v>
      </c>
      <c r="F12">
        <v>181</v>
      </c>
      <c r="G12">
        <v>0</v>
      </c>
      <c r="H12">
        <v>0</v>
      </c>
      <c r="I12">
        <v>0</v>
      </c>
      <c r="J12">
        <v>0</v>
      </c>
      <c r="K12">
        <v>865.6</v>
      </c>
      <c r="L12">
        <v>1958.1</v>
      </c>
      <c r="M12">
        <v>2823.7</v>
      </c>
    </row>
    <row r="13" spans="1:13">
      <c r="A13" t="s">
        <v>96</v>
      </c>
      <c r="B13">
        <v>21</v>
      </c>
      <c r="C13">
        <v>684.6</v>
      </c>
      <c r="D13">
        <v>1777.1</v>
      </c>
      <c r="E13">
        <v>181</v>
      </c>
      <c r="F13">
        <v>181</v>
      </c>
      <c r="G13">
        <v>0</v>
      </c>
      <c r="H13">
        <v>0</v>
      </c>
      <c r="I13">
        <v>0</v>
      </c>
      <c r="J13">
        <v>0</v>
      </c>
      <c r="K13">
        <v>865.6</v>
      </c>
      <c r="L13">
        <v>1958.1</v>
      </c>
      <c r="M13">
        <v>2823.7</v>
      </c>
    </row>
    <row r="14" spans="1:13">
      <c r="A14" t="s">
        <v>135</v>
      </c>
      <c r="B14">
        <v>21</v>
      </c>
      <c r="C14">
        <v>684.6</v>
      </c>
      <c r="D14">
        <v>1777.1</v>
      </c>
      <c r="E14">
        <v>181</v>
      </c>
      <c r="F14">
        <v>181</v>
      </c>
      <c r="G14">
        <v>0</v>
      </c>
      <c r="H14">
        <v>0</v>
      </c>
      <c r="I14">
        <v>0</v>
      </c>
      <c r="J14">
        <v>0</v>
      </c>
      <c r="K14">
        <v>865.6</v>
      </c>
      <c r="L14">
        <v>1958.1</v>
      </c>
      <c r="M14">
        <v>2823.7</v>
      </c>
    </row>
    <row r="15" spans="1:13">
      <c r="A15" t="s">
        <v>375</v>
      </c>
      <c r="B15">
        <v>21</v>
      </c>
      <c r="C15">
        <v>684.6</v>
      </c>
      <c r="D15">
        <v>1777.1</v>
      </c>
      <c r="E15">
        <v>181</v>
      </c>
      <c r="F15">
        <v>181</v>
      </c>
      <c r="G15">
        <v>0</v>
      </c>
      <c r="H15">
        <v>0</v>
      </c>
      <c r="I15">
        <v>0</v>
      </c>
      <c r="J15">
        <v>0</v>
      </c>
      <c r="K15">
        <v>865.6</v>
      </c>
      <c r="L15">
        <v>1958.1</v>
      </c>
      <c r="M15">
        <v>2823.7</v>
      </c>
    </row>
    <row r="16" spans="1:13">
      <c r="A16" t="s">
        <v>132</v>
      </c>
      <c r="B16">
        <v>21</v>
      </c>
      <c r="C16">
        <v>684.6</v>
      </c>
      <c r="D16">
        <v>1777.1</v>
      </c>
      <c r="E16">
        <v>181</v>
      </c>
      <c r="F16">
        <v>181</v>
      </c>
      <c r="G16">
        <v>0</v>
      </c>
      <c r="H16">
        <v>0</v>
      </c>
      <c r="I16">
        <v>0</v>
      </c>
      <c r="J16">
        <v>0</v>
      </c>
      <c r="K16">
        <v>865.6</v>
      </c>
      <c r="L16">
        <v>1958.1</v>
      </c>
      <c r="M16">
        <v>2823.7</v>
      </c>
    </row>
    <row r="17" spans="1:13">
      <c r="A17" t="s">
        <v>152</v>
      </c>
      <c r="B17">
        <v>21</v>
      </c>
      <c r="C17">
        <v>684.6</v>
      </c>
      <c r="D17">
        <v>1777.1</v>
      </c>
      <c r="E17">
        <v>181</v>
      </c>
      <c r="F17">
        <v>181</v>
      </c>
      <c r="G17">
        <v>0</v>
      </c>
      <c r="H17">
        <v>0</v>
      </c>
      <c r="I17">
        <v>0</v>
      </c>
      <c r="J17">
        <v>0</v>
      </c>
      <c r="K17">
        <v>865.6</v>
      </c>
      <c r="L17">
        <v>1958.1</v>
      </c>
      <c r="M17">
        <v>2823.7</v>
      </c>
    </row>
    <row r="18" spans="1:13">
      <c r="A18" t="s">
        <v>158</v>
      </c>
      <c r="B18">
        <v>21</v>
      </c>
      <c r="C18">
        <v>684.6</v>
      </c>
      <c r="D18">
        <v>1777.1</v>
      </c>
      <c r="E18">
        <v>181</v>
      </c>
      <c r="F18">
        <v>181</v>
      </c>
      <c r="G18">
        <v>0</v>
      </c>
      <c r="H18">
        <v>0</v>
      </c>
      <c r="I18">
        <v>0</v>
      </c>
      <c r="J18">
        <v>0</v>
      </c>
      <c r="K18">
        <v>865.6</v>
      </c>
      <c r="L18">
        <v>1958.1</v>
      </c>
      <c r="M18">
        <v>2823.7</v>
      </c>
    </row>
    <row r="19" spans="1:13">
      <c r="A19" t="s">
        <v>123</v>
      </c>
      <c r="B19">
        <v>21</v>
      </c>
      <c r="C19">
        <v>684.6</v>
      </c>
      <c r="D19">
        <v>1777.1</v>
      </c>
      <c r="E19">
        <v>181</v>
      </c>
      <c r="F19">
        <v>181</v>
      </c>
      <c r="G19">
        <v>0</v>
      </c>
      <c r="H19">
        <v>0</v>
      </c>
      <c r="I19">
        <v>0</v>
      </c>
      <c r="J19">
        <v>0</v>
      </c>
      <c r="K19">
        <v>865.6</v>
      </c>
      <c r="L19">
        <v>1958.1</v>
      </c>
      <c r="M19">
        <v>2823.7</v>
      </c>
    </row>
    <row r="20" spans="1:13">
      <c r="A20" t="s">
        <v>139</v>
      </c>
      <c r="B20">
        <v>21</v>
      </c>
      <c r="C20">
        <v>684.6</v>
      </c>
      <c r="D20">
        <v>1777.1</v>
      </c>
      <c r="E20">
        <v>181</v>
      </c>
      <c r="F20">
        <v>181</v>
      </c>
      <c r="G20">
        <v>0</v>
      </c>
      <c r="H20">
        <v>0</v>
      </c>
      <c r="I20">
        <v>0</v>
      </c>
      <c r="J20">
        <v>0</v>
      </c>
      <c r="K20">
        <v>865.6</v>
      </c>
      <c r="L20">
        <v>1958.1</v>
      </c>
      <c r="M20">
        <v>2823.7</v>
      </c>
    </row>
    <row r="21" spans="1:13">
      <c r="A21" t="s">
        <v>141</v>
      </c>
      <c r="B21">
        <v>21</v>
      </c>
      <c r="C21">
        <v>684.6</v>
      </c>
      <c r="D21">
        <v>1777.1</v>
      </c>
      <c r="E21">
        <v>181</v>
      </c>
      <c r="F21">
        <v>181</v>
      </c>
      <c r="G21">
        <v>0</v>
      </c>
      <c r="H21">
        <v>0</v>
      </c>
      <c r="I21">
        <v>0</v>
      </c>
      <c r="J21">
        <v>0</v>
      </c>
      <c r="K21">
        <v>865.6</v>
      </c>
      <c r="L21">
        <v>1958.1</v>
      </c>
      <c r="M21">
        <v>2823.7</v>
      </c>
    </row>
    <row r="22" spans="1:13">
      <c r="A22" t="s">
        <v>218</v>
      </c>
      <c r="B22">
        <v>21</v>
      </c>
      <c r="C22">
        <v>684.6</v>
      </c>
      <c r="D22">
        <v>1777.1</v>
      </c>
      <c r="E22">
        <v>181</v>
      </c>
      <c r="F22">
        <v>181</v>
      </c>
      <c r="G22">
        <v>0</v>
      </c>
      <c r="H22">
        <v>0</v>
      </c>
      <c r="I22">
        <v>0</v>
      </c>
      <c r="J22">
        <v>0</v>
      </c>
      <c r="K22">
        <v>865.6</v>
      </c>
      <c r="L22">
        <v>1958.1</v>
      </c>
      <c r="M22">
        <v>2823.7</v>
      </c>
    </row>
    <row r="23" spans="1:13">
      <c r="A23" t="s">
        <v>214</v>
      </c>
      <c r="B23">
        <v>21</v>
      </c>
      <c r="C23">
        <v>684.6</v>
      </c>
      <c r="D23">
        <v>1777.1</v>
      </c>
      <c r="E23">
        <v>181</v>
      </c>
      <c r="F23">
        <v>181</v>
      </c>
      <c r="G23">
        <v>0</v>
      </c>
      <c r="H23">
        <v>0</v>
      </c>
      <c r="I23">
        <v>0</v>
      </c>
      <c r="J23">
        <v>0</v>
      </c>
      <c r="K23">
        <v>865.6</v>
      </c>
      <c r="L23">
        <v>1958.1</v>
      </c>
      <c r="M23">
        <v>2823.7</v>
      </c>
    </row>
    <row r="24" spans="1:13">
      <c r="A24" t="s">
        <v>100</v>
      </c>
      <c r="B24">
        <v>21</v>
      </c>
      <c r="C24">
        <v>684.6</v>
      </c>
      <c r="D24">
        <v>1777.1</v>
      </c>
      <c r="E24">
        <v>181</v>
      </c>
      <c r="F24">
        <v>181</v>
      </c>
      <c r="G24">
        <v>0</v>
      </c>
      <c r="H24">
        <v>0</v>
      </c>
      <c r="I24">
        <v>0</v>
      </c>
      <c r="J24">
        <v>0</v>
      </c>
      <c r="K24">
        <v>865.6</v>
      </c>
      <c r="L24">
        <v>1958.1</v>
      </c>
      <c r="M24">
        <v>2823.7</v>
      </c>
    </row>
    <row r="25" spans="1:13">
      <c r="A25" t="s">
        <v>264</v>
      </c>
      <c r="B25">
        <v>21</v>
      </c>
      <c r="C25">
        <v>684.6</v>
      </c>
      <c r="D25">
        <v>1777.1</v>
      </c>
      <c r="E25">
        <v>181</v>
      </c>
      <c r="F25">
        <v>181</v>
      </c>
      <c r="G25">
        <v>0</v>
      </c>
      <c r="H25">
        <v>0</v>
      </c>
      <c r="I25">
        <v>0</v>
      </c>
      <c r="J25">
        <v>0</v>
      </c>
      <c r="K25">
        <v>865.6</v>
      </c>
      <c r="L25">
        <v>1958.1</v>
      </c>
      <c r="M25">
        <v>2823.7</v>
      </c>
    </row>
    <row r="26" spans="1:13">
      <c r="A26" t="s">
        <v>117</v>
      </c>
      <c r="B26">
        <v>21</v>
      </c>
      <c r="C26">
        <v>684.6</v>
      </c>
      <c r="D26">
        <v>1777.1</v>
      </c>
      <c r="E26">
        <v>181</v>
      </c>
      <c r="F26">
        <v>181</v>
      </c>
      <c r="G26">
        <v>0</v>
      </c>
      <c r="H26">
        <v>0</v>
      </c>
      <c r="I26">
        <v>0</v>
      </c>
      <c r="J26">
        <v>0</v>
      </c>
      <c r="K26">
        <v>865.6</v>
      </c>
      <c r="L26">
        <v>1958.1</v>
      </c>
      <c r="M26">
        <v>2823.7</v>
      </c>
    </row>
    <row r="27" spans="1:13">
      <c r="A27" t="s">
        <v>126</v>
      </c>
      <c r="B27">
        <v>21</v>
      </c>
      <c r="C27">
        <v>684.6</v>
      </c>
      <c r="D27">
        <v>1777.1</v>
      </c>
      <c r="E27">
        <v>181</v>
      </c>
      <c r="F27">
        <v>181</v>
      </c>
      <c r="G27">
        <v>0</v>
      </c>
      <c r="H27">
        <v>0</v>
      </c>
      <c r="I27">
        <v>0</v>
      </c>
      <c r="J27">
        <v>0</v>
      </c>
      <c r="K27">
        <v>865.6</v>
      </c>
      <c r="L27">
        <v>1958.1</v>
      </c>
      <c r="M27">
        <v>2823.7</v>
      </c>
    </row>
    <row r="28" spans="1:13">
      <c r="A28" t="s">
        <v>277</v>
      </c>
      <c r="B28">
        <v>21</v>
      </c>
      <c r="C28">
        <v>684.6</v>
      </c>
      <c r="D28">
        <v>1777.1</v>
      </c>
      <c r="E28">
        <v>181</v>
      </c>
      <c r="F28">
        <v>181</v>
      </c>
      <c r="G28">
        <v>0</v>
      </c>
      <c r="H28">
        <v>0</v>
      </c>
      <c r="I28">
        <v>0</v>
      </c>
      <c r="J28">
        <v>0</v>
      </c>
      <c r="K28">
        <v>865.6</v>
      </c>
      <c r="L28">
        <v>1958.1</v>
      </c>
      <c r="M28">
        <v>2823.7</v>
      </c>
    </row>
    <row r="29" spans="1:13">
      <c r="A29" t="s">
        <v>228</v>
      </c>
      <c r="B29">
        <v>21</v>
      </c>
      <c r="C29">
        <v>684.6</v>
      </c>
      <c r="D29">
        <v>1777.1</v>
      </c>
      <c r="E29">
        <v>181</v>
      </c>
      <c r="F29">
        <v>181</v>
      </c>
      <c r="G29">
        <v>0</v>
      </c>
      <c r="H29">
        <v>0</v>
      </c>
      <c r="I29">
        <v>0</v>
      </c>
      <c r="J29">
        <v>0</v>
      </c>
      <c r="K29">
        <v>865.6</v>
      </c>
      <c r="L29">
        <v>1958.1</v>
      </c>
      <c r="M29">
        <v>2823.7</v>
      </c>
    </row>
    <row r="30" spans="1:13">
      <c r="A30" t="s">
        <v>243</v>
      </c>
      <c r="B30">
        <v>21</v>
      </c>
      <c r="C30">
        <v>684.6</v>
      </c>
      <c r="D30">
        <v>1777.1</v>
      </c>
      <c r="E30">
        <v>181</v>
      </c>
      <c r="F30">
        <v>181</v>
      </c>
      <c r="G30">
        <v>0</v>
      </c>
      <c r="H30">
        <v>0</v>
      </c>
      <c r="I30">
        <v>0</v>
      </c>
      <c r="J30">
        <v>0</v>
      </c>
      <c r="K30">
        <v>865.6</v>
      </c>
      <c r="L30">
        <v>1958.1</v>
      </c>
      <c r="M30">
        <v>2823.7</v>
      </c>
    </row>
    <row r="31" spans="1:13">
      <c r="A31" t="s">
        <v>106</v>
      </c>
      <c r="B31">
        <v>21</v>
      </c>
      <c r="C31">
        <v>684.6</v>
      </c>
      <c r="D31">
        <v>1777.1</v>
      </c>
      <c r="E31">
        <v>181</v>
      </c>
      <c r="F31">
        <v>181</v>
      </c>
      <c r="G31">
        <v>0</v>
      </c>
      <c r="H31">
        <v>0</v>
      </c>
      <c r="I31">
        <v>0</v>
      </c>
      <c r="J31">
        <v>0</v>
      </c>
      <c r="K31">
        <v>865.6</v>
      </c>
      <c r="L31">
        <v>1958.1</v>
      </c>
      <c r="M31">
        <v>2823.7</v>
      </c>
    </row>
    <row r="32" spans="1:13">
      <c r="A32" t="s">
        <v>231</v>
      </c>
      <c r="B32">
        <v>21</v>
      </c>
      <c r="C32">
        <v>684.6</v>
      </c>
      <c r="D32">
        <v>1777.1</v>
      </c>
      <c r="E32">
        <v>181</v>
      </c>
      <c r="F32">
        <v>181</v>
      </c>
      <c r="G32">
        <v>0</v>
      </c>
      <c r="H32">
        <v>0</v>
      </c>
      <c r="I32">
        <v>0</v>
      </c>
      <c r="J32">
        <v>0</v>
      </c>
      <c r="K32">
        <v>865.6</v>
      </c>
      <c r="L32">
        <v>1958.1</v>
      </c>
      <c r="M32">
        <v>2823.7</v>
      </c>
    </row>
    <row r="33" spans="1:13">
      <c r="A33" t="s">
        <v>265</v>
      </c>
      <c r="B33">
        <v>21</v>
      </c>
      <c r="C33">
        <v>684.6</v>
      </c>
      <c r="D33">
        <v>1777.1</v>
      </c>
      <c r="E33">
        <v>181</v>
      </c>
      <c r="F33">
        <v>181</v>
      </c>
      <c r="G33">
        <v>0</v>
      </c>
      <c r="H33">
        <v>0</v>
      </c>
      <c r="I33">
        <v>0</v>
      </c>
      <c r="J33">
        <v>0</v>
      </c>
      <c r="K33">
        <v>865.6</v>
      </c>
      <c r="L33">
        <v>1958.1</v>
      </c>
      <c r="M33">
        <v>2823.7</v>
      </c>
    </row>
    <row r="34" spans="1:13">
      <c r="A34" t="s">
        <v>360</v>
      </c>
      <c r="B34">
        <v>21</v>
      </c>
      <c r="C34">
        <v>684.6</v>
      </c>
      <c r="D34">
        <v>1777.1</v>
      </c>
      <c r="E34">
        <v>181</v>
      </c>
      <c r="F34">
        <v>181</v>
      </c>
      <c r="G34">
        <v>0</v>
      </c>
      <c r="H34">
        <v>0</v>
      </c>
      <c r="I34">
        <v>0</v>
      </c>
      <c r="J34">
        <v>0</v>
      </c>
      <c r="K34">
        <v>865.6</v>
      </c>
      <c r="L34">
        <v>1958.1</v>
      </c>
      <c r="M34">
        <v>2823.7</v>
      </c>
    </row>
    <row r="35" spans="1:13">
      <c r="A35" t="s">
        <v>198</v>
      </c>
      <c r="B35">
        <v>21</v>
      </c>
      <c r="C35">
        <v>684.6</v>
      </c>
      <c r="D35">
        <v>1777.1</v>
      </c>
      <c r="E35">
        <v>181</v>
      </c>
      <c r="F35">
        <v>181</v>
      </c>
      <c r="G35">
        <v>0</v>
      </c>
      <c r="H35">
        <v>0</v>
      </c>
      <c r="I35">
        <v>0</v>
      </c>
      <c r="J35">
        <v>0</v>
      </c>
      <c r="K35">
        <v>865.6</v>
      </c>
      <c r="L35">
        <v>1958.1</v>
      </c>
      <c r="M35">
        <v>2823.7</v>
      </c>
    </row>
    <row r="36" spans="1:13">
      <c r="A36" t="s">
        <v>129</v>
      </c>
      <c r="B36">
        <v>21</v>
      </c>
      <c r="C36">
        <v>684.6</v>
      </c>
      <c r="D36">
        <v>1777.1</v>
      </c>
      <c r="E36">
        <v>181</v>
      </c>
      <c r="F36">
        <v>181</v>
      </c>
      <c r="G36">
        <v>0</v>
      </c>
      <c r="H36">
        <v>0</v>
      </c>
      <c r="I36">
        <v>0</v>
      </c>
      <c r="J36">
        <v>0</v>
      </c>
      <c r="K36">
        <v>865.6</v>
      </c>
      <c r="L36">
        <v>1958.1</v>
      </c>
      <c r="M36">
        <v>2823.7</v>
      </c>
    </row>
    <row r="37" spans="1:13">
      <c r="A37" t="s">
        <v>187</v>
      </c>
      <c r="B37">
        <v>21</v>
      </c>
      <c r="C37">
        <v>684.6</v>
      </c>
      <c r="D37">
        <v>1777.1</v>
      </c>
      <c r="E37">
        <v>181</v>
      </c>
      <c r="F37">
        <v>181</v>
      </c>
      <c r="G37">
        <v>0</v>
      </c>
      <c r="H37">
        <v>0</v>
      </c>
      <c r="I37">
        <v>0</v>
      </c>
      <c r="J37">
        <v>0</v>
      </c>
      <c r="K37">
        <v>865.6</v>
      </c>
      <c r="L37">
        <v>1958.1</v>
      </c>
      <c r="M37">
        <v>2823.7</v>
      </c>
    </row>
    <row r="38" spans="1:13">
      <c r="A38" t="s">
        <v>282</v>
      </c>
      <c r="B38">
        <v>21</v>
      </c>
      <c r="C38">
        <v>684.6</v>
      </c>
      <c r="D38">
        <v>1777.1</v>
      </c>
      <c r="E38">
        <v>181</v>
      </c>
      <c r="F38">
        <v>181</v>
      </c>
      <c r="G38">
        <v>0</v>
      </c>
      <c r="H38">
        <v>0</v>
      </c>
      <c r="I38">
        <v>0</v>
      </c>
      <c r="J38">
        <v>0</v>
      </c>
      <c r="K38">
        <v>865.6</v>
      </c>
      <c r="L38">
        <v>1958.1</v>
      </c>
      <c r="M38">
        <v>2823.7</v>
      </c>
    </row>
    <row r="39" spans="1:13">
      <c r="A39" t="s">
        <v>144</v>
      </c>
      <c r="B39">
        <v>21</v>
      </c>
      <c r="C39">
        <v>684.6</v>
      </c>
      <c r="D39">
        <v>1777.1</v>
      </c>
      <c r="E39">
        <v>181</v>
      </c>
      <c r="F39">
        <v>181</v>
      </c>
      <c r="G39">
        <v>0</v>
      </c>
      <c r="H39">
        <v>0</v>
      </c>
      <c r="I39">
        <v>0</v>
      </c>
      <c r="J39">
        <v>0</v>
      </c>
      <c r="K39">
        <v>865.6</v>
      </c>
      <c r="L39">
        <v>1958.1</v>
      </c>
      <c r="M39">
        <v>2823.7</v>
      </c>
    </row>
    <row r="40" spans="1:13">
      <c r="A40" t="s">
        <v>239</v>
      </c>
      <c r="B40">
        <v>21</v>
      </c>
      <c r="C40">
        <v>684.6</v>
      </c>
      <c r="D40">
        <v>1777.1</v>
      </c>
      <c r="E40">
        <v>181</v>
      </c>
      <c r="F40">
        <v>181</v>
      </c>
      <c r="G40">
        <v>0</v>
      </c>
      <c r="H40">
        <v>0</v>
      </c>
      <c r="I40">
        <v>0</v>
      </c>
      <c r="J40">
        <v>0</v>
      </c>
      <c r="K40">
        <v>865.6</v>
      </c>
      <c r="L40">
        <v>1958.1</v>
      </c>
      <c r="M40">
        <v>2823.7</v>
      </c>
    </row>
    <row r="41" spans="1:13">
      <c r="A41" t="s">
        <v>120</v>
      </c>
      <c r="B41">
        <v>21</v>
      </c>
      <c r="C41">
        <v>684.6</v>
      </c>
      <c r="D41">
        <v>1777.1</v>
      </c>
      <c r="E41">
        <v>181</v>
      </c>
      <c r="F41">
        <v>181</v>
      </c>
      <c r="G41">
        <v>0</v>
      </c>
      <c r="H41">
        <v>0</v>
      </c>
      <c r="I41">
        <v>0</v>
      </c>
      <c r="J41">
        <v>0</v>
      </c>
      <c r="K41">
        <v>865.6</v>
      </c>
      <c r="L41">
        <v>1958.1</v>
      </c>
      <c r="M41">
        <v>2823.7</v>
      </c>
    </row>
    <row r="42" spans="1:13">
      <c r="A42" t="s">
        <v>221</v>
      </c>
      <c r="B42">
        <v>21</v>
      </c>
      <c r="C42">
        <v>684.6</v>
      </c>
      <c r="D42">
        <v>1777.1</v>
      </c>
      <c r="E42">
        <v>181</v>
      </c>
      <c r="F42">
        <v>181</v>
      </c>
      <c r="G42">
        <v>0</v>
      </c>
      <c r="H42">
        <v>0</v>
      </c>
      <c r="I42">
        <v>0</v>
      </c>
      <c r="J42">
        <v>0</v>
      </c>
      <c r="K42">
        <v>865.6</v>
      </c>
      <c r="L42">
        <v>1958.1</v>
      </c>
      <c r="M42">
        <v>2823.7</v>
      </c>
    </row>
    <row r="43" spans="1:13">
      <c r="A43" t="s">
        <v>259</v>
      </c>
      <c r="B43">
        <v>21</v>
      </c>
      <c r="C43">
        <v>684.6</v>
      </c>
      <c r="D43">
        <v>1777.1</v>
      </c>
      <c r="E43">
        <v>181</v>
      </c>
      <c r="F43">
        <v>181</v>
      </c>
      <c r="G43">
        <v>0</v>
      </c>
      <c r="H43">
        <v>0</v>
      </c>
      <c r="I43">
        <v>0</v>
      </c>
      <c r="J43">
        <v>0</v>
      </c>
      <c r="K43">
        <v>865.6</v>
      </c>
      <c r="L43">
        <v>1958.1</v>
      </c>
      <c r="M43">
        <v>2823.7</v>
      </c>
    </row>
    <row r="44" spans="1:13">
      <c r="A44" t="s">
        <v>155</v>
      </c>
      <c r="B44">
        <v>21</v>
      </c>
      <c r="C44">
        <v>684.6</v>
      </c>
      <c r="D44">
        <v>1777.1</v>
      </c>
      <c r="E44">
        <v>181</v>
      </c>
      <c r="F44">
        <v>181</v>
      </c>
      <c r="G44">
        <v>0</v>
      </c>
      <c r="H44">
        <v>0</v>
      </c>
      <c r="I44">
        <v>0</v>
      </c>
      <c r="J44">
        <v>0</v>
      </c>
      <c r="K44">
        <v>865.6</v>
      </c>
      <c r="L44">
        <v>1958.1</v>
      </c>
      <c r="M44">
        <v>2823.7</v>
      </c>
    </row>
    <row r="45" spans="1:13">
      <c r="A45" t="s">
        <v>234</v>
      </c>
      <c r="B45">
        <v>21</v>
      </c>
      <c r="C45">
        <v>684.6</v>
      </c>
      <c r="D45">
        <v>1777.1</v>
      </c>
      <c r="E45">
        <v>181</v>
      </c>
      <c r="F45">
        <v>181</v>
      </c>
      <c r="G45">
        <v>0</v>
      </c>
      <c r="H45">
        <v>0</v>
      </c>
      <c r="I45">
        <v>0</v>
      </c>
      <c r="J45">
        <v>0</v>
      </c>
      <c r="K45">
        <v>865.6</v>
      </c>
      <c r="L45">
        <v>1958.1</v>
      </c>
      <c r="M45">
        <v>2823.7</v>
      </c>
    </row>
    <row r="46" spans="1:13">
      <c r="A46" t="s">
        <v>384</v>
      </c>
      <c r="B46">
        <v>21</v>
      </c>
      <c r="C46">
        <v>684.6</v>
      </c>
      <c r="D46">
        <v>1777.1</v>
      </c>
      <c r="E46">
        <v>181</v>
      </c>
      <c r="F46">
        <v>181</v>
      </c>
      <c r="G46">
        <v>0</v>
      </c>
      <c r="H46">
        <v>0</v>
      </c>
      <c r="I46">
        <v>0</v>
      </c>
      <c r="J46">
        <v>0</v>
      </c>
      <c r="K46">
        <v>865.6</v>
      </c>
      <c r="L46">
        <v>1958.1</v>
      </c>
      <c r="M46">
        <v>2823.7</v>
      </c>
    </row>
    <row r="47" spans="1:13">
      <c r="A47" t="s">
        <v>190</v>
      </c>
      <c r="B47">
        <v>21</v>
      </c>
      <c r="C47">
        <v>684.6</v>
      </c>
      <c r="D47">
        <v>1777.1</v>
      </c>
      <c r="E47">
        <v>181</v>
      </c>
      <c r="F47">
        <v>181</v>
      </c>
      <c r="G47">
        <v>0</v>
      </c>
      <c r="H47">
        <v>0</v>
      </c>
      <c r="I47">
        <v>0</v>
      </c>
      <c r="J47">
        <v>0</v>
      </c>
      <c r="K47">
        <v>865.6</v>
      </c>
      <c r="L47">
        <v>1958.1</v>
      </c>
      <c r="M47">
        <v>2823.7</v>
      </c>
    </row>
    <row r="48" spans="1:13">
      <c r="A48" t="s">
        <v>236</v>
      </c>
      <c r="B48">
        <v>21</v>
      </c>
      <c r="C48">
        <v>684.6</v>
      </c>
      <c r="D48">
        <v>1777.1</v>
      </c>
      <c r="E48">
        <v>181</v>
      </c>
      <c r="F48">
        <v>181</v>
      </c>
      <c r="G48">
        <v>0</v>
      </c>
      <c r="H48">
        <v>0</v>
      </c>
      <c r="I48">
        <v>0</v>
      </c>
      <c r="J48">
        <v>0</v>
      </c>
      <c r="K48">
        <v>865.6</v>
      </c>
      <c r="L48">
        <v>1958.1</v>
      </c>
      <c r="M48">
        <v>2823.7</v>
      </c>
    </row>
    <row r="49" spans="1:13">
      <c r="A49" t="s">
        <v>184</v>
      </c>
      <c r="B49">
        <v>21</v>
      </c>
      <c r="C49">
        <v>684.6</v>
      </c>
      <c r="D49">
        <v>1777.1</v>
      </c>
      <c r="E49">
        <v>181</v>
      </c>
      <c r="F49">
        <v>181</v>
      </c>
      <c r="G49">
        <v>0</v>
      </c>
      <c r="H49">
        <v>0</v>
      </c>
      <c r="I49">
        <v>0</v>
      </c>
      <c r="J49">
        <v>0</v>
      </c>
      <c r="K49">
        <v>865.6</v>
      </c>
      <c r="L49">
        <v>1958.1</v>
      </c>
      <c r="M49">
        <v>2823.7</v>
      </c>
    </row>
    <row r="50" spans="1:13">
      <c r="A50" t="s">
        <v>368</v>
      </c>
      <c r="B50">
        <v>21</v>
      </c>
      <c r="C50">
        <v>684.6</v>
      </c>
      <c r="D50">
        <v>1777.1</v>
      </c>
      <c r="E50">
        <v>181</v>
      </c>
      <c r="F50">
        <v>181</v>
      </c>
      <c r="G50">
        <v>0</v>
      </c>
      <c r="H50">
        <v>0</v>
      </c>
      <c r="I50">
        <v>0</v>
      </c>
      <c r="J50">
        <v>0</v>
      </c>
      <c r="K50">
        <v>865.6</v>
      </c>
      <c r="L50">
        <v>1958.1</v>
      </c>
      <c r="M50">
        <v>2823.7</v>
      </c>
    </row>
    <row r="51" spans="1:13">
      <c r="A51" t="s">
        <v>168</v>
      </c>
      <c r="B51">
        <v>21</v>
      </c>
      <c r="C51">
        <v>684.6</v>
      </c>
      <c r="D51">
        <v>1777.1</v>
      </c>
      <c r="E51">
        <v>181</v>
      </c>
      <c r="F51">
        <v>181</v>
      </c>
      <c r="G51">
        <v>0</v>
      </c>
      <c r="H51">
        <v>0</v>
      </c>
      <c r="I51">
        <v>0</v>
      </c>
      <c r="J51">
        <v>0</v>
      </c>
      <c r="K51">
        <v>865.6</v>
      </c>
      <c r="L51">
        <v>1958.1</v>
      </c>
      <c r="M51">
        <v>2823.7</v>
      </c>
    </row>
    <row r="52" spans="1:13">
      <c r="A52" t="s">
        <v>207</v>
      </c>
      <c r="B52">
        <v>21</v>
      </c>
      <c r="C52">
        <v>684.6</v>
      </c>
      <c r="D52">
        <v>1777.1</v>
      </c>
      <c r="E52">
        <v>181</v>
      </c>
      <c r="F52">
        <v>181</v>
      </c>
      <c r="G52">
        <v>0</v>
      </c>
      <c r="H52">
        <v>0</v>
      </c>
      <c r="I52">
        <v>0</v>
      </c>
      <c r="J52">
        <v>0</v>
      </c>
      <c r="K52">
        <v>865.6</v>
      </c>
      <c r="L52">
        <v>1958.1</v>
      </c>
      <c r="M52">
        <v>2823.7</v>
      </c>
    </row>
    <row r="53" spans="1:13">
      <c r="A53" t="s">
        <v>256</v>
      </c>
      <c r="B53">
        <v>21</v>
      </c>
      <c r="C53">
        <v>684.6</v>
      </c>
      <c r="D53">
        <v>1777.1</v>
      </c>
      <c r="E53">
        <v>181</v>
      </c>
      <c r="F53">
        <v>181</v>
      </c>
      <c r="G53">
        <v>0</v>
      </c>
      <c r="H53">
        <v>0</v>
      </c>
      <c r="I53">
        <v>0</v>
      </c>
      <c r="J53">
        <v>0</v>
      </c>
      <c r="K53">
        <v>865.6</v>
      </c>
      <c r="L53">
        <v>1958.1</v>
      </c>
      <c r="M53">
        <v>2823.7</v>
      </c>
    </row>
    <row r="54" spans="1:13">
      <c r="A54" t="s">
        <v>110</v>
      </c>
      <c r="B54">
        <v>21</v>
      </c>
      <c r="C54">
        <v>684.6</v>
      </c>
      <c r="D54">
        <v>1777.1</v>
      </c>
      <c r="E54">
        <v>181</v>
      </c>
      <c r="F54">
        <v>181</v>
      </c>
      <c r="G54">
        <v>0</v>
      </c>
      <c r="H54">
        <v>0</v>
      </c>
      <c r="I54">
        <v>0</v>
      </c>
      <c r="J54">
        <v>0</v>
      </c>
      <c r="K54">
        <v>865.6</v>
      </c>
      <c r="L54">
        <v>1958.1</v>
      </c>
      <c r="M54">
        <v>2823.7</v>
      </c>
    </row>
    <row r="55" spans="1:13">
      <c r="A55" t="s">
        <v>90</v>
      </c>
      <c r="B55">
        <v>21</v>
      </c>
      <c r="C55">
        <v>684.6</v>
      </c>
      <c r="D55">
        <v>1777.1</v>
      </c>
      <c r="E55">
        <v>181</v>
      </c>
      <c r="F55">
        <v>181</v>
      </c>
      <c r="G55">
        <v>0</v>
      </c>
      <c r="H55">
        <v>0</v>
      </c>
      <c r="I55">
        <v>0</v>
      </c>
      <c r="J55">
        <v>0</v>
      </c>
      <c r="K55">
        <v>865.6</v>
      </c>
      <c r="L55">
        <v>1958.1</v>
      </c>
      <c r="M55">
        <v>2823.7</v>
      </c>
    </row>
    <row r="56" spans="1:13">
      <c r="A56" t="s">
        <v>369</v>
      </c>
      <c r="B56">
        <v>21</v>
      </c>
      <c r="C56">
        <v>684.6</v>
      </c>
      <c r="D56">
        <v>1777.1</v>
      </c>
      <c r="E56">
        <v>181</v>
      </c>
      <c r="F56">
        <v>181</v>
      </c>
      <c r="G56">
        <v>0</v>
      </c>
      <c r="H56">
        <v>0</v>
      </c>
      <c r="I56">
        <v>0</v>
      </c>
      <c r="J56">
        <v>0</v>
      </c>
      <c r="K56">
        <v>865.6</v>
      </c>
      <c r="L56">
        <v>1958.1</v>
      </c>
      <c r="M56">
        <v>2823.7</v>
      </c>
    </row>
    <row r="57" spans="1:13">
      <c r="A57" t="s">
        <v>355</v>
      </c>
      <c r="B57">
        <v>21</v>
      </c>
      <c r="C57">
        <v>684.6</v>
      </c>
      <c r="D57">
        <v>1777.1</v>
      </c>
      <c r="E57">
        <v>181</v>
      </c>
      <c r="F57">
        <v>181</v>
      </c>
      <c r="G57">
        <v>0</v>
      </c>
      <c r="H57">
        <v>0</v>
      </c>
      <c r="I57">
        <v>0</v>
      </c>
      <c r="J57">
        <v>0</v>
      </c>
      <c r="K57">
        <v>865.6</v>
      </c>
      <c r="L57">
        <v>1958.1</v>
      </c>
      <c r="M57">
        <v>2823.7</v>
      </c>
    </row>
    <row r="58" spans="1:13">
      <c r="A58" t="s">
        <v>350</v>
      </c>
      <c r="B58">
        <v>21</v>
      </c>
      <c r="C58">
        <v>684.6</v>
      </c>
      <c r="D58">
        <v>1777.1</v>
      </c>
      <c r="E58">
        <v>181</v>
      </c>
      <c r="F58">
        <v>181</v>
      </c>
      <c r="G58">
        <v>0</v>
      </c>
      <c r="H58">
        <v>0</v>
      </c>
      <c r="I58">
        <v>0</v>
      </c>
      <c r="J58">
        <v>0</v>
      </c>
      <c r="K58">
        <v>865.6</v>
      </c>
      <c r="L58">
        <v>1958.1</v>
      </c>
      <c r="M58">
        <v>2823.7</v>
      </c>
    </row>
    <row r="59" spans="1:13">
      <c r="A59" t="s">
        <v>196</v>
      </c>
      <c r="B59">
        <v>21</v>
      </c>
      <c r="C59">
        <v>684.6</v>
      </c>
      <c r="D59">
        <v>1777.1</v>
      </c>
      <c r="E59">
        <v>181</v>
      </c>
      <c r="F59">
        <v>181</v>
      </c>
      <c r="G59">
        <v>0</v>
      </c>
      <c r="H59">
        <v>0</v>
      </c>
      <c r="I59">
        <v>0</v>
      </c>
      <c r="J59">
        <v>0</v>
      </c>
      <c r="K59">
        <v>865.6</v>
      </c>
      <c r="L59">
        <v>1958.1</v>
      </c>
      <c r="M59">
        <v>2823.7</v>
      </c>
    </row>
    <row r="60" spans="1:13">
      <c r="A60" t="s">
        <v>226</v>
      </c>
      <c r="B60">
        <v>21</v>
      </c>
      <c r="C60">
        <v>684.6</v>
      </c>
      <c r="D60">
        <v>1777.1</v>
      </c>
      <c r="E60">
        <v>181</v>
      </c>
      <c r="F60">
        <v>181</v>
      </c>
      <c r="G60">
        <v>0</v>
      </c>
      <c r="H60">
        <v>0</v>
      </c>
      <c r="I60">
        <v>0</v>
      </c>
      <c r="J60">
        <v>0</v>
      </c>
      <c r="K60">
        <v>865.6</v>
      </c>
      <c r="L60">
        <v>1958.1</v>
      </c>
      <c r="M60">
        <v>2823.7</v>
      </c>
    </row>
    <row r="61" spans="1:13">
      <c r="A61" t="s">
        <v>179</v>
      </c>
      <c r="B61">
        <v>21</v>
      </c>
      <c r="C61">
        <v>684.6</v>
      </c>
      <c r="D61">
        <v>1777.1</v>
      </c>
      <c r="E61">
        <v>181</v>
      </c>
      <c r="F61">
        <v>181</v>
      </c>
      <c r="G61">
        <v>0</v>
      </c>
      <c r="H61">
        <v>0</v>
      </c>
      <c r="I61">
        <v>0</v>
      </c>
      <c r="J61">
        <v>0</v>
      </c>
      <c r="K61">
        <v>865.6</v>
      </c>
      <c r="L61">
        <v>1958.1</v>
      </c>
      <c r="M61">
        <v>2823.7</v>
      </c>
    </row>
    <row r="62" spans="1:13">
      <c r="A62" t="s">
        <v>262</v>
      </c>
      <c r="B62">
        <v>21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>
      <c r="A63" t="s">
        <v>85</v>
      </c>
      <c r="B63">
        <v>21</v>
      </c>
      <c r="C63">
        <v>684.6</v>
      </c>
      <c r="D63">
        <v>1777.1</v>
      </c>
      <c r="E63">
        <v>181</v>
      </c>
      <c r="F63">
        <v>181</v>
      </c>
      <c r="G63">
        <v>0</v>
      </c>
      <c r="H63">
        <v>0</v>
      </c>
      <c r="I63">
        <v>0</v>
      </c>
      <c r="J63">
        <v>0</v>
      </c>
      <c r="K63">
        <v>865.6</v>
      </c>
      <c r="L63">
        <v>1958.1</v>
      </c>
      <c r="M63">
        <v>2823.7</v>
      </c>
    </row>
    <row r="64" spans="1:13">
      <c r="A64" t="s">
        <v>253</v>
      </c>
      <c r="B64">
        <v>21</v>
      </c>
      <c r="C64">
        <v>684.6</v>
      </c>
      <c r="D64">
        <v>1777.1</v>
      </c>
      <c r="E64">
        <v>181</v>
      </c>
      <c r="F64">
        <v>181</v>
      </c>
      <c r="G64">
        <v>0</v>
      </c>
      <c r="H64">
        <v>0</v>
      </c>
      <c r="I64">
        <v>0</v>
      </c>
      <c r="J64">
        <v>0</v>
      </c>
      <c r="K64">
        <v>865.6</v>
      </c>
      <c r="L64">
        <v>1958.1</v>
      </c>
      <c r="M64">
        <v>2823.7</v>
      </c>
    </row>
    <row r="65" spans="1:13">
      <c r="A65" t="s">
        <v>211</v>
      </c>
      <c r="B65">
        <v>21</v>
      </c>
      <c r="C65">
        <v>684.6</v>
      </c>
      <c r="D65">
        <v>1777.1</v>
      </c>
      <c r="E65">
        <v>181</v>
      </c>
      <c r="F65">
        <v>181</v>
      </c>
      <c r="G65">
        <v>0</v>
      </c>
      <c r="H65">
        <v>0</v>
      </c>
      <c r="I65">
        <v>0</v>
      </c>
      <c r="J65">
        <v>0</v>
      </c>
      <c r="K65">
        <v>865.6</v>
      </c>
      <c r="L65">
        <v>1958.1</v>
      </c>
      <c r="M65">
        <v>2823.7</v>
      </c>
    </row>
    <row r="66" spans="1:13">
      <c r="A66" t="s">
        <v>272</v>
      </c>
      <c r="B66">
        <v>21</v>
      </c>
      <c r="C66">
        <v>684.6</v>
      </c>
      <c r="D66">
        <v>1777.1</v>
      </c>
      <c r="E66">
        <v>181</v>
      </c>
      <c r="F66">
        <v>181</v>
      </c>
      <c r="G66">
        <v>0</v>
      </c>
      <c r="H66">
        <v>0</v>
      </c>
      <c r="I66">
        <v>0</v>
      </c>
      <c r="J66">
        <v>0</v>
      </c>
      <c r="K66">
        <v>865.6</v>
      </c>
      <c r="L66">
        <v>1958.1</v>
      </c>
      <c r="M66">
        <v>2823.7</v>
      </c>
    </row>
    <row r="67" spans="1:13">
      <c r="A67" t="s">
        <v>269</v>
      </c>
      <c r="B67">
        <v>21</v>
      </c>
      <c r="C67">
        <v>684.6</v>
      </c>
      <c r="D67">
        <v>1777.1</v>
      </c>
      <c r="E67">
        <v>181</v>
      </c>
      <c r="F67">
        <v>181</v>
      </c>
      <c r="G67">
        <v>0</v>
      </c>
      <c r="H67">
        <v>0</v>
      </c>
      <c r="I67">
        <v>0</v>
      </c>
      <c r="J67">
        <v>0</v>
      </c>
      <c r="K67">
        <v>865.6</v>
      </c>
      <c r="L67">
        <v>1958.1</v>
      </c>
      <c r="M67">
        <v>2823.7</v>
      </c>
    </row>
    <row r="68" spans="1:13">
      <c r="A68" t="s">
        <v>173</v>
      </c>
      <c r="B68">
        <v>21</v>
      </c>
      <c r="C68">
        <v>684.6</v>
      </c>
      <c r="D68">
        <v>1777.1</v>
      </c>
      <c r="E68">
        <v>181</v>
      </c>
      <c r="F68">
        <v>181</v>
      </c>
      <c r="G68">
        <v>0</v>
      </c>
      <c r="H68">
        <v>0</v>
      </c>
      <c r="I68">
        <v>0</v>
      </c>
      <c r="J68">
        <v>0</v>
      </c>
      <c r="K68">
        <v>865.6</v>
      </c>
      <c r="L68">
        <v>1958.1</v>
      </c>
      <c r="M68">
        <v>2823.7</v>
      </c>
    </row>
    <row r="69" spans="1:13">
      <c r="A69" t="s">
        <v>400</v>
      </c>
      <c r="B69">
        <v>21</v>
      </c>
      <c r="C69">
        <v>684.6</v>
      </c>
      <c r="D69">
        <v>1777.1</v>
      </c>
      <c r="E69">
        <v>181</v>
      </c>
      <c r="F69">
        <v>181</v>
      </c>
      <c r="G69">
        <v>0</v>
      </c>
      <c r="H69">
        <v>0</v>
      </c>
      <c r="I69">
        <v>0</v>
      </c>
      <c r="J69">
        <v>0</v>
      </c>
      <c r="K69">
        <v>865.6</v>
      </c>
      <c r="L69">
        <v>1958.1</v>
      </c>
      <c r="M69">
        <v>2823.7</v>
      </c>
    </row>
    <row r="70" spans="1:13">
      <c r="A70" t="s">
        <v>404</v>
      </c>
      <c r="B70">
        <v>21</v>
      </c>
      <c r="C70">
        <v>684.6</v>
      </c>
      <c r="D70">
        <v>1777.1</v>
      </c>
      <c r="E70">
        <v>181</v>
      </c>
      <c r="F70">
        <v>181</v>
      </c>
      <c r="G70">
        <v>0</v>
      </c>
      <c r="H70">
        <v>0</v>
      </c>
      <c r="I70">
        <v>0</v>
      </c>
      <c r="J70">
        <v>0</v>
      </c>
      <c r="K70">
        <v>865.6</v>
      </c>
      <c r="L70">
        <v>1958.1</v>
      </c>
      <c r="M70">
        <v>2823.7</v>
      </c>
    </row>
    <row r="71" spans="1:13">
      <c r="A71" t="s">
        <v>406</v>
      </c>
      <c r="B71">
        <v>21</v>
      </c>
      <c r="C71">
        <v>684.6</v>
      </c>
      <c r="D71">
        <v>1777.1</v>
      </c>
      <c r="E71">
        <v>181</v>
      </c>
      <c r="F71">
        <v>181</v>
      </c>
      <c r="G71">
        <v>0</v>
      </c>
      <c r="H71">
        <v>0</v>
      </c>
      <c r="I71">
        <v>0</v>
      </c>
      <c r="J71">
        <v>0</v>
      </c>
      <c r="K71">
        <v>865.6</v>
      </c>
      <c r="L71">
        <v>1958.1</v>
      </c>
      <c r="M71">
        <v>2823.7</v>
      </c>
    </row>
    <row r="72" spans="1:13">
      <c r="A72" t="s">
        <v>412</v>
      </c>
      <c r="B72">
        <v>21</v>
      </c>
      <c r="C72">
        <v>684.6</v>
      </c>
      <c r="D72">
        <v>1777.1</v>
      </c>
      <c r="E72">
        <v>181</v>
      </c>
      <c r="F72">
        <v>181</v>
      </c>
      <c r="G72">
        <v>0</v>
      </c>
      <c r="H72">
        <v>0</v>
      </c>
      <c r="I72">
        <v>0</v>
      </c>
      <c r="J72">
        <v>0</v>
      </c>
      <c r="K72">
        <v>865.6</v>
      </c>
      <c r="L72">
        <v>1958.1</v>
      </c>
      <c r="M72">
        <v>2823.7</v>
      </c>
    </row>
    <row r="73" spans="1:13">
      <c r="A73" t="s">
        <v>422</v>
      </c>
      <c r="B73">
        <v>21</v>
      </c>
      <c r="C73">
        <v>684.6</v>
      </c>
      <c r="D73">
        <v>1777.1</v>
      </c>
      <c r="E73">
        <v>181</v>
      </c>
      <c r="F73">
        <v>181</v>
      </c>
      <c r="G73">
        <v>0</v>
      </c>
      <c r="H73">
        <v>0</v>
      </c>
      <c r="I73">
        <v>0</v>
      </c>
      <c r="J73">
        <v>0</v>
      </c>
      <c r="K73">
        <v>865.6</v>
      </c>
      <c r="L73">
        <v>1958.1</v>
      </c>
      <c r="M73">
        <v>2823.7</v>
      </c>
    </row>
    <row r="74" spans="1:13">
      <c r="A74" t="s">
        <v>425</v>
      </c>
      <c r="B74">
        <v>21</v>
      </c>
      <c r="C74">
        <v>684.6</v>
      </c>
      <c r="D74">
        <v>1777.1</v>
      </c>
      <c r="E74">
        <v>181</v>
      </c>
      <c r="F74">
        <v>181</v>
      </c>
      <c r="G74">
        <v>0</v>
      </c>
      <c r="H74">
        <v>0</v>
      </c>
      <c r="I74">
        <v>0</v>
      </c>
      <c r="J74">
        <v>0</v>
      </c>
      <c r="K74">
        <v>865.6</v>
      </c>
      <c r="L74">
        <v>1958.1</v>
      </c>
      <c r="M74">
        <v>2823.7</v>
      </c>
    </row>
    <row r="75" spans="1:13">
      <c r="A75" t="s">
        <v>430</v>
      </c>
      <c r="B75">
        <v>21</v>
      </c>
      <c r="C75">
        <v>684.6</v>
      </c>
      <c r="D75">
        <v>1777.1</v>
      </c>
      <c r="E75">
        <v>181</v>
      </c>
      <c r="F75">
        <v>181</v>
      </c>
      <c r="G75">
        <v>0</v>
      </c>
      <c r="H75">
        <v>0</v>
      </c>
      <c r="I75">
        <v>0</v>
      </c>
      <c r="J75">
        <v>0</v>
      </c>
      <c r="K75">
        <v>865.6</v>
      </c>
      <c r="L75">
        <v>1958.1</v>
      </c>
      <c r="M75">
        <v>2823.7</v>
      </c>
    </row>
    <row r="76" spans="1:13">
      <c r="A76" t="s">
        <v>451</v>
      </c>
      <c r="B76">
        <v>21</v>
      </c>
      <c r="C76">
        <v>1369.2</v>
      </c>
      <c r="D76">
        <v>3554.2</v>
      </c>
      <c r="E76">
        <v>362</v>
      </c>
      <c r="F76">
        <v>362</v>
      </c>
      <c r="G76">
        <v>0</v>
      </c>
      <c r="H76">
        <v>0</v>
      </c>
      <c r="I76">
        <v>0</v>
      </c>
      <c r="J76">
        <v>0</v>
      </c>
      <c r="K76">
        <v>1731.2</v>
      </c>
      <c r="L76">
        <v>3916.2</v>
      </c>
      <c r="M76">
        <v>5647.4</v>
      </c>
    </row>
    <row r="77" spans="1:13">
      <c r="A77" t="s">
        <v>444</v>
      </c>
      <c r="B77">
        <v>21</v>
      </c>
      <c r="C77">
        <v>1369.2</v>
      </c>
      <c r="D77">
        <v>3554.2</v>
      </c>
      <c r="E77">
        <v>362</v>
      </c>
      <c r="F77">
        <v>362</v>
      </c>
      <c r="G77">
        <v>0</v>
      </c>
      <c r="H77">
        <v>0</v>
      </c>
      <c r="I77">
        <v>0</v>
      </c>
      <c r="J77">
        <v>0</v>
      </c>
      <c r="K77">
        <v>1731.2</v>
      </c>
      <c r="L77">
        <v>3916.2</v>
      </c>
      <c r="M77">
        <v>5647.4</v>
      </c>
    </row>
    <row r="78" spans="1:13">
      <c r="A78" t="s">
        <v>446</v>
      </c>
      <c r="B78">
        <v>21</v>
      </c>
      <c r="C78">
        <v>1369.2</v>
      </c>
      <c r="D78">
        <v>3554.2</v>
      </c>
      <c r="E78">
        <v>362</v>
      </c>
      <c r="F78">
        <v>362</v>
      </c>
      <c r="G78">
        <v>0</v>
      </c>
      <c r="H78">
        <v>0</v>
      </c>
      <c r="I78">
        <v>0</v>
      </c>
      <c r="J78">
        <v>0</v>
      </c>
      <c r="K78">
        <v>1731.2</v>
      </c>
      <c r="L78">
        <v>3916.2</v>
      </c>
      <c r="M78">
        <v>5647.4</v>
      </c>
    </row>
    <row r="79" spans="1:13">
      <c r="A79" t="s">
        <v>448</v>
      </c>
      <c r="B79">
        <v>21</v>
      </c>
      <c r="C79">
        <v>1369.2</v>
      </c>
      <c r="D79">
        <v>3554.2</v>
      </c>
      <c r="E79">
        <v>362</v>
      </c>
      <c r="F79">
        <v>362</v>
      </c>
      <c r="G79">
        <v>0</v>
      </c>
      <c r="H79">
        <v>0</v>
      </c>
      <c r="I79">
        <v>0</v>
      </c>
      <c r="J79">
        <v>0</v>
      </c>
      <c r="K79">
        <v>1731.2</v>
      </c>
      <c r="L79">
        <v>3916.2</v>
      </c>
      <c r="M79">
        <v>5647.4</v>
      </c>
    </row>
    <row r="80" spans="1:13">
      <c r="A80" t="s">
        <v>177</v>
      </c>
      <c r="B80">
        <v>21</v>
      </c>
      <c r="C80">
        <v>415.49</v>
      </c>
      <c r="D80">
        <v>967.5</v>
      </c>
      <c r="E80">
        <v>182</v>
      </c>
      <c r="F80">
        <v>182</v>
      </c>
      <c r="G80">
        <v>0</v>
      </c>
      <c r="H80">
        <v>0</v>
      </c>
      <c r="I80">
        <v>0</v>
      </c>
      <c r="J80">
        <v>0</v>
      </c>
      <c r="K80">
        <v>597.49</v>
      </c>
      <c r="L80">
        <v>1149.5</v>
      </c>
      <c r="M80">
        <v>1746.99</v>
      </c>
    </row>
    <row r="81" spans="1:13">
      <c r="A81" t="s">
        <v>201</v>
      </c>
      <c r="B81">
        <v>21</v>
      </c>
      <c r="C81">
        <v>415.49</v>
      </c>
      <c r="D81">
        <v>967.5</v>
      </c>
      <c r="E81">
        <v>182</v>
      </c>
      <c r="F81">
        <v>182</v>
      </c>
      <c r="G81">
        <v>0</v>
      </c>
      <c r="H81">
        <v>0</v>
      </c>
      <c r="I81">
        <v>0</v>
      </c>
      <c r="J81">
        <v>0</v>
      </c>
      <c r="K81">
        <v>597.49</v>
      </c>
      <c r="L81">
        <v>1149.5</v>
      </c>
      <c r="M81">
        <v>1746.99</v>
      </c>
    </row>
    <row r="82" spans="1:13">
      <c r="A82" t="s">
        <v>402</v>
      </c>
      <c r="B82">
        <v>21</v>
      </c>
      <c r="C82">
        <v>341.35</v>
      </c>
      <c r="D82">
        <v>977.05</v>
      </c>
      <c r="E82">
        <v>317</v>
      </c>
      <c r="F82">
        <v>317</v>
      </c>
      <c r="G82">
        <v>0</v>
      </c>
      <c r="H82">
        <v>0</v>
      </c>
      <c r="I82">
        <v>0</v>
      </c>
      <c r="J82">
        <v>0</v>
      </c>
      <c r="K82">
        <v>658.35</v>
      </c>
      <c r="L82">
        <v>1294.05</v>
      </c>
      <c r="M82">
        <v>1952.4</v>
      </c>
    </row>
    <row r="83" spans="1:13">
      <c r="A83" t="s">
        <v>202</v>
      </c>
      <c r="B83">
        <v>21</v>
      </c>
      <c r="C83">
        <v>415.49</v>
      </c>
      <c r="D83">
        <v>967.5</v>
      </c>
      <c r="E83">
        <v>182</v>
      </c>
      <c r="F83">
        <v>182</v>
      </c>
      <c r="G83">
        <v>0</v>
      </c>
      <c r="H83">
        <v>0</v>
      </c>
      <c r="I83">
        <v>0</v>
      </c>
      <c r="J83">
        <v>0</v>
      </c>
      <c r="K83">
        <v>597.49</v>
      </c>
      <c r="L83">
        <v>1149.5</v>
      </c>
      <c r="M83">
        <v>1746.99</v>
      </c>
    </row>
    <row r="84" spans="1:13">
      <c r="A84" t="s">
        <v>204</v>
      </c>
      <c r="B84">
        <v>21</v>
      </c>
      <c r="C84">
        <v>415.49</v>
      </c>
      <c r="D84">
        <v>967.5</v>
      </c>
      <c r="E84">
        <v>182</v>
      </c>
      <c r="F84">
        <v>182</v>
      </c>
      <c r="G84">
        <v>0</v>
      </c>
      <c r="H84">
        <v>0</v>
      </c>
      <c r="I84">
        <v>0</v>
      </c>
      <c r="J84">
        <v>0</v>
      </c>
      <c r="K84">
        <v>597.49</v>
      </c>
      <c r="L84">
        <v>1149.5</v>
      </c>
      <c r="M84">
        <v>1746.99</v>
      </c>
    </row>
    <row r="85" spans="1:13">
      <c r="A85" t="s">
        <v>408</v>
      </c>
      <c r="B85">
        <v>21</v>
      </c>
      <c r="C85">
        <v>415.49</v>
      </c>
      <c r="D85">
        <v>967.5</v>
      </c>
      <c r="E85">
        <v>182</v>
      </c>
      <c r="F85">
        <v>182</v>
      </c>
      <c r="G85">
        <v>0</v>
      </c>
      <c r="H85">
        <v>0</v>
      </c>
      <c r="I85">
        <v>0</v>
      </c>
      <c r="J85">
        <v>0</v>
      </c>
      <c r="K85">
        <v>597.49</v>
      </c>
      <c r="L85">
        <v>1149.5</v>
      </c>
      <c r="M85">
        <v>1746.99</v>
      </c>
    </row>
    <row r="86" spans="1:13">
      <c r="A86" t="s">
        <v>371</v>
      </c>
      <c r="B86">
        <v>21</v>
      </c>
      <c r="C86">
        <v>446.25</v>
      </c>
      <c r="D86">
        <v>1096.5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446.25</v>
      </c>
      <c r="L86">
        <v>1096.5</v>
      </c>
      <c r="M86">
        <v>1542.75</v>
      </c>
    </row>
    <row r="87" spans="1:13">
      <c r="A87" t="s">
        <v>293</v>
      </c>
      <c r="B87">
        <v>21</v>
      </c>
      <c r="C87">
        <v>451.25</v>
      </c>
      <c r="D87">
        <v>1051.8800000000001</v>
      </c>
      <c r="E87">
        <v>340</v>
      </c>
      <c r="F87">
        <v>340</v>
      </c>
      <c r="G87">
        <v>0</v>
      </c>
      <c r="H87">
        <v>0</v>
      </c>
      <c r="I87">
        <v>36</v>
      </c>
      <c r="J87">
        <v>36</v>
      </c>
      <c r="K87">
        <v>827.25</v>
      </c>
      <c r="L87">
        <v>1427.88</v>
      </c>
      <c r="M87">
        <v>2255.13</v>
      </c>
    </row>
    <row r="88" spans="1:13">
      <c r="A88" t="s">
        <v>373</v>
      </c>
      <c r="B88">
        <v>21</v>
      </c>
      <c r="C88">
        <v>446.25</v>
      </c>
      <c r="D88">
        <v>1096.5</v>
      </c>
      <c r="E88">
        <v>183</v>
      </c>
      <c r="F88">
        <v>183</v>
      </c>
      <c r="G88">
        <v>0</v>
      </c>
      <c r="H88">
        <v>0</v>
      </c>
      <c r="I88">
        <v>21</v>
      </c>
      <c r="J88">
        <v>21</v>
      </c>
      <c r="K88">
        <v>650.25</v>
      </c>
      <c r="L88">
        <v>1300.5</v>
      </c>
      <c r="M88">
        <v>1950.75</v>
      </c>
    </row>
    <row r="89" spans="1:13">
      <c r="A89" t="s">
        <v>289</v>
      </c>
      <c r="B89">
        <v>21</v>
      </c>
      <c r="C89">
        <v>446.25</v>
      </c>
      <c r="D89">
        <v>1096.5</v>
      </c>
      <c r="E89">
        <v>183</v>
      </c>
      <c r="F89">
        <v>183</v>
      </c>
      <c r="G89">
        <v>0</v>
      </c>
      <c r="H89">
        <v>0</v>
      </c>
      <c r="I89">
        <v>21</v>
      </c>
      <c r="J89">
        <v>21</v>
      </c>
      <c r="K89">
        <v>650.25</v>
      </c>
      <c r="L89">
        <v>1300.5</v>
      </c>
      <c r="M89">
        <v>1950.75</v>
      </c>
    </row>
    <row r="90" spans="1:13">
      <c r="A90" t="s">
        <v>381</v>
      </c>
      <c r="B90">
        <v>21</v>
      </c>
      <c r="C90">
        <v>446.25</v>
      </c>
      <c r="D90">
        <v>1096.5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446.25</v>
      </c>
      <c r="L90">
        <v>1096.5</v>
      </c>
      <c r="M90">
        <v>1542.75</v>
      </c>
    </row>
    <row r="91" spans="1:13">
      <c r="A91" t="s">
        <v>358</v>
      </c>
      <c r="B91">
        <v>21</v>
      </c>
      <c r="C91">
        <v>456.25</v>
      </c>
      <c r="D91">
        <v>1092.25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456.25</v>
      </c>
      <c r="L91">
        <v>1092.25</v>
      </c>
      <c r="M91">
        <v>1548.5</v>
      </c>
    </row>
    <row r="92" spans="1:13">
      <c r="A92" t="s">
        <v>285</v>
      </c>
      <c r="B92">
        <v>21</v>
      </c>
      <c r="C92">
        <v>446.25</v>
      </c>
      <c r="D92">
        <v>1096.5</v>
      </c>
      <c r="E92">
        <v>183</v>
      </c>
      <c r="F92">
        <v>183</v>
      </c>
      <c r="G92">
        <v>0</v>
      </c>
      <c r="H92">
        <v>0</v>
      </c>
      <c r="I92">
        <v>21</v>
      </c>
      <c r="J92">
        <v>21</v>
      </c>
      <c r="K92">
        <v>650.25</v>
      </c>
      <c r="L92">
        <v>1300.5</v>
      </c>
      <c r="M92">
        <v>1950.75</v>
      </c>
    </row>
    <row r="93" spans="1:13">
      <c r="A93" t="s">
        <v>347</v>
      </c>
      <c r="B93">
        <v>21</v>
      </c>
      <c r="C93">
        <v>451.25</v>
      </c>
      <c r="D93">
        <v>1051.8800000000001</v>
      </c>
      <c r="E93">
        <v>340</v>
      </c>
      <c r="F93">
        <v>340</v>
      </c>
      <c r="G93">
        <v>0</v>
      </c>
      <c r="H93">
        <v>0</v>
      </c>
      <c r="I93">
        <v>36</v>
      </c>
      <c r="J93">
        <v>36</v>
      </c>
      <c r="K93">
        <v>827.25</v>
      </c>
      <c r="L93">
        <v>1427.88</v>
      </c>
      <c r="M93">
        <v>2255.13</v>
      </c>
    </row>
    <row r="94" spans="1:13">
      <c r="A94" t="s">
        <v>427</v>
      </c>
      <c r="B94">
        <v>21</v>
      </c>
      <c r="C94">
        <v>446.25</v>
      </c>
      <c r="D94">
        <v>1096.5</v>
      </c>
      <c r="E94">
        <v>183</v>
      </c>
      <c r="F94">
        <v>183</v>
      </c>
      <c r="G94">
        <v>0</v>
      </c>
      <c r="H94">
        <v>0</v>
      </c>
      <c r="I94">
        <v>0</v>
      </c>
      <c r="J94">
        <v>0</v>
      </c>
      <c r="K94">
        <v>629.25</v>
      </c>
      <c r="L94">
        <v>1279.5</v>
      </c>
      <c r="M94">
        <v>1908.75</v>
      </c>
    </row>
    <row r="95" spans="1:13">
      <c r="A95" t="s">
        <v>296</v>
      </c>
      <c r="B95">
        <v>21</v>
      </c>
      <c r="C95">
        <v>451.25</v>
      </c>
      <c r="D95">
        <v>1051.8800000000001</v>
      </c>
      <c r="E95">
        <v>340</v>
      </c>
      <c r="F95">
        <v>340</v>
      </c>
      <c r="G95">
        <v>0</v>
      </c>
      <c r="H95">
        <v>0</v>
      </c>
      <c r="I95">
        <v>36</v>
      </c>
      <c r="J95">
        <v>36</v>
      </c>
      <c r="K95">
        <v>827.25</v>
      </c>
      <c r="L95">
        <v>1427.88</v>
      </c>
      <c r="M95">
        <v>2255.13</v>
      </c>
    </row>
    <row r="96" spans="1:13">
      <c r="A96" s="61" t="s">
        <v>456</v>
      </c>
      <c r="B96">
        <v>-21</v>
      </c>
      <c r="C96">
        <v>-456.25</v>
      </c>
      <c r="D96">
        <v>-1134.75</v>
      </c>
      <c r="E96">
        <v>-274</v>
      </c>
      <c r="F96">
        <v>-274</v>
      </c>
      <c r="G96">
        <v>0</v>
      </c>
      <c r="H96">
        <v>0</v>
      </c>
      <c r="I96">
        <v>0</v>
      </c>
      <c r="J96">
        <v>0</v>
      </c>
      <c r="K96">
        <v>-730.25</v>
      </c>
      <c r="L96">
        <v>-1408.75</v>
      </c>
      <c r="M96">
        <v>-2139</v>
      </c>
    </row>
    <row r="97" spans="2:13">
      <c r="B97">
        <f>SUM(B4:B96)</f>
        <v>1911</v>
      </c>
      <c r="C97">
        <f t="shared" ref="C97:M97" si="0">SUM(C4:C96)</f>
        <v>60533.449999999917</v>
      </c>
      <c r="D97">
        <f t="shared" si="0"/>
        <v>155897.5900000002</v>
      </c>
      <c r="E97">
        <f t="shared" si="0"/>
        <v>17004</v>
      </c>
      <c r="F97">
        <f t="shared" si="0"/>
        <v>17004</v>
      </c>
      <c r="G97">
        <f t="shared" si="0"/>
        <v>0</v>
      </c>
      <c r="H97">
        <f t="shared" si="0"/>
        <v>0</v>
      </c>
      <c r="I97">
        <f t="shared" si="0"/>
        <v>171</v>
      </c>
      <c r="J97">
        <f t="shared" si="0"/>
        <v>171</v>
      </c>
      <c r="K97">
        <f t="shared" si="0"/>
        <v>77708.449999999953</v>
      </c>
      <c r="L97">
        <f t="shared" si="0"/>
        <v>173072.59000000023</v>
      </c>
      <c r="M97">
        <f t="shared" si="0"/>
        <v>250781.04000000012</v>
      </c>
    </row>
    <row r="100" spans="2:13">
      <c r="C100" s="61" t="s">
        <v>452</v>
      </c>
      <c r="D100">
        <f>C97+G97</f>
        <v>60533.449999999917</v>
      </c>
    </row>
    <row r="101" spans="2:13">
      <c r="C101" s="61" t="s">
        <v>453</v>
      </c>
      <c r="D101">
        <f>E97+I97</f>
        <v>17175</v>
      </c>
    </row>
    <row r="102" spans="2:13">
      <c r="C102" s="61" t="s">
        <v>454</v>
      </c>
      <c r="D102">
        <f>D97+H97</f>
        <v>155897.5900000002</v>
      </c>
    </row>
    <row r="103" spans="2:13">
      <c r="C103" s="61" t="s">
        <v>455</v>
      </c>
      <c r="D103">
        <f>F97+J97</f>
        <v>17175</v>
      </c>
    </row>
  </sheetData>
  <phoneticPr fontId="2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6"/>
  <sheetViews>
    <sheetView workbookViewId="0">
      <pane xSplit="4" ySplit="3" topLeftCell="E64" activePane="bottomRight" state="frozen"/>
      <selection pane="topRight" activeCell="C1" sqref="C1"/>
      <selection pane="bottomLeft" activeCell="A4" sqref="A4"/>
      <selection pane="bottomRight" activeCell="C99" sqref="C99"/>
    </sheetView>
  </sheetViews>
  <sheetFormatPr defaultRowHeight="14.4"/>
  <cols>
    <col min="1" max="1" width="16.21875" customWidth="1"/>
    <col min="2" max="2" width="9" style="5"/>
    <col min="3" max="3" width="22.77734375" style="5" customWidth="1"/>
    <col min="4" max="4" width="13.21875" customWidth="1"/>
    <col min="5" max="6" width="11.88671875" customWidth="1"/>
    <col min="7" max="7" width="10.77734375" customWidth="1"/>
    <col min="8" max="8" width="12.44140625" customWidth="1"/>
    <col min="9" max="12" width="9.21875" customWidth="1"/>
    <col min="13" max="13" width="13" customWidth="1"/>
    <col min="14" max="15" width="11.88671875" customWidth="1"/>
  </cols>
  <sheetData>
    <row r="1" spans="1:15">
      <c r="A1" s="228" t="s">
        <v>303</v>
      </c>
      <c r="B1" s="230" t="s">
        <v>22</v>
      </c>
      <c r="C1" s="230" t="s">
        <v>304</v>
      </c>
      <c r="D1" s="228" t="s">
        <v>11</v>
      </c>
      <c r="E1" s="232" t="s">
        <v>315</v>
      </c>
      <c r="F1" s="232"/>
      <c r="G1" s="232"/>
      <c r="H1" s="232"/>
      <c r="I1" s="232" t="s">
        <v>316</v>
      </c>
      <c r="J1" s="232"/>
      <c r="K1" s="232"/>
      <c r="L1" s="232"/>
      <c r="M1" s="57" t="s">
        <v>317</v>
      </c>
      <c r="N1" s="57"/>
      <c r="O1" s="57"/>
    </row>
    <row r="2" spans="1:15">
      <c r="A2" s="229"/>
      <c r="B2" s="231"/>
      <c r="C2" s="231"/>
      <c r="D2" s="229"/>
      <c r="E2" s="233" t="s">
        <v>329</v>
      </c>
      <c r="F2" s="233"/>
      <c r="G2" s="234" t="s">
        <v>330</v>
      </c>
      <c r="H2" s="235"/>
      <c r="I2" s="234" t="s">
        <v>329</v>
      </c>
      <c r="J2" s="236"/>
      <c r="K2" s="234" t="s">
        <v>330</v>
      </c>
      <c r="L2" s="235"/>
      <c r="M2" s="91" t="s">
        <v>320</v>
      </c>
      <c r="N2" s="91" t="s">
        <v>319</v>
      </c>
      <c r="O2" s="91" t="s">
        <v>331</v>
      </c>
    </row>
    <row r="3" spans="1:15">
      <c r="A3" s="229"/>
      <c r="B3" s="231"/>
      <c r="C3" s="231"/>
      <c r="D3" s="229"/>
      <c r="E3" s="10" t="s">
        <v>320</v>
      </c>
      <c r="F3" s="10" t="s">
        <v>319</v>
      </c>
      <c r="G3" s="10" t="s">
        <v>320</v>
      </c>
      <c r="H3" s="10" t="s">
        <v>319</v>
      </c>
      <c r="I3" s="10" t="s">
        <v>320</v>
      </c>
      <c r="J3" s="10" t="s">
        <v>319</v>
      </c>
      <c r="K3" s="10" t="s">
        <v>320</v>
      </c>
      <c r="L3" s="10" t="s">
        <v>319</v>
      </c>
      <c r="M3" s="10" t="s">
        <v>320</v>
      </c>
      <c r="N3" s="10" t="s">
        <v>319</v>
      </c>
      <c r="O3" s="10" t="s">
        <v>331</v>
      </c>
    </row>
    <row r="4" spans="1:15">
      <c r="A4" s="7" t="s">
        <v>417</v>
      </c>
      <c r="B4" s="8" t="s">
        <v>114</v>
      </c>
      <c r="C4" s="9" t="s">
        <v>115</v>
      </c>
      <c r="D4" s="12">
        <v>21</v>
      </c>
      <c r="E4" s="13">
        <v>684.6</v>
      </c>
      <c r="F4" s="13">
        <v>1777.1</v>
      </c>
      <c r="G4" s="13">
        <v>181</v>
      </c>
      <c r="H4" s="13">
        <v>181</v>
      </c>
      <c r="I4" s="14">
        <v>0</v>
      </c>
      <c r="J4" s="14">
        <v>0</v>
      </c>
      <c r="K4" s="14">
        <v>0</v>
      </c>
      <c r="L4" s="14">
        <v>0</v>
      </c>
      <c r="M4" s="14">
        <v>865.6</v>
      </c>
      <c r="N4" s="14">
        <v>1958.1</v>
      </c>
      <c r="O4" s="14">
        <v>2823.7</v>
      </c>
    </row>
    <row r="5" spans="1:15">
      <c r="A5" s="7" t="s">
        <v>417</v>
      </c>
      <c r="B5" s="8" t="s">
        <v>366</v>
      </c>
      <c r="C5" s="9" t="s">
        <v>367</v>
      </c>
      <c r="D5" s="12">
        <v>21</v>
      </c>
      <c r="E5" s="13">
        <v>684.6</v>
      </c>
      <c r="F5" s="13">
        <v>1777.1</v>
      </c>
      <c r="G5" s="13">
        <v>181</v>
      </c>
      <c r="H5" s="13">
        <v>181</v>
      </c>
      <c r="I5" s="14">
        <v>0</v>
      </c>
      <c r="J5" s="14">
        <v>0</v>
      </c>
      <c r="K5" s="14">
        <v>0</v>
      </c>
      <c r="L5" s="14">
        <v>0</v>
      </c>
      <c r="M5" s="14">
        <v>865.6</v>
      </c>
      <c r="N5" s="14">
        <v>1958.1</v>
      </c>
      <c r="O5" s="14">
        <v>2823.7</v>
      </c>
    </row>
    <row r="6" spans="1:15">
      <c r="A6" s="7" t="s">
        <v>417</v>
      </c>
      <c r="B6" s="8" t="s">
        <v>93</v>
      </c>
      <c r="C6" s="9" t="s">
        <v>94</v>
      </c>
      <c r="D6" s="12">
        <v>21</v>
      </c>
      <c r="E6" s="13">
        <v>684.6</v>
      </c>
      <c r="F6" s="13">
        <v>1777.1</v>
      </c>
      <c r="G6" s="13">
        <v>181</v>
      </c>
      <c r="H6" s="13">
        <v>181</v>
      </c>
      <c r="I6" s="14">
        <v>0</v>
      </c>
      <c r="J6" s="14">
        <v>0</v>
      </c>
      <c r="K6" s="14">
        <v>0</v>
      </c>
      <c r="L6" s="14">
        <v>0</v>
      </c>
      <c r="M6" s="14">
        <v>865.6</v>
      </c>
      <c r="N6" s="14">
        <v>1958.1</v>
      </c>
      <c r="O6" s="14">
        <v>2823.7</v>
      </c>
    </row>
    <row r="7" spans="1:15">
      <c r="A7" s="7" t="s">
        <v>417</v>
      </c>
      <c r="B7" s="8" t="s">
        <v>194</v>
      </c>
      <c r="C7" s="9" t="s">
        <v>195</v>
      </c>
      <c r="D7" s="12">
        <v>21</v>
      </c>
      <c r="E7" s="13">
        <v>684.6</v>
      </c>
      <c r="F7" s="13">
        <v>1777.1</v>
      </c>
      <c r="G7" s="13">
        <v>181</v>
      </c>
      <c r="H7" s="13">
        <v>181</v>
      </c>
      <c r="I7" s="14">
        <v>0</v>
      </c>
      <c r="J7" s="14">
        <v>0</v>
      </c>
      <c r="K7" s="14">
        <v>0</v>
      </c>
      <c r="L7" s="14">
        <v>0</v>
      </c>
      <c r="M7" s="14">
        <v>865.6</v>
      </c>
      <c r="N7" s="14">
        <v>1958.1</v>
      </c>
      <c r="O7" s="14">
        <v>2823.7</v>
      </c>
    </row>
    <row r="8" spans="1:15">
      <c r="A8" s="7" t="s">
        <v>417</v>
      </c>
      <c r="B8" s="8" t="s">
        <v>275</v>
      </c>
      <c r="C8" s="9" t="s">
        <v>276</v>
      </c>
      <c r="D8" s="12">
        <v>0</v>
      </c>
      <c r="E8" s="13">
        <v>0</v>
      </c>
      <c r="F8" s="13">
        <v>0</v>
      </c>
      <c r="G8" s="13">
        <v>0</v>
      </c>
      <c r="H8" s="13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</row>
    <row r="9" spans="1:15">
      <c r="A9" s="7" t="s">
        <v>417</v>
      </c>
      <c r="B9" s="8" t="s">
        <v>223</v>
      </c>
      <c r="C9" s="9" t="s">
        <v>224</v>
      </c>
      <c r="D9" s="12">
        <v>21</v>
      </c>
      <c r="E9" s="13">
        <v>684.6</v>
      </c>
      <c r="F9" s="13">
        <v>1777.1</v>
      </c>
      <c r="G9" s="13">
        <v>181</v>
      </c>
      <c r="H9" s="13">
        <v>181</v>
      </c>
      <c r="I9" s="14">
        <v>0</v>
      </c>
      <c r="J9" s="14">
        <v>0</v>
      </c>
      <c r="K9" s="14">
        <v>0</v>
      </c>
      <c r="L9" s="14">
        <v>0</v>
      </c>
      <c r="M9" s="14">
        <v>865.6</v>
      </c>
      <c r="N9" s="14">
        <v>1958.1</v>
      </c>
      <c r="O9" s="14">
        <v>2823.7</v>
      </c>
    </row>
    <row r="10" spans="1:15">
      <c r="A10" s="7" t="s">
        <v>417</v>
      </c>
      <c r="B10" s="8" t="s">
        <v>171</v>
      </c>
      <c r="C10" s="9" t="s">
        <v>336</v>
      </c>
      <c r="D10" s="12">
        <v>21</v>
      </c>
      <c r="E10" s="13">
        <v>684.6</v>
      </c>
      <c r="F10" s="13">
        <v>1777.1</v>
      </c>
      <c r="G10" s="13">
        <v>181</v>
      </c>
      <c r="H10" s="13">
        <v>181</v>
      </c>
      <c r="I10" s="14">
        <v>0</v>
      </c>
      <c r="J10" s="14">
        <v>0</v>
      </c>
      <c r="K10" s="14">
        <v>0</v>
      </c>
      <c r="L10" s="14">
        <v>0</v>
      </c>
      <c r="M10" s="14">
        <v>865.6</v>
      </c>
      <c r="N10" s="14">
        <v>1958.1</v>
      </c>
      <c r="O10" s="14">
        <v>2823.7</v>
      </c>
    </row>
    <row r="11" spans="1:15">
      <c r="A11" s="7" t="s">
        <v>417</v>
      </c>
      <c r="B11" s="8" t="s">
        <v>163</v>
      </c>
      <c r="C11" s="9" t="s">
        <v>164</v>
      </c>
      <c r="D11" s="12">
        <v>21</v>
      </c>
      <c r="E11" s="13">
        <v>684.6</v>
      </c>
      <c r="F11" s="13">
        <v>1777.1</v>
      </c>
      <c r="G11" s="13">
        <v>181</v>
      </c>
      <c r="H11" s="13">
        <v>181</v>
      </c>
      <c r="I11" s="14">
        <v>0</v>
      </c>
      <c r="J11" s="14">
        <v>0</v>
      </c>
      <c r="K11" s="14">
        <v>0</v>
      </c>
      <c r="L11" s="14">
        <v>0</v>
      </c>
      <c r="M11" s="14">
        <v>865.6</v>
      </c>
      <c r="N11" s="14">
        <v>1958.1</v>
      </c>
      <c r="O11" s="14">
        <v>2823.7</v>
      </c>
    </row>
    <row r="12" spans="1:15">
      <c r="A12" s="7" t="s">
        <v>417</v>
      </c>
      <c r="B12" s="8" t="s">
        <v>353</v>
      </c>
      <c r="C12" s="9" t="s">
        <v>354</v>
      </c>
      <c r="D12" s="12">
        <v>21</v>
      </c>
      <c r="E12" s="13">
        <v>684.6</v>
      </c>
      <c r="F12" s="13">
        <v>1777.1</v>
      </c>
      <c r="G12" s="13">
        <v>181</v>
      </c>
      <c r="H12" s="13">
        <v>181</v>
      </c>
      <c r="I12" s="14">
        <v>0</v>
      </c>
      <c r="J12" s="14">
        <v>0</v>
      </c>
      <c r="K12" s="14">
        <v>0</v>
      </c>
      <c r="L12" s="14">
        <v>0</v>
      </c>
      <c r="M12" s="14">
        <v>865.6</v>
      </c>
      <c r="N12" s="14">
        <v>1958.1</v>
      </c>
      <c r="O12" s="14">
        <v>2823.7</v>
      </c>
    </row>
    <row r="13" spans="1:15">
      <c r="A13" s="7" t="s">
        <v>417</v>
      </c>
      <c r="B13" s="8" t="s">
        <v>383</v>
      </c>
      <c r="C13" s="9" t="s">
        <v>385</v>
      </c>
      <c r="D13" s="12">
        <v>21</v>
      </c>
      <c r="E13" s="13">
        <v>684.6</v>
      </c>
      <c r="F13" s="13">
        <v>1777.1</v>
      </c>
      <c r="G13" s="13">
        <v>181</v>
      </c>
      <c r="H13" s="13">
        <v>181</v>
      </c>
      <c r="I13" s="14">
        <v>0</v>
      </c>
      <c r="J13" s="14">
        <v>0</v>
      </c>
      <c r="K13" s="14">
        <v>0</v>
      </c>
      <c r="L13" s="14">
        <v>0</v>
      </c>
      <c r="M13" s="14">
        <v>865.6</v>
      </c>
      <c r="N13" s="14">
        <v>1958.1</v>
      </c>
      <c r="O13" s="14">
        <v>2823.7</v>
      </c>
    </row>
    <row r="14" spans="1:15">
      <c r="A14" s="7" t="s">
        <v>417</v>
      </c>
      <c r="B14" s="8" t="s">
        <v>246</v>
      </c>
      <c r="C14" s="9" t="s">
        <v>247</v>
      </c>
      <c r="D14" s="12">
        <v>21</v>
      </c>
      <c r="E14" s="13">
        <v>684.6</v>
      </c>
      <c r="F14" s="13">
        <v>1777.1</v>
      </c>
      <c r="G14" s="13">
        <v>181</v>
      </c>
      <c r="H14" s="13">
        <v>181</v>
      </c>
      <c r="I14" s="14">
        <v>0</v>
      </c>
      <c r="J14" s="14">
        <v>0</v>
      </c>
      <c r="K14" s="14">
        <v>0</v>
      </c>
      <c r="L14" s="14">
        <v>0</v>
      </c>
      <c r="M14" s="14">
        <v>865.6</v>
      </c>
      <c r="N14" s="14">
        <v>1958.1</v>
      </c>
      <c r="O14" s="14">
        <v>2823.7</v>
      </c>
    </row>
    <row r="15" spans="1:15">
      <c r="A15" s="7" t="s">
        <v>417</v>
      </c>
      <c r="B15" s="8" t="s">
        <v>96</v>
      </c>
      <c r="C15" s="9" t="s">
        <v>97</v>
      </c>
      <c r="D15" s="12">
        <v>21</v>
      </c>
      <c r="E15" s="13">
        <v>684.6</v>
      </c>
      <c r="F15" s="13">
        <v>1777.1</v>
      </c>
      <c r="G15" s="13">
        <v>181</v>
      </c>
      <c r="H15" s="13">
        <v>181</v>
      </c>
      <c r="I15" s="14">
        <v>0</v>
      </c>
      <c r="J15" s="14">
        <v>0</v>
      </c>
      <c r="K15" s="14">
        <v>0</v>
      </c>
      <c r="L15" s="14">
        <v>0</v>
      </c>
      <c r="M15" s="14">
        <v>865.6</v>
      </c>
      <c r="N15" s="14">
        <v>1958.1</v>
      </c>
      <c r="O15" s="14">
        <v>2823.7</v>
      </c>
    </row>
    <row r="16" spans="1:15">
      <c r="A16" s="7" t="s">
        <v>417</v>
      </c>
      <c r="B16" s="8" t="s">
        <v>135</v>
      </c>
      <c r="C16" s="9" t="s">
        <v>136</v>
      </c>
      <c r="D16" s="12">
        <v>21</v>
      </c>
      <c r="E16" s="13">
        <v>684.6</v>
      </c>
      <c r="F16" s="13">
        <v>1777.1</v>
      </c>
      <c r="G16" s="13">
        <v>181</v>
      </c>
      <c r="H16" s="13">
        <v>181</v>
      </c>
      <c r="I16" s="14">
        <v>0</v>
      </c>
      <c r="J16" s="14">
        <v>0</v>
      </c>
      <c r="K16" s="14">
        <v>0</v>
      </c>
      <c r="L16" s="14">
        <v>0</v>
      </c>
      <c r="M16" s="14">
        <v>865.6</v>
      </c>
      <c r="N16" s="14">
        <v>1958.1</v>
      </c>
      <c r="O16" s="14">
        <v>2823.7</v>
      </c>
    </row>
    <row r="17" spans="1:15">
      <c r="A17" s="7" t="s">
        <v>417</v>
      </c>
      <c r="B17" s="8" t="s">
        <v>375</v>
      </c>
      <c r="C17" s="9" t="s">
        <v>378</v>
      </c>
      <c r="D17" s="12">
        <v>21</v>
      </c>
      <c r="E17" s="13">
        <v>684.6</v>
      </c>
      <c r="F17" s="13">
        <v>1777.1</v>
      </c>
      <c r="G17" s="13">
        <v>181</v>
      </c>
      <c r="H17" s="13">
        <v>181</v>
      </c>
      <c r="I17" s="14">
        <v>0</v>
      </c>
      <c r="J17" s="14">
        <v>0</v>
      </c>
      <c r="K17" s="14">
        <v>0</v>
      </c>
      <c r="L17" s="14">
        <v>0</v>
      </c>
      <c r="M17" s="14">
        <v>865.6</v>
      </c>
      <c r="N17" s="14">
        <v>1958.1</v>
      </c>
      <c r="O17" s="14">
        <v>2823.7</v>
      </c>
    </row>
    <row r="18" spans="1:15">
      <c r="A18" s="7" t="s">
        <v>417</v>
      </c>
      <c r="B18" s="8" t="s">
        <v>132</v>
      </c>
      <c r="C18" s="9" t="s">
        <v>133</v>
      </c>
      <c r="D18" s="12">
        <v>21</v>
      </c>
      <c r="E18" s="13">
        <v>684.6</v>
      </c>
      <c r="F18" s="13">
        <v>1777.1</v>
      </c>
      <c r="G18" s="13">
        <v>181</v>
      </c>
      <c r="H18" s="13">
        <v>181</v>
      </c>
      <c r="I18" s="14">
        <v>0</v>
      </c>
      <c r="J18" s="14">
        <v>0</v>
      </c>
      <c r="K18" s="14">
        <v>0</v>
      </c>
      <c r="L18" s="14">
        <v>0</v>
      </c>
      <c r="M18" s="14">
        <v>865.6</v>
      </c>
      <c r="N18" s="14">
        <v>1958.1</v>
      </c>
      <c r="O18" s="14">
        <v>2823.7</v>
      </c>
    </row>
    <row r="19" spans="1:15">
      <c r="A19" s="7" t="s">
        <v>417</v>
      </c>
      <c r="B19" s="8" t="s">
        <v>152</v>
      </c>
      <c r="C19" s="9" t="s">
        <v>153</v>
      </c>
      <c r="D19" s="12">
        <v>21</v>
      </c>
      <c r="E19" s="13">
        <v>684.6</v>
      </c>
      <c r="F19" s="13">
        <v>1777.1</v>
      </c>
      <c r="G19" s="13">
        <v>181</v>
      </c>
      <c r="H19" s="13">
        <v>181</v>
      </c>
      <c r="I19" s="14">
        <v>0</v>
      </c>
      <c r="J19" s="14">
        <v>0</v>
      </c>
      <c r="K19" s="14">
        <v>0</v>
      </c>
      <c r="L19" s="14">
        <v>0</v>
      </c>
      <c r="M19" s="14">
        <v>865.6</v>
      </c>
      <c r="N19" s="14">
        <v>1958.1</v>
      </c>
      <c r="O19" s="14">
        <v>2823.7</v>
      </c>
    </row>
    <row r="20" spans="1:15">
      <c r="A20" s="7" t="s">
        <v>417</v>
      </c>
      <c r="B20" s="8" t="s">
        <v>158</v>
      </c>
      <c r="C20" s="9" t="s">
        <v>159</v>
      </c>
      <c r="D20" s="12">
        <v>21</v>
      </c>
      <c r="E20" s="13">
        <v>684.6</v>
      </c>
      <c r="F20" s="13">
        <v>1777.1</v>
      </c>
      <c r="G20" s="13">
        <v>181</v>
      </c>
      <c r="H20" s="13">
        <v>181</v>
      </c>
      <c r="I20" s="14">
        <v>0</v>
      </c>
      <c r="J20" s="14">
        <v>0</v>
      </c>
      <c r="K20" s="14">
        <v>0</v>
      </c>
      <c r="L20" s="14">
        <v>0</v>
      </c>
      <c r="M20" s="14">
        <v>865.6</v>
      </c>
      <c r="N20" s="14">
        <v>1958.1</v>
      </c>
      <c r="O20" s="14">
        <v>2823.7</v>
      </c>
    </row>
    <row r="21" spans="1:15">
      <c r="A21" s="7" t="s">
        <v>417</v>
      </c>
      <c r="B21" s="8" t="s">
        <v>123</v>
      </c>
      <c r="C21" s="9" t="s">
        <v>124</v>
      </c>
      <c r="D21" s="12">
        <v>21</v>
      </c>
      <c r="E21" s="13">
        <v>684.6</v>
      </c>
      <c r="F21" s="13">
        <v>1777.1</v>
      </c>
      <c r="G21" s="13">
        <v>181</v>
      </c>
      <c r="H21" s="13">
        <v>181</v>
      </c>
      <c r="I21" s="14">
        <v>0</v>
      </c>
      <c r="J21" s="14">
        <v>0</v>
      </c>
      <c r="K21" s="14">
        <v>0</v>
      </c>
      <c r="L21" s="14">
        <v>0</v>
      </c>
      <c r="M21" s="14">
        <v>865.6</v>
      </c>
      <c r="N21" s="14">
        <v>1958.1</v>
      </c>
      <c r="O21" s="14">
        <v>2823.7</v>
      </c>
    </row>
    <row r="22" spans="1:15">
      <c r="A22" s="7" t="s">
        <v>417</v>
      </c>
      <c r="B22" s="8" t="s">
        <v>139</v>
      </c>
      <c r="C22" s="9" t="s">
        <v>140</v>
      </c>
      <c r="D22" s="12">
        <v>21</v>
      </c>
      <c r="E22" s="13">
        <v>684.6</v>
      </c>
      <c r="F22" s="13">
        <v>1777.1</v>
      </c>
      <c r="G22" s="13">
        <v>181</v>
      </c>
      <c r="H22" s="13">
        <v>181</v>
      </c>
      <c r="I22" s="14">
        <v>0</v>
      </c>
      <c r="J22" s="14">
        <v>0</v>
      </c>
      <c r="K22" s="14">
        <v>0</v>
      </c>
      <c r="L22" s="14">
        <v>0</v>
      </c>
      <c r="M22" s="14">
        <v>865.6</v>
      </c>
      <c r="N22" s="14">
        <v>1958.1</v>
      </c>
      <c r="O22" s="14">
        <v>2823.7</v>
      </c>
    </row>
    <row r="23" spans="1:15">
      <c r="A23" s="7" t="s">
        <v>417</v>
      </c>
      <c r="B23" s="8" t="s">
        <v>141</v>
      </c>
      <c r="C23" s="9" t="s">
        <v>142</v>
      </c>
      <c r="D23" s="12">
        <v>21</v>
      </c>
      <c r="E23" s="13">
        <v>684.6</v>
      </c>
      <c r="F23" s="13">
        <v>1777.1</v>
      </c>
      <c r="G23" s="13">
        <v>181</v>
      </c>
      <c r="H23" s="13">
        <v>181</v>
      </c>
      <c r="I23" s="14">
        <v>0</v>
      </c>
      <c r="J23" s="14">
        <v>0</v>
      </c>
      <c r="K23" s="14">
        <v>0</v>
      </c>
      <c r="L23" s="14">
        <v>0</v>
      </c>
      <c r="M23" s="14">
        <v>865.6</v>
      </c>
      <c r="N23" s="14">
        <v>1958.1</v>
      </c>
      <c r="O23" s="14">
        <v>2823.7</v>
      </c>
    </row>
    <row r="24" spans="1:15">
      <c r="A24" s="7" t="s">
        <v>417</v>
      </c>
      <c r="B24" s="8" t="s">
        <v>218</v>
      </c>
      <c r="C24" s="9" t="s">
        <v>219</v>
      </c>
      <c r="D24" s="12">
        <v>21</v>
      </c>
      <c r="E24" s="13">
        <v>684.6</v>
      </c>
      <c r="F24" s="13">
        <v>1777.1</v>
      </c>
      <c r="G24" s="13">
        <v>181</v>
      </c>
      <c r="H24" s="13">
        <v>181</v>
      </c>
      <c r="I24" s="14">
        <v>0</v>
      </c>
      <c r="J24" s="14">
        <v>0</v>
      </c>
      <c r="K24" s="14">
        <v>0</v>
      </c>
      <c r="L24" s="14">
        <v>0</v>
      </c>
      <c r="M24" s="14">
        <v>865.6</v>
      </c>
      <c r="N24" s="14">
        <v>1958.1</v>
      </c>
      <c r="O24" s="14">
        <v>2823.7</v>
      </c>
    </row>
    <row r="25" spans="1:15">
      <c r="A25" s="7" t="s">
        <v>417</v>
      </c>
      <c r="B25" s="8" t="s">
        <v>214</v>
      </c>
      <c r="C25" s="9" t="s">
        <v>215</v>
      </c>
      <c r="D25" s="12">
        <v>21</v>
      </c>
      <c r="E25" s="13">
        <v>684.6</v>
      </c>
      <c r="F25" s="13">
        <v>1777.1</v>
      </c>
      <c r="G25" s="13">
        <v>181</v>
      </c>
      <c r="H25" s="13">
        <v>181</v>
      </c>
      <c r="I25" s="14">
        <v>0</v>
      </c>
      <c r="J25" s="14">
        <v>0</v>
      </c>
      <c r="K25" s="14">
        <v>0</v>
      </c>
      <c r="L25" s="14">
        <v>0</v>
      </c>
      <c r="M25" s="14">
        <v>865.6</v>
      </c>
      <c r="N25" s="14">
        <v>1958.1</v>
      </c>
      <c r="O25" s="14">
        <v>2823.7</v>
      </c>
    </row>
    <row r="26" spans="1:15">
      <c r="A26" s="7" t="s">
        <v>417</v>
      </c>
      <c r="B26" s="8" t="s">
        <v>100</v>
      </c>
      <c r="C26" s="9" t="s">
        <v>101</v>
      </c>
      <c r="D26" s="12">
        <v>21</v>
      </c>
      <c r="E26" s="13">
        <v>684.6</v>
      </c>
      <c r="F26" s="13">
        <v>1777.1</v>
      </c>
      <c r="G26" s="13">
        <v>181</v>
      </c>
      <c r="H26" s="13">
        <v>181</v>
      </c>
      <c r="I26" s="14">
        <v>0</v>
      </c>
      <c r="J26" s="14">
        <v>0</v>
      </c>
      <c r="K26" s="14">
        <v>0</v>
      </c>
      <c r="L26" s="14">
        <v>0</v>
      </c>
      <c r="M26" s="14">
        <v>865.6</v>
      </c>
      <c r="N26" s="14">
        <v>1958.1</v>
      </c>
      <c r="O26" s="14">
        <v>2823.7</v>
      </c>
    </row>
    <row r="27" spans="1:15">
      <c r="A27" s="7" t="s">
        <v>417</v>
      </c>
      <c r="B27" s="8" t="s">
        <v>264</v>
      </c>
      <c r="C27" s="9" t="s">
        <v>379</v>
      </c>
      <c r="D27" s="12">
        <v>21</v>
      </c>
      <c r="E27" s="13">
        <v>684.6</v>
      </c>
      <c r="F27" s="13">
        <v>1777.1</v>
      </c>
      <c r="G27" s="13">
        <v>181</v>
      </c>
      <c r="H27" s="13">
        <v>181</v>
      </c>
      <c r="I27" s="14">
        <v>0</v>
      </c>
      <c r="J27" s="14">
        <v>0</v>
      </c>
      <c r="K27" s="14">
        <v>0</v>
      </c>
      <c r="L27" s="14">
        <v>0</v>
      </c>
      <c r="M27" s="14">
        <v>865.6</v>
      </c>
      <c r="N27" s="14">
        <v>1958.1</v>
      </c>
      <c r="O27" s="14">
        <v>2823.7</v>
      </c>
    </row>
    <row r="28" spans="1:15">
      <c r="A28" s="7" t="s">
        <v>417</v>
      </c>
      <c r="B28" s="8" t="s">
        <v>117</v>
      </c>
      <c r="C28" s="9" t="s">
        <v>118</v>
      </c>
      <c r="D28" s="12">
        <v>21</v>
      </c>
      <c r="E28" s="13">
        <v>684.6</v>
      </c>
      <c r="F28" s="13">
        <v>1777.1</v>
      </c>
      <c r="G28" s="13">
        <v>181</v>
      </c>
      <c r="H28" s="13">
        <v>181</v>
      </c>
      <c r="I28" s="14">
        <v>0</v>
      </c>
      <c r="J28" s="14">
        <v>0</v>
      </c>
      <c r="K28" s="14">
        <v>0</v>
      </c>
      <c r="L28" s="14">
        <v>0</v>
      </c>
      <c r="M28" s="14">
        <v>865.6</v>
      </c>
      <c r="N28" s="14">
        <v>1958.1</v>
      </c>
      <c r="O28" s="14">
        <v>2823.7</v>
      </c>
    </row>
    <row r="29" spans="1:15">
      <c r="A29" s="7" t="s">
        <v>417</v>
      </c>
      <c r="B29" s="8" t="s">
        <v>126</v>
      </c>
      <c r="C29" s="9" t="s">
        <v>127</v>
      </c>
      <c r="D29" s="12">
        <v>21</v>
      </c>
      <c r="E29" s="13">
        <v>684.6</v>
      </c>
      <c r="F29" s="13">
        <v>1777.1</v>
      </c>
      <c r="G29" s="13">
        <v>181</v>
      </c>
      <c r="H29" s="13">
        <v>181</v>
      </c>
      <c r="I29" s="14">
        <v>0</v>
      </c>
      <c r="J29" s="14">
        <v>0</v>
      </c>
      <c r="K29" s="14">
        <v>0</v>
      </c>
      <c r="L29" s="14">
        <v>0</v>
      </c>
      <c r="M29" s="14">
        <v>865.6</v>
      </c>
      <c r="N29" s="14">
        <v>1958.1</v>
      </c>
      <c r="O29" s="14">
        <v>2823.7</v>
      </c>
    </row>
    <row r="30" spans="1:15">
      <c r="A30" s="7" t="s">
        <v>417</v>
      </c>
      <c r="B30" s="8" t="s">
        <v>277</v>
      </c>
      <c r="C30" s="9" t="s">
        <v>278</v>
      </c>
      <c r="D30" s="12">
        <v>21</v>
      </c>
      <c r="E30" s="13">
        <v>684.6</v>
      </c>
      <c r="F30" s="13">
        <v>1777.1</v>
      </c>
      <c r="G30" s="13">
        <v>181</v>
      </c>
      <c r="H30" s="13">
        <v>181</v>
      </c>
      <c r="I30" s="14">
        <v>0</v>
      </c>
      <c r="J30" s="14">
        <v>0</v>
      </c>
      <c r="K30" s="14">
        <v>0</v>
      </c>
      <c r="L30" s="14">
        <v>0</v>
      </c>
      <c r="M30" s="14">
        <v>865.6</v>
      </c>
      <c r="N30" s="14">
        <v>1958.1</v>
      </c>
      <c r="O30" s="14">
        <v>2823.7</v>
      </c>
    </row>
    <row r="31" spans="1:15">
      <c r="A31" s="7" t="s">
        <v>417</v>
      </c>
      <c r="B31" s="8" t="s">
        <v>228</v>
      </c>
      <c r="C31" s="9" t="s">
        <v>229</v>
      </c>
      <c r="D31" s="12">
        <v>21</v>
      </c>
      <c r="E31" s="13">
        <v>684.6</v>
      </c>
      <c r="F31" s="13">
        <v>1777.1</v>
      </c>
      <c r="G31" s="13">
        <v>181</v>
      </c>
      <c r="H31" s="13">
        <v>181</v>
      </c>
      <c r="I31" s="14">
        <v>0</v>
      </c>
      <c r="J31" s="14">
        <v>0</v>
      </c>
      <c r="K31" s="14">
        <v>0</v>
      </c>
      <c r="L31" s="14">
        <v>0</v>
      </c>
      <c r="M31" s="14">
        <v>865.6</v>
      </c>
      <c r="N31" s="14">
        <v>1958.1</v>
      </c>
      <c r="O31" s="14">
        <v>2823.7</v>
      </c>
    </row>
    <row r="32" spans="1:15">
      <c r="A32" s="7" t="s">
        <v>417</v>
      </c>
      <c r="B32" s="8" t="s">
        <v>243</v>
      </c>
      <c r="C32" s="9" t="s">
        <v>244</v>
      </c>
      <c r="D32" s="12">
        <v>21</v>
      </c>
      <c r="E32" s="13">
        <v>684.6</v>
      </c>
      <c r="F32" s="13">
        <v>1777.1</v>
      </c>
      <c r="G32" s="13">
        <v>181</v>
      </c>
      <c r="H32" s="13">
        <v>181</v>
      </c>
      <c r="I32" s="14">
        <v>0</v>
      </c>
      <c r="J32" s="14">
        <v>0</v>
      </c>
      <c r="K32" s="14">
        <v>0</v>
      </c>
      <c r="L32" s="14">
        <v>0</v>
      </c>
      <c r="M32" s="14">
        <v>865.6</v>
      </c>
      <c r="N32" s="14">
        <v>1958.1</v>
      </c>
      <c r="O32" s="14">
        <v>2823.7</v>
      </c>
    </row>
    <row r="33" spans="1:15">
      <c r="A33" s="7" t="s">
        <v>417</v>
      </c>
      <c r="B33" s="8" t="s">
        <v>106</v>
      </c>
      <c r="C33" s="9" t="s">
        <v>107</v>
      </c>
      <c r="D33" s="12">
        <v>21</v>
      </c>
      <c r="E33" s="13">
        <v>684.6</v>
      </c>
      <c r="F33" s="13">
        <v>1777.1</v>
      </c>
      <c r="G33" s="13">
        <v>181</v>
      </c>
      <c r="H33" s="13">
        <v>181</v>
      </c>
      <c r="I33" s="14">
        <v>0</v>
      </c>
      <c r="J33" s="14">
        <v>0</v>
      </c>
      <c r="K33" s="14">
        <v>0</v>
      </c>
      <c r="L33" s="14">
        <v>0</v>
      </c>
      <c r="M33" s="14">
        <v>865.6</v>
      </c>
      <c r="N33" s="14">
        <v>1958.1</v>
      </c>
      <c r="O33" s="14">
        <v>2823.7</v>
      </c>
    </row>
    <row r="34" spans="1:15">
      <c r="A34" s="7" t="s">
        <v>417</v>
      </c>
      <c r="B34" s="8" t="s">
        <v>231</v>
      </c>
      <c r="C34" s="9" t="s">
        <v>232</v>
      </c>
      <c r="D34" s="12">
        <v>21</v>
      </c>
      <c r="E34" s="13">
        <v>684.6</v>
      </c>
      <c r="F34" s="13">
        <v>1777.1</v>
      </c>
      <c r="G34" s="13">
        <v>181</v>
      </c>
      <c r="H34" s="13">
        <v>181</v>
      </c>
      <c r="I34" s="14">
        <v>0</v>
      </c>
      <c r="J34" s="14">
        <v>0</v>
      </c>
      <c r="K34" s="14">
        <v>0</v>
      </c>
      <c r="L34" s="14">
        <v>0</v>
      </c>
      <c r="M34" s="14">
        <v>865.6</v>
      </c>
      <c r="N34" s="14">
        <v>1958.1</v>
      </c>
      <c r="O34" s="14">
        <v>2823.7</v>
      </c>
    </row>
    <row r="35" spans="1:15">
      <c r="A35" s="7" t="s">
        <v>417</v>
      </c>
      <c r="B35" s="8" t="s">
        <v>265</v>
      </c>
      <c r="C35" s="9" t="s">
        <v>266</v>
      </c>
      <c r="D35" s="12">
        <v>21</v>
      </c>
      <c r="E35" s="13">
        <v>684.6</v>
      </c>
      <c r="F35" s="13">
        <v>1777.1</v>
      </c>
      <c r="G35" s="13">
        <v>181</v>
      </c>
      <c r="H35" s="13">
        <v>181</v>
      </c>
      <c r="I35" s="14">
        <v>0</v>
      </c>
      <c r="J35" s="14">
        <v>0</v>
      </c>
      <c r="K35" s="14">
        <v>0</v>
      </c>
      <c r="L35" s="14">
        <v>0</v>
      </c>
      <c r="M35" s="14">
        <v>865.6</v>
      </c>
      <c r="N35" s="14">
        <v>1958.1</v>
      </c>
      <c r="O35" s="14">
        <v>2823.7</v>
      </c>
    </row>
    <row r="36" spans="1:15">
      <c r="A36" s="7" t="s">
        <v>417</v>
      </c>
      <c r="B36" s="8" t="s">
        <v>360</v>
      </c>
      <c r="C36" s="9" t="s">
        <v>361</v>
      </c>
      <c r="D36" s="12">
        <v>21</v>
      </c>
      <c r="E36" s="13">
        <v>684.6</v>
      </c>
      <c r="F36" s="13">
        <v>1777.1</v>
      </c>
      <c r="G36" s="13">
        <v>181</v>
      </c>
      <c r="H36" s="13">
        <v>181</v>
      </c>
      <c r="I36" s="14">
        <v>0</v>
      </c>
      <c r="J36" s="14">
        <v>0</v>
      </c>
      <c r="K36" s="14">
        <v>0</v>
      </c>
      <c r="L36" s="14">
        <v>0</v>
      </c>
      <c r="M36" s="14">
        <v>865.6</v>
      </c>
      <c r="N36" s="14">
        <v>1958.1</v>
      </c>
      <c r="O36" s="14">
        <v>2823.7</v>
      </c>
    </row>
    <row r="37" spans="1:15">
      <c r="A37" s="7" t="s">
        <v>417</v>
      </c>
      <c r="B37" s="8" t="s">
        <v>198</v>
      </c>
      <c r="C37" s="9" t="s">
        <v>199</v>
      </c>
      <c r="D37" s="12">
        <v>21</v>
      </c>
      <c r="E37" s="13">
        <v>684.6</v>
      </c>
      <c r="F37" s="13">
        <v>1777.1</v>
      </c>
      <c r="G37" s="13">
        <v>181</v>
      </c>
      <c r="H37" s="13">
        <v>181</v>
      </c>
      <c r="I37" s="14">
        <v>0</v>
      </c>
      <c r="J37" s="14">
        <v>0</v>
      </c>
      <c r="K37" s="14">
        <v>0</v>
      </c>
      <c r="L37" s="14">
        <v>0</v>
      </c>
      <c r="M37" s="14">
        <v>865.6</v>
      </c>
      <c r="N37" s="14">
        <v>1958.1</v>
      </c>
      <c r="O37" s="14">
        <v>2823.7</v>
      </c>
    </row>
    <row r="38" spans="1:15">
      <c r="A38" s="7" t="s">
        <v>417</v>
      </c>
      <c r="B38" s="8" t="s">
        <v>129</v>
      </c>
      <c r="C38" s="9" t="s">
        <v>130</v>
      </c>
      <c r="D38" s="12">
        <v>21</v>
      </c>
      <c r="E38" s="13">
        <v>684.6</v>
      </c>
      <c r="F38" s="13">
        <v>1777.1</v>
      </c>
      <c r="G38" s="13">
        <v>181</v>
      </c>
      <c r="H38" s="13">
        <v>181</v>
      </c>
      <c r="I38" s="14">
        <v>0</v>
      </c>
      <c r="J38" s="14">
        <v>0</v>
      </c>
      <c r="K38" s="14">
        <v>0</v>
      </c>
      <c r="L38" s="14">
        <v>0</v>
      </c>
      <c r="M38" s="14">
        <v>865.6</v>
      </c>
      <c r="N38" s="14">
        <v>1958.1</v>
      </c>
      <c r="O38" s="14">
        <v>2823.7</v>
      </c>
    </row>
    <row r="39" spans="1:15">
      <c r="A39" s="7" t="s">
        <v>417</v>
      </c>
      <c r="B39" s="8" t="s">
        <v>187</v>
      </c>
      <c r="C39" s="9" t="s">
        <v>188</v>
      </c>
      <c r="D39" s="12">
        <v>21</v>
      </c>
      <c r="E39" s="13">
        <v>684.6</v>
      </c>
      <c r="F39" s="13">
        <v>1777.1</v>
      </c>
      <c r="G39" s="13">
        <v>181</v>
      </c>
      <c r="H39" s="13">
        <v>181</v>
      </c>
      <c r="I39" s="14">
        <v>0</v>
      </c>
      <c r="J39" s="14">
        <v>0</v>
      </c>
      <c r="K39" s="14">
        <v>0</v>
      </c>
      <c r="L39" s="14">
        <v>0</v>
      </c>
      <c r="M39" s="14">
        <v>865.6</v>
      </c>
      <c r="N39" s="14">
        <v>1958.1</v>
      </c>
      <c r="O39" s="14">
        <v>2823.7</v>
      </c>
    </row>
    <row r="40" spans="1:15">
      <c r="A40" s="7" t="s">
        <v>417</v>
      </c>
      <c r="B40" s="8" t="s">
        <v>282</v>
      </c>
      <c r="C40" s="9" t="s">
        <v>283</v>
      </c>
      <c r="D40" s="12">
        <v>21</v>
      </c>
      <c r="E40" s="13">
        <v>684.6</v>
      </c>
      <c r="F40" s="13">
        <v>1777.1</v>
      </c>
      <c r="G40" s="13">
        <v>181</v>
      </c>
      <c r="H40" s="13">
        <v>181</v>
      </c>
      <c r="I40" s="14">
        <v>0</v>
      </c>
      <c r="J40" s="14">
        <v>0</v>
      </c>
      <c r="K40" s="14">
        <v>0</v>
      </c>
      <c r="L40" s="14">
        <v>0</v>
      </c>
      <c r="M40" s="14">
        <v>865.6</v>
      </c>
      <c r="N40" s="14">
        <v>1958.1</v>
      </c>
      <c r="O40" s="14">
        <v>2823.7</v>
      </c>
    </row>
    <row r="41" spans="1:15">
      <c r="A41" s="7" t="s">
        <v>417</v>
      </c>
      <c r="B41" s="8" t="s">
        <v>144</v>
      </c>
      <c r="C41" s="9" t="s">
        <v>145</v>
      </c>
      <c r="D41" s="12">
        <v>21</v>
      </c>
      <c r="E41" s="13">
        <v>684.6</v>
      </c>
      <c r="F41" s="13">
        <v>1777.1</v>
      </c>
      <c r="G41" s="13">
        <v>181</v>
      </c>
      <c r="H41" s="13">
        <v>181</v>
      </c>
      <c r="I41" s="14">
        <v>0</v>
      </c>
      <c r="J41" s="14">
        <v>0</v>
      </c>
      <c r="K41" s="14">
        <v>0</v>
      </c>
      <c r="L41" s="14">
        <v>0</v>
      </c>
      <c r="M41" s="14">
        <v>865.6</v>
      </c>
      <c r="N41" s="14">
        <v>1958.1</v>
      </c>
      <c r="O41" s="14">
        <v>2823.7</v>
      </c>
    </row>
    <row r="42" spans="1:15">
      <c r="A42" s="7" t="s">
        <v>417</v>
      </c>
      <c r="B42" s="37" t="s">
        <v>239</v>
      </c>
      <c r="C42" s="37" t="s">
        <v>240</v>
      </c>
      <c r="D42" s="12">
        <v>21</v>
      </c>
      <c r="E42" s="13">
        <v>684.6</v>
      </c>
      <c r="F42" s="13">
        <v>1777.1</v>
      </c>
      <c r="G42" s="13">
        <v>181</v>
      </c>
      <c r="H42" s="13">
        <v>181</v>
      </c>
      <c r="I42" s="14">
        <v>0</v>
      </c>
      <c r="J42" s="14">
        <v>0</v>
      </c>
      <c r="K42" s="14">
        <v>0</v>
      </c>
      <c r="L42" s="14">
        <v>0</v>
      </c>
      <c r="M42" s="14">
        <v>865.6</v>
      </c>
      <c r="N42" s="14">
        <v>1958.1</v>
      </c>
      <c r="O42" s="14">
        <v>2823.7</v>
      </c>
    </row>
    <row r="43" spans="1:15">
      <c r="A43" s="7" t="s">
        <v>417</v>
      </c>
      <c r="B43" s="37" t="s">
        <v>120</v>
      </c>
      <c r="C43" s="37" t="s">
        <v>121</v>
      </c>
      <c r="D43" s="12">
        <v>21</v>
      </c>
      <c r="E43" s="13">
        <v>684.6</v>
      </c>
      <c r="F43" s="13">
        <v>1777.1</v>
      </c>
      <c r="G43" s="13">
        <v>181</v>
      </c>
      <c r="H43" s="13">
        <v>181</v>
      </c>
      <c r="I43" s="14">
        <v>0</v>
      </c>
      <c r="J43" s="14">
        <v>0</v>
      </c>
      <c r="K43" s="14">
        <v>0</v>
      </c>
      <c r="L43" s="14">
        <v>0</v>
      </c>
      <c r="M43" s="14">
        <v>865.6</v>
      </c>
      <c r="N43" s="14">
        <v>1958.1</v>
      </c>
      <c r="O43" s="14">
        <v>2823.7</v>
      </c>
    </row>
    <row r="44" spans="1:15">
      <c r="A44" s="7" t="s">
        <v>417</v>
      </c>
      <c r="B44" s="37" t="s">
        <v>221</v>
      </c>
      <c r="C44" s="37" t="s">
        <v>222</v>
      </c>
      <c r="D44" s="12">
        <v>21</v>
      </c>
      <c r="E44" s="13">
        <v>684.6</v>
      </c>
      <c r="F44" s="13">
        <v>1777.1</v>
      </c>
      <c r="G44" s="13">
        <v>181</v>
      </c>
      <c r="H44" s="13">
        <v>181</v>
      </c>
      <c r="I44" s="14">
        <v>0</v>
      </c>
      <c r="J44" s="14">
        <v>0</v>
      </c>
      <c r="K44" s="14">
        <v>0</v>
      </c>
      <c r="L44" s="14">
        <v>0</v>
      </c>
      <c r="M44" s="14">
        <v>865.6</v>
      </c>
      <c r="N44" s="14">
        <v>1958.1</v>
      </c>
      <c r="O44" s="14">
        <v>2823.7</v>
      </c>
    </row>
    <row r="45" spans="1:15">
      <c r="A45" s="7" t="s">
        <v>417</v>
      </c>
      <c r="B45" s="37" t="s">
        <v>259</v>
      </c>
      <c r="C45" s="37" t="s">
        <v>260</v>
      </c>
      <c r="D45" s="12">
        <v>21</v>
      </c>
      <c r="E45" s="13">
        <v>684.6</v>
      </c>
      <c r="F45" s="13">
        <v>1777.1</v>
      </c>
      <c r="G45" s="13">
        <v>181</v>
      </c>
      <c r="H45" s="13">
        <v>181</v>
      </c>
      <c r="I45" s="14">
        <v>0</v>
      </c>
      <c r="J45" s="14">
        <v>0</v>
      </c>
      <c r="K45" s="14">
        <v>0</v>
      </c>
      <c r="L45" s="14">
        <v>0</v>
      </c>
      <c r="M45" s="14">
        <v>865.6</v>
      </c>
      <c r="N45" s="14">
        <v>1958.1</v>
      </c>
      <c r="O45" s="14">
        <v>2823.7</v>
      </c>
    </row>
    <row r="46" spans="1:15">
      <c r="A46" s="7" t="s">
        <v>417</v>
      </c>
      <c r="B46" s="37" t="s">
        <v>155</v>
      </c>
      <c r="C46" s="37" t="s">
        <v>156</v>
      </c>
      <c r="D46" s="12">
        <v>21</v>
      </c>
      <c r="E46" s="13">
        <v>684.6</v>
      </c>
      <c r="F46" s="13">
        <v>1777.1</v>
      </c>
      <c r="G46" s="13">
        <v>181</v>
      </c>
      <c r="H46" s="13">
        <v>181</v>
      </c>
      <c r="I46" s="14">
        <v>0</v>
      </c>
      <c r="J46" s="14">
        <v>0</v>
      </c>
      <c r="K46" s="14">
        <v>0</v>
      </c>
      <c r="L46" s="14">
        <v>0</v>
      </c>
      <c r="M46" s="14">
        <v>865.6</v>
      </c>
      <c r="N46" s="14">
        <v>1958.1</v>
      </c>
      <c r="O46" s="14">
        <v>2823.7</v>
      </c>
    </row>
    <row r="47" spans="1:15">
      <c r="A47" s="7" t="s">
        <v>417</v>
      </c>
      <c r="B47" s="37" t="s">
        <v>234</v>
      </c>
      <c r="C47" s="37" t="s">
        <v>235</v>
      </c>
      <c r="D47" s="12">
        <v>21</v>
      </c>
      <c r="E47" s="13">
        <v>684.6</v>
      </c>
      <c r="F47" s="13">
        <v>1777.1</v>
      </c>
      <c r="G47" s="13">
        <v>181</v>
      </c>
      <c r="H47" s="13">
        <v>181</v>
      </c>
      <c r="I47" s="14">
        <v>0</v>
      </c>
      <c r="J47" s="14">
        <v>0</v>
      </c>
      <c r="K47" s="14">
        <v>0</v>
      </c>
      <c r="L47" s="14">
        <v>0</v>
      </c>
      <c r="M47" s="14">
        <v>865.6</v>
      </c>
      <c r="N47" s="14">
        <v>1958.1</v>
      </c>
      <c r="O47" s="14">
        <v>2823.7</v>
      </c>
    </row>
    <row r="48" spans="1:15">
      <c r="A48" s="7" t="s">
        <v>417</v>
      </c>
      <c r="B48" s="37" t="s">
        <v>384</v>
      </c>
      <c r="C48" s="37" t="s">
        <v>386</v>
      </c>
      <c r="D48" s="12">
        <v>21</v>
      </c>
      <c r="E48" s="13">
        <v>684.6</v>
      </c>
      <c r="F48" s="13">
        <v>1777.1</v>
      </c>
      <c r="G48" s="13">
        <v>181</v>
      </c>
      <c r="H48" s="13">
        <v>181</v>
      </c>
      <c r="I48" s="14">
        <v>0</v>
      </c>
      <c r="J48" s="14">
        <v>0</v>
      </c>
      <c r="K48" s="14">
        <v>0</v>
      </c>
      <c r="L48" s="14">
        <v>0</v>
      </c>
      <c r="M48" s="14">
        <v>865.6</v>
      </c>
      <c r="N48" s="14">
        <v>1958.1</v>
      </c>
      <c r="O48" s="14">
        <v>2823.7</v>
      </c>
    </row>
    <row r="49" spans="1:15">
      <c r="A49" s="7" t="s">
        <v>417</v>
      </c>
      <c r="B49" s="37" t="s">
        <v>190</v>
      </c>
      <c r="C49" s="37" t="s">
        <v>191</v>
      </c>
      <c r="D49" s="12">
        <v>21</v>
      </c>
      <c r="E49" s="13">
        <v>684.6</v>
      </c>
      <c r="F49" s="13">
        <v>1777.1</v>
      </c>
      <c r="G49" s="13">
        <v>181</v>
      </c>
      <c r="H49" s="13">
        <v>181</v>
      </c>
      <c r="I49" s="14">
        <v>0</v>
      </c>
      <c r="J49" s="14">
        <v>0</v>
      </c>
      <c r="K49" s="14">
        <v>0</v>
      </c>
      <c r="L49" s="14">
        <v>0</v>
      </c>
      <c r="M49" s="14">
        <v>865.6</v>
      </c>
      <c r="N49" s="14">
        <v>1958.1</v>
      </c>
      <c r="O49" s="14">
        <v>2823.7</v>
      </c>
    </row>
    <row r="50" spans="1:15">
      <c r="A50" s="7" t="s">
        <v>417</v>
      </c>
      <c r="B50" s="37" t="s">
        <v>236</v>
      </c>
      <c r="C50" s="37" t="s">
        <v>237</v>
      </c>
      <c r="D50" s="12">
        <v>21</v>
      </c>
      <c r="E50" s="13">
        <v>684.6</v>
      </c>
      <c r="F50" s="13">
        <v>1777.1</v>
      </c>
      <c r="G50" s="13">
        <v>181</v>
      </c>
      <c r="H50" s="13">
        <v>181</v>
      </c>
      <c r="I50" s="14">
        <v>0</v>
      </c>
      <c r="J50" s="14">
        <v>0</v>
      </c>
      <c r="K50" s="14">
        <v>0</v>
      </c>
      <c r="L50" s="14">
        <v>0</v>
      </c>
      <c r="M50" s="14">
        <v>865.6</v>
      </c>
      <c r="N50" s="14">
        <v>1958.1</v>
      </c>
      <c r="O50" s="14">
        <v>2823.7</v>
      </c>
    </row>
    <row r="51" spans="1:15">
      <c r="A51" s="7" t="s">
        <v>417</v>
      </c>
      <c r="B51" s="37" t="s">
        <v>184</v>
      </c>
      <c r="C51" s="37" t="s">
        <v>185</v>
      </c>
      <c r="D51" s="12">
        <v>21</v>
      </c>
      <c r="E51" s="13">
        <v>684.6</v>
      </c>
      <c r="F51" s="13">
        <v>1777.1</v>
      </c>
      <c r="G51" s="13">
        <v>181</v>
      </c>
      <c r="H51" s="13">
        <v>181</v>
      </c>
      <c r="I51" s="14">
        <v>0</v>
      </c>
      <c r="J51" s="14">
        <v>0</v>
      </c>
      <c r="K51" s="14">
        <v>0</v>
      </c>
      <c r="L51" s="14">
        <v>0</v>
      </c>
      <c r="M51" s="14">
        <v>865.6</v>
      </c>
      <c r="N51" s="14">
        <v>1958.1</v>
      </c>
      <c r="O51" s="14">
        <v>2823.7</v>
      </c>
    </row>
    <row r="52" spans="1:15">
      <c r="A52" s="7" t="s">
        <v>417</v>
      </c>
      <c r="B52" s="37" t="s">
        <v>368</v>
      </c>
      <c r="C52" s="37" t="s">
        <v>364</v>
      </c>
      <c r="D52" s="12">
        <v>21</v>
      </c>
      <c r="E52" s="13">
        <v>684.6</v>
      </c>
      <c r="F52" s="13">
        <v>1777.1</v>
      </c>
      <c r="G52" s="13">
        <v>181</v>
      </c>
      <c r="H52" s="13">
        <v>181</v>
      </c>
      <c r="I52" s="14">
        <v>0</v>
      </c>
      <c r="J52" s="14">
        <v>0</v>
      </c>
      <c r="K52" s="14">
        <v>0</v>
      </c>
      <c r="L52" s="14">
        <v>0</v>
      </c>
      <c r="M52" s="14">
        <v>865.6</v>
      </c>
      <c r="N52" s="14">
        <v>1958.1</v>
      </c>
      <c r="O52" s="14">
        <v>2823.7</v>
      </c>
    </row>
    <row r="53" spans="1:15">
      <c r="A53" s="7" t="s">
        <v>417</v>
      </c>
      <c r="B53" s="37" t="s">
        <v>168</v>
      </c>
      <c r="C53" s="37" t="s">
        <v>169</v>
      </c>
      <c r="D53" s="12">
        <v>21</v>
      </c>
      <c r="E53" s="13">
        <v>684.6</v>
      </c>
      <c r="F53" s="13">
        <v>1777.1</v>
      </c>
      <c r="G53" s="13">
        <v>181</v>
      </c>
      <c r="H53" s="13">
        <v>181</v>
      </c>
      <c r="I53" s="14">
        <v>0</v>
      </c>
      <c r="J53" s="14">
        <v>0</v>
      </c>
      <c r="K53" s="14">
        <v>0</v>
      </c>
      <c r="L53" s="14">
        <v>0</v>
      </c>
      <c r="M53" s="14">
        <v>865.6</v>
      </c>
      <c r="N53" s="14">
        <v>1958.1</v>
      </c>
      <c r="O53" s="14">
        <v>2823.7</v>
      </c>
    </row>
    <row r="54" spans="1:15">
      <c r="A54" s="7" t="s">
        <v>417</v>
      </c>
      <c r="B54" s="37" t="s">
        <v>207</v>
      </c>
      <c r="C54" s="37" t="s">
        <v>208</v>
      </c>
      <c r="D54" s="12">
        <v>21</v>
      </c>
      <c r="E54" s="13">
        <v>684.6</v>
      </c>
      <c r="F54" s="13">
        <v>1777.1</v>
      </c>
      <c r="G54" s="13">
        <v>181</v>
      </c>
      <c r="H54" s="13">
        <v>181</v>
      </c>
      <c r="I54" s="14">
        <v>0</v>
      </c>
      <c r="J54" s="14">
        <v>0</v>
      </c>
      <c r="K54" s="14">
        <v>0</v>
      </c>
      <c r="L54" s="14">
        <v>0</v>
      </c>
      <c r="M54" s="14">
        <v>865.6</v>
      </c>
      <c r="N54" s="14">
        <v>1958.1</v>
      </c>
      <c r="O54" s="14">
        <v>2823.7</v>
      </c>
    </row>
    <row r="55" spans="1:15">
      <c r="A55" s="7" t="s">
        <v>417</v>
      </c>
      <c r="B55" s="37" t="s">
        <v>256</v>
      </c>
      <c r="C55" s="37" t="s">
        <v>337</v>
      </c>
      <c r="D55" s="12">
        <v>21</v>
      </c>
      <c r="E55" s="13">
        <v>684.6</v>
      </c>
      <c r="F55" s="13">
        <v>1777.1</v>
      </c>
      <c r="G55" s="13">
        <v>181</v>
      </c>
      <c r="H55" s="13">
        <v>181</v>
      </c>
      <c r="I55" s="14">
        <v>0</v>
      </c>
      <c r="J55" s="14">
        <v>0</v>
      </c>
      <c r="K55" s="14">
        <v>0</v>
      </c>
      <c r="L55" s="14">
        <v>0</v>
      </c>
      <c r="M55" s="14">
        <v>865.6</v>
      </c>
      <c r="N55" s="14">
        <v>1958.1</v>
      </c>
      <c r="O55" s="14">
        <v>2823.7</v>
      </c>
    </row>
    <row r="56" spans="1:15">
      <c r="A56" s="7" t="s">
        <v>417</v>
      </c>
      <c r="B56" s="37" t="s">
        <v>110</v>
      </c>
      <c r="C56" s="37" t="s">
        <v>111</v>
      </c>
      <c r="D56" s="12">
        <v>21</v>
      </c>
      <c r="E56" s="13">
        <v>684.6</v>
      </c>
      <c r="F56" s="13">
        <v>1777.1</v>
      </c>
      <c r="G56" s="13">
        <v>181</v>
      </c>
      <c r="H56" s="13">
        <v>181</v>
      </c>
      <c r="I56" s="14">
        <v>0</v>
      </c>
      <c r="J56" s="14">
        <v>0</v>
      </c>
      <c r="K56" s="14">
        <v>0</v>
      </c>
      <c r="L56" s="14">
        <v>0</v>
      </c>
      <c r="M56" s="14">
        <v>865.6</v>
      </c>
      <c r="N56" s="14">
        <v>1958.1</v>
      </c>
      <c r="O56" s="14">
        <v>2823.7</v>
      </c>
    </row>
    <row r="57" spans="1:15">
      <c r="A57" s="7" t="s">
        <v>417</v>
      </c>
      <c r="B57" s="37" t="s">
        <v>90</v>
      </c>
      <c r="C57" s="37" t="s">
        <v>91</v>
      </c>
      <c r="D57" s="12">
        <v>21</v>
      </c>
      <c r="E57" s="13">
        <v>684.6</v>
      </c>
      <c r="F57" s="13">
        <v>1777.1</v>
      </c>
      <c r="G57" s="13">
        <v>181</v>
      </c>
      <c r="H57" s="13">
        <v>181</v>
      </c>
      <c r="I57" s="14">
        <v>0</v>
      </c>
      <c r="J57" s="14">
        <v>0</v>
      </c>
      <c r="K57" s="14">
        <v>0</v>
      </c>
      <c r="L57" s="14">
        <v>0</v>
      </c>
      <c r="M57" s="14">
        <v>865.6</v>
      </c>
      <c r="N57" s="14">
        <v>1958.1</v>
      </c>
      <c r="O57" s="14">
        <v>2823.7</v>
      </c>
    </row>
    <row r="58" spans="1:15">
      <c r="A58" s="7" t="s">
        <v>417</v>
      </c>
      <c r="B58" s="37" t="s">
        <v>369</v>
      </c>
      <c r="C58" s="37" t="s">
        <v>370</v>
      </c>
      <c r="D58" s="12">
        <v>21</v>
      </c>
      <c r="E58" s="13">
        <v>684.6</v>
      </c>
      <c r="F58" s="13">
        <v>1777.1</v>
      </c>
      <c r="G58" s="13">
        <v>181</v>
      </c>
      <c r="H58" s="13">
        <v>181</v>
      </c>
      <c r="I58" s="14">
        <v>0</v>
      </c>
      <c r="J58" s="14">
        <v>0</v>
      </c>
      <c r="K58" s="14">
        <v>0</v>
      </c>
      <c r="L58" s="14">
        <v>0</v>
      </c>
      <c r="M58" s="14">
        <v>865.6</v>
      </c>
      <c r="N58" s="14">
        <v>1958.1</v>
      </c>
      <c r="O58" s="14">
        <v>2823.7</v>
      </c>
    </row>
    <row r="59" spans="1:15">
      <c r="A59" s="7" t="s">
        <v>417</v>
      </c>
      <c r="B59" s="37" t="s">
        <v>355</v>
      </c>
      <c r="C59" s="37" t="s">
        <v>356</v>
      </c>
      <c r="D59" s="12">
        <v>21</v>
      </c>
      <c r="E59" s="13">
        <v>684.6</v>
      </c>
      <c r="F59" s="13">
        <v>1777.1</v>
      </c>
      <c r="G59" s="13">
        <v>181</v>
      </c>
      <c r="H59" s="13">
        <v>181</v>
      </c>
      <c r="I59" s="14">
        <v>0</v>
      </c>
      <c r="J59" s="14">
        <v>0</v>
      </c>
      <c r="K59" s="14">
        <v>0</v>
      </c>
      <c r="L59" s="14">
        <v>0</v>
      </c>
      <c r="M59" s="14">
        <v>865.6</v>
      </c>
      <c r="N59" s="14">
        <v>1958.1</v>
      </c>
      <c r="O59" s="14">
        <v>2823.7</v>
      </c>
    </row>
    <row r="60" spans="1:15">
      <c r="A60" s="7" t="s">
        <v>417</v>
      </c>
      <c r="B60" s="37" t="s">
        <v>350</v>
      </c>
      <c r="C60" s="37" t="s">
        <v>351</v>
      </c>
      <c r="D60" s="12">
        <v>21</v>
      </c>
      <c r="E60" s="13">
        <v>684.6</v>
      </c>
      <c r="F60" s="13">
        <v>1777.1</v>
      </c>
      <c r="G60" s="13">
        <v>181</v>
      </c>
      <c r="H60" s="13">
        <v>181</v>
      </c>
      <c r="I60" s="14">
        <v>0</v>
      </c>
      <c r="J60" s="14">
        <v>0</v>
      </c>
      <c r="K60" s="14">
        <v>0</v>
      </c>
      <c r="L60" s="14">
        <v>0</v>
      </c>
      <c r="M60" s="14">
        <v>865.6</v>
      </c>
      <c r="N60" s="14">
        <v>1958.1</v>
      </c>
      <c r="O60" s="14">
        <v>2823.7</v>
      </c>
    </row>
    <row r="61" spans="1:15">
      <c r="A61" s="7" t="s">
        <v>417</v>
      </c>
      <c r="B61" s="37" t="s">
        <v>196</v>
      </c>
      <c r="C61" s="37" t="s">
        <v>197</v>
      </c>
      <c r="D61" s="12">
        <v>21</v>
      </c>
      <c r="E61" s="13">
        <v>684.6</v>
      </c>
      <c r="F61" s="13">
        <v>1777.1</v>
      </c>
      <c r="G61" s="13">
        <v>181</v>
      </c>
      <c r="H61" s="13">
        <v>181</v>
      </c>
      <c r="I61" s="14">
        <v>0</v>
      </c>
      <c r="J61" s="14">
        <v>0</v>
      </c>
      <c r="K61" s="14">
        <v>0</v>
      </c>
      <c r="L61" s="14">
        <v>0</v>
      </c>
      <c r="M61" s="14">
        <v>865.6</v>
      </c>
      <c r="N61" s="14">
        <v>1958.1</v>
      </c>
      <c r="O61" s="14">
        <v>2823.7</v>
      </c>
    </row>
    <row r="62" spans="1:15">
      <c r="A62" s="7" t="s">
        <v>417</v>
      </c>
      <c r="B62" s="37" t="s">
        <v>226</v>
      </c>
      <c r="C62" s="37" t="s">
        <v>227</v>
      </c>
      <c r="D62" s="12">
        <v>21</v>
      </c>
      <c r="E62" s="13">
        <v>684.6</v>
      </c>
      <c r="F62" s="13">
        <v>1777.1</v>
      </c>
      <c r="G62" s="13">
        <v>181</v>
      </c>
      <c r="H62" s="13">
        <v>181</v>
      </c>
      <c r="I62" s="14">
        <v>0</v>
      </c>
      <c r="J62" s="14">
        <v>0</v>
      </c>
      <c r="K62" s="14">
        <v>0</v>
      </c>
      <c r="L62" s="14">
        <v>0</v>
      </c>
      <c r="M62" s="14">
        <v>865.6</v>
      </c>
      <c r="N62" s="14">
        <v>1958.1</v>
      </c>
      <c r="O62" s="14">
        <v>2823.7</v>
      </c>
    </row>
    <row r="63" spans="1:15">
      <c r="A63" s="7" t="s">
        <v>417</v>
      </c>
      <c r="B63" s="37" t="s">
        <v>362</v>
      </c>
      <c r="C63" s="37" t="s">
        <v>363</v>
      </c>
      <c r="D63" s="12">
        <v>21</v>
      </c>
      <c r="E63" s="13">
        <v>0</v>
      </c>
      <c r="F63" s="13">
        <v>0</v>
      </c>
      <c r="G63" s="13">
        <v>0</v>
      </c>
      <c r="H63" s="13">
        <v>0</v>
      </c>
      <c r="I63" s="14">
        <v>0</v>
      </c>
      <c r="J63" s="14">
        <v>0</v>
      </c>
      <c r="K63" s="14">
        <v>0</v>
      </c>
      <c r="L63" s="14">
        <v>0</v>
      </c>
      <c r="M63" s="14">
        <v>0</v>
      </c>
      <c r="N63" s="14">
        <v>0</v>
      </c>
      <c r="O63" s="14">
        <v>0</v>
      </c>
    </row>
    <row r="64" spans="1:15">
      <c r="A64" s="7" t="s">
        <v>417</v>
      </c>
      <c r="B64" s="37" t="s">
        <v>179</v>
      </c>
      <c r="C64" s="37" t="s">
        <v>180</v>
      </c>
      <c r="D64" s="12">
        <v>21</v>
      </c>
      <c r="E64" s="13">
        <v>684.6</v>
      </c>
      <c r="F64" s="13">
        <v>1777.1</v>
      </c>
      <c r="G64" s="13">
        <v>181</v>
      </c>
      <c r="H64" s="13">
        <v>181</v>
      </c>
      <c r="I64" s="14">
        <v>0</v>
      </c>
      <c r="J64" s="14">
        <v>0</v>
      </c>
      <c r="K64" s="14">
        <v>0</v>
      </c>
      <c r="L64" s="14">
        <v>0</v>
      </c>
      <c r="M64" s="14">
        <v>865.6</v>
      </c>
      <c r="N64" s="14">
        <v>1958.1</v>
      </c>
      <c r="O64" s="14">
        <v>2823.7</v>
      </c>
    </row>
    <row r="65" spans="1:17">
      <c r="A65" s="7" t="s">
        <v>417</v>
      </c>
      <c r="B65" s="37" t="s">
        <v>262</v>
      </c>
      <c r="C65" s="37" t="s">
        <v>263</v>
      </c>
      <c r="D65" s="12">
        <v>21</v>
      </c>
      <c r="E65" s="13">
        <v>684.6</v>
      </c>
      <c r="F65" s="13">
        <v>1777.1</v>
      </c>
      <c r="G65" s="13">
        <v>181</v>
      </c>
      <c r="H65" s="13">
        <v>181</v>
      </c>
      <c r="I65" s="14">
        <v>0</v>
      </c>
      <c r="J65" s="14">
        <v>0</v>
      </c>
      <c r="K65" s="14">
        <v>0</v>
      </c>
      <c r="L65" s="14">
        <v>0</v>
      </c>
      <c r="M65" s="14">
        <v>865.6</v>
      </c>
      <c r="N65" s="14">
        <v>1958.1</v>
      </c>
      <c r="O65" s="14">
        <v>2823.7</v>
      </c>
    </row>
    <row r="66" spans="1:17">
      <c r="A66" s="7" t="s">
        <v>417</v>
      </c>
      <c r="B66" s="37" t="s">
        <v>85</v>
      </c>
      <c r="C66" s="37" t="s">
        <v>86</v>
      </c>
      <c r="D66" s="12">
        <v>21</v>
      </c>
      <c r="E66" s="13">
        <v>684.6</v>
      </c>
      <c r="F66" s="13">
        <v>1777.1</v>
      </c>
      <c r="G66" s="13">
        <v>181</v>
      </c>
      <c r="H66" s="13">
        <v>181</v>
      </c>
      <c r="I66" s="14">
        <v>0</v>
      </c>
      <c r="J66" s="14">
        <v>0</v>
      </c>
      <c r="K66" s="14">
        <v>0</v>
      </c>
      <c r="L66" s="14">
        <v>0</v>
      </c>
      <c r="M66" s="14">
        <v>865.6</v>
      </c>
      <c r="N66" s="14">
        <v>1958.1</v>
      </c>
      <c r="O66" s="14">
        <v>2823.7</v>
      </c>
    </row>
    <row r="67" spans="1:17">
      <c r="A67" s="7" t="s">
        <v>417</v>
      </c>
      <c r="B67" s="37" t="s">
        <v>253</v>
      </c>
      <c r="C67" s="37" t="s">
        <v>254</v>
      </c>
      <c r="D67" s="12">
        <v>21</v>
      </c>
      <c r="E67" s="13">
        <v>684.6</v>
      </c>
      <c r="F67" s="13">
        <v>1777.1</v>
      </c>
      <c r="G67" s="13">
        <v>181</v>
      </c>
      <c r="H67" s="13">
        <v>181</v>
      </c>
      <c r="I67" s="14">
        <v>0</v>
      </c>
      <c r="J67" s="14">
        <v>0</v>
      </c>
      <c r="K67" s="14">
        <v>0</v>
      </c>
      <c r="L67" s="14">
        <v>0</v>
      </c>
      <c r="M67" s="14">
        <v>865.6</v>
      </c>
      <c r="N67" s="14">
        <v>1958.1</v>
      </c>
      <c r="O67" s="14">
        <v>2823.7</v>
      </c>
    </row>
    <row r="68" spans="1:17">
      <c r="A68" s="7" t="s">
        <v>417</v>
      </c>
      <c r="B68" s="37" t="s">
        <v>211</v>
      </c>
      <c r="C68" s="37" t="s">
        <v>212</v>
      </c>
      <c r="D68" s="12">
        <v>21</v>
      </c>
      <c r="E68" s="13">
        <v>684.6</v>
      </c>
      <c r="F68" s="13">
        <v>1777.1</v>
      </c>
      <c r="G68" s="13">
        <v>181</v>
      </c>
      <c r="H68" s="13">
        <v>181</v>
      </c>
      <c r="I68" s="14">
        <v>0</v>
      </c>
      <c r="J68" s="14">
        <v>0</v>
      </c>
      <c r="K68" s="14">
        <v>0</v>
      </c>
      <c r="L68" s="14">
        <v>0</v>
      </c>
      <c r="M68" s="14">
        <v>865.6</v>
      </c>
      <c r="N68" s="14">
        <v>1958.1</v>
      </c>
      <c r="O68" s="14">
        <v>2823.7</v>
      </c>
    </row>
    <row r="69" spans="1:17">
      <c r="A69" s="7" t="s">
        <v>417</v>
      </c>
      <c r="B69" s="37" t="s">
        <v>272</v>
      </c>
      <c r="C69" s="37" t="s">
        <v>273</v>
      </c>
      <c r="D69" s="12">
        <v>21</v>
      </c>
      <c r="E69" s="13">
        <v>684.6</v>
      </c>
      <c r="F69" s="13">
        <v>1777.1</v>
      </c>
      <c r="G69" s="13">
        <v>181</v>
      </c>
      <c r="H69" s="13">
        <v>181</v>
      </c>
      <c r="I69" s="14">
        <v>0</v>
      </c>
      <c r="J69" s="14">
        <v>0</v>
      </c>
      <c r="K69" s="14">
        <v>0</v>
      </c>
      <c r="L69" s="14">
        <v>0</v>
      </c>
      <c r="M69" s="14">
        <v>865.6</v>
      </c>
      <c r="N69" s="14">
        <v>1958.1</v>
      </c>
      <c r="O69" s="14">
        <v>2823.7</v>
      </c>
    </row>
    <row r="70" spans="1:17">
      <c r="A70" s="7" t="s">
        <v>417</v>
      </c>
      <c r="B70" s="37" t="s">
        <v>269</v>
      </c>
      <c r="C70" s="37" t="s">
        <v>270</v>
      </c>
      <c r="D70" s="12">
        <v>21</v>
      </c>
      <c r="E70" s="13">
        <v>684.6</v>
      </c>
      <c r="F70" s="13">
        <v>1777.1</v>
      </c>
      <c r="G70" s="13">
        <v>181</v>
      </c>
      <c r="H70" s="13">
        <v>181</v>
      </c>
      <c r="I70" s="14">
        <v>0</v>
      </c>
      <c r="J70" s="14">
        <v>0</v>
      </c>
      <c r="K70" s="14">
        <v>0</v>
      </c>
      <c r="L70" s="14">
        <v>0</v>
      </c>
      <c r="M70" s="14">
        <v>865.6</v>
      </c>
      <c r="N70" s="14">
        <v>1958.1</v>
      </c>
      <c r="O70" s="14">
        <v>2823.7</v>
      </c>
    </row>
    <row r="71" spans="1:17">
      <c r="A71" s="7" t="s">
        <v>417</v>
      </c>
      <c r="B71" s="37" t="s">
        <v>173</v>
      </c>
      <c r="C71" s="37" t="s">
        <v>174</v>
      </c>
      <c r="D71" s="12">
        <v>21</v>
      </c>
      <c r="E71" s="13">
        <v>684.6</v>
      </c>
      <c r="F71" s="13">
        <v>1777.1</v>
      </c>
      <c r="G71" s="13">
        <v>181</v>
      </c>
      <c r="H71" s="13">
        <v>181</v>
      </c>
      <c r="I71" s="14">
        <v>0</v>
      </c>
      <c r="J71" s="14">
        <v>0</v>
      </c>
      <c r="K71" s="14">
        <v>0</v>
      </c>
      <c r="L71" s="14">
        <v>0</v>
      </c>
      <c r="M71" s="14">
        <v>865.6</v>
      </c>
      <c r="N71" s="14">
        <v>1958.1</v>
      </c>
      <c r="O71" s="14">
        <v>2823.7</v>
      </c>
    </row>
    <row r="72" spans="1:17">
      <c r="A72" s="7" t="s">
        <v>417</v>
      </c>
      <c r="B72" s="37" t="s">
        <v>398</v>
      </c>
      <c r="C72" s="37" t="s">
        <v>399</v>
      </c>
      <c r="D72" s="12">
        <v>21</v>
      </c>
      <c r="E72" s="13">
        <v>684.6</v>
      </c>
      <c r="F72" s="13">
        <v>1777.1</v>
      </c>
      <c r="G72" s="13">
        <v>181</v>
      </c>
      <c r="H72" s="13">
        <v>181</v>
      </c>
      <c r="I72" s="14">
        <v>0</v>
      </c>
      <c r="J72" s="14">
        <v>0</v>
      </c>
      <c r="K72" s="14">
        <v>0</v>
      </c>
      <c r="L72" s="14">
        <v>0</v>
      </c>
      <c r="M72" s="14">
        <v>865.6</v>
      </c>
      <c r="N72" s="14">
        <v>1958.1</v>
      </c>
      <c r="O72" s="14">
        <v>2823.7</v>
      </c>
    </row>
    <row r="73" spans="1:17">
      <c r="A73" s="7" t="s">
        <v>417</v>
      </c>
      <c r="B73" s="37" t="s">
        <v>404</v>
      </c>
      <c r="C73" s="37" t="s">
        <v>405</v>
      </c>
      <c r="D73" s="12">
        <v>21</v>
      </c>
      <c r="E73" s="13">
        <v>684.6</v>
      </c>
      <c r="F73" s="13">
        <v>1777.1</v>
      </c>
      <c r="G73" s="13">
        <v>181</v>
      </c>
      <c r="H73" s="13">
        <v>181</v>
      </c>
      <c r="I73" s="14">
        <v>0</v>
      </c>
      <c r="J73" s="14">
        <v>0</v>
      </c>
      <c r="K73" s="14">
        <v>0</v>
      </c>
      <c r="L73" s="14">
        <v>0</v>
      </c>
      <c r="M73" s="14">
        <v>865.6</v>
      </c>
      <c r="N73" s="14">
        <v>1958.1</v>
      </c>
      <c r="O73" s="14">
        <v>2823.7</v>
      </c>
    </row>
    <row r="74" spans="1:17">
      <c r="A74" s="7" t="s">
        <v>417</v>
      </c>
      <c r="B74" s="37" t="s">
        <v>406</v>
      </c>
      <c r="C74" s="37" t="s">
        <v>407</v>
      </c>
      <c r="D74" s="12">
        <v>21</v>
      </c>
      <c r="E74" s="13">
        <v>684.6</v>
      </c>
      <c r="F74" s="13">
        <v>1777.1</v>
      </c>
      <c r="G74" s="13">
        <v>181</v>
      </c>
      <c r="H74" s="13">
        <v>181</v>
      </c>
      <c r="I74" s="14">
        <v>0</v>
      </c>
      <c r="J74" s="14">
        <v>0</v>
      </c>
      <c r="K74" s="14">
        <v>0</v>
      </c>
      <c r="L74" s="14">
        <v>0</v>
      </c>
      <c r="M74" s="14">
        <v>865.6</v>
      </c>
      <c r="N74" s="14">
        <v>1958.1</v>
      </c>
      <c r="O74" s="14">
        <v>2823.7</v>
      </c>
    </row>
    <row r="75" spans="1:17">
      <c r="A75" s="7" t="s">
        <v>417</v>
      </c>
      <c r="B75" s="51" t="s">
        <v>412</v>
      </c>
      <c r="C75" s="52" t="s">
        <v>413</v>
      </c>
      <c r="D75" s="12">
        <v>21</v>
      </c>
      <c r="E75" s="13">
        <v>684.6</v>
      </c>
      <c r="F75" s="13">
        <v>1777.1</v>
      </c>
      <c r="G75" s="13">
        <v>181</v>
      </c>
      <c r="H75" s="13">
        <v>181</v>
      </c>
      <c r="I75" s="14">
        <v>0</v>
      </c>
      <c r="J75" s="14">
        <v>0</v>
      </c>
      <c r="K75" s="14">
        <v>0</v>
      </c>
      <c r="L75" s="14">
        <v>0</v>
      </c>
      <c r="M75" s="14">
        <v>865.6</v>
      </c>
      <c r="N75" s="14">
        <v>1958.1</v>
      </c>
      <c r="O75" s="14">
        <v>2823.7</v>
      </c>
    </row>
    <row r="76" spans="1:17">
      <c r="A76" s="7" t="s">
        <v>417</v>
      </c>
      <c r="B76" s="51" t="s">
        <v>420</v>
      </c>
      <c r="C76" s="52" t="s">
        <v>421</v>
      </c>
      <c r="D76" s="12">
        <v>21</v>
      </c>
      <c r="E76" s="13">
        <v>0</v>
      </c>
      <c r="F76" s="13">
        <v>0</v>
      </c>
      <c r="G76" s="13">
        <v>0</v>
      </c>
      <c r="H76" s="13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</row>
    <row r="77" spans="1:17">
      <c r="A77" s="7" t="s">
        <v>417</v>
      </c>
      <c r="B77" s="51" t="s">
        <v>422</v>
      </c>
      <c r="C77" s="52" t="s">
        <v>423</v>
      </c>
      <c r="D77" s="12">
        <v>21</v>
      </c>
      <c r="E77" s="13">
        <v>684.6</v>
      </c>
      <c r="F77" s="13">
        <v>1777.1</v>
      </c>
      <c r="G77" s="13">
        <v>181</v>
      </c>
      <c r="H77" s="13">
        <v>181</v>
      </c>
      <c r="I77" s="14">
        <v>0</v>
      </c>
      <c r="J77" s="14">
        <v>0</v>
      </c>
      <c r="K77" s="14">
        <v>0</v>
      </c>
      <c r="L77" s="14">
        <v>0</v>
      </c>
      <c r="M77" s="14">
        <v>865.6</v>
      </c>
      <c r="N77" s="14">
        <v>1958.1</v>
      </c>
      <c r="O77" s="14">
        <v>2823.7</v>
      </c>
    </row>
    <row r="78" spans="1:17">
      <c r="A78" s="7" t="s">
        <v>417</v>
      </c>
      <c r="B78" s="51" t="s">
        <v>425</v>
      </c>
      <c r="C78" s="52" t="s">
        <v>426</v>
      </c>
      <c r="D78" s="12">
        <v>21</v>
      </c>
      <c r="E78" s="13">
        <v>684.6</v>
      </c>
      <c r="F78" s="13">
        <v>1777.1</v>
      </c>
      <c r="G78" s="13">
        <v>181</v>
      </c>
      <c r="H78" s="13">
        <v>181</v>
      </c>
      <c r="I78" s="14">
        <v>0</v>
      </c>
      <c r="J78" s="14">
        <v>0</v>
      </c>
      <c r="K78" s="14">
        <v>0</v>
      </c>
      <c r="L78" s="14">
        <v>0</v>
      </c>
      <c r="M78" s="14">
        <v>865.6</v>
      </c>
      <c r="N78" s="14">
        <v>1958.1</v>
      </c>
      <c r="O78" s="14">
        <v>2823.7</v>
      </c>
    </row>
    <row r="79" spans="1:17">
      <c r="A79" s="7" t="s">
        <v>417</v>
      </c>
      <c r="B79" s="51" t="s">
        <v>430</v>
      </c>
      <c r="C79" s="52" t="s">
        <v>431</v>
      </c>
      <c r="D79" s="12">
        <v>0</v>
      </c>
      <c r="E79" s="13">
        <v>684.6</v>
      </c>
      <c r="F79" s="13">
        <v>1777.1</v>
      </c>
      <c r="G79" s="13">
        <v>181</v>
      </c>
      <c r="H79" s="13">
        <v>181</v>
      </c>
      <c r="I79" s="14">
        <v>0</v>
      </c>
      <c r="J79" s="14">
        <v>0</v>
      </c>
      <c r="K79" s="14">
        <v>0</v>
      </c>
      <c r="L79" s="14">
        <v>0</v>
      </c>
      <c r="M79" s="14">
        <v>865.6</v>
      </c>
      <c r="N79" s="14">
        <v>1958.1</v>
      </c>
      <c r="O79" s="14">
        <v>2823.7</v>
      </c>
    </row>
    <row r="80" spans="1:17">
      <c r="A80" s="7" t="s">
        <v>417</v>
      </c>
      <c r="B80" s="51" t="s">
        <v>430</v>
      </c>
      <c r="C80" s="52" t="s">
        <v>431</v>
      </c>
      <c r="D80" s="12">
        <v>21</v>
      </c>
      <c r="E80" s="13">
        <v>627.38</v>
      </c>
      <c r="F80" s="13">
        <v>1628.55</v>
      </c>
      <c r="G80" s="13">
        <v>181</v>
      </c>
      <c r="H80" s="13">
        <v>181</v>
      </c>
      <c r="I80" s="14">
        <v>0</v>
      </c>
      <c r="J80" s="14">
        <v>0</v>
      </c>
      <c r="K80" s="14">
        <v>0</v>
      </c>
      <c r="L80" s="14">
        <v>0</v>
      </c>
      <c r="M80" s="14">
        <v>808.38</v>
      </c>
      <c r="N80" s="14">
        <v>1809.55</v>
      </c>
      <c r="O80" s="14">
        <v>2617.9299999999998</v>
      </c>
      <c r="P80">
        <f>N79+N80</f>
        <v>3767.6499999999996</v>
      </c>
      <c r="Q80">
        <f>M79+M80</f>
        <v>1673.98</v>
      </c>
    </row>
    <row r="81" spans="1:15" ht="26.4">
      <c r="A81" s="7" t="s">
        <v>365</v>
      </c>
      <c r="B81" s="37" t="s">
        <v>177</v>
      </c>
      <c r="C81" s="37" t="s">
        <v>178</v>
      </c>
      <c r="D81" s="12">
        <v>21</v>
      </c>
      <c r="E81" s="12">
        <v>415.45</v>
      </c>
      <c r="F81" s="12">
        <v>1007.02</v>
      </c>
      <c r="G81" s="12">
        <v>161</v>
      </c>
      <c r="H81" s="12">
        <v>161</v>
      </c>
      <c r="I81" s="12">
        <v>0</v>
      </c>
      <c r="J81" s="12">
        <v>0</v>
      </c>
      <c r="K81" s="12">
        <v>0</v>
      </c>
      <c r="L81" s="12">
        <v>0</v>
      </c>
      <c r="M81" s="12">
        <v>576.45000000000005</v>
      </c>
      <c r="N81" s="12">
        <v>1168.02</v>
      </c>
      <c r="O81" s="12">
        <v>1744.47</v>
      </c>
    </row>
    <row r="82" spans="1:15">
      <c r="A82" t="s">
        <v>365</v>
      </c>
      <c r="B82" s="5" t="s">
        <v>201</v>
      </c>
      <c r="C82" s="5" t="s">
        <v>338</v>
      </c>
      <c r="D82">
        <v>21</v>
      </c>
      <c r="E82" s="49">
        <v>415.45</v>
      </c>
      <c r="F82" s="49">
        <v>1007.02</v>
      </c>
      <c r="G82" s="49">
        <v>161</v>
      </c>
      <c r="H82">
        <v>161</v>
      </c>
      <c r="I82">
        <v>0</v>
      </c>
      <c r="J82">
        <v>0</v>
      </c>
      <c r="K82">
        <v>0</v>
      </c>
      <c r="L82">
        <v>0</v>
      </c>
      <c r="M82">
        <v>576.45000000000005</v>
      </c>
      <c r="N82">
        <v>1168.02</v>
      </c>
      <c r="O82">
        <v>1744.47</v>
      </c>
    </row>
    <row r="83" spans="1:15">
      <c r="A83" t="s">
        <v>365</v>
      </c>
      <c r="B83" s="5" t="s">
        <v>402</v>
      </c>
      <c r="C83" s="5" t="s">
        <v>403</v>
      </c>
      <c r="D83">
        <v>21</v>
      </c>
      <c r="E83" s="49">
        <v>341.35</v>
      </c>
      <c r="F83" s="49">
        <v>977.05</v>
      </c>
      <c r="G83" s="49">
        <v>317</v>
      </c>
      <c r="H83">
        <v>317</v>
      </c>
      <c r="I83">
        <v>0</v>
      </c>
      <c r="J83">
        <v>39.57</v>
      </c>
      <c r="K83">
        <v>0</v>
      </c>
      <c r="L83">
        <v>0</v>
      </c>
      <c r="M83">
        <v>658.35</v>
      </c>
      <c r="N83">
        <v>1333.62</v>
      </c>
      <c r="O83">
        <v>1991.9699999999998</v>
      </c>
    </row>
    <row r="84" spans="1:15">
      <c r="A84" t="s">
        <v>365</v>
      </c>
      <c r="B84" s="5" t="s">
        <v>202</v>
      </c>
      <c r="C84" s="5" t="s">
        <v>339</v>
      </c>
      <c r="D84">
        <v>21</v>
      </c>
      <c r="E84" s="49">
        <v>415.45</v>
      </c>
      <c r="F84" s="49">
        <v>1007.02</v>
      </c>
      <c r="G84" s="49">
        <v>161</v>
      </c>
      <c r="H84">
        <v>161</v>
      </c>
      <c r="I84">
        <v>0</v>
      </c>
      <c r="J84">
        <v>0</v>
      </c>
      <c r="K84">
        <v>0</v>
      </c>
      <c r="L84">
        <v>0</v>
      </c>
      <c r="M84">
        <v>576.45000000000005</v>
      </c>
      <c r="N84">
        <v>1168.02</v>
      </c>
      <c r="O84">
        <v>1744.47</v>
      </c>
    </row>
    <row r="85" spans="1:15">
      <c r="A85" t="s">
        <v>365</v>
      </c>
      <c r="B85" s="5" t="s">
        <v>204</v>
      </c>
      <c r="C85" s="5" t="s">
        <v>205</v>
      </c>
      <c r="D85">
        <v>21</v>
      </c>
      <c r="E85" s="49">
        <v>415.45</v>
      </c>
      <c r="F85" s="49">
        <v>1007.02</v>
      </c>
      <c r="G85" s="49">
        <v>161</v>
      </c>
      <c r="H85">
        <v>161</v>
      </c>
      <c r="I85">
        <v>0</v>
      </c>
      <c r="J85">
        <v>0</v>
      </c>
      <c r="K85">
        <v>0</v>
      </c>
      <c r="L85">
        <v>0</v>
      </c>
      <c r="M85">
        <v>576.45000000000005</v>
      </c>
      <c r="N85">
        <v>1168.02</v>
      </c>
      <c r="O85">
        <v>1744.47</v>
      </c>
    </row>
    <row r="86" spans="1:15">
      <c r="A86" t="s">
        <v>365</v>
      </c>
      <c r="B86" s="5" t="s">
        <v>408</v>
      </c>
      <c r="C86" s="5" t="s">
        <v>409</v>
      </c>
      <c r="D86">
        <v>21</v>
      </c>
      <c r="E86">
        <v>415.45</v>
      </c>
      <c r="F86">
        <v>1007.02</v>
      </c>
      <c r="G86">
        <v>182</v>
      </c>
      <c r="H86">
        <v>182</v>
      </c>
      <c r="I86">
        <v>0</v>
      </c>
      <c r="J86">
        <v>0</v>
      </c>
      <c r="K86">
        <v>0</v>
      </c>
      <c r="L86">
        <v>0</v>
      </c>
      <c r="M86">
        <v>597.45000000000005</v>
      </c>
      <c r="N86">
        <v>1189.02</v>
      </c>
      <c r="O86">
        <v>1786.47</v>
      </c>
    </row>
    <row r="87" spans="1:15">
      <c r="A87" t="s">
        <v>365</v>
      </c>
      <c r="B87" s="5" t="s">
        <v>371</v>
      </c>
      <c r="C87" s="5" t="s">
        <v>372</v>
      </c>
      <c r="D87">
        <v>21</v>
      </c>
      <c r="E87">
        <v>446.25</v>
      </c>
      <c r="F87">
        <v>1096.5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446.25</v>
      </c>
      <c r="N87">
        <v>1096.5</v>
      </c>
      <c r="O87">
        <v>1542.75</v>
      </c>
    </row>
    <row r="88" spans="1:15">
      <c r="A88" t="s">
        <v>365</v>
      </c>
      <c r="B88" s="5" t="s">
        <v>293</v>
      </c>
      <c r="C88" s="5" t="s">
        <v>294</v>
      </c>
      <c r="D88">
        <v>21</v>
      </c>
      <c r="E88">
        <v>451.25</v>
      </c>
      <c r="F88">
        <v>1051.8800000000001</v>
      </c>
      <c r="G88">
        <v>304</v>
      </c>
      <c r="H88">
        <v>304</v>
      </c>
      <c r="I88">
        <v>0</v>
      </c>
      <c r="J88">
        <v>0</v>
      </c>
      <c r="K88">
        <v>0</v>
      </c>
      <c r="L88">
        <v>0</v>
      </c>
      <c r="M88">
        <v>755.25</v>
      </c>
      <c r="N88">
        <v>1355.88</v>
      </c>
      <c r="O88">
        <v>2111.13</v>
      </c>
    </row>
    <row r="89" spans="1:15">
      <c r="A89" t="s">
        <v>365</v>
      </c>
      <c r="B89" s="5" t="s">
        <v>373</v>
      </c>
      <c r="C89" s="5" t="s">
        <v>374</v>
      </c>
      <c r="D89">
        <v>21</v>
      </c>
      <c r="E89">
        <v>446.25</v>
      </c>
      <c r="F89">
        <v>1096.5</v>
      </c>
      <c r="G89">
        <v>162</v>
      </c>
      <c r="H89">
        <v>162</v>
      </c>
      <c r="I89">
        <v>0</v>
      </c>
      <c r="J89">
        <v>0</v>
      </c>
      <c r="K89">
        <v>0</v>
      </c>
      <c r="L89">
        <v>0</v>
      </c>
      <c r="M89">
        <v>608.25</v>
      </c>
      <c r="N89">
        <v>1258.5</v>
      </c>
      <c r="O89">
        <v>1866.75</v>
      </c>
    </row>
    <row r="90" spans="1:15">
      <c r="A90" t="s">
        <v>365</v>
      </c>
      <c r="B90" s="5" t="s">
        <v>289</v>
      </c>
      <c r="C90" s="5" t="s">
        <v>290</v>
      </c>
      <c r="D90">
        <v>21</v>
      </c>
      <c r="E90">
        <v>446.25</v>
      </c>
      <c r="F90">
        <v>1096.5</v>
      </c>
      <c r="G90">
        <v>162</v>
      </c>
      <c r="H90">
        <v>162</v>
      </c>
      <c r="I90">
        <v>0</v>
      </c>
      <c r="J90">
        <v>0</v>
      </c>
      <c r="K90">
        <v>0</v>
      </c>
      <c r="L90">
        <v>0</v>
      </c>
      <c r="M90">
        <v>608.25</v>
      </c>
      <c r="N90">
        <v>1258.5</v>
      </c>
      <c r="O90">
        <v>1866.75</v>
      </c>
    </row>
    <row r="91" spans="1:15">
      <c r="A91" t="s">
        <v>365</v>
      </c>
      <c r="B91" s="5" t="s">
        <v>381</v>
      </c>
      <c r="C91" s="5" t="s">
        <v>382</v>
      </c>
      <c r="D91">
        <v>21</v>
      </c>
      <c r="E91">
        <v>446.25</v>
      </c>
      <c r="F91">
        <v>1096.5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446.25</v>
      </c>
      <c r="N91">
        <v>1096.5</v>
      </c>
      <c r="O91">
        <v>1542.75</v>
      </c>
    </row>
    <row r="92" spans="1:15">
      <c r="A92" t="s">
        <v>365</v>
      </c>
      <c r="B92" s="5" t="s">
        <v>298</v>
      </c>
      <c r="C92" s="5" t="s">
        <v>299</v>
      </c>
      <c r="D92">
        <v>21</v>
      </c>
      <c r="E92">
        <v>456.25</v>
      </c>
      <c r="F92">
        <v>1134.75</v>
      </c>
      <c r="G92">
        <v>274</v>
      </c>
      <c r="H92">
        <v>274</v>
      </c>
      <c r="I92">
        <v>0</v>
      </c>
      <c r="J92">
        <v>0</v>
      </c>
      <c r="K92">
        <v>0</v>
      </c>
      <c r="L92">
        <v>0</v>
      </c>
      <c r="M92">
        <v>730.25</v>
      </c>
      <c r="N92">
        <v>1408.75</v>
      </c>
      <c r="O92">
        <v>2139</v>
      </c>
    </row>
    <row r="93" spans="1:15">
      <c r="A93" t="s">
        <v>365</v>
      </c>
      <c r="B93" s="5" t="s">
        <v>358</v>
      </c>
      <c r="C93" s="5" t="s">
        <v>359</v>
      </c>
      <c r="D93">
        <v>21</v>
      </c>
      <c r="E93">
        <v>456.25</v>
      </c>
      <c r="F93">
        <v>1134.75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456.25</v>
      </c>
      <c r="N93">
        <v>1134.75</v>
      </c>
      <c r="O93">
        <v>1591</v>
      </c>
    </row>
    <row r="94" spans="1:15">
      <c r="A94" t="s">
        <v>365</v>
      </c>
      <c r="B94" s="5" t="s">
        <v>285</v>
      </c>
      <c r="C94" s="5" t="s">
        <v>286</v>
      </c>
      <c r="D94">
        <v>21</v>
      </c>
      <c r="E94">
        <v>446.25</v>
      </c>
      <c r="F94">
        <v>1096.5</v>
      </c>
      <c r="G94">
        <v>162</v>
      </c>
      <c r="H94">
        <v>162</v>
      </c>
      <c r="I94">
        <v>0</v>
      </c>
      <c r="J94">
        <v>0</v>
      </c>
      <c r="K94">
        <v>0</v>
      </c>
      <c r="L94">
        <v>0</v>
      </c>
      <c r="M94">
        <v>608.25</v>
      </c>
      <c r="N94">
        <v>1258.5</v>
      </c>
      <c r="O94">
        <v>1866.75</v>
      </c>
    </row>
    <row r="95" spans="1:15">
      <c r="A95" t="s">
        <v>365</v>
      </c>
      <c r="B95" s="5" t="s">
        <v>347</v>
      </c>
      <c r="C95" s="5" t="s">
        <v>348</v>
      </c>
      <c r="D95">
        <v>21</v>
      </c>
      <c r="E95">
        <v>451.25</v>
      </c>
      <c r="F95">
        <v>1051.8800000000001</v>
      </c>
      <c r="G95">
        <v>304</v>
      </c>
      <c r="H95">
        <v>304</v>
      </c>
      <c r="I95">
        <v>0</v>
      </c>
      <c r="J95">
        <v>0</v>
      </c>
      <c r="K95">
        <v>0</v>
      </c>
      <c r="L95">
        <v>0</v>
      </c>
      <c r="M95">
        <v>755.25</v>
      </c>
      <c r="N95">
        <v>1355.88</v>
      </c>
      <c r="O95">
        <v>2111.13</v>
      </c>
    </row>
    <row r="96" spans="1:15">
      <c r="A96" t="s">
        <v>365</v>
      </c>
      <c r="B96" s="5" t="s">
        <v>296</v>
      </c>
      <c r="C96" s="5" t="s">
        <v>297</v>
      </c>
      <c r="D96">
        <v>21</v>
      </c>
      <c r="E96">
        <v>451.25</v>
      </c>
      <c r="F96">
        <v>1051.8800000000001</v>
      </c>
      <c r="G96">
        <v>304</v>
      </c>
      <c r="H96">
        <v>304</v>
      </c>
      <c r="I96">
        <v>0</v>
      </c>
      <c r="J96">
        <v>0</v>
      </c>
      <c r="K96">
        <v>0</v>
      </c>
      <c r="L96">
        <v>0</v>
      </c>
      <c r="M96">
        <v>755.25</v>
      </c>
      <c r="N96">
        <v>1355.88</v>
      </c>
      <c r="O96">
        <v>2111.13</v>
      </c>
    </row>
    <row r="97" spans="1:15">
      <c r="A97" t="s">
        <v>365</v>
      </c>
      <c r="B97" s="5" t="s">
        <v>427</v>
      </c>
      <c r="C97" s="5" t="s">
        <v>428</v>
      </c>
      <c r="D97">
        <v>21</v>
      </c>
      <c r="E97">
        <v>446.25</v>
      </c>
      <c r="F97">
        <v>1096.5</v>
      </c>
      <c r="G97">
        <v>183</v>
      </c>
      <c r="H97">
        <v>183</v>
      </c>
      <c r="I97">
        <v>0</v>
      </c>
      <c r="J97">
        <v>0</v>
      </c>
      <c r="K97">
        <v>0</v>
      </c>
      <c r="L97">
        <v>0</v>
      </c>
      <c r="M97">
        <v>629.25</v>
      </c>
      <c r="N97">
        <v>1279.5</v>
      </c>
      <c r="O97">
        <v>1908.75</v>
      </c>
    </row>
    <row r="98" spans="1:15">
      <c r="A98" t="s">
        <v>365</v>
      </c>
      <c r="B98" s="5" t="s">
        <v>291</v>
      </c>
      <c r="C98" s="5" t="s">
        <v>292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>
      <c r="D99" s="92">
        <f>SUM(D4:D98)</f>
        <v>1932</v>
      </c>
      <c r="E99" s="92">
        <f t="shared" ref="E99:O99" si="0">SUM(E4:E98)</f>
        <v>57965.529999999919</v>
      </c>
      <c r="F99" s="92">
        <f t="shared" si="0"/>
        <v>149373.14000000013</v>
      </c>
      <c r="G99" s="92">
        <f t="shared" si="0"/>
        <v>16392</v>
      </c>
      <c r="H99" s="92">
        <f t="shared" si="0"/>
        <v>16392</v>
      </c>
      <c r="I99" s="92">
        <f t="shared" si="0"/>
        <v>0</v>
      </c>
      <c r="J99" s="92">
        <f t="shared" si="0"/>
        <v>39.57</v>
      </c>
      <c r="K99" s="92">
        <f t="shared" si="0"/>
        <v>0</v>
      </c>
      <c r="L99" s="92">
        <f t="shared" si="0"/>
        <v>0</v>
      </c>
      <c r="M99" s="92">
        <f t="shared" si="0"/>
        <v>74357.529999999912</v>
      </c>
      <c r="N99" s="92">
        <f t="shared" si="0"/>
        <v>165804.71000000014</v>
      </c>
      <c r="O99" s="92">
        <f t="shared" si="0"/>
        <v>240162.24000000022</v>
      </c>
    </row>
    <row r="103" spans="1:15">
      <c r="D103" t="s">
        <v>434</v>
      </c>
      <c r="E103">
        <f>E99</f>
        <v>57965.529999999919</v>
      </c>
    </row>
    <row r="104" spans="1:15">
      <c r="D104" t="s">
        <v>435</v>
      </c>
      <c r="E104">
        <f>G99</f>
        <v>16392</v>
      </c>
    </row>
    <row r="105" spans="1:15">
      <c r="D105" t="s">
        <v>436</v>
      </c>
      <c r="E105">
        <f>F99+J99</f>
        <v>149412.71000000014</v>
      </c>
    </row>
    <row r="106" spans="1:15">
      <c r="D106" t="s">
        <v>437</v>
      </c>
      <c r="E106">
        <f>H99</f>
        <v>16392</v>
      </c>
    </row>
  </sheetData>
  <mergeCells count="10">
    <mergeCell ref="I1:L1"/>
    <mergeCell ref="E2:F2"/>
    <mergeCell ref="G2:H2"/>
    <mergeCell ref="I2:J2"/>
    <mergeCell ref="K2:L2"/>
    <mergeCell ref="A1:A3"/>
    <mergeCell ref="C1:C3"/>
    <mergeCell ref="B1:B3"/>
    <mergeCell ref="D1:D3"/>
    <mergeCell ref="E1:H1"/>
  </mergeCells>
  <phoneticPr fontId="23" type="noConversion"/>
  <conditionalFormatting sqref="B1:B3 B34:B1048576">
    <cfRule type="duplicateValues" dxfId="773" priority="213"/>
    <cfRule type="duplicateValues" dxfId="772" priority="216"/>
    <cfRule type="duplicateValues" dxfId="771" priority="218"/>
  </conditionalFormatting>
  <conditionalFormatting sqref="B1:B3">
    <cfRule type="duplicateValues" dxfId="770" priority="217"/>
  </conditionalFormatting>
  <conditionalFormatting sqref="B1:B1048576">
    <cfRule type="duplicateValues" dxfId="769" priority="143"/>
    <cfRule type="duplicateValues" dxfId="768" priority="203"/>
    <cfRule type="duplicateValues" dxfId="767" priority="212"/>
  </conditionalFormatting>
  <conditionalFormatting sqref="B37:B40">
    <cfRule type="duplicateValues" dxfId="766" priority="310"/>
    <cfRule type="duplicateValues" dxfId="765" priority="311"/>
    <cfRule type="duplicateValues" dxfId="764" priority="312"/>
    <cfRule type="duplicateValues" dxfId="763" priority="313"/>
  </conditionalFormatting>
  <conditionalFormatting sqref="B37:B81">
    <cfRule type="cellIs" dxfId="762" priority="214" stopIfTrue="1" operator="between">
      <formula>-1</formula>
      <formula>-10000</formula>
    </cfRule>
  </conditionalFormatting>
  <conditionalFormatting sqref="B38:B40">
    <cfRule type="duplicateValues" dxfId="761" priority="280"/>
    <cfRule type="duplicateValues" dxfId="760" priority="281"/>
    <cfRule type="duplicateValues" dxfId="759" priority="282"/>
    <cfRule type="duplicateValues" dxfId="758" priority="283"/>
    <cfRule type="duplicateValues" dxfId="757" priority="284"/>
    <cfRule type="duplicateValues" dxfId="756" priority="285"/>
    <cfRule type="duplicateValues" dxfId="755" priority="286"/>
    <cfRule type="duplicateValues" dxfId="754" priority="287"/>
    <cfRule type="cellIs" dxfId="753" priority="288" stopIfTrue="1" operator="between">
      <formula>-1</formula>
      <formula>-10000</formula>
    </cfRule>
    <cfRule type="duplicateValues" dxfId="752" priority="298"/>
    <cfRule type="duplicateValues" dxfId="751" priority="299"/>
    <cfRule type="duplicateValues" dxfId="750" priority="300"/>
    <cfRule type="duplicateValues" dxfId="749" priority="301"/>
    <cfRule type="duplicateValues" dxfId="748" priority="302"/>
    <cfRule type="duplicateValues" dxfId="747" priority="303"/>
    <cfRule type="duplicateValues" dxfId="746" priority="309"/>
  </conditionalFormatting>
  <conditionalFormatting sqref="B39">
    <cfRule type="duplicateValues" dxfId="745" priority="194"/>
    <cfRule type="duplicateValues" dxfId="744" priority="195"/>
    <cfRule type="duplicateValues" dxfId="743" priority="196"/>
    <cfRule type="duplicateValues" dxfId="742" priority="197"/>
    <cfRule type="duplicateValues" dxfId="741" priority="198"/>
    <cfRule type="duplicateValues" dxfId="740" priority="199"/>
    <cfRule type="duplicateValues" dxfId="739" priority="200"/>
    <cfRule type="duplicateValues" dxfId="738" priority="201"/>
    <cfRule type="duplicateValues" dxfId="737" priority="202"/>
    <cfRule type="duplicateValues" dxfId="736" priority="279"/>
  </conditionalFormatting>
  <conditionalFormatting sqref="B39:B40">
    <cfRule type="duplicateValues" dxfId="735" priority="290"/>
    <cfRule type="duplicateValues" dxfId="734" priority="291"/>
    <cfRule type="duplicateValues" dxfId="733" priority="292"/>
    <cfRule type="duplicateValues" dxfId="732" priority="293"/>
    <cfRule type="duplicateValues" dxfId="731" priority="294"/>
    <cfRule type="duplicateValues" dxfId="730" priority="295"/>
    <cfRule type="cellIs" dxfId="729" priority="296" stopIfTrue="1" operator="between">
      <formula>-1</formula>
      <formula>-10000</formula>
    </cfRule>
    <cfRule type="duplicateValues" dxfId="728" priority="304"/>
    <cfRule type="duplicateValues" dxfId="727" priority="305"/>
    <cfRule type="duplicateValues" dxfId="726" priority="306"/>
    <cfRule type="duplicateValues" dxfId="725" priority="307"/>
    <cfRule type="duplicateValues" dxfId="724" priority="308"/>
  </conditionalFormatting>
  <conditionalFormatting sqref="B40">
    <cfRule type="duplicateValues" dxfId="723" priority="219"/>
    <cfRule type="duplicateValues" dxfId="722" priority="220"/>
    <cfRule type="duplicateValues" dxfId="721" priority="221"/>
    <cfRule type="duplicateValues" dxfId="720" priority="222"/>
    <cfRule type="duplicateValues" dxfId="719" priority="223"/>
    <cfRule type="cellIs" dxfId="718" priority="224" stopIfTrue="1" operator="between">
      <formula>-1</formula>
      <formula>-10000</formula>
    </cfRule>
    <cfRule type="duplicateValues" dxfId="717" priority="226"/>
    <cfRule type="duplicateValues" dxfId="716" priority="227"/>
    <cfRule type="duplicateValues" dxfId="715" priority="228"/>
    <cfRule type="duplicateValues" dxfId="714" priority="229"/>
    <cfRule type="duplicateValues" dxfId="713" priority="230"/>
    <cfRule type="duplicateValues" dxfId="712" priority="231"/>
    <cfRule type="duplicateValues" dxfId="711" priority="232"/>
    <cfRule type="duplicateValues" dxfId="710" priority="233"/>
    <cfRule type="duplicateValues" dxfId="709" priority="234"/>
  </conditionalFormatting>
  <conditionalFormatting sqref="B41">
    <cfRule type="duplicateValues" dxfId="708" priority="204"/>
    <cfRule type="duplicateValues" dxfId="707" priority="205"/>
    <cfRule type="duplicateValues" dxfId="706" priority="206"/>
    <cfRule type="duplicateValues" dxfId="705" priority="207"/>
    <cfRule type="duplicateValues" dxfId="704" priority="208"/>
    <cfRule type="duplicateValues" dxfId="703" priority="209"/>
    <cfRule type="cellIs" dxfId="702" priority="210" stopIfTrue="1" operator="between">
      <formula>-1</formula>
      <formula>-10000</formula>
    </cfRule>
  </conditionalFormatting>
  <conditionalFormatting sqref="B42:B49">
    <cfRule type="duplicateValues" dxfId="701" priority="240"/>
    <cfRule type="duplicateValues" dxfId="700" priority="241"/>
    <cfRule type="duplicateValues" dxfId="699" priority="242"/>
    <cfRule type="duplicateValues" dxfId="698" priority="243"/>
  </conditionalFormatting>
  <conditionalFormatting sqref="B47:B49">
    <cfRule type="duplicateValues" dxfId="697" priority="235"/>
    <cfRule type="duplicateValues" dxfId="696" priority="236"/>
    <cfRule type="duplicateValues" dxfId="695" priority="237"/>
    <cfRule type="duplicateValues" dxfId="694" priority="238"/>
  </conditionalFormatting>
  <conditionalFormatting sqref="B49">
    <cfRule type="duplicateValues" dxfId="693" priority="239"/>
  </conditionalFormatting>
  <conditionalFormatting sqref="B50:B80">
    <cfRule type="duplicateValues" dxfId="692" priority="252"/>
    <cfRule type="duplicateValues" dxfId="691" priority="253"/>
    <cfRule type="duplicateValues" dxfId="690" priority="254"/>
    <cfRule type="duplicateValues" dxfId="689" priority="255"/>
  </conditionalFormatting>
  <conditionalFormatting sqref="B52:B80">
    <cfRule type="duplicateValues" dxfId="688" priority="256"/>
  </conditionalFormatting>
  <conditionalFormatting sqref="B54">
    <cfRule type="duplicateValues" dxfId="687" priority="169"/>
    <cfRule type="duplicateValues" dxfId="686" priority="170"/>
    <cfRule type="duplicateValues" dxfId="685" priority="171"/>
    <cfRule type="duplicateValues" dxfId="684" priority="172"/>
    <cfRule type="duplicateValues" dxfId="683" priority="173"/>
    <cfRule type="duplicateValues" dxfId="682" priority="174"/>
    <cfRule type="duplicateValues" dxfId="681" priority="175"/>
    <cfRule type="duplicateValues" dxfId="680" priority="176"/>
    <cfRule type="duplicateValues" dxfId="679" priority="177"/>
    <cfRule type="duplicateValues" dxfId="678" priority="178"/>
    <cfRule type="duplicateValues" dxfId="677" priority="179"/>
    <cfRule type="duplicateValues" dxfId="676" priority="180"/>
    <cfRule type="duplicateValues" dxfId="675" priority="181"/>
    <cfRule type="duplicateValues" dxfId="674" priority="182"/>
    <cfRule type="cellIs" dxfId="673" priority="183" stopIfTrue="1" operator="between">
      <formula>-1</formula>
      <formula>-10000</formula>
    </cfRule>
    <cfRule type="duplicateValues" dxfId="672" priority="185"/>
    <cfRule type="duplicateValues" dxfId="671" priority="186"/>
    <cfRule type="cellIs" dxfId="670" priority="187" stopIfTrue="1" operator="between">
      <formula>-1</formula>
      <formula>-10000</formula>
    </cfRule>
    <cfRule type="duplicateValues" dxfId="669" priority="189"/>
    <cfRule type="duplicateValues" dxfId="668" priority="190"/>
    <cfRule type="duplicateValues" dxfId="667" priority="191"/>
    <cfRule type="duplicateValues" dxfId="666" priority="192"/>
    <cfRule type="duplicateValues" dxfId="665" priority="193"/>
  </conditionalFormatting>
  <conditionalFormatting sqref="B55:B80">
    <cfRule type="duplicateValues" dxfId="664" priority="257"/>
    <cfRule type="duplicateValues" dxfId="663" priority="258"/>
    <cfRule type="duplicateValues" dxfId="662" priority="259"/>
    <cfRule type="duplicateValues" dxfId="661" priority="260"/>
    <cfRule type="duplicateValues" dxfId="660" priority="261"/>
    <cfRule type="cellIs" dxfId="659" priority="262" stopIfTrue="1" operator="between">
      <formula>-1</formula>
      <formula>-10000</formula>
    </cfRule>
    <cfRule type="duplicateValues" dxfId="658" priority="264"/>
    <cfRule type="duplicateValues" dxfId="657" priority="265"/>
    <cfRule type="duplicateValues" dxfId="656" priority="266"/>
    <cfRule type="duplicateValues" dxfId="655" priority="267"/>
    <cfRule type="duplicateValues" dxfId="654" priority="268"/>
    <cfRule type="duplicateValues" dxfId="653" priority="269"/>
    <cfRule type="duplicateValues" dxfId="652" priority="270"/>
    <cfRule type="duplicateValues" dxfId="651" priority="271"/>
    <cfRule type="duplicateValues" dxfId="650" priority="272"/>
    <cfRule type="cellIs" dxfId="649" priority="273" stopIfTrue="1" operator="between">
      <formula>-1</formula>
      <formula>-10000</formula>
    </cfRule>
    <cfRule type="duplicateValues" dxfId="648" priority="275"/>
    <cfRule type="duplicateValues" dxfId="647" priority="276"/>
    <cfRule type="duplicateValues" dxfId="646" priority="277"/>
    <cfRule type="duplicateValues" dxfId="645" priority="278"/>
  </conditionalFormatting>
  <conditionalFormatting sqref="B72:B80">
    <cfRule type="duplicateValues" dxfId="644" priority="251"/>
  </conditionalFormatting>
  <conditionalFormatting sqref="B75:B80">
    <cfRule type="duplicateValues" dxfId="643" priority="244"/>
    <cfRule type="duplicateValues" dxfId="642" priority="245"/>
    <cfRule type="duplicateValues" dxfId="641" priority="246"/>
    <cfRule type="duplicateValues" dxfId="640" priority="247"/>
    <cfRule type="duplicateValues" dxfId="639" priority="248"/>
    <cfRule type="duplicateValues" dxfId="638" priority="249"/>
    <cfRule type="duplicateValues" dxfId="637" priority="250"/>
  </conditionalFormatting>
  <conditionalFormatting sqref="B81">
    <cfRule type="duplicateValues" dxfId="636" priority="144"/>
    <cfRule type="duplicateValues" dxfId="635" priority="145"/>
    <cfRule type="duplicateValues" dxfId="634" priority="146"/>
    <cfRule type="duplicateValues" dxfId="633" priority="147"/>
    <cfRule type="duplicateValues" dxfId="632" priority="148"/>
    <cfRule type="duplicateValues" dxfId="631" priority="149"/>
    <cfRule type="duplicateValues" dxfId="630" priority="150"/>
    <cfRule type="duplicateValues" dxfId="629" priority="151"/>
    <cfRule type="duplicateValues" dxfId="628" priority="152"/>
    <cfRule type="duplicateValues" dxfId="627" priority="153"/>
    <cfRule type="duplicateValues" dxfId="626" priority="154"/>
    <cfRule type="cellIs" dxfId="625" priority="155" stopIfTrue="1" operator="between">
      <formula>-1</formula>
      <formula>-10000</formula>
    </cfRule>
    <cfRule type="duplicateValues" dxfId="624" priority="157"/>
    <cfRule type="duplicateValues" dxfId="623" priority="158"/>
    <cfRule type="cellIs" dxfId="622" priority="159" stopIfTrue="1" operator="between">
      <formula>-1</formula>
      <formula>-10000</formula>
    </cfRule>
    <cfRule type="duplicateValues" dxfId="621" priority="161"/>
    <cfRule type="duplicateValues" dxfId="620" priority="162"/>
    <cfRule type="duplicateValues" dxfId="619" priority="163"/>
    <cfRule type="duplicateValues" dxfId="618" priority="164"/>
    <cfRule type="duplicateValues" dxfId="617" priority="165"/>
    <cfRule type="duplicateValues" dxfId="616" priority="166"/>
    <cfRule type="duplicateValues" dxfId="615" priority="167"/>
    <cfRule type="duplicateValues" dxfId="614" priority="168"/>
  </conditionalFormatting>
  <conditionalFormatting sqref="C1:C3 C34:C1048576">
    <cfRule type="duplicateValues" dxfId="613" priority="57"/>
  </conditionalFormatting>
  <conditionalFormatting sqref="C1:C1048576">
    <cfRule type="duplicateValues" dxfId="612" priority="1"/>
    <cfRule type="duplicateValues" dxfId="611" priority="49"/>
    <cfRule type="duplicateValues" dxfId="610" priority="54"/>
  </conditionalFormatting>
  <conditionalFormatting sqref="C20 C38:C81">
    <cfRule type="cellIs" dxfId="609" priority="55" stopIfTrue="1" operator="between">
      <formula>-1</formula>
      <formula>-10000</formula>
    </cfRule>
  </conditionalFormatting>
  <conditionalFormatting sqref="C20">
    <cfRule type="duplicateValues" dxfId="608" priority="50"/>
    <cfRule type="duplicateValues" dxfId="607" priority="51"/>
    <cfRule type="duplicateValues" dxfId="606" priority="52"/>
  </conditionalFormatting>
  <conditionalFormatting sqref="C37:C40">
    <cfRule type="duplicateValues" dxfId="605" priority="140"/>
    <cfRule type="duplicateValues" dxfId="604" priority="141"/>
    <cfRule type="duplicateValues" dxfId="603" priority="142"/>
  </conditionalFormatting>
  <conditionalFormatting sqref="C38:C40 C47:C81">
    <cfRule type="cellIs" dxfId="602" priority="47" stopIfTrue="1" operator="between">
      <formula>-1</formula>
      <formula>-10000</formula>
    </cfRule>
  </conditionalFormatting>
  <conditionalFormatting sqref="C38:C40">
    <cfRule type="duplicateValues" dxfId="601" priority="124"/>
    <cfRule type="duplicateValues" dxfId="600" priority="125"/>
    <cfRule type="duplicateValues" dxfId="599" priority="126"/>
    <cfRule type="duplicateValues" dxfId="598" priority="127"/>
    <cfRule type="duplicateValues" dxfId="597" priority="128"/>
    <cfRule type="duplicateValues" dxfId="596" priority="129"/>
    <cfRule type="duplicateValues" dxfId="595" priority="130"/>
    <cfRule type="duplicateValues" dxfId="594" priority="131"/>
    <cfRule type="duplicateValues" dxfId="593" priority="132"/>
    <cfRule type="duplicateValues" dxfId="592" priority="133"/>
    <cfRule type="duplicateValues" dxfId="591" priority="134"/>
  </conditionalFormatting>
  <conditionalFormatting sqref="C39">
    <cfRule type="duplicateValues" dxfId="590" priority="36"/>
    <cfRule type="duplicateValues" dxfId="589" priority="37"/>
    <cfRule type="duplicateValues" dxfId="588" priority="38"/>
    <cfRule type="duplicateValues" dxfId="587" priority="39"/>
    <cfRule type="duplicateValues" dxfId="586" priority="40"/>
    <cfRule type="duplicateValues" dxfId="585" priority="41"/>
    <cfRule type="duplicateValues" dxfId="584" priority="42"/>
    <cfRule type="duplicateValues" dxfId="583" priority="43"/>
    <cfRule type="duplicateValues" dxfId="582" priority="44"/>
    <cfRule type="duplicateValues" dxfId="581" priority="45"/>
    <cfRule type="duplicateValues" dxfId="580" priority="46"/>
  </conditionalFormatting>
  <conditionalFormatting sqref="C39:C40">
    <cfRule type="duplicateValues" dxfId="579" priority="135"/>
    <cfRule type="duplicateValues" dxfId="578" priority="136"/>
    <cfRule type="duplicateValues" dxfId="577" priority="137"/>
    <cfRule type="duplicateValues" dxfId="576" priority="138"/>
    <cfRule type="duplicateValues" dxfId="575" priority="139"/>
  </conditionalFormatting>
  <conditionalFormatting sqref="C40">
    <cfRule type="duplicateValues" dxfId="574" priority="58"/>
    <cfRule type="duplicateValues" dxfId="573" priority="59"/>
    <cfRule type="duplicateValues" dxfId="572" priority="60"/>
    <cfRule type="duplicateValues" dxfId="571" priority="61"/>
    <cfRule type="duplicateValues" dxfId="570" priority="62"/>
    <cfRule type="duplicateValues" dxfId="569" priority="63"/>
    <cfRule type="duplicateValues" dxfId="568" priority="64"/>
    <cfRule type="duplicateValues" dxfId="567" priority="65"/>
    <cfRule type="duplicateValues" dxfId="566" priority="66"/>
    <cfRule type="duplicateValues" dxfId="565" priority="67"/>
    <cfRule type="duplicateValues" dxfId="564" priority="68"/>
  </conditionalFormatting>
  <conditionalFormatting sqref="C41">
    <cfRule type="duplicateValues" dxfId="563" priority="53"/>
  </conditionalFormatting>
  <conditionalFormatting sqref="C42:C49">
    <cfRule type="duplicateValues" dxfId="562" priority="82"/>
    <cfRule type="duplicateValues" dxfId="561" priority="83"/>
    <cfRule type="duplicateValues" dxfId="560" priority="84"/>
  </conditionalFormatting>
  <conditionalFormatting sqref="C47:C49">
    <cfRule type="duplicateValues" dxfId="559" priority="69"/>
    <cfRule type="duplicateValues" dxfId="558" priority="70"/>
    <cfRule type="duplicateValues" dxfId="557" priority="71"/>
    <cfRule type="duplicateValues" dxfId="556" priority="72"/>
    <cfRule type="duplicateValues" dxfId="555" priority="73"/>
    <cfRule type="duplicateValues" dxfId="554" priority="74"/>
    <cfRule type="duplicateValues" dxfId="553" priority="75"/>
    <cfRule type="duplicateValues" dxfId="552" priority="76"/>
  </conditionalFormatting>
  <conditionalFormatting sqref="C49">
    <cfRule type="duplicateValues" dxfId="551" priority="77"/>
    <cfRule type="duplicateValues" dxfId="550" priority="78"/>
    <cfRule type="duplicateValues" dxfId="549" priority="79"/>
    <cfRule type="duplicateValues" dxfId="548" priority="80"/>
    <cfRule type="duplicateValues" dxfId="547" priority="81"/>
  </conditionalFormatting>
  <conditionalFormatting sqref="C50:C80">
    <cfRule type="duplicateValues" dxfId="546" priority="98"/>
    <cfRule type="duplicateValues" dxfId="545" priority="99"/>
    <cfRule type="duplicateValues" dxfId="544" priority="100"/>
    <cfRule type="duplicateValues" dxfId="543" priority="101"/>
    <cfRule type="duplicateValues" dxfId="542" priority="102"/>
    <cfRule type="duplicateValues" dxfId="541" priority="103"/>
    <cfRule type="duplicateValues" dxfId="540" priority="104"/>
    <cfRule type="duplicateValues" dxfId="539" priority="105"/>
  </conditionalFormatting>
  <conditionalFormatting sqref="C52:C80">
    <cfRule type="duplicateValues" dxfId="538" priority="106"/>
    <cfRule type="duplicateValues" dxfId="537" priority="107"/>
    <cfRule type="duplicateValues" dxfId="536" priority="108"/>
    <cfRule type="duplicateValues" dxfId="535" priority="109"/>
    <cfRule type="duplicateValues" dxfId="534" priority="110"/>
  </conditionalFormatting>
  <conditionalFormatting sqref="C54">
    <cfRule type="duplicateValues" dxfId="533" priority="18"/>
    <cfRule type="duplicateValues" dxfId="532" priority="19"/>
    <cfRule type="duplicateValues" dxfId="531" priority="20"/>
    <cfRule type="duplicateValues" dxfId="530" priority="21"/>
    <cfRule type="duplicateValues" dxfId="529" priority="22"/>
    <cfRule type="duplicateValues" dxfId="528" priority="23"/>
    <cfRule type="duplicateValues" dxfId="527" priority="24"/>
    <cfRule type="cellIs" dxfId="526" priority="25" stopIfTrue="1" operator="between">
      <formula>-1</formula>
      <formula>-10000</formula>
    </cfRule>
    <cfRule type="duplicateValues" dxfId="525" priority="27"/>
    <cfRule type="duplicateValues" dxfId="524" priority="28"/>
    <cfRule type="duplicateValues" dxfId="523" priority="29"/>
    <cfRule type="duplicateValues" dxfId="522" priority="30"/>
    <cfRule type="duplicateValues" dxfId="521" priority="31"/>
    <cfRule type="duplicateValues" dxfId="520" priority="32"/>
    <cfRule type="duplicateValues" dxfId="519" priority="33"/>
    <cfRule type="duplicateValues" dxfId="518" priority="34"/>
    <cfRule type="duplicateValues" dxfId="517" priority="35"/>
  </conditionalFormatting>
  <conditionalFormatting sqref="C55:C80">
    <cfRule type="duplicateValues" dxfId="516" priority="111"/>
    <cfRule type="duplicateValues" dxfId="515" priority="112"/>
    <cfRule type="duplicateValues" dxfId="514" priority="113"/>
    <cfRule type="duplicateValues" dxfId="513" priority="114"/>
    <cfRule type="duplicateValues" dxfId="512" priority="115"/>
    <cfRule type="duplicateValues" dxfId="511" priority="116"/>
    <cfRule type="duplicateValues" dxfId="510" priority="117"/>
    <cfRule type="duplicateValues" dxfId="509" priority="118"/>
    <cfRule type="duplicateValues" dxfId="508" priority="119"/>
    <cfRule type="cellIs" dxfId="507" priority="120" stopIfTrue="1" operator="between">
      <formula>-1</formula>
      <formula>-10000</formula>
    </cfRule>
    <cfRule type="duplicateValues" dxfId="506" priority="122"/>
    <cfRule type="duplicateValues" dxfId="505" priority="123"/>
  </conditionalFormatting>
  <conditionalFormatting sqref="C72:C80">
    <cfRule type="duplicateValues" dxfId="504" priority="93"/>
    <cfRule type="duplicateValues" dxfId="503" priority="94"/>
    <cfRule type="duplicateValues" dxfId="502" priority="95"/>
    <cfRule type="duplicateValues" dxfId="501" priority="96"/>
    <cfRule type="duplicateValues" dxfId="500" priority="97"/>
  </conditionalFormatting>
  <conditionalFormatting sqref="C75:C80">
    <cfRule type="duplicateValues" dxfId="499" priority="85"/>
    <cfRule type="duplicateValues" dxfId="498" priority="86"/>
    <cfRule type="duplicateValues" dxfId="497" priority="87"/>
    <cfRule type="duplicateValues" dxfId="496" priority="88"/>
    <cfRule type="duplicateValues" dxfId="495" priority="89"/>
    <cfRule type="duplicateValues" dxfId="494" priority="90"/>
    <cfRule type="duplicateValues" dxfId="493" priority="91"/>
    <cfRule type="duplicateValues" dxfId="492" priority="92"/>
  </conditionalFormatting>
  <conditionalFormatting sqref="C81">
    <cfRule type="duplicateValues" dxfId="491" priority="2"/>
    <cfRule type="duplicateValues" dxfId="490" priority="3"/>
    <cfRule type="cellIs" dxfId="489" priority="4" stopIfTrue="1" operator="between">
      <formula>-1</formula>
      <formula>-10000</formula>
    </cfRule>
    <cfRule type="duplicateValues" dxfId="488" priority="6"/>
    <cfRule type="duplicateValues" dxfId="487" priority="7"/>
    <cfRule type="duplicateValues" dxfId="486" priority="8"/>
    <cfRule type="duplicateValues" dxfId="485" priority="9"/>
    <cfRule type="duplicateValues" dxfId="484" priority="10"/>
    <cfRule type="duplicateValues" dxfId="483" priority="11"/>
    <cfRule type="duplicateValues" dxfId="482" priority="12"/>
    <cfRule type="duplicateValues" dxfId="481" priority="13"/>
    <cfRule type="duplicateValues" dxfId="480" priority="14"/>
    <cfRule type="duplicateValues" dxfId="479" priority="15"/>
    <cfRule type="duplicateValues" dxfId="478" priority="16"/>
    <cfRule type="duplicateValues" dxfId="477" priority="17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98"/>
  <sheetViews>
    <sheetView topLeftCell="A69" workbookViewId="0">
      <selection activeCell="A4" sqref="A4:CC98"/>
    </sheetView>
  </sheetViews>
  <sheetFormatPr defaultColWidth="9" defaultRowHeight="14.4"/>
  <cols>
    <col min="2" max="2" width="16.21875" customWidth="1"/>
    <col min="3" max="3" width="9" style="5"/>
    <col min="4" max="4" width="22.77734375" style="5" customWidth="1"/>
    <col min="5" max="5" width="12" customWidth="1"/>
    <col min="6" max="6" width="9.109375" customWidth="1"/>
    <col min="7" max="7" width="9.33203125" customWidth="1"/>
    <col min="8" max="8" width="10.21875" customWidth="1"/>
    <col min="9" max="9" width="9.109375" customWidth="1"/>
    <col min="10" max="10" width="9.33203125" customWidth="1"/>
    <col min="11" max="11" width="9.109375" customWidth="1"/>
    <col min="12" max="12" width="11.44140625" customWidth="1"/>
    <col min="13" max="13" width="9.109375" customWidth="1"/>
    <col min="14" max="14" width="9" customWidth="1"/>
    <col min="15" max="15" width="9.33203125" customWidth="1"/>
    <col min="16" max="16" width="10.21875" customWidth="1"/>
    <col min="17" max="17" width="9.109375" customWidth="1"/>
    <col min="18" max="18" width="9" customWidth="1"/>
    <col min="19" max="20" width="9.109375" customWidth="1"/>
    <col min="21" max="21" width="10.21875" customWidth="1"/>
    <col min="22" max="23" width="9.109375" customWidth="1"/>
    <col min="24" max="24" width="9.33203125" customWidth="1"/>
    <col min="25" max="27" width="9.109375" customWidth="1"/>
    <col min="28" max="28" width="12.109375" customWidth="1"/>
    <col min="29" max="29" width="9.109375" customWidth="1"/>
    <col min="30" max="30" width="9.33203125" customWidth="1"/>
    <col min="31" max="32" width="9.109375" customWidth="1"/>
    <col min="33" max="33" width="9.33203125" customWidth="1"/>
    <col min="34" max="48" width="9.109375" customWidth="1"/>
    <col min="49" max="49" width="9" customWidth="1"/>
    <col min="50" max="50" width="12.21875" customWidth="1"/>
    <col min="51" max="52" width="9.109375" customWidth="1"/>
    <col min="53" max="53" width="9.33203125" customWidth="1"/>
    <col min="54" max="54" width="9" customWidth="1"/>
    <col min="55" max="56" width="9.109375" customWidth="1"/>
    <col min="57" max="57" width="12.88671875" customWidth="1"/>
    <col min="58" max="60" width="9.109375" customWidth="1"/>
    <col min="61" max="61" width="9" customWidth="1"/>
    <col min="62" max="63" width="9.109375" customWidth="1"/>
    <col min="64" max="70" width="9" customWidth="1"/>
    <col min="71" max="72" width="11.88671875" customWidth="1"/>
    <col min="73" max="73" width="10.77734375" customWidth="1"/>
    <col min="74" max="74" width="12.44140625" customWidth="1"/>
    <col min="75" max="78" width="9.21875" customWidth="1"/>
    <col min="79" max="79" width="13" customWidth="1"/>
    <col min="80" max="81" width="11.88671875" customWidth="1"/>
    <col min="82" max="82" width="13.21875" customWidth="1"/>
  </cols>
  <sheetData>
    <row r="1" spans="1:82">
      <c r="A1" s="228" t="s">
        <v>16</v>
      </c>
      <c r="B1" s="228" t="s">
        <v>303</v>
      </c>
      <c r="C1" s="230" t="s">
        <v>22</v>
      </c>
      <c r="D1" s="230" t="s">
        <v>304</v>
      </c>
      <c r="E1" s="232" t="s">
        <v>307</v>
      </c>
      <c r="F1" s="232"/>
      <c r="G1" s="232"/>
      <c r="H1" s="232"/>
      <c r="I1" s="232"/>
      <c r="J1" s="232"/>
      <c r="K1" s="232"/>
      <c r="L1" s="232" t="s">
        <v>308</v>
      </c>
      <c r="M1" s="232"/>
      <c r="N1" s="232"/>
      <c r="O1" s="232"/>
      <c r="P1" s="232"/>
      <c r="Q1" s="232"/>
      <c r="R1" s="232"/>
      <c r="S1" s="232"/>
      <c r="T1" s="232"/>
      <c r="U1" s="232" t="s">
        <v>309</v>
      </c>
      <c r="V1" s="232"/>
      <c r="W1" s="232"/>
      <c r="X1" s="232"/>
      <c r="Y1" s="232"/>
      <c r="Z1" s="232"/>
      <c r="AA1" s="232"/>
      <c r="AB1" s="232" t="s">
        <v>310</v>
      </c>
      <c r="AC1" s="232"/>
      <c r="AD1" s="232"/>
      <c r="AE1" s="232"/>
      <c r="AF1" s="232"/>
      <c r="AG1" s="232"/>
      <c r="AH1" s="232"/>
      <c r="AI1" s="232" t="s">
        <v>311</v>
      </c>
      <c r="AJ1" s="232"/>
      <c r="AK1" s="232"/>
      <c r="AL1" s="232"/>
      <c r="AM1" s="232"/>
      <c r="AN1" s="232"/>
      <c r="AO1" s="232"/>
      <c r="AP1" s="232"/>
      <c r="AQ1" s="232"/>
      <c r="AR1" s="232"/>
      <c r="AS1" s="232"/>
      <c r="AT1" s="232"/>
      <c r="AU1" s="232"/>
      <c r="AV1" s="232"/>
      <c r="AW1" s="232"/>
      <c r="AX1" s="232" t="s">
        <v>312</v>
      </c>
      <c r="AY1" s="232"/>
      <c r="AZ1" s="232"/>
      <c r="BA1" s="232"/>
      <c r="BB1" s="232"/>
      <c r="BC1" s="232"/>
      <c r="BD1" s="232"/>
      <c r="BE1" s="232" t="s">
        <v>313</v>
      </c>
      <c r="BF1" s="232"/>
      <c r="BG1" s="232"/>
      <c r="BH1" s="232"/>
      <c r="BI1" s="232"/>
      <c r="BJ1" s="232"/>
      <c r="BK1" s="232"/>
      <c r="BL1" s="232" t="s">
        <v>314</v>
      </c>
      <c r="BM1" s="232"/>
      <c r="BN1" s="232"/>
      <c r="BO1" s="232"/>
      <c r="BP1" s="232"/>
      <c r="BQ1" s="232"/>
      <c r="BR1" s="232"/>
      <c r="BS1" s="232" t="s">
        <v>315</v>
      </c>
      <c r="BT1" s="232"/>
      <c r="BU1" s="232"/>
      <c r="BV1" s="232"/>
      <c r="BW1" s="232" t="s">
        <v>316</v>
      </c>
      <c r="BX1" s="232"/>
      <c r="BY1" s="232"/>
      <c r="BZ1" s="232"/>
      <c r="CA1" s="57" t="s">
        <v>317</v>
      </c>
      <c r="CB1" s="57"/>
      <c r="CC1" s="57"/>
      <c r="CD1" s="228" t="s">
        <v>11</v>
      </c>
    </row>
    <row r="2" spans="1:82">
      <c r="A2" s="229"/>
      <c r="B2" s="229"/>
      <c r="C2" s="231"/>
      <c r="D2" s="231"/>
      <c r="E2" s="91" t="s">
        <v>318</v>
      </c>
      <c r="F2" s="233" t="s">
        <v>319</v>
      </c>
      <c r="G2" s="233"/>
      <c r="H2" s="233"/>
      <c r="I2" s="233" t="s">
        <v>320</v>
      </c>
      <c r="J2" s="233"/>
      <c r="K2" s="233"/>
      <c r="L2" s="91" t="s">
        <v>318</v>
      </c>
      <c r="M2" s="233" t="s">
        <v>319</v>
      </c>
      <c r="N2" s="233"/>
      <c r="O2" s="233"/>
      <c r="P2" s="233"/>
      <c r="Q2" s="233" t="s">
        <v>320</v>
      </c>
      <c r="R2" s="233"/>
      <c r="S2" s="233"/>
      <c r="T2" s="233"/>
      <c r="U2" s="91" t="s">
        <v>318</v>
      </c>
      <c r="V2" s="233" t="s">
        <v>319</v>
      </c>
      <c r="W2" s="233"/>
      <c r="X2" s="233"/>
      <c r="Y2" s="233" t="s">
        <v>320</v>
      </c>
      <c r="Z2" s="233"/>
      <c r="AA2" s="233"/>
      <c r="AB2" s="91" t="s">
        <v>318</v>
      </c>
      <c r="AC2" s="233" t="s">
        <v>319</v>
      </c>
      <c r="AD2" s="233"/>
      <c r="AE2" s="233"/>
      <c r="AF2" s="233" t="s">
        <v>320</v>
      </c>
      <c r="AG2" s="233"/>
      <c r="AH2" s="233"/>
      <c r="AI2" s="233" t="s">
        <v>321</v>
      </c>
      <c r="AJ2" s="233"/>
      <c r="AK2" s="233" t="s">
        <v>322</v>
      </c>
      <c r="AL2" s="233"/>
      <c r="AM2" s="233" t="s">
        <v>323</v>
      </c>
      <c r="AN2" s="233"/>
      <c r="AO2" s="233" t="s">
        <v>324</v>
      </c>
      <c r="AP2" s="233"/>
      <c r="AQ2" s="233" t="s">
        <v>325</v>
      </c>
      <c r="AR2" s="233"/>
      <c r="AS2" s="233" t="s">
        <v>326</v>
      </c>
      <c r="AT2" s="233"/>
      <c r="AU2" s="233" t="s">
        <v>327</v>
      </c>
      <c r="AV2" s="233"/>
      <c r="AW2" s="91" t="s">
        <v>328</v>
      </c>
      <c r="AX2" s="91" t="s">
        <v>318</v>
      </c>
      <c r="AY2" s="233" t="s">
        <v>319</v>
      </c>
      <c r="AZ2" s="233"/>
      <c r="BA2" s="233"/>
      <c r="BB2" s="233" t="s">
        <v>320</v>
      </c>
      <c r="BC2" s="233"/>
      <c r="BD2" s="233"/>
      <c r="BE2" s="91" t="s">
        <v>318</v>
      </c>
      <c r="BF2" s="233" t="s">
        <v>319</v>
      </c>
      <c r="BG2" s="233"/>
      <c r="BH2" s="233"/>
      <c r="BI2" s="233" t="s">
        <v>320</v>
      </c>
      <c r="BJ2" s="233"/>
      <c r="BK2" s="233"/>
      <c r="BL2" s="91" t="s">
        <v>318</v>
      </c>
      <c r="BM2" s="233" t="s">
        <v>319</v>
      </c>
      <c r="BN2" s="233"/>
      <c r="BO2" s="233"/>
      <c r="BP2" s="233" t="s">
        <v>320</v>
      </c>
      <c r="BQ2" s="233"/>
      <c r="BR2" s="233"/>
      <c r="BS2" s="233" t="s">
        <v>329</v>
      </c>
      <c r="BT2" s="233"/>
      <c r="BU2" s="234" t="s">
        <v>330</v>
      </c>
      <c r="BV2" s="235"/>
      <c r="BW2" s="234" t="s">
        <v>329</v>
      </c>
      <c r="BX2" s="236"/>
      <c r="BY2" s="234" t="s">
        <v>330</v>
      </c>
      <c r="BZ2" s="235"/>
      <c r="CA2" s="91" t="s">
        <v>320</v>
      </c>
      <c r="CB2" s="91" t="s">
        <v>319</v>
      </c>
      <c r="CC2" s="91" t="s">
        <v>331</v>
      </c>
      <c r="CD2" s="229"/>
    </row>
    <row r="3" spans="1:82">
      <c r="A3" s="229"/>
      <c r="B3" s="229"/>
      <c r="C3" s="231"/>
      <c r="D3" s="231"/>
      <c r="E3" s="10" t="s">
        <v>318</v>
      </c>
      <c r="F3" s="11" t="s">
        <v>332</v>
      </c>
      <c r="G3" s="10" t="s">
        <v>333</v>
      </c>
      <c r="H3" s="10" t="s">
        <v>334</v>
      </c>
      <c r="I3" s="11" t="s">
        <v>332</v>
      </c>
      <c r="J3" s="10" t="s">
        <v>333</v>
      </c>
      <c r="K3" s="10" t="s">
        <v>334</v>
      </c>
      <c r="L3" s="10" t="s">
        <v>318</v>
      </c>
      <c r="M3" s="11" t="s">
        <v>332</v>
      </c>
      <c r="N3" s="10" t="s">
        <v>335</v>
      </c>
      <c r="O3" s="10" t="s">
        <v>333</v>
      </c>
      <c r="P3" s="10" t="s">
        <v>334</v>
      </c>
      <c r="Q3" s="11" t="s">
        <v>332</v>
      </c>
      <c r="R3" s="10" t="s">
        <v>335</v>
      </c>
      <c r="S3" s="10" t="s">
        <v>333</v>
      </c>
      <c r="T3" s="10" t="s">
        <v>334</v>
      </c>
      <c r="U3" s="10" t="s">
        <v>318</v>
      </c>
      <c r="V3" s="11" t="s">
        <v>332</v>
      </c>
      <c r="W3" s="10" t="s">
        <v>333</v>
      </c>
      <c r="X3" s="10" t="s">
        <v>334</v>
      </c>
      <c r="Y3" s="11" t="s">
        <v>332</v>
      </c>
      <c r="Z3" s="10" t="s">
        <v>333</v>
      </c>
      <c r="AA3" s="10" t="s">
        <v>334</v>
      </c>
      <c r="AB3" s="10" t="s">
        <v>318</v>
      </c>
      <c r="AC3" s="11" t="s">
        <v>332</v>
      </c>
      <c r="AD3" s="10" t="s">
        <v>333</v>
      </c>
      <c r="AE3" s="10" t="s">
        <v>334</v>
      </c>
      <c r="AF3" s="11" t="s">
        <v>332</v>
      </c>
      <c r="AG3" s="10" t="s">
        <v>333</v>
      </c>
      <c r="AH3" s="10" t="s">
        <v>334</v>
      </c>
      <c r="AI3" s="10" t="s">
        <v>333</v>
      </c>
      <c r="AJ3" s="10" t="s">
        <v>334</v>
      </c>
      <c r="AK3" s="10" t="s">
        <v>333</v>
      </c>
      <c r="AL3" s="10" t="s">
        <v>334</v>
      </c>
      <c r="AM3" s="10" t="s">
        <v>333</v>
      </c>
      <c r="AN3" s="10" t="s">
        <v>334</v>
      </c>
      <c r="AO3" s="10" t="s">
        <v>333</v>
      </c>
      <c r="AP3" s="10" t="s">
        <v>334</v>
      </c>
      <c r="AQ3" s="10" t="s">
        <v>333</v>
      </c>
      <c r="AR3" s="10" t="s">
        <v>334</v>
      </c>
      <c r="AS3" s="10" t="s">
        <v>333</v>
      </c>
      <c r="AT3" s="10" t="s">
        <v>334</v>
      </c>
      <c r="AU3" s="10" t="s">
        <v>333</v>
      </c>
      <c r="AV3" s="10" t="s">
        <v>334</v>
      </c>
      <c r="AW3" s="10" t="s">
        <v>328</v>
      </c>
      <c r="AX3" s="10" t="s">
        <v>318</v>
      </c>
      <c r="AY3" s="11" t="s">
        <v>332</v>
      </c>
      <c r="AZ3" s="10" t="s">
        <v>333</v>
      </c>
      <c r="BA3" s="10" t="s">
        <v>334</v>
      </c>
      <c r="BB3" s="11" t="s">
        <v>332</v>
      </c>
      <c r="BC3" s="10" t="s">
        <v>333</v>
      </c>
      <c r="BD3" s="10" t="s">
        <v>334</v>
      </c>
      <c r="BE3" s="10" t="s">
        <v>318</v>
      </c>
      <c r="BF3" s="11" t="s">
        <v>332</v>
      </c>
      <c r="BG3" s="10" t="s">
        <v>333</v>
      </c>
      <c r="BH3" s="10" t="s">
        <v>334</v>
      </c>
      <c r="BI3" s="11" t="s">
        <v>332</v>
      </c>
      <c r="BJ3" s="10" t="s">
        <v>333</v>
      </c>
      <c r="BK3" s="10" t="s">
        <v>334</v>
      </c>
      <c r="BL3" s="10" t="s">
        <v>318</v>
      </c>
      <c r="BM3" s="11" t="s">
        <v>332</v>
      </c>
      <c r="BN3" s="10" t="s">
        <v>333</v>
      </c>
      <c r="BO3" s="10" t="s">
        <v>334</v>
      </c>
      <c r="BP3" s="11" t="s">
        <v>332</v>
      </c>
      <c r="BQ3" s="10" t="s">
        <v>333</v>
      </c>
      <c r="BR3" s="10" t="s">
        <v>334</v>
      </c>
      <c r="BS3" s="10" t="s">
        <v>320</v>
      </c>
      <c r="BT3" s="10" t="s">
        <v>319</v>
      </c>
      <c r="BU3" s="10" t="s">
        <v>320</v>
      </c>
      <c r="BV3" s="10" t="s">
        <v>319</v>
      </c>
      <c r="BW3" s="10" t="s">
        <v>320</v>
      </c>
      <c r="BX3" s="10" t="s">
        <v>319</v>
      </c>
      <c r="BY3" s="10" t="s">
        <v>320</v>
      </c>
      <c r="BZ3" s="10" t="s">
        <v>319</v>
      </c>
      <c r="CA3" s="10" t="s">
        <v>320</v>
      </c>
      <c r="CB3" s="10" t="s">
        <v>319</v>
      </c>
      <c r="CC3" s="10" t="s">
        <v>331</v>
      </c>
      <c r="CD3" s="229"/>
    </row>
    <row r="4" spans="1:82" s="4" customFormat="1" ht="24.9" customHeight="1">
      <c r="A4" s="6" t="s">
        <v>439</v>
      </c>
      <c r="B4" s="7" t="s">
        <v>417</v>
      </c>
      <c r="C4" s="8" t="s">
        <v>114</v>
      </c>
      <c r="D4" s="9" t="s">
        <v>115</v>
      </c>
      <c r="E4" s="86">
        <v>6520</v>
      </c>
      <c r="F4" s="87">
        <v>16</v>
      </c>
      <c r="G4" s="86">
        <v>1043.2</v>
      </c>
      <c r="H4" s="86">
        <v>0</v>
      </c>
      <c r="I4" s="87">
        <v>8</v>
      </c>
      <c r="J4" s="86">
        <v>521.6</v>
      </c>
      <c r="K4" s="86">
        <v>0</v>
      </c>
      <c r="L4" s="86">
        <v>6520</v>
      </c>
      <c r="M4" s="87">
        <v>9.5</v>
      </c>
      <c r="N4" s="86"/>
      <c r="O4" s="86">
        <v>619.4</v>
      </c>
      <c r="P4" s="86">
        <v>0</v>
      </c>
      <c r="Q4" s="87">
        <v>2</v>
      </c>
      <c r="R4" s="86"/>
      <c r="S4" s="86">
        <v>130.4</v>
      </c>
      <c r="T4" s="86">
        <v>0</v>
      </c>
      <c r="U4" s="86">
        <v>6520</v>
      </c>
      <c r="V4" s="87">
        <v>0.5</v>
      </c>
      <c r="W4" s="86">
        <v>32.6</v>
      </c>
      <c r="X4" s="86">
        <v>0</v>
      </c>
      <c r="Y4" s="87">
        <v>0.5</v>
      </c>
      <c r="Z4" s="86">
        <v>32.6</v>
      </c>
      <c r="AA4" s="86">
        <v>0</v>
      </c>
      <c r="AB4" s="86">
        <v>2590</v>
      </c>
      <c r="AC4" s="87">
        <v>7</v>
      </c>
      <c r="AD4" s="86">
        <v>181</v>
      </c>
      <c r="AE4" s="86">
        <v>0</v>
      </c>
      <c r="AF4" s="87">
        <v>7</v>
      </c>
      <c r="AG4" s="86">
        <v>181</v>
      </c>
      <c r="AH4" s="86">
        <v>0</v>
      </c>
      <c r="AI4" s="88">
        <v>0</v>
      </c>
      <c r="AJ4" s="88">
        <v>0</v>
      </c>
      <c r="AK4" s="88">
        <v>0</v>
      </c>
      <c r="AL4" s="88">
        <v>0</v>
      </c>
      <c r="AM4" s="88">
        <v>0</v>
      </c>
      <c r="AN4" s="88">
        <v>0</v>
      </c>
      <c r="AO4" s="88">
        <v>0</v>
      </c>
      <c r="AP4" s="88">
        <v>0</v>
      </c>
      <c r="AQ4" s="88">
        <v>0</v>
      </c>
      <c r="AR4" s="88">
        <v>0</v>
      </c>
      <c r="AS4" s="88">
        <v>0</v>
      </c>
      <c r="AT4" s="88">
        <v>0</v>
      </c>
      <c r="AU4" s="88">
        <v>0</v>
      </c>
      <c r="AV4" s="88">
        <v>0</v>
      </c>
      <c r="AW4" s="88"/>
      <c r="AX4" s="86">
        <v>6520</v>
      </c>
      <c r="AY4" s="87">
        <v>1</v>
      </c>
      <c r="AZ4" s="86">
        <v>65.2</v>
      </c>
      <c r="BA4" s="86">
        <v>0</v>
      </c>
      <c r="BB4" s="87"/>
      <c r="BC4" s="86">
        <v>0</v>
      </c>
      <c r="BD4" s="86">
        <v>0</v>
      </c>
      <c r="BE4" s="86">
        <v>6520</v>
      </c>
      <c r="BF4" s="87">
        <v>0.25600000000000001</v>
      </c>
      <c r="BG4" s="86">
        <v>16.7</v>
      </c>
      <c r="BH4" s="86">
        <v>0</v>
      </c>
      <c r="BI4" s="87"/>
      <c r="BJ4" s="86">
        <v>0</v>
      </c>
      <c r="BK4" s="86">
        <v>0</v>
      </c>
      <c r="BL4" s="88"/>
      <c r="BM4" s="88"/>
      <c r="BN4" s="88">
        <v>0</v>
      </c>
      <c r="BO4" s="88">
        <v>0</v>
      </c>
      <c r="BP4" s="88"/>
      <c r="BQ4" s="88">
        <v>0</v>
      </c>
      <c r="BR4" s="88">
        <v>0</v>
      </c>
      <c r="BS4" s="13">
        <f t="shared" ref="BS4:BS67" si="0">J4+S4+Z4+AK4+AU4+BC4+BJ4</f>
        <v>684.6</v>
      </c>
      <c r="BT4" s="13">
        <f>G4+O4+W4+AI4+AM4+AO4+AQ4+AS4+AZ4+BG4</f>
        <v>1777.1</v>
      </c>
      <c r="BU4" s="13">
        <f t="shared" ref="BU4:BU67" si="1">AG4</f>
        <v>181</v>
      </c>
      <c r="BV4" s="13">
        <f t="shared" ref="BV4:BV67" si="2">AD4</f>
        <v>181</v>
      </c>
      <c r="BW4" s="14">
        <v>0</v>
      </c>
      <c r="BX4" s="14">
        <f>H4+P4+X4+BA4+BH4</f>
        <v>0</v>
      </c>
      <c r="BY4" s="14">
        <v>0</v>
      </c>
      <c r="BZ4" s="14">
        <v>0</v>
      </c>
      <c r="CA4" s="14">
        <f>BS4+BU4+BW4+BY4</f>
        <v>865.6</v>
      </c>
      <c r="CB4" s="14">
        <f>BT4+BV4+BX4+BZ4</f>
        <v>1958.1</v>
      </c>
      <c r="CC4" s="14">
        <f t="shared" ref="CC4:CC67" si="3">CA4+CB4</f>
        <v>2823.7</v>
      </c>
      <c r="CD4" s="12">
        <v>21</v>
      </c>
    </row>
    <row r="5" spans="1:82" s="4" customFormat="1" ht="24.9" customHeight="1">
      <c r="A5" s="6" t="s">
        <v>439</v>
      </c>
      <c r="B5" s="7" t="s">
        <v>417</v>
      </c>
      <c r="C5" s="8" t="s">
        <v>366</v>
      </c>
      <c r="D5" s="9" t="s">
        <v>367</v>
      </c>
      <c r="E5" s="86">
        <v>6520</v>
      </c>
      <c r="F5" s="87">
        <v>16</v>
      </c>
      <c r="G5" s="86">
        <v>1043.2</v>
      </c>
      <c r="H5" s="86">
        <v>0</v>
      </c>
      <c r="I5" s="87">
        <v>8</v>
      </c>
      <c r="J5" s="86">
        <v>521.6</v>
      </c>
      <c r="K5" s="86">
        <v>0</v>
      </c>
      <c r="L5" s="86">
        <v>6520</v>
      </c>
      <c r="M5" s="87">
        <v>9.5</v>
      </c>
      <c r="N5" s="86"/>
      <c r="O5" s="86">
        <v>619.4</v>
      </c>
      <c r="P5" s="86">
        <v>0</v>
      </c>
      <c r="Q5" s="87">
        <v>2</v>
      </c>
      <c r="R5" s="86"/>
      <c r="S5" s="86">
        <v>130.4</v>
      </c>
      <c r="T5" s="86">
        <v>0</v>
      </c>
      <c r="U5" s="86">
        <v>6520</v>
      </c>
      <c r="V5" s="87">
        <v>0.5</v>
      </c>
      <c r="W5" s="86">
        <v>32.6</v>
      </c>
      <c r="X5" s="86">
        <v>0</v>
      </c>
      <c r="Y5" s="87">
        <v>0.5</v>
      </c>
      <c r="Z5" s="86">
        <v>32.6</v>
      </c>
      <c r="AA5" s="86">
        <v>0</v>
      </c>
      <c r="AB5" s="86">
        <v>2590</v>
      </c>
      <c r="AC5" s="87">
        <v>7</v>
      </c>
      <c r="AD5" s="86">
        <v>181</v>
      </c>
      <c r="AE5" s="86">
        <v>0</v>
      </c>
      <c r="AF5" s="87">
        <v>7</v>
      </c>
      <c r="AG5" s="86">
        <v>181</v>
      </c>
      <c r="AH5" s="86">
        <v>0</v>
      </c>
      <c r="AI5" s="88">
        <v>0</v>
      </c>
      <c r="AJ5" s="88">
        <v>0</v>
      </c>
      <c r="AK5" s="88">
        <v>0</v>
      </c>
      <c r="AL5" s="88">
        <v>0</v>
      </c>
      <c r="AM5" s="88">
        <v>0</v>
      </c>
      <c r="AN5" s="88">
        <v>0</v>
      </c>
      <c r="AO5" s="88">
        <v>0</v>
      </c>
      <c r="AP5" s="88">
        <v>0</v>
      </c>
      <c r="AQ5" s="88">
        <v>0</v>
      </c>
      <c r="AR5" s="88">
        <v>0</v>
      </c>
      <c r="AS5" s="88">
        <v>0</v>
      </c>
      <c r="AT5" s="88">
        <v>0</v>
      </c>
      <c r="AU5" s="88">
        <v>0</v>
      </c>
      <c r="AV5" s="88">
        <v>0</v>
      </c>
      <c r="AW5" s="88"/>
      <c r="AX5" s="86">
        <v>6520</v>
      </c>
      <c r="AY5" s="87">
        <v>1</v>
      </c>
      <c r="AZ5" s="86">
        <v>65.2</v>
      </c>
      <c r="BA5" s="86">
        <v>0</v>
      </c>
      <c r="BB5" s="87"/>
      <c r="BC5" s="86">
        <v>0</v>
      </c>
      <c r="BD5" s="86">
        <v>0</v>
      </c>
      <c r="BE5" s="86">
        <v>6520</v>
      </c>
      <c r="BF5" s="87">
        <v>0.25600000000000001</v>
      </c>
      <c r="BG5" s="86">
        <v>16.7</v>
      </c>
      <c r="BH5" s="86">
        <v>0</v>
      </c>
      <c r="BI5" s="87"/>
      <c r="BJ5" s="86">
        <v>0</v>
      </c>
      <c r="BK5" s="86">
        <v>0</v>
      </c>
      <c r="BL5" s="88"/>
      <c r="BM5" s="88"/>
      <c r="BN5" s="88">
        <v>0</v>
      </c>
      <c r="BO5" s="88">
        <v>0</v>
      </c>
      <c r="BP5" s="88"/>
      <c r="BQ5" s="88">
        <v>0</v>
      </c>
      <c r="BR5" s="88">
        <v>0</v>
      </c>
      <c r="BS5" s="13">
        <f t="shared" si="0"/>
        <v>684.6</v>
      </c>
      <c r="BT5" s="13">
        <f t="shared" ref="BT5:BT68" si="4">G5+O5+W5+AI5+AM5+AO5+AQ5+AS5+AZ5+BG5</f>
        <v>1777.1</v>
      </c>
      <c r="BU5" s="13">
        <f t="shared" si="1"/>
        <v>181</v>
      </c>
      <c r="BV5" s="13">
        <f t="shared" si="2"/>
        <v>181</v>
      </c>
      <c r="BW5" s="14">
        <v>0</v>
      </c>
      <c r="BX5" s="14">
        <f t="shared" ref="BX5:BX68" si="5">H5+P5+X5+BA5+BH5</f>
        <v>0</v>
      </c>
      <c r="BY5" s="14">
        <v>0</v>
      </c>
      <c r="BZ5" s="14">
        <v>0</v>
      </c>
      <c r="CA5" s="14">
        <f t="shared" ref="CA5:CB20" si="6">BS5+BU5+BW5+BY5</f>
        <v>865.6</v>
      </c>
      <c r="CB5" s="14">
        <f t="shared" si="6"/>
        <v>1958.1</v>
      </c>
      <c r="CC5" s="14">
        <f t="shared" si="3"/>
        <v>2823.7</v>
      </c>
      <c r="CD5" s="12">
        <v>21</v>
      </c>
    </row>
    <row r="6" spans="1:82" s="4" customFormat="1" ht="24.9" customHeight="1">
      <c r="A6" s="6" t="s">
        <v>439</v>
      </c>
      <c r="B6" s="7" t="s">
        <v>417</v>
      </c>
      <c r="C6" s="8" t="s">
        <v>93</v>
      </c>
      <c r="D6" s="9" t="s">
        <v>94</v>
      </c>
      <c r="E6" s="86">
        <v>6520</v>
      </c>
      <c r="F6" s="87">
        <v>16</v>
      </c>
      <c r="G6" s="86">
        <v>1043.2</v>
      </c>
      <c r="H6" s="86">
        <v>0</v>
      </c>
      <c r="I6" s="87">
        <v>8</v>
      </c>
      <c r="J6" s="86">
        <v>521.6</v>
      </c>
      <c r="K6" s="86">
        <v>0</v>
      </c>
      <c r="L6" s="86">
        <v>6520</v>
      </c>
      <c r="M6" s="87">
        <v>9.5</v>
      </c>
      <c r="N6" s="86"/>
      <c r="O6" s="86">
        <v>619.4</v>
      </c>
      <c r="P6" s="86">
        <v>0</v>
      </c>
      <c r="Q6" s="87">
        <v>2</v>
      </c>
      <c r="R6" s="86"/>
      <c r="S6" s="86">
        <v>130.4</v>
      </c>
      <c r="T6" s="86">
        <v>0</v>
      </c>
      <c r="U6" s="86">
        <v>6520</v>
      </c>
      <c r="V6" s="87">
        <v>0.5</v>
      </c>
      <c r="W6" s="86">
        <v>32.6</v>
      </c>
      <c r="X6" s="86">
        <v>0</v>
      </c>
      <c r="Y6" s="87">
        <v>0.5</v>
      </c>
      <c r="Z6" s="86">
        <v>32.6</v>
      </c>
      <c r="AA6" s="86">
        <v>0</v>
      </c>
      <c r="AB6" s="86">
        <v>2590</v>
      </c>
      <c r="AC6" s="87">
        <v>7</v>
      </c>
      <c r="AD6" s="86">
        <v>181</v>
      </c>
      <c r="AE6" s="86">
        <v>0</v>
      </c>
      <c r="AF6" s="87">
        <v>7</v>
      </c>
      <c r="AG6" s="86">
        <v>181</v>
      </c>
      <c r="AH6" s="86">
        <v>0</v>
      </c>
      <c r="AI6" s="88">
        <v>0</v>
      </c>
      <c r="AJ6" s="88">
        <v>0</v>
      </c>
      <c r="AK6" s="88">
        <v>0</v>
      </c>
      <c r="AL6" s="88">
        <v>0</v>
      </c>
      <c r="AM6" s="88">
        <v>0</v>
      </c>
      <c r="AN6" s="88">
        <v>0</v>
      </c>
      <c r="AO6" s="88">
        <v>0</v>
      </c>
      <c r="AP6" s="88">
        <v>0</v>
      </c>
      <c r="AQ6" s="88">
        <v>0</v>
      </c>
      <c r="AR6" s="88">
        <v>0</v>
      </c>
      <c r="AS6" s="88">
        <v>0</v>
      </c>
      <c r="AT6" s="88">
        <v>0</v>
      </c>
      <c r="AU6" s="88">
        <v>0</v>
      </c>
      <c r="AV6" s="88">
        <v>0</v>
      </c>
      <c r="AW6" s="88"/>
      <c r="AX6" s="86">
        <v>6520</v>
      </c>
      <c r="AY6" s="87">
        <v>1</v>
      </c>
      <c r="AZ6" s="86">
        <v>65.2</v>
      </c>
      <c r="BA6" s="86">
        <v>0</v>
      </c>
      <c r="BB6" s="87"/>
      <c r="BC6" s="86">
        <v>0</v>
      </c>
      <c r="BD6" s="86">
        <v>0</v>
      </c>
      <c r="BE6" s="86">
        <v>6520</v>
      </c>
      <c r="BF6" s="87">
        <v>0.25600000000000001</v>
      </c>
      <c r="BG6" s="86">
        <v>16.7</v>
      </c>
      <c r="BH6" s="86">
        <v>0</v>
      </c>
      <c r="BI6" s="87"/>
      <c r="BJ6" s="86">
        <v>0</v>
      </c>
      <c r="BK6" s="86">
        <v>0</v>
      </c>
      <c r="BL6" s="88"/>
      <c r="BM6" s="88"/>
      <c r="BN6" s="88">
        <v>0</v>
      </c>
      <c r="BO6" s="88">
        <v>0</v>
      </c>
      <c r="BP6" s="88"/>
      <c r="BQ6" s="88">
        <v>0</v>
      </c>
      <c r="BR6" s="88">
        <v>0</v>
      </c>
      <c r="BS6" s="13">
        <f t="shared" si="0"/>
        <v>684.6</v>
      </c>
      <c r="BT6" s="13">
        <f t="shared" si="4"/>
        <v>1777.1</v>
      </c>
      <c r="BU6" s="13">
        <f t="shared" si="1"/>
        <v>181</v>
      </c>
      <c r="BV6" s="13">
        <f t="shared" si="2"/>
        <v>181</v>
      </c>
      <c r="BW6" s="14">
        <v>0</v>
      </c>
      <c r="BX6" s="14">
        <f t="shared" si="5"/>
        <v>0</v>
      </c>
      <c r="BY6" s="14">
        <v>0</v>
      </c>
      <c r="BZ6" s="14">
        <v>0</v>
      </c>
      <c r="CA6" s="14">
        <f t="shared" si="6"/>
        <v>865.6</v>
      </c>
      <c r="CB6" s="14">
        <f t="shared" si="6"/>
        <v>1958.1</v>
      </c>
      <c r="CC6" s="14">
        <f t="shared" si="3"/>
        <v>2823.7</v>
      </c>
      <c r="CD6" s="12">
        <v>21</v>
      </c>
    </row>
    <row r="7" spans="1:82" s="4" customFormat="1" ht="24.9" customHeight="1">
      <c r="A7" s="6" t="s">
        <v>439</v>
      </c>
      <c r="B7" s="7" t="s">
        <v>417</v>
      </c>
      <c r="C7" s="8" t="s">
        <v>194</v>
      </c>
      <c r="D7" s="9" t="s">
        <v>195</v>
      </c>
      <c r="E7" s="86">
        <v>6520</v>
      </c>
      <c r="F7" s="87">
        <v>16</v>
      </c>
      <c r="G7" s="86">
        <v>1043.2</v>
      </c>
      <c r="H7" s="86">
        <v>0</v>
      </c>
      <c r="I7" s="87">
        <v>8</v>
      </c>
      <c r="J7" s="86">
        <v>521.6</v>
      </c>
      <c r="K7" s="86">
        <v>0</v>
      </c>
      <c r="L7" s="86">
        <v>6520</v>
      </c>
      <c r="M7" s="87">
        <v>9.5</v>
      </c>
      <c r="N7" s="86"/>
      <c r="O7" s="86">
        <v>619.4</v>
      </c>
      <c r="P7" s="86">
        <v>0</v>
      </c>
      <c r="Q7" s="87">
        <v>2</v>
      </c>
      <c r="R7" s="86"/>
      <c r="S7" s="86">
        <v>130.4</v>
      </c>
      <c r="T7" s="86">
        <v>0</v>
      </c>
      <c r="U7" s="86">
        <v>6520</v>
      </c>
      <c r="V7" s="87">
        <v>0.5</v>
      </c>
      <c r="W7" s="86">
        <v>32.6</v>
      </c>
      <c r="X7" s="86">
        <v>0</v>
      </c>
      <c r="Y7" s="87">
        <v>0.5</v>
      </c>
      <c r="Z7" s="86">
        <v>32.6</v>
      </c>
      <c r="AA7" s="86">
        <v>0</v>
      </c>
      <c r="AB7" s="86">
        <v>2590</v>
      </c>
      <c r="AC7" s="87">
        <v>7</v>
      </c>
      <c r="AD7" s="86">
        <v>181</v>
      </c>
      <c r="AE7" s="86">
        <v>0</v>
      </c>
      <c r="AF7" s="87">
        <v>7</v>
      </c>
      <c r="AG7" s="86">
        <v>181</v>
      </c>
      <c r="AH7" s="86">
        <v>0</v>
      </c>
      <c r="AI7" s="88">
        <v>0</v>
      </c>
      <c r="AJ7" s="88">
        <v>0</v>
      </c>
      <c r="AK7" s="88">
        <v>0</v>
      </c>
      <c r="AL7" s="88">
        <v>0</v>
      </c>
      <c r="AM7" s="88">
        <v>0</v>
      </c>
      <c r="AN7" s="88">
        <v>0</v>
      </c>
      <c r="AO7" s="88">
        <v>0</v>
      </c>
      <c r="AP7" s="88">
        <v>0</v>
      </c>
      <c r="AQ7" s="88">
        <v>0</v>
      </c>
      <c r="AR7" s="88">
        <v>0</v>
      </c>
      <c r="AS7" s="88">
        <v>0</v>
      </c>
      <c r="AT7" s="88">
        <v>0</v>
      </c>
      <c r="AU7" s="88">
        <v>0</v>
      </c>
      <c r="AV7" s="88">
        <v>0</v>
      </c>
      <c r="AW7" s="88"/>
      <c r="AX7" s="86">
        <v>6520</v>
      </c>
      <c r="AY7" s="87">
        <v>1</v>
      </c>
      <c r="AZ7" s="86">
        <v>65.2</v>
      </c>
      <c r="BA7" s="86">
        <v>0</v>
      </c>
      <c r="BB7" s="87"/>
      <c r="BC7" s="86">
        <v>0</v>
      </c>
      <c r="BD7" s="86">
        <v>0</v>
      </c>
      <c r="BE7" s="86">
        <v>6520</v>
      </c>
      <c r="BF7" s="87">
        <v>0.25600000000000001</v>
      </c>
      <c r="BG7" s="86">
        <v>16.7</v>
      </c>
      <c r="BH7" s="86">
        <v>0</v>
      </c>
      <c r="BI7" s="87"/>
      <c r="BJ7" s="86">
        <v>0</v>
      </c>
      <c r="BK7" s="86">
        <v>0</v>
      </c>
      <c r="BL7" s="88"/>
      <c r="BM7" s="88"/>
      <c r="BN7" s="88">
        <v>0</v>
      </c>
      <c r="BO7" s="88">
        <v>0</v>
      </c>
      <c r="BP7" s="88"/>
      <c r="BQ7" s="88">
        <v>0</v>
      </c>
      <c r="BR7" s="88">
        <v>0</v>
      </c>
      <c r="BS7" s="13">
        <f t="shared" si="0"/>
        <v>684.6</v>
      </c>
      <c r="BT7" s="13">
        <f t="shared" si="4"/>
        <v>1777.1</v>
      </c>
      <c r="BU7" s="13">
        <f t="shared" si="1"/>
        <v>181</v>
      </c>
      <c r="BV7" s="13">
        <f t="shared" si="2"/>
        <v>181</v>
      </c>
      <c r="BW7" s="14">
        <v>0</v>
      </c>
      <c r="BX7" s="14">
        <f t="shared" si="5"/>
        <v>0</v>
      </c>
      <c r="BY7" s="14">
        <v>0</v>
      </c>
      <c r="BZ7" s="14">
        <v>0</v>
      </c>
      <c r="CA7" s="14">
        <f t="shared" si="6"/>
        <v>865.6</v>
      </c>
      <c r="CB7" s="14">
        <f t="shared" si="6"/>
        <v>1958.1</v>
      </c>
      <c r="CC7" s="14">
        <f t="shared" si="3"/>
        <v>2823.7</v>
      </c>
      <c r="CD7" s="12">
        <v>21</v>
      </c>
    </row>
    <row r="8" spans="1:82" s="4" customFormat="1" ht="24.9" customHeight="1">
      <c r="A8" s="6" t="s">
        <v>439</v>
      </c>
      <c r="B8" s="7" t="s">
        <v>417</v>
      </c>
      <c r="C8" s="8" t="s">
        <v>275</v>
      </c>
      <c r="D8" s="9" t="s">
        <v>276</v>
      </c>
      <c r="E8" s="86"/>
      <c r="F8" s="87"/>
      <c r="G8" s="86"/>
      <c r="H8" s="86"/>
      <c r="I8" s="87"/>
      <c r="J8" s="86"/>
      <c r="K8" s="86"/>
      <c r="L8" s="86"/>
      <c r="M8" s="87"/>
      <c r="N8" s="86"/>
      <c r="O8" s="86"/>
      <c r="P8" s="86"/>
      <c r="Q8" s="87"/>
      <c r="R8" s="86"/>
      <c r="S8" s="86"/>
      <c r="T8" s="86"/>
      <c r="U8" s="86"/>
      <c r="V8" s="87"/>
      <c r="W8" s="86"/>
      <c r="X8" s="86"/>
      <c r="Y8" s="87"/>
      <c r="Z8" s="86"/>
      <c r="AA8" s="86"/>
      <c r="AB8" s="86"/>
      <c r="AC8" s="87"/>
      <c r="AD8" s="86"/>
      <c r="AE8" s="86"/>
      <c r="AF8" s="87"/>
      <c r="AG8" s="86"/>
      <c r="AH8" s="86"/>
      <c r="AI8" s="88"/>
      <c r="AJ8" s="88"/>
      <c r="AK8" s="88"/>
      <c r="AL8" s="88"/>
      <c r="AM8" s="88"/>
      <c r="AN8" s="88"/>
      <c r="AO8" s="88"/>
      <c r="AP8" s="88"/>
      <c r="AQ8" s="88"/>
      <c r="AR8" s="88"/>
      <c r="AS8" s="88"/>
      <c r="AT8" s="88"/>
      <c r="AU8" s="88"/>
      <c r="AV8" s="88"/>
      <c r="AW8" s="88"/>
      <c r="AX8" s="86"/>
      <c r="AY8" s="87"/>
      <c r="AZ8" s="86"/>
      <c r="BA8" s="86"/>
      <c r="BB8" s="87"/>
      <c r="BC8" s="86"/>
      <c r="BD8" s="86"/>
      <c r="BE8" s="86"/>
      <c r="BF8" s="87"/>
      <c r="BG8" s="86"/>
      <c r="BH8" s="86"/>
      <c r="BI8" s="87"/>
      <c r="BJ8" s="86"/>
      <c r="BK8" s="86"/>
      <c r="BL8" s="88"/>
      <c r="BM8" s="88"/>
      <c r="BN8" s="88"/>
      <c r="BO8" s="88"/>
      <c r="BP8" s="88"/>
      <c r="BQ8" s="88"/>
      <c r="BR8" s="88"/>
      <c r="BS8" s="13">
        <f t="shared" si="0"/>
        <v>0</v>
      </c>
      <c r="BT8" s="13">
        <f t="shared" si="4"/>
        <v>0</v>
      </c>
      <c r="BU8" s="13">
        <f t="shared" si="1"/>
        <v>0</v>
      </c>
      <c r="BV8" s="13">
        <f t="shared" si="2"/>
        <v>0</v>
      </c>
      <c r="BW8" s="14">
        <v>0</v>
      </c>
      <c r="BX8" s="14">
        <f t="shared" si="5"/>
        <v>0</v>
      </c>
      <c r="BY8" s="14">
        <v>0</v>
      </c>
      <c r="BZ8" s="14">
        <v>0</v>
      </c>
      <c r="CA8" s="14">
        <f t="shared" si="6"/>
        <v>0</v>
      </c>
      <c r="CB8" s="14">
        <f t="shared" si="6"/>
        <v>0</v>
      </c>
      <c r="CC8" s="14">
        <f t="shared" si="3"/>
        <v>0</v>
      </c>
      <c r="CD8" s="12">
        <v>0</v>
      </c>
    </row>
    <row r="9" spans="1:82" s="4" customFormat="1" ht="24.9" customHeight="1">
      <c r="A9" s="6" t="s">
        <v>439</v>
      </c>
      <c r="B9" s="7" t="s">
        <v>417</v>
      </c>
      <c r="C9" s="8" t="s">
        <v>223</v>
      </c>
      <c r="D9" s="9" t="s">
        <v>224</v>
      </c>
      <c r="E9" s="86">
        <v>6520</v>
      </c>
      <c r="F9" s="87">
        <v>16</v>
      </c>
      <c r="G9" s="86">
        <v>1043.2</v>
      </c>
      <c r="H9" s="86">
        <v>0</v>
      </c>
      <c r="I9" s="87">
        <v>8</v>
      </c>
      <c r="J9" s="86">
        <v>521.6</v>
      </c>
      <c r="K9" s="86">
        <v>0</v>
      </c>
      <c r="L9" s="86">
        <v>6520</v>
      </c>
      <c r="M9" s="87">
        <v>9.5</v>
      </c>
      <c r="N9" s="86"/>
      <c r="O9" s="86">
        <v>619.4</v>
      </c>
      <c r="P9" s="86">
        <v>0</v>
      </c>
      <c r="Q9" s="87">
        <v>2</v>
      </c>
      <c r="R9" s="86"/>
      <c r="S9" s="86">
        <v>130.4</v>
      </c>
      <c r="T9" s="86">
        <v>0</v>
      </c>
      <c r="U9" s="86">
        <v>6520</v>
      </c>
      <c r="V9" s="87">
        <v>0.5</v>
      </c>
      <c r="W9" s="86">
        <v>32.6</v>
      </c>
      <c r="X9" s="86">
        <v>0</v>
      </c>
      <c r="Y9" s="87">
        <v>0.5</v>
      </c>
      <c r="Z9" s="86">
        <v>32.6</v>
      </c>
      <c r="AA9" s="86">
        <v>0</v>
      </c>
      <c r="AB9" s="86">
        <v>2590</v>
      </c>
      <c r="AC9" s="87">
        <v>7</v>
      </c>
      <c r="AD9" s="86">
        <v>181</v>
      </c>
      <c r="AE9" s="86">
        <v>0</v>
      </c>
      <c r="AF9" s="87">
        <v>7</v>
      </c>
      <c r="AG9" s="86">
        <v>181</v>
      </c>
      <c r="AH9" s="86">
        <v>0</v>
      </c>
      <c r="AI9" s="88">
        <v>0</v>
      </c>
      <c r="AJ9" s="88">
        <v>0</v>
      </c>
      <c r="AK9" s="88">
        <v>0</v>
      </c>
      <c r="AL9" s="88">
        <v>0</v>
      </c>
      <c r="AM9" s="88">
        <v>0</v>
      </c>
      <c r="AN9" s="88">
        <v>0</v>
      </c>
      <c r="AO9" s="88">
        <v>0</v>
      </c>
      <c r="AP9" s="88">
        <v>0</v>
      </c>
      <c r="AQ9" s="88">
        <v>0</v>
      </c>
      <c r="AR9" s="88">
        <v>0</v>
      </c>
      <c r="AS9" s="88">
        <v>0</v>
      </c>
      <c r="AT9" s="88">
        <v>0</v>
      </c>
      <c r="AU9" s="88">
        <v>0</v>
      </c>
      <c r="AV9" s="88">
        <v>0</v>
      </c>
      <c r="AW9" s="88"/>
      <c r="AX9" s="86">
        <v>6520</v>
      </c>
      <c r="AY9" s="87">
        <v>1</v>
      </c>
      <c r="AZ9" s="86">
        <v>65.2</v>
      </c>
      <c r="BA9" s="86">
        <v>0</v>
      </c>
      <c r="BB9" s="87"/>
      <c r="BC9" s="86">
        <v>0</v>
      </c>
      <c r="BD9" s="86">
        <v>0</v>
      </c>
      <c r="BE9" s="86">
        <v>6520</v>
      </c>
      <c r="BF9" s="87">
        <v>0.25600000000000001</v>
      </c>
      <c r="BG9" s="86">
        <v>16.7</v>
      </c>
      <c r="BH9" s="86">
        <v>0</v>
      </c>
      <c r="BI9" s="87"/>
      <c r="BJ9" s="86">
        <v>0</v>
      </c>
      <c r="BK9" s="86">
        <v>0</v>
      </c>
      <c r="BL9" s="88"/>
      <c r="BM9" s="88"/>
      <c r="BN9" s="88">
        <v>0</v>
      </c>
      <c r="BO9" s="88">
        <v>0</v>
      </c>
      <c r="BP9" s="88"/>
      <c r="BQ9" s="88">
        <v>0</v>
      </c>
      <c r="BR9" s="88">
        <v>0</v>
      </c>
      <c r="BS9" s="13">
        <f t="shared" si="0"/>
        <v>684.6</v>
      </c>
      <c r="BT9" s="13">
        <f t="shared" si="4"/>
        <v>1777.1</v>
      </c>
      <c r="BU9" s="13">
        <f t="shared" si="1"/>
        <v>181</v>
      </c>
      <c r="BV9" s="13">
        <f t="shared" si="2"/>
        <v>181</v>
      </c>
      <c r="BW9" s="14">
        <v>0</v>
      </c>
      <c r="BX9" s="14">
        <f t="shared" si="5"/>
        <v>0</v>
      </c>
      <c r="BY9" s="14">
        <v>0</v>
      </c>
      <c r="BZ9" s="14">
        <v>0</v>
      </c>
      <c r="CA9" s="14">
        <f t="shared" si="6"/>
        <v>865.6</v>
      </c>
      <c r="CB9" s="14">
        <f t="shared" si="6"/>
        <v>1958.1</v>
      </c>
      <c r="CC9" s="14">
        <f t="shared" si="3"/>
        <v>2823.7</v>
      </c>
      <c r="CD9" s="12">
        <v>21</v>
      </c>
    </row>
    <row r="10" spans="1:82" s="4" customFormat="1" ht="24.9" customHeight="1">
      <c r="A10" s="6" t="s">
        <v>439</v>
      </c>
      <c r="B10" s="7" t="s">
        <v>417</v>
      </c>
      <c r="C10" s="8" t="s">
        <v>171</v>
      </c>
      <c r="D10" s="9" t="s">
        <v>336</v>
      </c>
      <c r="E10" s="86">
        <v>6520</v>
      </c>
      <c r="F10" s="87">
        <v>16</v>
      </c>
      <c r="G10" s="86">
        <v>1043.2</v>
      </c>
      <c r="H10" s="86">
        <v>0</v>
      </c>
      <c r="I10" s="87">
        <v>8</v>
      </c>
      <c r="J10" s="86">
        <v>521.6</v>
      </c>
      <c r="K10" s="86">
        <v>0</v>
      </c>
      <c r="L10" s="86">
        <v>6520</v>
      </c>
      <c r="M10" s="87">
        <v>9.5</v>
      </c>
      <c r="N10" s="86"/>
      <c r="O10" s="86">
        <v>619.4</v>
      </c>
      <c r="P10" s="86">
        <v>0</v>
      </c>
      <c r="Q10" s="87">
        <v>2</v>
      </c>
      <c r="R10" s="86"/>
      <c r="S10" s="86">
        <v>130.4</v>
      </c>
      <c r="T10" s="86">
        <v>0</v>
      </c>
      <c r="U10" s="86">
        <v>6520</v>
      </c>
      <c r="V10" s="87">
        <v>0.5</v>
      </c>
      <c r="W10" s="86">
        <v>32.6</v>
      </c>
      <c r="X10" s="86">
        <v>0</v>
      </c>
      <c r="Y10" s="87">
        <v>0.5</v>
      </c>
      <c r="Z10" s="86">
        <v>32.6</v>
      </c>
      <c r="AA10" s="86">
        <v>0</v>
      </c>
      <c r="AB10" s="86">
        <v>2590</v>
      </c>
      <c r="AC10" s="87">
        <v>7</v>
      </c>
      <c r="AD10" s="86">
        <v>181</v>
      </c>
      <c r="AE10" s="86">
        <v>0</v>
      </c>
      <c r="AF10" s="87">
        <v>7</v>
      </c>
      <c r="AG10" s="86">
        <v>181</v>
      </c>
      <c r="AH10" s="86">
        <v>0</v>
      </c>
      <c r="AI10" s="88">
        <v>0</v>
      </c>
      <c r="AJ10" s="88">
        <v>0</v>
      </c>
      <c r="AK10" s="88">
        <v>0</v>
      </c>
      <c r="AL10" s="88">
        <v>0</v>
      </c>
      <c r="AM10" s="88">
        <v>0</v>
      </c>
      <c r="AN10" s="88">
        <v>0</v>
      </c>
      <c r="AO10" s="88">
        <v>0</v>
      </c>
      <c r="AP10" s="88">
        <v>0</v>
      </c>
      <c r="AQ10" s="88">
        <v>0</v>
      </c>
      <c r="AR10" s="88">
        <v>0</v>
      </c>
      <c r="AS10" s="88">
        <v>0</v>
      </c>
      <c r="AT10" s="88">
        <v>0</v>
      </c>
      <c r="AU10" s="88">
        <v>0</v>
      </c>
      <c r="AV10" s="88">
        <v>0</v>
      </c>
      <c r="AW10" s="88"/>
      <c r="AX10" s="86">
        <v>6520</v>
      </c>
      <c r="AY10" s="87">
        <v>1</v>
      </c>
      <c r="AZ10" s="86">
        <v>65.2</v>
      </c>
      <c r="BA10" s="86">
        <v>0</v>
      </c>
      <c r="BB10" s="87"/>
      <c r="BC10" s="86">
        <v>0</v>
      </c>
      <c r="BD10" s="86">
        <v>0</v>
      </c>
      <c r="BE10" s="86">
        <v>6520</v>
      </c>
      <c r="BF10" s="87">
        <v>0.25600000000000001</v>
      </c>
      <c r="BG10" s="86">
        <v>16.7</v>
      </c>
      <c r="BH10" s="86">
        <v>0</v>
      </c>
      <c r="BI10" s="87"/>
      <c r="BJ10" s="86">
        <v>0</v>
      </c>
      <c r="BK10" s="86">
        <v>0</v>
      </c>
      <c r="BL10" s="88"/>
      <c r="BM10" s="88"/>
      <c r="BN10" s="88">
        <v>0</v>
      </c>
      <c r="BO10" s="88">
        <v>0</v>
      </c>
      <c r="BP10" s="88"/>
      <c r="BQ10" s="88">
        <v>0</v>
      </c>
      <c r="BR10" s="88">
        <v>0</v>
      </c>
      <c r="BS10" s="13">
        <f t="shared" si="0"/>
        <v>684.6</v>
      </c>
      <c r="BT10" s="13">
        <f t="shared" si="4"/>
        <v>1777.1</v>
      </c>
      <c r="BU10" s="13">
        <f t="shared" si="1"/>
        <v>181</v>
      </c>
      <c r="BV10" s="13">
        <f t="shared" si="2"/>
        <v>181</v>
      </c>
      <c r="BW10" s="14">
        <v>0</v>
      </c>
      <c r="BX10" s="14">
        <f t="shared" si="5"/>
        <v>0</v>
      </c>
      <c r="BY10" s="14">
        <v>0</v>
      </c>
      <c r="BZ10" s="14">
        <v>0</v>
      </c>
      <c r="CA10" s="14">
        <f t="shared" si="6"/>
        <v>865.6</v>
      </c>
      <c r="CB10" s="14">
        <f t="shared" si="6"/>
        <v>1958.1</v>
      </c>
      <c r="CC10" s="14">
        <f t="shared" si="3"/>
        <v>2823.7</v>
      </c>
      <c r="CD10" s="12">
        <v>21</v>
      </c>
    </row>
    <row r="11" spans="1:82" s="4" customFormat="1" ht="24.9" customHeight="1">
      <c r="A11" s="6" t="s">
        <v>439</v>
      </c>
      <c r="B11" s="7" t="s">
        <v>417</v>
      </c>
      <c r="C11" s="8" t="s">
        <v>163</v>
      </c>
      <c r="D11" s="9" t="s">
        <v>164</v>
      </c>
      <c r="E11" s="86">
        <v>6520</v>
      </c>
      <c r="F11" s="87">
        <v>16</v>
      </c>
      <c r="G11" s="86">
        <v>1043.2</v>
      </c>
      <c r="H11" s="86">
        <v>0</v>
      </c>
      <c r="I11" s="87">
        <v>8</v>
      </c>
      <c r="J11" s="86">
        <v>521.6</v>
      </c>
      <c r="K11" s="86">
        <v>0</v>
      </c>
      <c r="L11" s="86">
        <v>6520</v>
      </c>
      <c r="M11" s="87">
        <v>9.5</v>
      </c>
      <c r="N11" s="86"/>
      <c r="O11" s="86">
        <v>619.4</v>
      </c>
      <c r="P11" s="86">
        <v>0</v>
      </c>
      <c r="Q11" s="87">
        <v>2</v>
      </c>
      <c r="R11" s="86"/>
      <c r="S11" s="86">
        <v>130.4</v>
      </c>
      <c r="T11" s="86">
        <v>0</v>
      </c>
      <c r="U11" s="86">
        <v>6520</v>
      </c>
      <c r="V11" s="87">
        <v>0.5</v>
      </c>
      <c r="W11" s="86">
        <v>32.6</v>
      </c>
      <c r="X11" s="86">
        <v>0</v>
      </c>
      <c r="Y11" s="87">
        <v>0.5</v>
      </c>
      <c r="Z11" s="86">
        <v>32.6</v>
      </c>
      <c r="AA11" s="86">
        <v>0</v>
      </c>
      <c r="AB11" s="86">
        <v>2590</v>
      </c>
      <c r="AC11" s="87">
        <v>7</v>
      </c>
      <c r="AD11" s="86">
        <v>181</v>
      </c>
      <c r="AE11" s="86">
        <v>0</v>
      </c>
      <c r="AF11" s="87">
        <v>7</v>
      </c>
      <c r="AG11" s="86">
        <v>181</v>
      </c>
      <c r="AH11" s="86">
        <v>0</v>
      </c>
      <c r="AI11" s="88">
        <v>0</v>
      </c>
      <c r="AJ11" s="88">
        <v>0</v>
      </c>
      <c r="AK11" s="88">
        <v>0</v>
      </c>
      <c r="AL11" s="88">
        <v>0</v>
      </c>
      <c r="AM11" s="88">
        <v>0</v>
      </c>
      <c r="AN11" s="88">
        <v>0</v>
      </c>
      <c r="AO11" s="88">
        <v>0</v>
      </c>
      <c r="AP11" s="88">
        <v>0</v>
      </c>
      <c r="AQ11" s="88">
        <v>0</v>
      </c>
      <c r="AR11" s="88">
        <v>0</v>
      </c>
      <c r="AS11" s="88">
        <v>0</v>
      </c>
      <c r="AT11" s="88">
        <v>0</v>
      </c>
      <c r="AU11" s="88">
        <v>0</v>
      </c>
      <c r="AV11" s="88">
        <v>0</v>
      </c>
      <c r="AW11" s="88"/>
      <c r="AX11" s="86">
        <v>6520</v>
      </c>
      <c r="AY11" s="87">
        <v>1</v>
      </c>
      <c r="AZ11" s="86">
        <v>65.2</v>
      </c>
      <c r="BA11" s="86">
        <v>0</v>
      </c>
      <c r="BB11" s="87"/>
      <c r="BC11" s="86">
        <v>0</v>
      </c>
      <c r="BD11" s="86">
        <v>0</v>
      </c>
      <c r="BE11" s="86">
        <v>6520</v>
      </c>
      <c r="BF11" s="87">
        <v>0.25600000000000001</v>
      </c>
      <c r="BG11" s="86">
        <v>16.7</v>
      </c>
      <c r="BH11" s="86">
        <v>0</v>
      </c>
      <c r="BI11" s="87"/>
      <c r="BJ11" s="86">
        <v>0</v>
      </c>
      <c r="BK11" s="86">
        <v>0</v>
      </c>
      <c r="BL11" s="88"/>
      <c r="BM11" s="88"/>
      <c r="BN11" s="88">
        <v>0</v>
      </c>
      <c r="BO11" s="88">
        <v>0</v>
      </c>
      <c r="BP11" s="88"/>
      <c r="BQ11" s="88">
        <v>0</v>
      </c>
      <c r="BR11" s="88">
        <v>0</v>
      </c>
      <c r="BS11" s="13">
        <f t="shared" si="0"/>
        <v>684.6</v>
      </c>
      <c r="BT11" s="13">
        <f t="shared" si="4"/>
        <v>1777.1</v>
      </c>
      <c r="BU11" s="13">
        <f t="shared" si="1"/>
        <v>181</v>
      </c>
      <c r="BV11" s="13">
        <f t="shared" si="2"/>
        <v>181</v>
      </c>
      <c r="BW11" s="14">
        <v>0</v>
      </c>
      <c r="BX11" s="14">
        <f t="shared" si="5"/>
        <v>0</v>
      </c>
      <c r="BY11" s="14">
        <v>0</v>
      </c>
      <c r="BZ11" s="14">
        <v>0</v>
      </c>
      <c r="CA11" s="14">
        <f t="shared" si="6"/>
        <v>865.6</v>
      </c>
      <c r="CB11" s="14">
        <f t="shared" si="6"/>
        <v>1958.1</v>
      </c>
      <c r="CC11" s="14">
        <f t="shared" si="3"/>
        <v>2823.7</v>
      </c>
      <c r="CD11" s="12">
        <v>21</v>
      </c>
    </row>
    <row r="12" spans="1:82" s="4" customFormat="1" ht="24.9" customHeight="1">
      <c r="A12" s="6" t="s">
        <v>439</v>
      </c>
      <c r="B12" s="7" t="s">
        <v>417</v>
      </c>
      <c r="C12" s="8" t="s">
        <v>353</v>
      </c>
      <c r="D12" s="9" t="s">
        <v>354</v>
      </c>
      <c r="E12" s="86">
        <v>6520</v>
      </c>
      <c r="F12" s="87">
        <v>16</v>
      </c>
      <c r="G12" s="86">
        <v>1043.2</v>
      </c>
      <c r="H12" s="86">
        <v>0</v>
      </c>
      <c r="I12" s="87">
        <v>8</v>
      </c>
      <c r="J12" s="86">
        <v>521.6</v>
      </c>
      <c r="K12" s="86">
        <v>0</v>
      </c>
      <c r="L12" s="86">
        <v>6520</v>
      </c>
      <c r="M12" s="87">
        <v>9.5</v>
      </c>
      <c r="N12" s="86"/>
      <c r="O12" s="86">
        <v>619.4</v>
      </c>
      <c r="P12" s="86">
        <v>0</v>
      </c>
      <c r="Q12" s="87">
        <v>2</v>
      </c>
      <c r="R12" s="86"/>
      <c r="S12" s="86">
        <v>130.4</v>
      </c>
      <c r="T12" s="86">
        <v>0</v>
      </c>
      <c r="U12" s="86">
        <v>6520</v>
      </c>
      <c r="V12" s="87">
        <v>0.5</v>
      </c>
      <c r="W12" s="86">
        <v>32.6</v>
      </c>
      <c r="X12" s="86">
        <v>0</v>
      </c>
      <c r="Y12" s="87">
        <v>0.5</v>
      </c>
      <c r="Z12" s="86">
        <v>32.6</v>
      </c>
      <c r="AA12" s="86">
        <v>0</v>
      </c>
      <c r="AB12" s="86">
        <v>2590</v>
      </c>
      <c r="AC12" s="87">
        <v>7</v>
      </c>
      <c r="AD12" s="86">
        <v>181</v>
      </c>
      <c r="AE12" s="86">
        <v>0</v>
      </c>
      <c r="AF12" s="87">
        <v>7</v>
      </c>
      <c r="AG12" s="86">
        <v>181</v>
      </c>
      <c r="AH12" s="86">
        <v>0</v>
      </c>
      <c r="AI12" s="88">
        <v>0</v>
      </c>
      <c r="AJ12" s="88">
        <v>0</v>
      </c>
      <c r="AK12" s="88">
        <v>0</v>
      </c>
      <c r="AL12" s="88">
        <v>0</v>
      </c>
      <c r="AM12" s="88">
        <v>0</v>
      </c>
      <c r="AN12" s="88">
        <v>0</v>
      </c>
      <c r="AO12" s="88">
        <v>0</v>
      </c>
      <c r="AP12" s="88">
        <v>0</v>
      </c>
      <c r="AQ12" s="88">
        <v>0</v>
      </c>
      <c r="AR12" s="88">
        <v>0</v>
      </c>
      <c r="AS12" s="88">
        <v>0</v>
      </c>
      <c r="AT12" s="88">
        <v>0</v>
      </c>
      <c r="AU12" s="88">
        <v>0</v>
      </c>
      <c r="AV12" s="88">
        <v>0</v>
      </c>
      <c r="AW12" s="88"/>
      <c r="AX12" s="86">
        <v>6520</v>
      </c>
      <c r="AY12" s="87">
        <v>1</v>
      </c>
      <c r="AZ12" s="86">
        <v>65.2</v>
      </c>
      <c r="BA12" s="86">
        <v>0</v>
      </c>
      <c r="BB12" s="87"/>
      <c r="BC12" s="86">
        <v>0</v>
      </c>
      <c r="BD12" s="86">
        <v>0</v>
      </c>
      <c r="BE12" s="86">
        <v>6520</v>
      </c>
      <c r="BF12" s="87">
        <v>0.25600000000000001</v>
      </c>
      <c r="BG12" s="86">
        <v>16.7</v>
      </c>
      <c r="BH12" s="86">
        <v>0</v>
      </c>
      <c r="BI12" s="87"/>
      <c r="BJ12" s="86">
        <v>0</v>
      </c>
      <c r="BK12" s="86">
        <v>0</v>
      </c>
      <c r="BL12" s="88"/>
      <c r="BM12" s="88"/>
      <c r="BN12" s="88">
        <v>0</v>
      </c>
      <c r="BO12" s="88">
        <v>0</v>
      </c>
      <c r="BP12" s="88"/>
      <c r="BQ12" s="88">
        <v>0</v>
      </c>
      <c r="BR12" s="88">
        <v>0</v>
      </c>
      <c r="BS12" s="13">
        <f t="shared" si="0"/>
        <v>684.6</v>
      </c>
      <c r="BT12" s="13">
        <f t="shared" si="4"/>
        <v>1777.1</v>
      </c>
      <c r="BU12" s="13">
        <f t="shared" si="1"/>
        <v>181</v>
      </c>
      <c r="BV12" s="13">
        <f t="shared" si="2"/>
        <v>181</v>
      </c>
      <c r="BW12" s="14">
        <v>0</v>
      </c>
      <c r="BX12" s="14">
        <f t="shared" si="5"/>
        <v>0</v>
      </c>
      <c r="BY12" s="14">
        <v>0</v>
      </c>
      <c r="BZ12" s="14">
        <v>0</v>
      </c>
      <c r="CA12" s="14">
        <f t="shared" si="6"/>
        <v>865.6</v>
      </c>
      <c r="CB12" s="14">
        <f t="shared" si="6"/>
        <v>1958.1</v>
      </c>
      <c r="CC12" s="14">
        <f t="shared" si="3"/>
        <v>2823.7</v>
      </c>
      <c r="CD12" s="12">
        <v>21</v>
      </c>
    </row>
    <row r="13" spans="1:82" s="4" customFormat="1" ht="24.9" customHeight="1">
      <c r="A13" s="6" t="s">
        <v>439</v>
      </c>
      <c r="B13" s="7" t="s">
        <v>417</v>
      </c>
      <c r="C13" s="8" t="s">
        <v>383</v>
      </c>
      <c r="D13" s="9" t="s">
        <v>385</v>
      </c>
      <c r="E13" s="86">
        <v>6520</v>
      </c>
      <c r="F13" s="87">
        <v>16</v>
      </c>
      <c r="G13" s="86">
        <v>1043.2</v>
      </c>
      <c r="H13" s="86">
        <v>0</v>
      </c>
      <c r="I13" s="87">
        <v>8</v>
      </c>
      <c r="J13" s="86">
        <v>521.6</v>
      </c>
      <c r="K13" s="86">
        <v>0</v>
      </c>
      <c r="L13" s="86">
        <v>6520</v>
      </c>
      <c r="M13" s="87">
        <v>9.5</v>
      </c>
      <c r="N13" s="86"/>
      <c r="O13" s="86">
        <v>619.4</v>
      </c>
      <c r="P13" s="86">
        <v>0</v>
      </c>
      <c r="Q13" s="87">
        <v>2</v>
      </c>
      <c r="R13" s="86"/>
      <c r="S13" s="86">
        <v>130.4</v>
      </c>
      <c r="T13" s="86">
        <v>0</v>
      </c>
      <c r="U13" s="86">
        <v>6520</v>
      </c>
      <c r="V13" s="87">
        <v>0.5</v>
      </c>
      <c r="W13" s="86">
        <v>32.6</v>
      </c>
      <c r="X13" s="86">
        <v>0</v>
      </c>
      <c r="Y13" s="87">
        <v>0.5</v>
      </c>
      <c r="Z13" s="86">
        <v>32.6</v>
      </c>
      <c r="AA13" s="86">
        <v>0</v>
      </c>
      <c r="AB13" s="86">
        <v>2590</v>
      </c>
      <c r="AC13" s="87">
        <v>7</v>
      </c>
      <c r="AD13" s="86">
        <v>181</v>
      </c>
      <c r="AE13" s="86">
        <v>0</v>
      </c>
      <c r="AF13" s="87">
        <v>7</v>
      </c>
      <c r="AG13" s="86">
        <v>181</v>
      </c>
      <c r="AH13" s="86">
        <v>0</v>
      </c>
      <c r="AI13" s="88">
        <v>0</v>
      </c>
      <c r="AJ13" s="88">
        <v>0</v>
      </c>
      <c r="AK13" s="88">
        <v>0</v>
      </c>
      <c r="AL13" s="88">
        <v>0</v>
      </c>
      <c r="AM13" s="88">
        <v>0</v>
      </c>
      <c r="AN13" s="88">
        <v>0</v>
      </c>
      <c r="AO13" s="88">
        <v>0</v>
      </c>
      <c r="AP13" s="88">
        <v>0</v>
      </c>
      <c r="AQ13" s="88">
        <v>0</v>
      </c>
      <c r="AR13" s="88">
        <v>0</v>
      </c>
      <c r="AS13" s="88">
        <v>0</v>
      </c>
      <c r="AT13" s="88">
        <v>0</v>
      </c>
      <c r="AU13" s="88">
        <v>0</v>
      </c>
      <c r="AV13" s="88">
        <v>0</v>
      </c>
      <c r="AW13" s="88"/>
      <c r="AX13" s="86">
        <v>6520</v>
      </c>
      <c r="AY13" s="87">
        <v>1</v>
      </c>
      <c r="AZ13" s="86">
        <v>65.2</v>
      </c>
      <c r="BA13" s="86">
        <v>0</v>
      </c>
      <c r="BB13" s="87"/>
      <c r="BC13" s="86">
        <v>0</v>
      </c>
      <c r="BD13" s="86">
        <v>0</v>
      </c>
      <c r="BE13" s="86">
        <v>6520</v>
      </c>
      <c r="BF13" s="87">
        <v>0.25600000000000001</v>
      </c>
      <c r="BG13" s="86">
        <v>16.7</v>
      </c>
      <c r="BH13" s="86">
        <v>0</v>
      </c>
      <c r="BI13" s="87"/>
      <c r="BJ13" s="86">
        <v>0</v>
      </c>
      <c r="BK13" s="86">
        <v>0</v>
      </c>
      <c r="BL13" s="88"/>
      <c r="BM13" s="88"/>
      <c r="BN13" s="88">
        <v>0</v>
      </c>
      <c r="BO13" s="88">
        <v>0</v>
      </c>
      <c r="BP13" s="88"/>
      <c r="BQ13" s="88">
        <v>0</v>
      </c>
      <c r="BR13" s="88">
        <v>0</v>
      </c>
      <c r="BS13" s="13">
        <f t="shared" si="0"/>
        <v>684.6</v>
      </c>
      <c r="BT13" s="13">
        <f t="shared" si="4"/>
        <v>1777.1</v>
      </c>
      <c r="BU13" s="13">
        <f t="shared" si="1"/>
        <v>181</v>
      </c>
      <c r="BV13" s="13">
        <f t="shared" si="2"/>
        <v>181</v>
      </c>
      <c r="BW13" s="14">
        <v>0</v>
      </c>
      <c r="BX13" s="14">
        <f t="shared" si="5"/>
        <v>0</v>
      </c>
      <c r="BY13" s="14">
        <v>0</v>
      </c>
      <c r="BZ13" s="14">
        <v>0</v>
      </c>
      <c r="CA13" s="14">
        <f t="shared" si="6"/>
        <v>865.6</v>
      </c>
      <c r="CB13" s="14">
        <f t="shared" si="6"/>
        <v>1958.1</v>
      </c>
      <c r="CC13" s="14">
        <f t="shared" si="3"/>
        <v>2823.7</v>
      </c>
      <c r="CD13" s="12">
        <v>21</v>
      </c>
    </row>
    <row r="14" spans="1:82" s="4" customFormat="1" ht="24.9" customHeight="1">
      <c r="A14" s="6" t="s">
        <v>439</v>
      </c>
      <c r="B14" s="7" t="s">
        <v>417</v>
      </c>
      <c r="C14" s="8" t="s">
        <v>246</v>
      </c>
      <c r="D14" s="9" t="s">
        <v>247</v>
      </c>
      <c r="E14" s="86">
        <v>6520</v>
      </c>
      <c r="F14" s="87">
        <v>16</v>
      </c>
      <c r="G14" s="86">
        <v>1043.2</v>
      </c>
      <c r="H14" s="86">
        <v>0</v>
      </c>
      <c r="I14" s="87">
        <v>8</v>
      </c>
      <c r="J14" s="86">
        <v>521.6</v>
      </c>
      <c r="K14" s="86">
        <v>0</v>
      </c>
      <c r="L14" s="86">
        <v>6520</v>
      </c>
      <c r="M14" s="87">
        <v>9.5</v>
      </c>
      <c r="N14" s="86"/>
      <c r="O14" s="86">
        <v>619.4</v>
      </c>
      <c r="P14" s="86">
        <v>0</v>
      </c>
      <c r="Q14" s="87">
        <v>2</v>
      </c>
      <c r="R14" s="86"/>
      <c r="S14" s="86">
        <v>130.4</v>
      </c>
      <c r="T14" s="86">
        <v>0</v>
      </c>
      <c r="U14" s="86">
        <v>6520</v>
      </c>
      <c r="V14" s="87">
        <v>0.5</v>
      </c>
      <c r="W14" s="86">
        <v>32.6</v>
      </c>
      <c r="X14" s="86">
        <v>0</v>
      </c>
      <c r="Y14" s="87">
        <v>0.5</v>
      </c>
      <c r="Z14" s="86">
        <v>32.6</v>
      </c>
      <c r="AA14" s="86">
        <v>0</v>
      </c>
      <c r="AB14" s="86">
        <v>2590</v>
      </c>
      <c r="AC14" s="87">
        <v>7</v>
      </c>
      <c r="AD14" s="86">
        <v>181</v>
      </c>
      <c r="AE14" s="86">
        <v>0</v>
      </c>
      <c r="AF14" s="87">
        <v>7</v>
      </c>
      <c r="AG14" s="86">
        <v>181</v>
      </c>
      <c r="AH14" s="86">
        <v>0</v>
      </c>
      <c r="AI14" s="88">
        <v>0</v>
      </c>
      <c r="AJ14" s="88">
        <v>0</v>
      </c>
      <c r="AK14" s="88">
        <v>0</v>
      </c>
      <c r="AL14" s="88">
        <v>0</v>
      </c>
      <c r="AM14" s="88">
        <v>0</v>
      </c>
      <c r="AN14" s="88">
        <v>0</v>
      </c>
      <c r="AO14" s="88">
        <v>0</v>
      </c>
      <c r="AP14" s="88">
        <v>0</v>
      </c>
      <c r="AQ14" s="88">
        <v>0</v>
      </c>
      <c r="AR14" s="88">
        <v>0</v>
      </c>
      <c r="AS14" s="88">
        <v>0</v>
      </c>
      <c r="AT14" s="88">
        <v>0</v>
      </c>
      <c r="AU14" s="88">
        <v>0</v>
      </c>
      <c r="AV14" s="88">
        <v>0</v>
      </c>
      <c r="AW14" s="88"/>
      <c r="AX14" s="86">
        <v>6520</v>
      </c>
      <c r="AY14" s="87">
        <v>1</v>
      </c>
      <c r="AZ14" s="86">
        <v>65.2</v>
      </c>
      <c r="BA14" s="86">
        <v>0</v>
      </c>
      <c r="BB14" s="87"/>
      <c r="BC14" s="86">
        <v>0</v>
      </c>
      <c r="BD14" s="86">
        <v>0</v>
      </c>
      <c r="BE14" s="86">
        <v>6520</v>
      </c>
      <c r="BF14" s="87">
        <v>0.25600000000000001</v>
      </c>
      <c r="BG14" s="86">
        <v>16.7</v>
      </c>
      <c r="BH14" s="86">
        <v>0</v>
      </c>
      <c r="BI14" s="87"/>
      <c r="BJ14" s="86">
        <v>0</v>
      </c>
      <c r="BK14" s="86">
        <v>0</v>
      </c>
      <c r="BL14" s="88"/>
      <c r="BM14" s="88"/>
      <c r="BN14" s="88">
        <v>0</v>
      </c>
      <c r="BO14" s="88">
        <v>0</v>
      </c>
      <c r="BP14" s="88"/>
      <c r="BQ14" s="88">
        <v>0</v>
      </c>
      <c r="BR14" s="88">
        <v>0</v>
      </c>
      <c r="BS14" s="13">
        <f t="shared" si="0"/>
        <v>684.6</v>
      </c>
      <c r="BT14" s="13">
        <f t="shared" si="4"/>
        <v>1777.1</v>
      </c>
      <c r="BU14" s="13">
        <f t="shared" si="1"/>
        <v>181</v>
      </c>
      <c r="BV14" s="13">
        <f t="shared" si="2"/>
        <v>181</v>
      </c>
      <c r="BW14" s="14">
        <v>0</v>
      </c>
      <c r="BX14" s="14">
        <f t="shared" si="5"/>
        <v>0</v>
      </c>
      <c r="BY14" s="14">
        <v>0</v>
      </c>
      <c r="BZ14" s="14">
        <v>0</v>
      </c>
      <c r="CA14" s="14">
        <f t="shared" si="6"/>
        <v>865.6</v>
      </c>
      <c r="CB14" s="14">
        <f t="shared" si="6"/>
        <v>1958.1</v>
      </c>
      <c r="CC14" s="14">
        <f t="shared" si="3"/>
        <v>2823.7</v>
      </c>
      <c r="CD14" s="12">
        <v>21</v>
      </c>
    </row>
    <row r="15" spans="1:82" s="4" customFormat="1" ht="24.9" customHeight="1">
      <c r="A15" s="6" t="s">
        <v>439</v>
      </c>
      <c r="B15" s="7" t="s">
        <v>417</v>
      </c>
      <c r="C15" s="8" t="s">
        <v>96</v>
      </c>
      <c r="D15" s="9" t="s">
        <v>97</v>
      </c>
      <c r="E15" s="86">
        <v>6520</v>
      </c>
      <c r="F15" s="87">
        <v>16</v>
      </c>
      <c r="G15" s="86">
        <v>1043.2</v>
      </c>
      <c r="H15" s="86">
        <v>0</v>
      </c>
      <c r="I15" s="87">
        <v>8</v>
      </c>
      <c r="J15" s="86">
        <v>521.6</v>
      </c>
      <c r="K15" s="86">
        <v>0</v>
      </c>
      <c r="L15" s="86">
        <v>6520</v>
      </c>
      <c r="M15" s="87">
        <v>9.5</v>
      </c>
      <c r="N15" s="86"/>
      <c r="O15" s="86">
        <v>619.4</v>
      </c>
      <c r="P15" s="86">
        <v>0</v>
      </c>
      <c r="Q15" s="87">
        <v>2</v>
      </c>
      <c r="R15" s="86"/>
      <c r="S15" s="86">
        <v>130.4</v>
      </c>
      <c r="T15" s="86">
        <v>0</v>
      </c>
      <c r="U15" s="86">
        <v>6520</v>
      </c>
      <c r="V15" s="87">
        <v>0.5</v>
      </c>
      <c r="W15" s="86">
        <v>32.6</v>
      </c>
      <c r="X15" s="86">
        <v>0</v>
      </c>
      <c r="Y15" s="87">
        <v>0.5</v>
      </c>
      <c r="Z15" s="86">
        <v>32.6</v>
      </c>
      <c r="AA15" s="86">
        <v>0</v>
      </c>
      <c r="AB15" s="86">
        <v>2590</v>
      </c>
      <c r="AC15" s="87">
        <v>7</v>
      </c>
      <c r="AD15" s="86">
        <v>181</v>
      </c>
      <c r="AE15" s="86">
        <v>0</v>
      </c>
      <c r="AF15" s="87">
        <v>7</v>
      </c>
      <c r="AG15" s="86">
        <v>181</v>
      </c>
      <c r="AH15" s="86">
        <v>0</v>
      </c>
      <c r="AI15" s="88">
        <v>0</v>
      </c>
      <c r="AJ15" s="88">
        <v>0</v>
      </c>
      <c r="AK15" s="88">
        <v>0</v>
      </c>
      <c r="AL15" s="88">
        <v>0</v>
      </c>
      <c r="AM15" s="88">
        <v>0</v>
      </c>
      <c r="AN15" s="88">
        <v>0</v>
      </c>
      <c r="AO15" s="88">
        <v>0</v>
      </c>
      <c r="AP15" s="88">
        <v>0</v>
      </c>
      <c r="AQ15" s="88">
        <v>0</v>
      </c>
      <c r="AR15" s="88">
        <v>0</v>
      </c>
      <c r="AS15" s="88">
        <v>0</v>
      </c>
      <c r="AT15" s="88">
        <v>0</v>
      </c>
      <c r="AU15" s="88">
        <v>0</v>
      </c>
      <c r="AV15" s="88">
        <v>0</v>
      </c>
      <c r="AW15" s="88"/>
      <c r="AX15" s="86">
        <v>6520</v>
      </c>
      <c r="AY15" s="87">
        <v>1</v>
      </c>
      <c r="AZ15" s="86">
        <v>65.2</v>
      </c>
      <c r="BA15" s="86">
        <v>0</v>
      </c>
      <c r="BB15" s="87"/>
      <c r="BC15" s="86">
        <v>0</v>
      </c>
      <c r="BD15" s="86">
        <v>0</v>
      </c>
      <c r="BE15" s="86">
        <v>6520</v>
      </c>
      <c r="BF15" s="87">
        <v>0.25600000000000001</v>
      </c>
      <c r="BG15" s="86">
        <v>16.7</v>
      </c>
      <c r="BH15" s="86">
        <v>0</v>
      </c>
      <c r="BI15" s="87"/>
      <c r="BJ15" s="86">
        <v>0</v>
      </c>
      <c r="BK15" s="86">
        <v>0</v>
      </c>
      <c r="BL15" s="88"/>
      <c r="BM15" s="88"/>
      <c r="BN15" s="88">
        <v>0</v>
      </c>
      <c r="BO15" s="88">
        <v>0</v>
      </c>
      <c r="BP15" s="88"/>
      <c r="BQ15" s="88">
        <v>0</v>
      </c>
      <c r="BR15" s="88">
        <v>0</v>
      </c>
      <c r="BS15" s="13">
        <f t="shared" si="0"/>
        <v>684.6</v>
      </c>
      <c r="BT15" s="13">
        <f t="shared" si="4"/>
        <v>1777.1</v>
      </c>
      <c r="BU15" s="13">
        <f t="shared" si="1"/>
        <v>181</v>
      </c>
      <c r="BV15" s="13">
        <f t="shared" si="2"/>
        <v>181</v>
      </c>
      <c r="BW15" s="14">
        <v>0</v>
      </c>
      <c r="BX15" s="14">
        <f t="shared" si="5"/>
        <v>0</v>
      </c>
      <c r="BY15" s="14">
        <v>0</v>
      </c>
      <c r="BZ15" s="14">
        <v>0</v>
      </c>
      <c r="CA15" s="14">
        <f t="shared" si="6"/>
        <v>865.6</v>
      </c>
      <c r="CB15" s="14">
        <f t="shared" si="6"/>
        <v>1958.1</v>
      </c>
      <c r="CC15" s="14">
        <f t="shared" si="3"/>
        <v>2823.7</v>
      </c>
      <c r="CD15" s="12">
        <v>21</v>
      </c>
    </row>
    <row r="16" spans="1:82" s="4" customFormat="1" ht="24.9" customHeight="1">
      <c r="A16" s="6" t="s">
        <v>439</v>
      </c>
      <c r="B16" s="7" t="s">
        <v>417</v>
      </c>
      <c r="C16" s="8" t="s">
        <v>135</v>
      </c>
      <c r="D16" s="9" t="s">
        <v>136</v>
      </c>
      <c r="E16" s="86">
        <v>6520</v>
      </c>
      <c r="F16" s="87">
        <v>16</v>
      </c>
      <c r="G16" s="86">
        <v>1043.2</v>
      </c>
      <c r="H16" s="86">
        <v>0</v>
      </c>
      <c r="I16" s="87">
        <v>8</v>
      </c>
      <c r="J16" s="86">
        <v>521.6</v>
      </c>
      <c r="K16" s="86">
        <v>0</v>
      </c>
      <c r="L16" s="86">
        <v>6520</v>
      </c>
      <c r="M16" s="87">
        <v>9.5</v>
      </c>
      <c r="N16" s="86"/>
      <c r="O16" s="86">
        <v>619.4</v>
      </c>
      <c r="P16" s="86">
        <v>0</v>
      </c>
      <c r="Q16" s="87">
        <v>2</v>
      </c>
      <c r="R16" s="86"/>
      <c r="S16" s="86">
        <v>130.4</v>
      </c>
      <c r="T16" s="86">
        <v>0</v>
      </c>
      <c r="U16" s="86">
        <v>6520</v>
      </c>
      <c r="V16" s="87">
        <v>0.5</v>
      </c>
      <c r="W16" s="86">
        <v>32.6</v>
      </c>
      <c r="X16" s="86">
        <v>0</v>
      </c>
      <c r="Y16" s="87">
        <v>0.5</v>
      </c>
      <c r="Z16" s="86">
        <v>32.6</v>
      </c>
      <c r="AA16" s="86">
        <v>0</v>
      </c>
      <c r="AB16" s="86">
        <v>2590</v>
      </c>
      <c r="AC16" s="87">
        <v>7</v>
      </c>
      <c r="AD16" s="86">
        <v>181</v>
      </c>
      <c r="AE16" s="86">
        <v>0</v>
      </c>
      <c r="AF16" s="87">
        <v>7</v>
      </c>
      <c r="AG16" s="86">
        <v>181</v>
      </c>
      <c r="AH16" s="86">
        <v>0</v>
      </c>
      <c r="AI16" s="88">
        <v>0</v>
      </c>
      <c r="AJ16" s="88">
        <v>0</v>
      </c>
      <c r="AK16" s="88">
        <v>0</v>
      </c>
      <c r="AL16" s="88">
        <v>0</v>
      </c>
      <c r="AM16" s="88">
        <v>0</v>
      </c>
      <c r="AN16" s="88">
        <v>0</v>
      </c>
      <c r="AO16" s="88">
        <v>0</v>
      </c>
      <c r="AP16" s="88">
        <v>0</v>
      </c>
      <c r="AQ16" s="88">
        <v>0</v>
      </c>
      <c r="AR16" s="88">
        <v>0</v>
      </c>
      <c r="AS16" s="88">
        <v>0</v>
      </c>
      <c r="AT16" s="88">
        <v>0</v>
      </c>
      <c r="AU16" s="88">
        <v>0</v>
      </c>
      <c r="AV16" s="88">
        <v>0</v>
      </c>
      <c r="AW16" s="88"/>
      <c r="AX16" s="86">
        <v>6520</v>
      </c>
      <c r="AY16" s="87">
        <v>1</v>
      </c>
      <c r="AZ16" s="86">
        <v>65.2</v>
      </c>
      <c r="BA16" s="86">
        <v>0</v>
      </c>
      <c r="BB16" s="87"/>
      <c r="BC16" s="86">
        <v>0</v>
      </c>
      <c r="BD16" s="86">
        <v>0</v>
      </c>
      <c r="BE16" s="86">
        <v>6520</v>
      </c>
      <c r="BF16" s="87">
        <v>0.25600000000000001</v>
      </c>
      <c r="BG16" s="86">
        <v>16.7</v>
      </c>
      <c r="BH16" s="86">
        <v>0</v>
      </c>
      <c r="BI16" s="87"/>
      <c r="BJ16" s="86">
        <v>0</v>
      </c>
      <c r="BK16" s="86">
        <v>0</v>
      </c>
      <c r="BL16" s="88"/>
      <c r="BM16" s="88"/>
      <c r="BN16" s="88">
        <v>0</v>
      </c>
      <c r="BO16" s="88">
        <v>0</v>
      </c>
      <c r="BP16" s="88"/>
      <c r="BQ16" s="88">
        <v>0</v>
      </c>
      <c r="BR16" s="88">
        <v>0</v>
      </c>
      <c r="BS16" s="13">
        <f t="shared" si="0"/>
        <v>684.6</v>
      </c>
      <c r="BT16" s="13">
        <f t="shared" si="4"/>
        <v>1777.1</v>
      </c>
      <c r="BU16" s="13">
        <f t="shared" si="1"/>
        <v>181</v>
      </c>
      <c r="BV16" s="13">
        <f t="shared" si="2"/>
        <v>181</v>
      </c>
      <c r="BW16" s="14">
        <v>0</v>
      </c>
      <c r="BX16" s="14">
        <f t="shared" si="5"/>
        <v>0</v>
      </c>
      <c r="BY16" s="14">
        <v>0</v>
      </c>
      <c r="BZ16" s="14">
        <v>0</v>
      </c>
      <c r="CA16" s="14">
        <f t="shared" si="6"/>
        <v>865.6</v>
      </c>
      <c r="CB16" s="14">
        <f t="shared" si="6"/>
        <v>1958.1</v>
      </c>
      <c r="CC16" s="14">
        <f t="shared" si="3"/>
        <v>2823.7</v>
      </c>
      <c r="CD16" s="12">
        <v>21</v>
      </c>
    </row>
    <row r="17" spans="1:82" s="4" customFormat="1" ht="24.9" customHeight="1">
      <c r="A17" s="6" t="s">
        <v>439</v>
      </c>
      <c r="B17" s="7" t="s">
        <v>417</v>
      </c>
      <c r="C17" s="8" t="s">
        <v>375</v>
      </c>
      <c r="D17" s="9" t="s">
        <v>378</v>
      </c>
      <c r="E17" s="86">
        <v>6520</v>
      </c>
      <c r="F17" s="87">
        <v>16</v>
      </c>
      <c r="G17" s="86">
        <v>1043.2</v>
      </c>
      <c r="H17" s="86">
        <v>0</v>
      </c>
      <c r="I17" s="87">
        <v>8</v>
      </c>
      <c r="J17" s="86">
        <v>521.6</v>
      </c>
      <c r="K17" s="86">
        <v>0</v>
      </c>
      <c r="L17" s="86">
        <v>6520</v>
      </c>
      <c r="M17" s="87">
        <v>9.5</v>
      </c>
      <c r="N17" s="86"/>
      <c r="O17" s="86">
        <v>619.4</v>
      </c>
      <c r="P17" s="86">
        <v>0</v>
      </c>
      <c r="Q17" s="87">
        <v>2</v>
      </c>
      <c r="R17" s="86"/>
      <c r="S17" s="86">
        <v>130.4</v>
      </c>
      <c r="T17" s="86">
        <v>0</v>
      </c>
      <c r="U17" s="86">
        <v>6520</v>
      </c>
      <c r="V17" s="87">
        <v>0.5</v>
      </c>
      <c r="W17" s="86">
        <v>32.6</v>
      </c>
      <c r="X17" s="86">
        <v>0</v>
      </c>
      <c r="Y17" s="87">
        <v>0.5</v>
      </c>
      <c r="Z17" s="86">
        <v>32.6</v>
      </c>
      <c r="AA17" s="86">
        <v>0</v>
      </c>
      <c r="AB17" s="86">
        <v>2590</v>
      </c>
      <c r="AC17" s="87">
        <v>7</v>
      </c>
      <c r="AD17" s="86">
        <v>181</v>
      </c>
      <c r="AE17" s="86">
        <v>0</v>
      </c>
      <c r="AF17" s="87">
        <v>7</v>
      </c>
      <c r="AG17" s="86">
        <v>181</v>
      </c>
      <c r="AH17" s="86">
        <v>0</v>
      </c>
      <c r="AI17" s="88">
        <v>0</v>
      </c>
      <c r="AJ17" s="88">
        <v>0</v>
      </c>
      <c r="AK17" s="88">
        <v>0</v>
      </c>
      <c r="AL17" s="88">
        <v>0</v>
      </c>
      <c r="AM17" s="88">
        <v>0</v>
      </c>
      <c r="AN17" s="88">
        <v>0</v>
      </c>
      <c r="AO17" s="88">
        <v>0</v>
      </c>
      <c r="AP17" s="88">
        <v>0</v>
      </c>
      <c r="AQ17" s="88">
        <v>0</v>
      </c>
      <c r="AR17" s="88">
        <v>0</v>
      </c>
      <c r="AS17" s="88">
        <v>0</v>
      </c>
      <c r="AT17" s="88">
        <v>0</v>
      </c>
      <c r="AU17" s="88">
        <v>0</v>
      </c>
      <c r="AV17" s="88">
        <v>0</v>
      </c>
      <c r="AW17" s="88"/>
      <c r="AX17" s="86">
        <v>6520</v>
      </c>
      <c r="AY17" s="87">
        <v>1</v>
      </c>
      <c r="AZ17" s="86">
        <v>65.2</v>
      </c>
      <c r="BA17" s="86">
        <v>0</v>
      </c>
      <c r="BB17" s="87"/>
      <c r="BC17" s="86">
        <v>0</v>
      </c>
      <c r="BD17" s="86">
        <v>0</v>
      </c>
      <c r="BE17" s="86">
        <v>6520</v>
      </c>
      <c r="BF17" s="87">
        <v>0.25600000000000001</v>
      </c>
      <c r="BG17" s="86">
        <v>16.7</v>
      </c>
      <c r="BH17" s="86">
        <v>0</v>
      </c>
      <c r="BI17" s="87"/>
      <c r="BJ17" s="86">
        <v>0</v>
      </c>
      <c r="BK17" s="86">
        <v>0</v>
      </c>
      <c r="BL17" s="88"/>
      <c r="BM17" s="88"/>
      <c r="BN17" s="88">
        <v>0</v>
      </c>
      <c r="BO17" s="88">
        <v>0</v>
      </c>
      <c r="BP17" s="88"/>
      <c r="BQ17" s="88">
        <v>0</v>
      </c>
      <c r="BR17" s="88">
        <v>0</v>
      </c>
      <c r="BS17" s="13">
        <f t="shared" si="0"/>
        <v>684.6</v>
      </c>
      <c r="BT17" s="13">
        <f t="shared" si="4"/>
        <v>1777.1</v>
      </c>
      <c r="BU17" s="13">
        <f t="shared" si="1"/>
        <v>181</v>
      </c>
      <c r="BV17" s="13">
        <f t="shared" si="2"/>
        <v>181</v>
      </c>
      <c r="BW17" s="14">
        <v>0</v>
      </c>
      <c r="BX17" s="14">
        <f t="shared" si="5"/>
        <v>0</v>
      </c>
      <c r="BY17" s="14">
        <v>0</v>
      </c>
      <c r="BZ17" s="14">
        <v>0</v>
      </c>
      <c r="CA17" s="14">
        <f t="shared" si="6"/>
        <v>865.6</v>
      </c>
      <c r="CB17" s="14">
        <f t="shared" si="6"/>
        <v>1958.1</v>
      </c>
      <c r="CC17" s="14">
        <f t="shared" si="3"/>
        <v>2823.7</v>
      </c>
      <c r="CD17" s="12">
        <v>21</v>
      </c>
    </row>
    <row r="18" spans="1:82" s="4" customFormat="1" ht="24.9" customHeight="1">
      <c r="A18" s="6" t="s">
        <v>439</v>
      </c>
      <c r="B18" s="7" t="s">
        <v>417</v>
      </c>
      <c r="C18" s="8" t="s">
        <v>132</v>
      </c>
      <c r="D18" s="9" t="s">
        <v>133</v>
      </c>
      <c r="E18" s="86">
        <v>6520</v>
      </c>
      <c r="F18" s="87">
        <v>16</v>
      </c>
      <c r="G18" s="86">
        <v>1043.2</v>
      </c>
      <c r="H18" s="86">
        <v>0</v>
      </c>
      <c r="I18" s="87">
        <v>8</v>
      </c>
      <c r="J18" s="86">
        <v>521.6</v>
      </c>
      <c r="K18" s="86">
        <v>0</v>
      </c>
      <c r="L18" s="86">
        <v>6520</v>
      </c>
      <c r="M18" s="87">
        <v>9.5</v>
      </c>
      <c r="N18" s="86"/>
      <c r="O18" s="86">
        <v>619.4</v>
      </c>
      <c r="P18" s="86">
        <v>0</v>
      </c>
      <c r="Q18" s="87">
        <v>2</v>
      </c>
      <c r="R18" s="86"/>
      <c r="S18" s="86">
        <v>130.4</v>
      </c>
      <c r="T18" s="86">
        <v>0</v>
      </c>
      <c r="U18" s="86">
        <v>6520</v>
      </c>
      <c r="V18" s="87">
        <v>0.5</v>
      </c>
      <c r="W18" s="86">
        <v>32.6</v>
      </c>
      <c r="X18" s="86">
        <v>0</v>
      </c>
      <c r="Y18" s="87">
        <v>0.5</v>
      </c>
      <c r="Z18" s="86">
        <v>32.6</v>
      </c>
      <c r="AA18" s="86">
        <v>0</v>
      </c>
      <c r="AB18" s="86">
        <v>2590</v>
      </c>
      <c r="AC18" s="87">
        <v>7</v>
      </c>
      <c r="AD18" s="86">
        <v>181</v>
      </c>
      <c r="AE18" s="86">
        <v>0</v>
      </c>
      <c r="AF18" s="87">
        <v>7</v>
      </c>
      <c r="AG18" s="86">
        <v>181</v>
      </c>
      <c r="AH18" s="86">
        <v>0</v>
      </c>
      <c r="AI18" s="88">
        <v>0</v>
      </c>
      <c r="AJ18" s="88">
        <v>0</v>
      </c>
      <c r="AK18" s="88">
        <v>0</v>
      </c>
      <c r="AL18" s="88">
        <v>0</v>
      </c>
      <c r="AM18" s="88">
        <v>0</v>
      </c>
      <c r="AN18" s="88">
        <v>0</v>
      </c>
      <c r="AO18" s="88">
        <v>0</v>
      </c>
      <c r="AP18" s="88">
        <v>0</v>
      </c>
      <c r="AQ18" s="88">
        <v>0</v>
      </c>
      <c r="AR18" s="88">
        <v>0</v>
      </c>
      <c r="AS18" s="88">
        <v>0</v>
      </c>
      <c r="AT18" s="88">
        <v>0</v>
      </c>
      <c r="AU18" s="88">
        <v>0</v>
      </c>
      <c r="AV18" s="88">
        <v>0</v>
      </c>
      <c r="AW18" s="88"/>
      <c r="AX18" s="86">
        <v>6520</v>
      </c>
      <c r="AY18" s="87">
        <v>1</v>
      </c>
      <c r="AZ18" s="86">
        <v>65.2</v>
      </c>
      <c r="BA18" s="86">
        <v>0</v>
      </c>
      <c r="BB18" s="87"/>
      <c r="BC18" s="86">
        <v>0</v>
      </c>
      <c r="BD18" s="86">
        <v>0</v>
      </c>
      <c r="BE18" s="86">
        <v>6520</v>
      </c>
      <c r="BF18" s="87">
        <v>0.25600000000000001</v>
      </c>
      <c r="BG18" s="86">
        <v>16.7</v>
      </c>
      <c r="BH18" s="86">
        <v>0</v>
      </c>
      <c r="BI18" s="87"/>
      <c r="BJ18" s="86">
        <v>0</v>
      </c>
      <c r="BK18" s="86">
        <v>0</v>
      </c>
      <c r="BL18" s="88"/>
      <c r="BM18" s="88"/>
      <c r="BN18" s="88">
        <v>0</v>
      </c>
      <c r="BO18" s="88">
        <v>0</v>
      </c>
      <c r="BP18" s="88"/>
      <c r="BQ18" s="88">
        <v>0</v>
      </c>
      <c r="BR18" s="88">
        <v>0</v>
      </c>
      <c r="BS18" s="13">
        <f t="shared" si="0"/>
        <v>684.6</v>
      </c>
      <c r="BT18" s="13">
        <f t="shared" si="4"/>
        <v>1777.1</v>
      </c>
      <c r="BU18" s="13">
        <f t="shared" si="1"/>
        <v>181</v>
      </c>
      <c r="BV18" s="13">
        <f t="shared" si="2"/>
        <v>181</v>
      </c>
      <c r="BW18" s="14">
        <v>0</v>
      </c>
      <c r="BX18" s="14">
        <f t="shared" si="5"/>
        <v>0</v>
      </c>
      <c r="BY18" s="14">
        <v>0</v>
      </c>
      <c r="BZ18" s="14">
        <v>0</v>
      </c>
      <c r="CA18" s="14">
        <f t="shared" si="6"/>
        <v>865.6</v>
      </c>
      <c r="CB18" s="14">
        <f t="shared" si="6"/>
        <v>1958.1</v>
      </c>
      <c r="CC18" s="14">
        <f t="shared" si="3"/>
        <v>2823.7</v>
      </c>
      <c r="CD18" s="12">
        <v>21</v>
      </c>
    </row>
    <row r="19" spans="1:82" s="4" customFormat="1" ht="24.9" customHeight="1">
      <c r="A19" s="6" t="s">
        <v>439</v>
      </c>
      <c r="B19" s="7" t="s">
        <v>417</v>
      </c>
      <c r="C19" s="8" t="s">
        <v>152</v>
      </c>
      <c r="D19" s="9" t="s">
        <v>153</v>
      </c>
      <c r="E19" s="86">
        <v>6520</v>
      </c>
      <c r="F19" s="87">
        <v>16</v>
      </c>
      <c r="G19" s="86">
        <v>1043.2</v>
      </c>
      <c r="H19" s="86">
        <v>0</v>
      </c>
      <c r="I19" s="87">
        <v>8</v>
      </c>
      <c r="J19" s="86">
        <v>521.6</v>
      </c>
      <c r="K19" s="86">
        <v>0</v>
      </c>
      <c r="L19" s="86">
        <v>6520</v>
      </c>
      <c r="M19" s="87">
        <v>9.5</v>
      </c>
      <c r="N19" s="86"/>
      <c r="O19" s="86">
        <v>619.4</v>
      </c>
      <c r="P19" s="86">
        <v>0</v>
      </c>
      <c r="Q19" s="87">
        <v>2</v>
      </c>
      <c r="R19" s="86"/>
      <c r="S19" s="86">
        <v>130.4</v>
      </c>
      <c r="T19" s="86">
        <v>0</v>
      </c>
      <c r="U19" s="86">
        <v>6520</v>
      </c>
      <c r="V19" s="87">
        <v>0.5</v>
      </c>
      <c r="W19" s="86">
        <v>32.6</v>
      </c>
      <c r="X19" s="86">
        <v>0</v>
      </c>
      <c r="Y19" s="87">
        <v>0.5</v>
      </c>
      <c r="Z19" s="86">
        <v>32.6</v>
      </c>
      <c r="AA19" s="86">
        <v>0</v>
      </c>
      <c r="AB19" s="86">
        <v>2590</v>
      </c>
      <c r="AC19" s="87">
        <v>7</v>
      </c>
      <c r="AD19" s="86">
        <v>181</v>
      </c>
      <c r="AE19" s="86">
        <v>0</v>
      </c>
      <c r="AF19" s="87">
        <v>7</v>
      </c>
      <c r="AG19" s="86">
        <v>181</v>
      </c>
      <c r="AH19" s="86">
        <v>0</v>
      </c>
      <c r="AI19" s="88">
        <v>0</v>
      </c>
      <c r="AJ19" s="88">
        <v>0</v>
      </c>
      <c r="AK19" s="88">
        <v>0</v>
      </c>
      <c r="AL19" s="88">
        <v>0</v>
      </c>
      <c r="AM19" s="88">
        <v>0</v>
      </c>
      <c r="AN19" s="88">
        <v>0</v>
      </c>
      <c r="AO19" s="88">
        <v>0</v>
      </c>
      <c r="AP19" s="88">
        <v>0</v>
      </c>
      <c r="AQ19" s="88">
        <v>0</v>
      </c>
      <c r="AR19" s="88">
        <v>0</v>
      </c>
      <c r="AS19" s="88">
        <v>0</v>
      </c>
      <c r="AT19" s="88">
        <v>0</v>
      </c>
      <c r="AU19" s="88">
        <v>0</v>
      </c>
      <c r="AV19" s="88">
        <v>0</v>
      </c>
      <c r="AW19" s="88"/>
      <c r="AX19" s="86">
        <v>6520</v>
      </c>
      <c r="AY19" s="87">
        <v>1</v>
      </c>
      <c r="AZ19" s="86">
        <v>65.2</v>
      </c>
      <c r="BA19" s="86">
        <v>0</v>
      </c>
      <c r="BB19" s="87"/>
      <c r="BC19" s="86">
        <v>0</v>
      </c>
      <c r="BD19" s="86">
        <v>0</v>
      </c>
      <c r="BE19" s="86">
        <v>6520</v>
      </c>
      <c r="BF19" s="87">
        <v>0.25600000000000001</v>
      </c>
      <c r="BG19" s="86">
        <v>16.7</v>
      </c>
      <c r="BH19" s="86">
        <v>0</v>
      </c>
      <c r="BI19" s="87"/>
      <c r="BJ19" s="86">
        <v>0</v>
      </c>
      <c r="BK19" s="86">
        <v>0</v>
      </c>
      <c r="BL19" s="88"/>
      <c r="BM19" s="88"/>
      <c r="BN19" s="88">
        <v>0</v>
      </c>
      <c r="BO19" s="88">
        <v>0</v>
      </c>
      <c r="BP19" s="88"/>
      <c r="BQ19" s="88">
        <v>0</v>
      </c>
      <c r="BR19" s="88">
        <v>0</v>
      </c>
      <c r="BS19" s="13">
        <f t="shared" si="0"/>
        <v>684.6</v>
      </c>
      <c r="BT19" s="13">
        <f t="shared" si="4"/>
        <v>1777.1</v>
      </c>
      <c r="BU19" s="13">
        <f t="shared" si="1"/>
        <v>181</v>
      </c>
      <c r="BV19" s="13">
        <f t="shared" si="2"/>
        <v>181</v>
      </c>
      <c r="BW19" s="14">
        <v>0</v>
      </c>
      <c r="BX19" s="14">
        <f t="shared" si="5"/>
        <v>0</v>
      </c>
      <c r="BY19" s="14">
        <v>0</v>
      </c>
      <c r="BZ19" s="14">
        <v>0</v>
      </c>
      <c r="CA19" s="14">
        <f t="shared" si="6"/>
        <v>865.6</v>
      </c>
      <c r="CB19" s="14">
        <f t="shared" si="6"/>
        <v>1958.1</v>
      </c>
      <c r="CC19" s="14">
        <f t="shared" si="3"/>
        <v>2823.7</v>
      </c>
      <c r="CD19" s="12">
        <v>21</v>
      </c>
    </row>
    <row r="20" spans="1:82" s="4" customFormat="1" ht="24.9" customHeight="1">
      <c r="A20" s="6" t="s">
        <v>439</v>
      </c>
      <c r="B20" s="7" t="s">
        <v>417</v>
      </c>
      <c r="C20" s="8" t="s">
        <v>158</v>
      </c>
      <c r="D20" s="9" t="s">
        <v>159</v>
      </c>
      <c r="E20" s="86">
        <v>6520</v>
      </c>
      <c r="F20" s="87">
        <v>16</v>
      </c>
      <c r="G20" s="86">
        <v>1043.2</v>
      </c>
      <c r="H20" s="86">
        <v>0</v>
      </c>
      <c r="I20" s="87">
        <v>8</v>
      </c>
      <c r="J20" s="86">
        <v>521.6</v>
      </c>
      <c r="K20" s="86">
        <v>0</v>
      </c>
      <c r="L20" s="86">
        <v>6520</v>
      </c>
      <c r="M20" s="87">
        <v>9.5</v>
      </c>
      <c r="N20" s="86"/>
      <c r="O20" s="86">
        <v>619.4</v>
      </c>
      <c r="P20" s="86">
        <v>0</v>
      </c>
      <c r="Q20" s="87">
        <v>2</v>
      </c>
      <c r="R20" s="86"/>
      <c r="S20" s="86">
        <v>130.4</v>
      </c>
      <c r="T20" s="86">
        <v>0</v>
      </c>
      <c r="U20" s="86">
        <v>6520</v>
      </c>
      <c r="V20" s="87">
        <v>0.5</v>
      </c>
      <c r="W20" s="86">
        <v>32.6</v>
      </c>
      <c r="X20" s="86">
        <v>0</v>
      </c>
      <c r="Y20" s="87">
        <v>0.5</v>
      </c>
      <c r="Z20" s="86">
        <v>32.6</v>
      </c>
      <c r="AA20" s="86">
        <v>0</v>
      </c>
      <c r="AB20" s="86">
        <v>2590</v>
      </c>
      <c r="AC20" s="87">
        <v>7</v>
      </c>
      <c r="AD20" s="86">
        <v>181</v>
      </c>
      <c r="AE20" s="86">
        <v>0</v>
      </c>
      <c r="AF20" s="87">
        <v>7</v>
      </c>
      <c r="AG20" s="86">
        <v>181</v>
      </c>
      <c r="AH20" s="86">
        <v>0</v>
      </c>
      <c r="AI20" s="88">
        <v>0</v>
      </c>
      <c r="AJ20" s="88">
        <v>0</v>
      </c>
      <c r="AK20" s="88">
        <v>0</v>
      </c>
      <c r="AL20" s="88">
        <v>0</v>
      </c>
      <c r="AM20" s="88">
        <v>0</v>
      </c>
      <c r="AN20" s="88">
        <v>0</v>
      </c>
      <c r="AO20" s="88">
        <v>0</v>
      </c>
      <c r="AP20" s="88">
        <v>0</v>
      </c>
      <c r="AQ20" s="88">
        <v>0</v>
      </c>
      <c r="AR20" s="88">
        <v>0</v>
      </c>
      <c r="AS20" s="88">
        <v>0</v>
      </c>
      <c r="AT20" s="88">
        <v>0</v>
      </c>
      <c r="AU20" s="88">
        <v>0</v>
      </c>
      <c r="AV20" s="88">
        <v>0</v>
      </c>
      <c r="AW20" s="88"/>
      <c r="AX20" s="86">
        <v>6520</v>
      </c>
      <c r="AY20" s="87">
        <v>1</v>
      </c>
      <c r="AZ20" s="86">
        <v>65.2</v>
      </c>
      <c r="BA20" s="86">
        <v>0</v>
      </c>
      <c r="BB20" s="87"/>
      <c r="BC20" s="86">
        <v>0</v>
      </c>
      <c r="BD20" s="86">
        <v>0</v>
      </c>
      <c r="BE20" s="86">
        <v>6520</v>
      </c>
      <c r="BF20" s="87">
        <v>0.25600000000000001</v>
      </c>
      <c r="BG20" s="86">
        <v>16.7</v>
      </c>
      <c r="BH20" s="86">
        <v>0</v>
      </c>
      <c r="BI20" s="87"/>
      <c r="BJ20" s="86">
        <v>0</v>
      </c>
      <c r="BK20" s="86">
        <v>0</v>
      </c>
      <c r="BL20" s="88"/>
      <c r="BM20" s="88"/>
      <c r="BN20" s="88">
        <v>0</v>
      </c>
      <c r="BO20" s="88">
        <v>0</v>
      </c>
      <c r="BP20" s="88"/>
      <c r="BQ20" s="88">
        <v>0</v>
      </c>
      <c r="BR20" s="88">
        <v>0</v>
      </c>
      <c r="BS20" s="13">
        <f t="shared" si="0"/>
        <v>684.6</v>
      </c>
      <c r="BT20" s="13">
        <f t="shared" si="4"/>
        <v>1777.1</v>
      </c>
      <c r="BU20" s="13">
        <f t="shared" si="1"/>
        <v>181</v>
      </c>
      <c r="BV20" s="13">
        <f t="shared" si="2"/>
        <v>181</v>
      </c>
      <c r="BW20" s="14">
        <v>0</v>
      </c>
      <c r="BX20" s="14">
        <f t="shared" si="5"/>
        <v>0</v>
      </c>
      <c r="BY20" s="14">
        <v>0</v>
      </c>
      <c r="BZ20" s="14">
        <v>0</v>
      </c>
      <c r="CA20" s="14">
        <f t="shared" si="6"/>
        <v>865.6</v>
      </c>
      <c r="CB20" s="14">
        <f t="shared" si="6"/>
        <v>1958.1</v>
      </c>
      <c r="CC20" s="14">
        <f t="shared" si="3"/>
        <v>2823.7</v>
      </c>
      <c r="CD20" s="12">
        <v>21</v>
      </c>
    </row>
    <row r="21" spans="1:82" s="4" customFormat="1" ht="24.9" customHeight="1">
      <c r="A21" s="6" t="s">
        <v>439</v>
      </c>
      <c r="B21" s="7" t="s">
        <v>417</v>
      </c>
      <c r="C21" s="8" t="s">
        <v>123</v>
      </c>
      <c r="D21" s="9" t="s">
        <v>124</v>
      </c>
      <c r="E21" s="86">
        <v>6520</v>
      </c>
      <c r="F21" s="87">
        <v>16</v>
      </c>
      <c r="G21" s="86">
        <v>1043.2</v>
      </c>
      <c r="H21" s="86">
        <v>0</v>
      </c>
      <c r="I21" s="87">
        <v>8</v>
      </c>
      <c r="J21" s="86">
        <v>521.6</v>
      </c>
      <c r="K21" s="86">
        <v>0</v>
      </c>
      <c r="L21" s="86">
        <v>6520</v>
      </c>
      <c r="M21" s="87">
        <v>9.5</v>
      </c>
      <c r="N21" s="86"/>
      <c r="O21" s="86">
        <v>619.4</v>
      </c>
      <c r="P21" s="86">
        <v>0</v>
      </c>
      <c r="Q21" s="87">
        <v>2</v>
      </c>
      <c r="R21" s="86"/>
      <c r="S21" s="86">
        <v>130.4</v>
      </c>
      <c r="T21" s="86">
        <v>0</v>
      </c>
      <c r="U21" s="86">
        <v>6520</v>
      </c>
      <c r="V21" s="87">
        <v>0.5</v>
      </c>
      <c r="W21" s="86">
        <v>32.6</v>
      </c>
      <c r="X21" s="86">
        <v>0</v>
      </c>
      <c r="Y21" s="87">
        <v>0.5</v>
      </c>
      <c r="Z21" s="86">
        <v>32.6</v>
      </c>
      <c r="AA21" s="86">
        <v>0</v>
      </c>
      <c r="AB21" s="86">
        <v>2590</v>
      </c>
      <c r="AC21" s="87">
        <v>7</v>
      </c>
      <c r="AD21" s="86">
        <v>181</v>
      </c>
      <c r="AE21" s="86">
        <v>0</v>
      </c>
      <c r="AF21" s="87">
        <v>7</v>
      </c>
      <c r="AG21" s="86">
        <v>181</v>
      </c>
      <c r="AH21" s="86">
        <v>0</v>
      </c>
      <c r="AI21" s="88">
        <v>0</v>
      </c>
      <c r="AJ21" s="88">
        <v>0</v>
      </c>
      <c r="AK21" s="88">
        <v>0</v>
      </c>
      <c r="AL21" s="88">
        <v>0</v>
      </c>
      <c r="AM21" s="88">
        <v>0</v>
      </c>
      <c r="AN21" s="88">
        <v>0</v>
      </c>
      <c r="AO21" s="88">
        <v>0</v>
      </c>
      <c r="AP21" s="88">
        <v>0</v>
      </c>
      <c r="AQ21" s="88">
        <v>0</v>
      </c>
      <c r="AR21" s="88">
        <v>0</v>
      </c>
      <c r="AS21" s="88">
        <v>0</v>
      </c>
      <c r="AT21" s="88">
        <v>0</v>
      </c>
      <c r="AU21" s="88">
        <v>0</v>
      </c>
      <c r="AV21" s="88">
        <v>0</v>
      </c>
      <c r="AW21" s="88"/>
      <c r="AX21" s="86">
        <v>6520</v>
      </c>
      <c r="AY21" s="87">
        <v>1</v>
      </c>
      <c r="AZ21" s="86">
        <v>65.2</v>
      </c>
      <c r="BA21" s="86">
        <v>0</v>
      </c>
      <c r="BB21" s="87"/>
      <c r="BC21" s="86">
        <v>0</v>
      </c>
      <c r="BD21" s="86">
        <v>0</v>
      </c>
      <c r="BE21" s="86">
        <v>6520</v>
      </c>
      <c r="BF21" s="87">
        <v>0.25600000000000001</v>
      </c>
      <c r="BG21" s="86">
        <v>16.7</v>
      </c>
      <c r="BH21" s="86">
        <v>0</v>
      </c>
      <c r="BI21" s="87"/>
      <c r="BJ21" s="86">
        <v>0</v>
      </c>
      <c r="BK21" s="86">
        <v>0</v>
      </c>
      <c r="BL21" s="88"/>
      <c r="BM21" s="88"/>
      <c r="BN21" s="88">
        <v>0</v>
      </c>
      <c r="BO21" s="88">
        <v>0</v>
      </c>
      <c r="BP21" s="88"/>
      <c r="BQ21" s="88">
        <v>0</v>
      </c>
      <c r="BR21" s="88">
        <v>0</v>
      </c>
      <c r="BS21" s="13">
        <f t="shared" si="0"/>
        <v>684.6</v>
      </c>
      <c r="BT21" s="13">
        <f t="shared" si="4"/>
        <v>1777.1</v>
      </c>
      <c r="BU21" s="13">
        <f t="shared" si="1"/>
        <v>181</v>
      </c>
      <c r="BV21" s="13">
        <f t="shared" si="2"/>
        <v>181</v>
      </c>
      <c r="BW21" s="14">
        <v>0</v>
      </c>
      <c r="BX21" s="14">
        <f t="shared" si="5"/>
        <v>0</v>
      </c>
      <c r="BY21" s="14">
        <v>0</v>
      </c>
      <c r="BZ21" s="14">
        <v>0</v>
      </c>
      <c r="CA21" s="14">
        <f t="shared" ref="CA21:CB80" si="7">BS21+BU21+BW21+BY21</f>
        <v>865.6</v>
      </c>
      <c r="CB21" s="14">
        <f t="shared" si="7"/>
        <v>1958.1</v>
      </c>
      <c r="CC21" s="14">
        <f t="shared" si="3"/>
        <v>2823.7</v>
      </c>
      <c r="CD21" s="12">
        <v>21</v>
      </c>
    </row>
    <row r="22" spans="1:82" s="4" customFormat="1" ht="24.9" customHeight="1">
      <c r="A22" s="6" t="s">
        <v>439</v>
      </c>
      <c r="B22" s="7" t="s">
        <v>417</v>
      </c>
      <c r="C22" s="8" t="s">
        <v>139</v>
      </c>
      <c r="D22" s="9" t="s">
        <v>140</v>
      </c>
      <c r="E22" s="86">
        <v>6520</v>
      </c>
      <c r="F22" s="87">
        <v>16</v>
      </c>
      <c r="G22" s="86">
        <v>1043.2</v>
      </c>
      <c r="H22" s="86">
        <v>0</v>
      </c>
      <c r="I22" s="87">
        <v>8</v>
      </c>
      <c r="J22" s="86">
        <v>521.6</v>
      </c>
      <c r="K22" s="86">
        <v>0</v>
      </c>
      <c r="L22" s="86">
        <v>6520</v>
      </c>
      <c r="M22" s="87">
        <v>9.5</v>
      </c>
      <c r="N22" s="86"/>
      <c r="O22" s="86">
        <v>619.4</v>
      </c>
      <c r="P22" s="86">
        <v>0</v>
      </c>
      <c r="Q22" s="87">
        <v>2</v>
      </c>
      <c r="R22" s="86"/>
      <c r="S22" s="86">
        <v>130.4</v>
      </c>
      <c r="T22" s="86">
        <v>0</v>
      </c>
      <c r="U22" s="86">
        <v>6520</v>
      </c>
      <c r="V22" s="87">
        <v>0.5</v>
      </c>
      <c r="W22" s="86">
        <v>32.6</v>
      </c>
      <c r="X22" s="86">
        <v>0</v>
      </c>
      <c r="Y22" s="87">
        <v>0.5</v>
      </c>
      <c r="Z22" s="86">
        <v>32.6</v>
      </c>
      <c r="AA22" s="86">
        <v>0</v>
      </c>
      <c r="AB22" s="86">
        <v>2590</v>
      </c>
      <c r="AC22" s="87">
        <v>7</v>
      </c>
      <c r="AD22" s="86">
        <v>181</v>
      </c>
      <c r="AE22" s="86">
        <v>0</v>
      </c>
      <c r="AF22" s="87">
        <v>7</v>
      </c>
      <c r="AG22" s="86">
        <v>181</v>
      </c>
      <c r="AH22" s="86">
        <v>0</v>
      </c>
      <c r="AI22" s="88">
        <v>0</v>
      </c>
      <c r="AJ22" s="88">
        <v>0</v>
      </c>
      <c r="AK22" s="88">
        <v>0</v>
      </c>
      <c r="AL22" s="88">
        <v>0</v>
      </c>
      <c r="AM22" s="88">
        <v>0</v>
      </c>
      <c r="AN22" s="88">
        <v>0</v>
      </c>
      <c r="AO22" s="88">
        <v>0</v>
      </c>
      <c r="AP22" s="88">
        <v>0</v>
      </c>
      <c r="AQ22" s="88">
        <v>0</v>
      </c>
      <c r="AR22" s="88">
        <v>0</v>
      </c>
      <c r="AS22" s="88">
        <v>0</v>
      </c>
      <c r="AT22" s="88">
        <v>0</v>
      </c>
      <c r="AU22" s="88">
        <v>0</v>
      </c>
      <c r="AV22" s="88">
        <v>0</v>
      </c>
      <c r="AW22" s="88"/>
      <c r="AX22" s="86">
        <v>6520</v>
      </c>
      <c r="AY22" s="87">
        <v>1</v>
      </c>
      <c r="AZ22" s="86">
        <v>65.2</v>
      </c>
      <c r="BA22" s="86">
        <v>0</v>
      </c>
      <c r="BB22" s="87"/>
      <c r="BC22" s="86">
        <v>0</v>
      </c>
      <c r="BD22" s="86">
        <v>0</v>
      </c>
      <c r="BE22" s="86">
        <v>6520</v>
      </c>
      <c r="BF22" s="87">
        <v>0.25600000000000001</v>
      </c>
      <c r="BG22" s="86">
        <v>16.7</v>
      </c>
      <c r="BH22" s="86">
        <v>0</v>
      </c>
      <c r="BI22" s="87"/>
      <c r="BJ22" s="86">
        <v>0</v>
      </c>
      <c r="BK22" s="86">
        <v>0</v>
      </c>
      <c r="BL22" s="88"/>
      <c r="BM22" s="88"/>
      <c r="BN22" s="88">
        <v>0</v>
      </c>
      <c r="BO22" s="88">
        <v>0</v>
      </c>
      <c r="BP22" s="88"/>
      <c r="BQ22" s="88">
        <v>0</v>
      </c>
      <c r="BR22" s="88">
        <v>0</v>
      </c>
      <c r="BS22" s="13">
        <f t="shared" si="0"/>
        <v>684.6</v>
      </c>
      <c r="BT22" s="13">
        <f t="shared" si="4"/>
        <v>1777.1</v>
      </c>
      <c r="BU22" s="13">
        <f t="shared" si="1"/>
        <v>181</v>
      </c>
      <c r="BV22" s="13">
        <f t="shared" si="2"/>
        <v>181</v>
      </c>
      <c r="BW22" s="14">
        <v>0</v>
      </c>
      <c r="BX22" s="14">
        <f t="shared" si="5"/>
        <v>0</v>
      </c>
      <c r="BY22" s="14">
        <v>0</v>
      </c>
      <c r="BZ22" s="14">
        <v>0</v>
      </c>
      <c r="CA22" s="14">
        <f t="shared" si="7"/>
        <v>865.6</v>
      </c>
      <c r="CB22" s="14">
        <f t="shared" si="7"/>
        <v>1958.1</v>
      </c>
      <c r="CC22" s="14">
        <f t="shared" si="3"/>
        <v>2823.7</v>
      </c>
      <c r="CD22" s="12">
        <v>21</v>
      </c>
    </row>
    <row r="23" spans="1:82" s="4" customFormat="1" ht="24.9" customHeight="1">
      <c r="A23" s="6" t="s">
        <v>439</v>
      </c>
      <c r="B23" s="7" t="s">
        <v>417</v>
      </c>
      <c r="C23" s="8" t="s">
        <v>141</v>
      </c>
      <c r="D23" s="9" t="s">
        <v>142</v>
      </c>
      <c r="E23" s="86">
        <v>6520</v>
      </c>
      <c r="F23" s="87">
        <v>16</v>
      </c>
      <c r="G23" s="86">
        <v>1043.2</v>
      </c>
      <c r="H23" s="86">
        <v>0</v>
      </c>
      <c r="I23" s="87">
        <v>8</v>
      </c>
      <c r="J23" s="86">
        <v>521.6</v>
      </c>
      <c r="K23" s="86">
        <v>0</v>
      </c>
      <c r="L23" s="86">
        <v>6520</v>
      </c>
      <c r="M23" s="87">
        <v>9.5</v>
      </c>
      <c r="N23" s="86"/>
      <c r="O23" s="86">
        <v>619.4</v>
      </c>
      <c r="P23" s="86">
        <v>0</v>
      </c>
      <c r="Q23" s="87">
        <v>2</v>
      </c>
      <c r="R23" s="86"/>
      <c r="S23" s="86">
        <v>130.4</v>
      </c>
      <c r="T23" s="86">
        <v>0</v>
      </c>
      <c r="U23" s="86">
        <v>6520</v>
      </c>
      <c r="V23" s="87">
        <v>0.5</v>
      </c>
      <c r="W23" s="86">
        <v>32.6</v>
      </c>
      <c r="X23" s="86">
        <v>0</v>
      </c>
      <c r="Y23" s="87">
        <v>0.5</v>
      </c>
      <c r="Z23" s="86">
        <v>32.6</v>
      </c>
      <c r="AA23" s="86">
        <v>0</v>
      </c>
      <c r="AB23" s="86">
        <v>2590</v>
      </c>
      <c r="AC23" s="87">
        <v>7</v>
      </c>
      <c r="AD23" s="86">
        <v>181</v>
      </c>
      <c r="AE23" s="86">
        <v>0</v>
      </c>
      <c r="AF23" s="87">
        <v>7</v>
      </c>
      <c r="AG23" s="86">
        <v>181</v>
      </c>
      <c r="AH23" s="86">
        <v>0</v>
      </c>
      <c r="AI23" s="88">
        <v>0</v>
      </c>
      <c r="AJ23" s="88">
        <v>0</v>
      </c>
      <c r="AK23" s="88">
        <v>0</v>
      </c>
      <c r="AL23" s="88">
        <v>0</v>
      </c>
      <c r="AM23" s="88">
        <v>0</v>
      </c>
      <c r="AN23" s="88">
        <v>0</v>
      </c>
      <c r="AO23" s="88">
        <v>0</v>
      </c>
      <c r="AP23" s="88">
        <v>0</v>
      </c>
      <c r="AQ23" s="88">
        <v>0</v>
      </c>
      <c r="AR23" s="88">
        <v>0</v>
      </c>
      <c r="AS23" s="88">
        <v>0</v>
      </c>
      <c r="AT23" s="88">
        <v>0</v>
      </c>
      <c r="AU23" s="88">
        <v>0</v>
      </c>
      <c r="AV23" s="88">
        <v>0</v>
      </c>
      <c r="AW23" s="88"/>
      <c r="AX23" s="86">
        <v>6520</v>
      </c>
      <c r="AY23" s="87">
        <v>1</v>
      </c>
      <c r="AZ23" s="86">
        <v>65.2</v>
      </c>
      <c r="BA23" s="86">
        <v>0</v>
      </c>
      <c r="BB23" s="87"/>
      <c r="BC23" s="86">
        <v>0</v>
      </c>
      <c r="BD23" s="86">
        <v>0</v>
      </c>
      <c r="BE23" s="86">
        <v>6520</v>
      </c>
      <c r="BF23" s="87">
        <v>0.25600000000000001</v>
      </c>
      <c r="BG23" s="86">
        <v>16.7</v>
      </c>
      <c r="BH23" s="86">
        <v>0</v>
      </c>
      <c r="BI23" s="87"/>
      <c r="BJ23" s="86">
        <v>0</v>
      </c>
      <c r="BK23" s="86">
        <v>0</v>
      </c>
      <c r="BL23" s="88"/>
      <c r="BM23" s="88"/>
      <c r="BN23" s="88">
        <v>0</v>
      </c>
      <c r="BO23" s="88">
        <v>0</v>
      </c>
      <c r="BP23" s="88"/>
      <c r="BQ23" s="88">
        <v>0</v>
      </c>
      <c r="BR23" s="88">
        <v>0</v>
      </c>
      <c r="BS23" s="13">
        <f t="shared" si="0"/>
        <v>684.6</v>
      </c>
      <c r="BT23" s="13">
        <f t="shared" si="4"/>
        <v>1777.1</v>
      </c>
      <c r="BU23" s="13">
        <f t="shared" si="1"/>
        <v>181</v>
      </c>
      <c r="BV23" s="13">
        <f t="shared" si="2"/>
        <v>181</v>
      </c>
      <c r="BW23" s="14">
        <v>0</v>
      </c>
      <c r="BX23" s="14">
        <f t="shared" si="5"/>
        <v>0</v>
      </c>
      <c r="BY23" s="14">
        <v>0</v>
      </c>
      <c r="BZ23" s="14">
        <v>0</v>
      </c>
      <c r="CA23" s="14">
        <f t="shared" si="7"/>
        <v>865.6</v>
      </c>
      <c r="CB23" s="14">
        <f t="shared" si="7"/>
        <v>1958.1</v>
      </c>
      <c r="CC23" s="14">
        <f t="shared" si="3"/>
        <v>2823.7</v>
      </c>
      <c r="CD23" s="12">
        <v>21</v>
      </c>
    </row>
    <row r="24" spans="1:82" s="4" customFormat="1" ht="24.9" customHeight="1">
      <c r="A24" s="6" t="s">
        <v>439</v>
      </c>
      <c r="B24" s="7" t="s">
        <v>417</v>
      </c>
      <c r="C24" s="8" t="s">
        <v>218</v>
      </c>
      <c r="D24" s="9" t="s">
        <v>219</v>
      </c>
      <c r="E24" s="86">
        <v>6520</v>
      </c>
      <c r="F24" s="87">
        <v>16</v>
      </c>
      <c r="G24" s="86">
        <v>1043.2</v>
      </c>
      <c r="H24" s="86">
        <v>0</v>
      </c>
      <c r="I24" s="87">
        <v>8</v>
      </c>
      <c r="J24" s="86">
        <v>521.6</v>
      </c>
      <c r="K24" s="86">
        <v>0</v>
      </c>
      <c r="L24" s="86">
        <v>6520</v>
      </c>
      <c r="M24" s="87">
        <v>9.5</v>
      </c>
      <c r="N24" s="86"/>
      <c r="O24" s="86">
        <v>619.4</v>
      </c>
      <c r="P24" s="86">
        <v>0</v>
      </c>
      <c r="Q24" s="87">
        <v>2</v>
      </c>
      <c r="R24" s="86"/>
      <c r="S24" s="86">
        <v>130.4</v>
      </c>
      <c r="T24" s="86">
        <v>0</v>
      </c>
      <c r="U24" s="86">
        <v>6520</v>
      </c>
      <c r="V24" s="87">
        <v>0.5</v>
      </c>
      <c r="W24" s="86">
        <v>32.6</v>
      </c>
      <c r="X24" s="86">
        <v>0</v>
      </c>
      <c r="Y24" s="87">
        <v>0.5</v>
      </c>
      <c r="Z24" s="86">
        <v>32.6</v>
      </c>
      <c r="AA24" s="86">
        <v>0</v>
      </c>
      <c r="AB24" s="86">
        <v>2590</v>
      </c>
      <c r="AC24" s="87">
        <v>7</v>
      </c>
      <c r="AD24" s="86">
        <v>181</v>
      </c>
      <c r="AE24" s="86">
        <v>0</v>
      </c>
      <c r="AF24" s="87">
        <v>7</v>
      </c>
      <c r="AG24" s="86">
        <v>181</v>
      </c>
      <c r="AH24" s="86">
        <v>0</v>
      </c>
      <c r="AI24" s="88">
        <v>0</v>
      </c>
      <c r="AJ24" s="88">
        <v>0</v>
      </c>
      <c r="AK24" s="88">
        <v>0</v>
      </c>
      <c r="AL24" s="88">
        <v>0</v>
      </c>
      <c r="AM24" s="88">
        <v>0</v>
      </c>
      <c r="AN24" s="88">
        <v>0</v>
      </c>
      <c r="AO24" s="88">
        <v>0</v>
      </c>
      <c r="AP24" s="88">
        <v>0</v>
      </c>
      <c r="AQ24" s="88">
        <v>0</v>
      </c>
      <c r="AR24" s="88">
        <v>0</v>
      </c>
      <c r="AS24" s="88">
        <v>0</v>
      </c>
      <c r="AT24" s="88">
        <v>0</v>
      </c>
      <c r="AU24" s="88">
        <v>0</v>
      </c>
      <c r="AV24" s="88">
        <v>0</v>
      </c>
      <c r="AW24" s="88"/>
      <c r="AX24" s="86">
        <v>6520</v>
      </c>
      <c r="AY24" s="87">
        <v>1</v>
      </c>
      <c r="AZ24" s="86">
        <v>65.2</v>
      </c>
      <c r="BA24" s="86">
        <v>0</v>
      </c>
      <c r="BB24" s="87"/>
      <c r="BC24" s="86">
        <v>0</v>
      </c>
      <c r="BD24" s="86">
        <v>0</v>
      </c>
      <c r="BE24" s="86">
        <v>6520</v>
      </c>
      <c r="BF24" s="87">
        <v>0.25600000000000001</v>
      </c>
      <c r="BG24" s="86">
        <v>16.7</v>
      </c>
      <c r="BH24" s="86">
        <v>0</v>
      </c>
      <c r="BI24" s="87"/>
      <c r="BJ24" s="86">
        <v>0</v>
      </c>
      <c r="BK24" s="86">
        <v>0</v>
      </c>
      <c r="BL24" s="88"/>
      <c r="BM24" s="88"/>
      <c r="BN24" s="88">
        <v>0</v>
      </c>
      <c r="BO24" s="88">
        <v>0</v>
      </c>
      <c r="BP24" s="88"/>
      <c r="BQ24" s="88">
        <v>0</v>
      </c>
      <c r="BR24" s="88">
        <v>0</v>
      </c>
      <c r="BS24" s="13">
        <f t="shared" si="0"/>
        <v>684.6</v>
      </c>
      <c r="BT24" s="13">
        <f t="shared" si="4"/>
        <v>1777.1</v>
      </c>
      <c r="BU24" s="13">
        <f t="shared" si="1"/>
        <v>181</v>
      </c>
      <c r="BV24" s="13">
        <f t="shared" si="2"/>
        <v>181</v>
      </c>
      <c r="BW24" s="14">
        <v>0</v>
      </c>
      <c r="BX24" s="14">
        <f t="shared" si="5"/>
        <v>0</v>
      </c>
      <c r="BY24" s="14">
        <v>0</v>
      </c>
      <c r="BZ24" s="14">
        <v>0</v>
      </c>
      <c r="CA24" s="14">
        <f t="shared" si="7"/>
        <v>865.6</v>
      </c>
      <c r="CB24" s="14">
        <f t="shared" si="7"/>
        <v>1958.1</v>
      </c>
      <c r="CC24" s="14">
        <f t="shared" si="3"/>
        <v>2823.7</v>
      </c>
      <c r="CD24" s="12">
        <v>21</v>
      </c>
    </row>
    <row r="25" spans="1:82" s="4" customFormat="1" ht="24.9" customHeight="1">
      <c r="A25" s="6" t="s">
        <v>439</v>
      </c>
      <c r="B25" s="7" t="s">
        <v>417</v>
      </c>
      <c r="C25" s="8" t="s">
        <v>214</v>
      </c>
      <c r="D25" s="9" t="s">
        <v>215</v>
      </c>
      <c r="E25" s="86">
        <v>6520</v>
      </c>
      <c r="F25" s="87">
        <v>16</v>
      </c>
      <c r="G25" s="86">
        <v>1043.2</v>
      </c>
      <c r="H25" s="86">
        <v>0</v>
      </c>
      <c r="I25" s="87">
        <v>8</v>
      </c>
      <c r="J25" s="86">
        <v>521.6</v>
      </c>
      <c r="K25" s="86">
        <v>0</v>
      </c>
      <c r="L25" s="86">
        <v>6520</v>
      </c>
      <c r="M25" s="87">
        <v>9.5</v>
      </c>
      <c r="N25" s="86"/>
      <c r="O25" s="86">
        <v>619.4</v>
      </c>
      <c r="P25" s="86">
        <v>0</v>
      </c>
      <c r="Q25" s="87">
        <v>2</v>
      </c>
      <c r="R25" s="86"/>
      <c r="S25" s="86">
        <v>130.4</v>
      </c>
      <c r="T25" s="86">
        <v>0</v>
      </c>
      <c r="U25" s="86">
        <v>6520</v>
      </c>
      <c r="V25" s="87">
        <v>0.5</v>
      </c>
      <c r="W25" s="86">
        <v>32.6</v>
      </c>
      <c r="X25" s="86">
        <v>0</v>
      </c>
      <c r="Y25" s="87">
        <v>0.5</v>
      </c>
      <c r="Z25" s="86">
        <v>32.6</v>
      </c>
      <c r="AA25" s="86">
        <v>0</v>
      </c>
      <c r="AB25" s="86">
        <v>2590</v>
      </c>
      <c r="AC25" s="87">
        <v>7</v>
      </c>
      <c r="AD25" s="86">
        <v>181</v>
      </c>
      <c r="AE25" s="86">
        <v>0</v>
      </c>
      <c r="AF25" s="87">
        <v>7</v>
      </c>
      <c r="AG25" s="86">
        <v>181</v>
      </c>
      <c r="AH25" s="86">
        <v>0</v>
      </c>
      <c r="AI25" s="88">
        <v>0</v>
      </c>
      <c r="AJ25" s="88">
        <v>0</v>
      </c>
      <c r="AK25" s="88">
        <v>0</v>
      </c>
      <c r="AL25" s="88">
        <v>0</v>
      </c>
      <c r="AM25" s="88">
        <v>0</v>
      </c>
      <c r="AN25" s="88">
        <v>0</v>
      </c>
      <c r="AO25" s="88">
        <v>0</v>
      </c>
      <c r="AP25" s="88">
        <v>0</v>
      </c>
      <c r="AQ25" s="88">
        <v>0</v>
      </c>
      <c r="AR25" s="88">
        <v>0</v>
      </c>
      <c r="AS25" s="88">
        <v>0</v>
      </c>
      <c r="AT25" s="88">
        <v>0</v>
      </c>
      <c r="AU25" s="88">
        <v>0</v>
      </c>
      <c r="AV25" s="88">
        <v>0</v>
      </c>
      <c r="AW25" s="88"/>
      <c r="AX25" s="86">
        <v>6520</v>
      </c>
      <c r="AY25" s="87">
        <v>1</v>
      </c>
      <c r="AZ25" s="86">
        <v>65.2</v>
      </c>
      <c r="BA25" s="86">
        <v>0</v>
      </c>
      <c r="BB25" s="87"/>
      <c r="BC25" s="86">
        <v>0</v>
      </c>
      <c r="BD25" s="86">
        <v>0</v>
      </c>
      <c r="BE25" s="86">
        <v>6520</v>
      </c>
      <c r="BF25" s="87">
        <v>0.25600000000000001</v>
      </c>
      <c r="BG25" s="86">
        <v>16.7</v>
      </c>
      <c r="BH25" s="86">
        <v>0</v>
      </c>
      <c r="BI25" s="87"/>
      <c r="BJ25" s="86">
        <v>0</v>
      </c>
      <c r="BK25" s="86">
        <v>0</v>
      </c>
      <c r="BL25" s="88"/>
      <c r="BM25" s="88"/>
      <c r="BN25" s="88">
        <v>0</v>
      </c>
      <c r="BO25" s="88">
        <v>0</v>
      </c>
      <c r="BP25" s="88"/>
      <c r="BQ25" s="88">
        <v>0</v>
      </c>
      <c r="BR25" s="88">
        <v>0</v>
      </c>
      <c r="BS25" s="13">
        <f t="shared" si="0"/>
        <v>684.6</v>
      </c>
      <c r="BT25" s="13">
        <f t="shared" si="4"/>
        <v>1777.1</v>
      </c>
      <c r="BU25" s="13">
        <f t="shared" si="1"/>
        <v>181</v>
      </c>
      <c r="BV25" s="13">
        <f t="shared" si="2"/>
        <v>181</v>
      </c>
      <c r="BW25" s="14">
        <v>0</v>
      </c>
      <c r="BX25" s="14">
        <f t="shared" si="5"/>
        <v>0</v>
      </c>
      <c r="BY25" s="14">
        <v>0</v>
      </c>
      <c r="BZ25" s="14">
        <v>0</v>
      </c>
      <c r="CA25" s="14">
        <f t="shared" si="7"/>
        <v>865.6</v>
      </c>
      <c r="CB25" s="14">
        <f t="shared" si="7"/>
        <v>1958.1</v>
      </c>
      <c r="CC25" s="14">
        <f t="shared" si="3"/>
        <v>2823.7</v>
      </c>
      <c r="CD25" s="12">
        <v>21</v>
      </c>
    </row>
    <row r="26" spans="1:82" s="4" customFormat="1" ht="24.9" customHeight="1">
      <c r="A26" s="6" t="s">
        <v>439</v>
      </c>
      <c r="B26" s="7" t="s">
        <v>417</v>
      </c>
      <c r="C26" s="8" t="s">
        <v>100</v>
      </c>
      <c r="D26" s="9" t="s">
        <v>101</v>
      </c>
      <c r="E26" s="86">
        <v>6520</v>
      </c>
      <c r="F26" s="87">
        <v>16</v>
      </c>
      <c r="G26" s="86">
        <v>1043.2</v>
      </c>
      <c r="H26" s="86">
        <v>0</v>
      </c>
      <c r="I26" s="87">
        <v>8</v>
      </c>
      <c r="J26" s="86">
        <v>521.6</v>
      </c>
      <c r="K26" s="86">
        <v>0</v>
      </c>
      <c r="L26" s="86">
        <v>6520</v>
      </c>
      <c r="M26" s="87">
        <v>9.5</v>
      </c>
      <c r="N26" s="86"/>
      <c r="O26" s="86">
        <v>619.4</v>
      </c>
      <c r="P26" s="86">
        <v>0</v>
      </c>
      <c r="Q26" s="87">
        <v>2</v>
      </c>
      <c r="R26" s="86"/>
      <c r="S26" s="86">
        <v>130.4</v>
      </c>
      <c r="T26" s="86">
        <v>0</v>
      </c>
      <c r="U26" s="86">
        <v>6520</v>
      </c>
      <c r="V26" s="87">
        <v>0.5</v>
      </c>
      <c r="W26" s="86">
        <v>32.6</v>
      </c>
      <c r="X26" s="86">
        <v>0</v>
      </c>
      <c r="Y26" s="87">
        <v>0.5</v>
      </c>
      <c r="Z26" s="86">
        <v>32.6</v>
      </c>
      <c r="AA26" s="86">
        <v>0</v>
      </c>
      <c r="AB26" s="86">
        <v>2590</v>
      </c>
      <c r="AC26" s="87">
        <v>7</v>
      </c>
      <c r="AD26" s="86">
        <v>181</v>
      </c>
      <c r="AE26" s="86">
        <v>0</v>
      </c>
      <c r="AF26" s="87">
        <v>7</v>
      </c>
      <c r="AG26" s="86">
        <v>181</v>
      </c>
      <c r="AH26" s="86">
        <v>0</v>
      </c>
      <c r="AI26" s="88">
        <v>0</v>
      </c>
      <c r="AJ26" s="88">
        <v>0</v>
      </c>
      <c r="AK26" s="88">
        <v>0</v>
      </c>
      <c r="AL26" s="88">
        <v>0</v>
      </c>
      <c r="AM26" s="88">
        <v>0</v>
      </c>
      <c r="AN26" s="88">
        <v>0</v>
      </c>
      <c r="AO26" s="88">
        <v>0</v>
      </c>
      <c r="AP26" s="88">
        <v>0</v>
      </c>
      <c r="AQ26" s="88">
        <v>0</v>
      </c>
      <c r="AR26" s="88">
        <v>0</v>
      </c>
      <c r="AS26" s="88">
        <v>0</v>
      </c>
      <c r="AT26" s="88">
        <v>0</v>
      </c>
      <c r="AU26" s="88">
        <v>0</v>
      </c>
      <c r="AV26" s="88">
        <v>0</v>
      </c>
      <c r="AW26" s="88"/>
      <c r="AX26" s="86">
        <v>6520</v>
      </c>
      <c r="AY26" s="87">
        <v>1</v>
      </c>
      <c r="AZ26" s="86">
        <v>65.2</v>
      </c>
      <c r="BA26" s="86">
        <v>0</v>
      </c>
      <c r="BB26" s="87"/>
      <c r="BC26" s="86">
        <v>0</v>
      </c>
      <c r="BD26" s="86">
        <v>0</v>
      </c>
      <c r="BE26" s="86">
        <v>6520</v>
      </c>
      <c r="BF26" s="87">
        <v>0.25600000000000001</v>
      </c>
      <c r="BG26" s="86">
        <v>16.7</v>
      </c>
      <c r="BH26" s="86">
        <v>0</v>
      </c>
      <c r="BI26" s="87"/>
      <c r="BJ26" s="86">
        <v>0</v>
      </c>
      <c r="BK26" s="86">
        <v>0</v>
      </c>
      <c r="BL26" s="88"/>
      <c r="BM26" s="88"/>
      <c r="BN26" s="88">
        <v>0</v>
      </c>
      <c r="BO26" s="88">
        <v>0</v>
      </c>
      <c r="BP26" s="88"/>
      <c r="BQ26" s="88">
        <v>0</v>
      </c>
      <c r="BR26" s="88">
        <v>0</v>
      </c>
      <c r="BS26" s="13">
        <f t="shared" si="0"/>
        <v>684.6</v>
      </c>
      <c r="BT26" s="13">
        <f t="shared" si="4"/>
        <v>1777.1</v>
      </c>
      <c r="BU26" s="13">
        <f t="shared" si="1"/>
        <v>181</v>
      </c>
      <c r="BV26" s="13">
        <f t="shared" si="2"/>
        <v>181</v>
      </c>
      <c r="BW26" s="14">
        <v>0</v>
      </c>
      <c r="BX26" s="14">
        <f t="shared" si="5"/>
        <v>0</v>
      </c>
      <c r="BY26" s="14">
        <v>0</v>
      </c>
      <c r="BZ26" s="14">
        <v>0</v>
      </c>
      <c r="CA26" s="14">
        <f t="shared" si="7"/>
        <v>865.6</v>
      </c>
      <c r="CB26" s="14">
        <f t="shared" si="7"/>
        <v>1958.1</v>
      </c>
      <c r="CC26" s="14">
        <f t="shared" si="3"/>
        <v>2823.7</v>
      </c>
      <c r="CD26" s="12">
        <v>21</v>
      </c>
    </row>
    <row r="27" spans="1:82" s="4" customFormat="1" ht="24.9" customHeight="1">
      <c r="A27" s="6" t="s">
        <v>439</v>
      </c>
      <c r="B27" s="7" t="s">
        <v>417</v>
      </c>
      <c r="C27" s="8" t="s">
        <v>264</v>
      </c>
      <c r="D27" s="9" t="s">
        <v>379</v>
      </c>
      <c r="E27" s="86">
        <v>6520</v>
      </c>
      <c r="F27" s="87">
        <v>16</v>
      </c>
      <c r="G27" s="86">
        <v>1043.2</v>
      </c>
      <c r="H27" s="86">
        <v>0</v>
      </c>
      <c r="I27" s="87">
        <v>8</v>
      </c>
      <c r="J27" s="86">
        <v>521.6</v>
      </c>
      <c r="K27" s="86">
        <v>0</v>
      </c>
      <c r="L27" s="86">
        <v>6520</v>
      </c>
      <c r="M27" s="87">
        <v>9.5</v>
      </c>
      <c r="N27" s="86"/>
      <c r="O27" s="86">
        <v>619.4</v>
      </c>
      <c r="P27" s="86">
        <v>0</v>
      </c>
      <c r="Q27" s="87">
        <v>2</v>
      </c>
      <c r="R27" s="86"/>
      <c r="S27" s="86">
        <v>130.4</v>
      </c>
      <c r="T27" s="86">
        <v>0</v>
      </c>
      <c r="U27" s="86">
        <v>6520</v>
      </c>
      <c r="V27" s="87">
        <v>0.5</v>
      </c>
      <c r="W27" s="86">
        <v>32.6</v>
      </c>
      <c r="X27" s="86">
        <v>0</v>
      </c>
      <c r="Y27" s="87">
        <v>0.5</v>
      </c>
      <c r="Z27" s="86">
        <v>32.6</v>
      </c>
      <c r="AA27" s="86">
        <v>0</v>
      </c>
      <c r="AB27" s="86">
        <v>2590</v>
      </c>
      <c r="AC27" s="87">
        <v>7</v>
      </c>
      <c r="AD27" s="86">
        <v>181</v>
      </c>
      <c r="AE27" s="86">
        <v>0</v>
      </c>
      <c r="AF27" s="87">
        <v>7</v>
      </c>
      <c r="AG27" s="86">
        <v>181</v>
      </c>
      <c r="AH27" s="86">
        <v>0</v>
      </c>
      <c r="AI27" s="88">
        <v>0</v>
      </c>
      <c r="AJ27" s="88">
        <v>0</v>
      </c>
      <c r="AK27" s="88">
        <v>0</v>
      </c>
      <c r="AL27" s="88">
        <v>0</v>
      </c>
      <c r="AM27" s="88">
        <v>0</v>
      </c>
      <c r="AN27" s="88">
        <v>0</v>
      </c>
      <c r="AO27" s="88">
        <v>0</v>
      </c>
      <c r="AP27" s="88">
        <v>0</v>
      </c>
      <c r="AQ27" s="88">
        <v>0</v>
      </c>
      <c r="AR27" s="88">
        <v>0</v>
      </c>
      <c r="AS27" s="88">
        <v>0</v>
      </c>
      <c r="AT27" s="88">
        <v>0</v>
      </c>
      <c r="AU27" s="88">
        <v>0</v>
      </c>
      <c r="AV27" s="88">
        <v>0</v>
      </c>
      <c r="AW27" s="88"/>
      <c r="AX27" s="86">
        <v>6520</v>
      </c>
      <c r="AY27" s="87">
        <v>1</v>
      </c>
      <c r="AZ27" s="86">
        <v>65.2</v>
      </c>
      <c r="BA27" s="86">
        <v>0</v>
      </c>
      <c r="BB27" s="87"/>
      <c r="BC27" s="86">
        <v>0</v>
      </c>
      <c r="BD27" s="86">
        <v>0</v>
      </c>
      <c r="BE27" s="86">
        <v>6520</v>
      </c>
      <c r="BF27" s="87">
        <v>0.25600000000000001</v>
      </c>
      <c r="BG27" s="86">
        <v>16.7</v>
      </c>
      <c r="BH27" s="86">
        <v>0</v>
      </c>
      <c r="BI27" s="87"/>
      <c r="BJ27" s="86">
        <v>0</v>
      </c>
      <c r="BK27" s="86">
        <v>0</v>
      </c>
      <c r="BL27" s="88"/>
      <c r="BM27" s="88"/>
      <c r="BN27" s="88">
        <v>0</v>
      </c>
      <c r="BO27" s="88">
        <v>0</v>
      </c>
      <c r="BP27" s="88"/>
      <c r="BQ27" s="88">
        <v>0</v>
      </c>
      <c r="BR27" s="88">
        <v>0</v>
      </c>
      <c r="BS27" s="13">
        <f t="shared" si="0"/>
        <v>684.6</v>
      </c>
      <c r="BT27" s="13">
        <f t="shared" si="4"/>
        <v>1777.1</v>
      </c>
      <c r="BU27" s="13">
        <f t="shared" si="1"/>
        <v>181</v>
      </c>
      <c r="BV27" s="13">
        <f t="shared" si="2"/>
        <v>181</v>
      </c>
      <c r="BW27" s="14">
        <v>0</v>
      </c>
      <c r="BX27" s="14">
        <f t="shared" si="5"/>
        <v>0</v>
      </c>
      <c r="BY27" s="14">
        <v>0</v>
      </c>
      <c r="BZ27" s="14">
        <v>0</v>
      </c>
      <c r="CA27" s="14">
        <f t="shared" si="7"/>
        <v>865.6</v>
      </c>
      <c r="CB27" s="14">
        <f t="shared" si="7"/>
        <v>1958.1</v>
      </c>
      <c r="CC27" s="14">
        <f t="shared" si="3"/>
        <v>2823.7</v>
      </c>
      <c r="CD27" s="12">
        <v>21</v>
      </c>
    </row>
    <row r="28" spans="1:82" s="4" customFormat="1" ht="24.9" customHeight="1">
      <c r="A28" s="6" t="s">
        <v>439</v>
      </c>
      <c r="B28" s="7" t="s">
        <v>417</v>
      </c>
      <c r="C28" s="8" t="s">
        <v>117</v>
      </c>
      <c r="D28" s="9" t="s">
        <v>118</v>
      </c>
      <c r="E28" s="86">
        <v>6520</v>
      </c>
      <c r="F28" s="87">
        <v>16</v>
      </c>
      <c r="G28" s="86">
        <v>1043.2</v>
      </c>
      <c r="H28" s="86">
        <v>0</v>
      </c>
      <c r="I28" s="87">
        <v>8</v>
      </c>
      <c r="J28" s="86">
        <v>521.6</v>
      </c>
      <c r="K28" s="86">
        <v>0</v>
      </c>
      <c r="L28" s="86">
        <v>6520</v>
      </c>
      <c r="M28" s="87">
        <v>9.5</v>
      </c>
      <c r="N28" s="86"/>
      <c r="O28" s="86">
        <v>619.4</v>
      </c>
      <c r="P28" s="86">
        <v>0</v>
      </c>
      <c r="Q28" s="87">
        <v>2</v>
      </c>
      <c r="R28" s="86"/>
      <c r="S28" s="86">
        <v>130.4</v>
      </c>
      <c r="T28" s="86">
        <v>0</v>
      </c>
      <c r="U28" s="86">
        <v>6520</v>
      </c>
      <c r="V28" s="87">
        <v>0.5</v>
      </c>
      <c r="W28" s="86">
        <v>32.6</v>
      </c>
      <c r="X28" s="86">
        <v>0</v>
      </c>
      <c r="Y28" s="87">
        <v>0.5</v>
      </c>
      <c r="Z28" s="86">
        <v>32.6</v>
      </c>
      <c r="AA28" s="86">
        <v>0</v>
      </c>
      <c r="AB28" s="86">
        <v>2590</v>
      </c>
      <c r="AC28" s="87">
        <v>7</v>
      </c>
      <c r="AD28" s="86">
        <v>181</v>
      </c>
      <c r="AE28" s="86">
        <v>0</v>
      </c>
      <c r="AF28" s="87">
        <v>7</v>
      </c>
      <c r="AG28" s="86">
        <v>181</v>
      </c>
      <c r="AH28" s="86">
        <v>0</v>
      </c>
      <c r="AI28" s="88">
        <v>0</v>
      </c>
      <c r="AJ28" s="88">
        <v>0</v>
      </c>
      <c r="AK28" s="88">
        <v>0</v>
      </c>
      <c r="AL28" s="88">
        <v>0</v>
      </c>
      <c r="AM28" s="88">
        <v>0</v>
      </c>
      <c r="AN28" s="88">
        <v>0</v>
      </c>
      <c r="AO28" s="88">
        <v>0</v>
      </c>
      <c r="AP28" s="88">
        <v>0</v>
      </c>
      <c r="AQ28" s="88">
        <v>0</v>
      </c>
      <c r="AR28" s="88">
        <v>0</v>
      </c>
      <c r="AS28" s="88">
        <v>0</v>
      </c>
      <c r="AT28" s="88">
        <v>0</v>
      </c>
      <c r="AU28" s="88">
        <v>0</v>
      </c>
      <c r="AV28" s="88">
        <v>0</v>
      </c>
      <c r="AW28" s="88"/>
      <c r="AX28" s="86">
        <v>6520</v>
      </c>
      <c r="AY28" s="87">
        <v>1</v>
      </c>
      <c r="AZ28" s="86">
        <v>65.2</v>
      </c>
      <c r="BA28" s="86">
        <v>0</v>
      </c>
      <c r="BB28" s="87"/>
      <c r="BC28" s="86">
        <v>0</v>
      </c>
      <c r="BD28" s="86">
        <v>0</v>
      </c>
      <c r="BE28" s="86">
        <v>6520</v>
      </c>
      <c r="BF28" s="87">
        <v>0.25600000000000001</v>
      </c>
      <c r="BG28" s="86">
        <v>16.7</v>
      </c>
      <c r="BH28" s="86">
        <v>0</v>
      </c>
      <c r="BI28" s="87"/>
      <c r="BJ28" s="86">
        <v>0</v>
      </c>
      <c r="BK28" s="86">
        <v>0</v>
      </c>
      <c r="BL28" s="88"/>
      <c r="BM28" s="88"/>
      <c r="BN28" s="88">
        <v>0</v>
      </c>
      <c r="BO28" s="88">
        <v>0</v>
      </c>
      <c r="BP28" s="88"/>
      <c r="BQ28" s="88">
        <v>0</v>
      </c>
      <c r="BR28" s="88">
        <v>0</v>
      </c>
      <c r="BS28" s="13">
        <f t="shared" si="0"/>
        <v>684.6</v>
      </c>
      <c r="BT28" s="13">
        <f t="shared" si="4"/>
        <v>1777.1</v>
      </c>
      <c r="BU28" s="13">
        <f t="shared" si="1"/>
        <v>181</v>
      </c>
      <c r="BV28" s="13">
        <f t="shared" si="2"/>
        <v>181</v>
      </c>
      <c r="BW28" s="14">
        <v>0</v>
      </c>
      <c r="BX28" s="14">
        <f t="shared" si="5"/>
        <v>0</v>
      </c>
      <c r="BY28" s="14">
        <v>0</v>
      </c>
      <c r="BZ28" s="14">
        <v>0</v>
      </c>
      <c r="CA28" s="14">
        <f t="shared" si="7"/>
        <v>865.6</v>
      </c>
      <c r="CB28" s="14">
        <f t="shared" si="7"/>
        <v>1958.1</v>
      </c>
      <c r="CC28" s="14">
        <f t="shared" si="3"/>
        <v>2823.7</v>
      </c>
      <c r="CD28" s="12">
        <v>21</v>
      </c>
    </row>
    <row r="29" spans="1:82" s="4" customFormat="1" ht="24.9" customHeight="1">
      <c r="A29" s="6" t="s">
        <v>439</v>
      </c>
      <c r="B29" s="7" t="s">
        <v>417</v>
      </c>
      <c r="C29" s="8" t="s">
        <v>126</v>
      </c>
      <c r="D29" s="9" t="s">
        <v>127</v>
      </c>
      <c r="E29" s="86">
        <v>6520</v>
      </c>
      <c r="F29" s="87">
        <v>16</v>
      </c>
      <c r="G29" s="86">
        <v>1043.2</v>
      </c>
      <c r="H29" s="86">
        <v>0</v>
      </c>
      <c r="I29" s="87">
        <v>8</v>
      </c>
      <c r="J29" s="86">
        <v>521.6</v>
      </c>
      <c r="K29" s="86">
        <v>0</v>
      </c>
      <c r="L29" s="86">
        <v>6520</v>
      </c>
      <c r="M29" s="87">
        <v>9.5</v>
      </c>
      <c r="N29" s="86"/>
      <c r="O29" s="86">
        <v>619.4</v>
      </c>
      <c r="P29" s="86">
        <v>0</v>
      </c>
      <c r="Q29" s="87">
        <v>2</v>
      </c>
      <c r="R29" s="86"/>
      <c r="S29" s="86">
        <v>130.4</v>
      </c>
      <c r="T29" s="86">
        <v>0</v>
      </c>
      <c r="U29" s="86">
        <v>6520</v>
      </c>
      <c r="V29" s="87">
        <v>0.5</v>
      </c>
      <c r="W29" s="86">
        <v>32.6</v>
      </c>
      <c r="X29" s="86">
        <v>0</v>
      </c>
      <c r="Y29" s="87">
        <v>0.5</v>
      </c>
      <c r="Z29" s="86">
        <v>32.6</v>
      </c>
      <c r="AA29" s="86">
        <v>0</v>
      </c>
      <c r="AB29" s="86">
        <v>2590</v>
      </c>
      <c r="AC29" s="87">
        <v>7</v>
      </c>
      <c r="AD29" s="86">
        <v>181</v>
      </c>
      <c r="AE29" s="86">
        <v>0</v>
      </c>
      <c r="AF29" s="87">
        <v>7</v>
      </c>
      <c r="AG29" s="86">
        <v>181</v>
      </c>
      <c r="AH29" s="86">
        <v>0</v>
      </c>
      <c r="AI29" s="88">
        <v>0</v>
      </c>
      <c r="AJ29" s="88">
        <v>0</v>
      </c>
      <c r="AK29" s="88">
        <v>0</v>
      </c>
      <c r="AL29" s="88">
        <v>0</v>
      </c>
      <c r="AM29" s="88">
        <v>0</v>
      </c>
      <c r="AN29" s="88">
        <v>0</v>
      </c>
      <c r="AO29" s="88">
        <v>0</v>
      </c>
      <c r="AP29" s="88">
        <v>0</v>
      </c>
      <c r="AQ29" s="88">
        <v>0</v>
      </c>
      <c r="AR29" s="88">
        <v>0</v>
      </c>
      <c r="AS29" s="88">
        <v>0</v>
      </c>
      <c r="AT29" s="88">
        <v>0</v>
      </c>
      <c r="AU29" s="88">
        <v>0</v>
      </c>
      <c r="AV29" s="88">
        <v>0</v>
      </c>
      <c r="AW29" s="88"/>
      <c r="AX29" s="86">
        <v>6520</v>
      </c>
      <c r="AY29" s="87">
        <v>1</v>
      </c>
      <c r="AZ29" s="86">
        <v>65.2</v>
      </c>
      <c r="BA29" s="86">
        <v>0</v>
      </c>
      <c r="BB29" s="87"/>
      <c r="BC29" s="86">
        <v>0</v>
      </c>
      <c r="BD29" s="86">
        <v>0</v>
      </c>
      <c r="BE29" s="86">
        <v>6520</v>
      </c>
      <c r="BF29" s="87">
        <v>0.25600000000000001</v>
      </c>
      <c r="BG29" s="86">
        <v>16.7</v>
      </c>
      <c r="BH29" s="86">
        <v>0</v>
      </c>
      <c r="BI29" s="87"/>
      <c r="BJ29" s="86">
        <v>0</v>
      </c>
      <c r="BK29" s="86">
        <v>0</v>
      </c>
      <c r="BL29" s="88"/>
      <c r="BM29" s="88"/>
      <c r="BN29" s="88">
        <v>0</v>
      </c>
      <c r="BO29" s="88">
        <v>0</v>
      </c>
      <c r="BP29" s="88"/>
      <c r="BQ29" s="88">
        <v>0</v>
      </c>
      <c r="BR29" s="88">
        <v>0</v>
      </c>
      <c r="BS29" s="13">
        <f t="shared" si="0"/>
        <v>684.6</v>
      </c>
      <c r="BT29" s="13">
        <f t="shared" si="4"/>
        <v>1777.1</v>
      </c>
      <c r="BU29" s="13">
        <f t="shared" si="1"/>
        <v>181</v>
      </c>
      <c r="BV29" s="13">
        <f t="shared" si="2"/>
        <v>181</v>
      </c>
      <c r="BW29" s="14">
        <v>0</v>
      </c>
      <c r="BX29" s="14">
        <f t="shared" si="5"/>
        <v>0</v>
      </c>
      <c r="BY29" s="14">
        <v>0</v>
      </c>
      <c r="BZ29" s="14">
        <v>0</v>
      </c>
      <c r="CA29" s="14">
        <f t="shared" si="7"/>
        <v>865.6</v>
      </c>
      <c r="CB29" s="14">
        <f t="shared" si="7"/>
        <v>1958.1</v>
      </c>
      <c r="CC29" s="14">
        <f t="shared" si="3"/>
        <v>2823.7</v>
      </c>
      <c r="CD29" s="12">
        <v>21</v>
      </c>
    </row>
    <row r="30" spans="1:82" s="4" customFormat="1" ht="24.9" customHeight="1">
      <c r="A30" s="6" t="s">
        <v>439</v>
      </c>
      <c r="B30" s="7" t="s">
        <v>417</v>
      </c>
      <c r="C30" s="8" t="s">
        <v>277</v>
      </c>
      <c r="D30" s="9" t="s">
        <v>278</v>
      </c>
      <c r="E30" s="86">
        <v>6520</v>
      </c>
      <c r="F30" s="87">
        <v>16</v>
      </c>
      <c r="G30" s="86">
        <v>1043.2</v>
      </c>
      <c r="H30" s="86">
        <v>0</v>
      </c>
      <c r="I30" s="87">
        <v>8</v>
      </c>
      <c r="J30" s="86">
        <v>521.6</v>
      </c>
      <c r="K30" s="86">
        <v>0</v>
      </c>
      <c r="L30" s="86">
        <v>6520</v>
      </c>
      <c r="M30" s="87">
        <v>9.5</v>
      </c>
      <c r="N30" s="86"/>
      <c r="O30" s="86">
        <v>619.4</v>
      </c>
      <c r="P30" s="86">
        <v>0</v>
      </c>
      <c r="Q30" s="87">
        <v>2</v>
      </c>
      <c r="R30" s="86"/>
      <c r="S30" s="86">
        <v>130.4</v>
      </c>
      <c r="T30" s="86">
        <v>0</v>
      </c>
      <c r="U30" s="86">
        <v>6520</v>
      </c>
      <c r="V30" s="87">
        <v>0.5</v>
      </c>
      <c r="W30" s="86">
        <v>32.6</v>
      </c>
      <c r="X30" s="86">
        <v>0</v>
      </c>
      <c r="Y30" s="87">
        <v>0.5</v>
      </c>
      <c r="Z30" s="86">
        <v>32.6</v>
      </c>
      <c r="AA30" s="86">
        <v>0</v>
      </c>
      <c r="AB30" s="86">
        <v>2590</v>
      </c>
      <c r="AC30" s="87">
        <v>7</v>
      </c>
      <c r="AD30" s="86">
        <v>181</v>
      </c>
      <c r="AE30" s="86">
        <v>0</v>
      </c>
      <c r="AF30" s="87">
        <v>7</v>
      </c>
      <c r="AG30" s="86">
        <v>181</v>
      </c>
      <c r="AH30" s="86">
        <v>0</v>
      </c>
      <c r="AI30" s="88">
        <v>0</v>
      </c>
      <c r="AJ30" s="88">
        <v>0</v>
      </c>
      <c r="AK30" s="88">
        <v>0</v>
      </c>
      <c r="AL30" s="88">
        <v>0</v>
      </c>
      <c r="AM30" s="88">
        <v>0</v>
      </c>
      <c r="AN30" s="88">
        <v>0</v>
      </c>
      <c r="AO30" s="88">
        <v>0</v>
      </c>
      <c r="AP30" s="88">
        <v>0</v>
      </c>
      <c r="AQ30" s="88">
        <v>0</v>
      </c>
      <c r="AR30" s="88">
        <v>0</v>
      </c>
      <c r="AS30" s="88">
        <v>0</v>
      </c>
      <c r="AT30" s="88">
        <v>0</v>
      </c>
      <c r="AU30" s="88">
        <v>0</v>
      </c>
      <c r="AV30" s="88">
        <v>0</v>
      </c>
      <c r="AW30" s="88"/>
      <c r="AX30" s="86">
        <v>6520</v>
      </c>
      <c r="AY30" s="87">
        <v>1</v>
      </c>
      <c r="AZ30" s="86">
        <v>65.2</v>
      </c>
      <c r="BA30" s="86">
        <v>0</v>
      </c>
      <c r="BB30" s="87"/>
      <c r="BC30" s="86">
        <v>0</v>
      </c>
      <c r="BD30" s="86">
        <v>0</v>
      </c>
      <c r="BE30" s="86">
        <v>6520</v>
      </c>
      <c r="BF30" s="87">
        <v>0.25600000000000001</v>
      </c>
      <c r="BG30" s="86">
        <v>16.7</v>
      </c>
      <c r="BH30" s="86">
        <v>0</v>
      </c>
      <c r="BI30" s="87"/>
      <c r="BJ30" s="86">
        <v>0</v>
      </c>
      <c r="BK30" s="86">
        <v>0</v>
      </c>
      <c r="BL30" s="88"/>
      <c r="BM30" s="88"/>
      <c r="BN30" s="88">
        <v>0</v>
      </c>
      <c r="BO30" s="88">
        <v>0</v>
      </c>
      <c r="BP30" s="88"/>
      <c r="BQ30" s="88">
        <v>0</v>
      </c>
      <c r="BR30" s="88">
        <v>0</v>
      </c>
      <c r="BS30" s="13">
        <f t="shared" si="0"/>
        <v>684.6</v>
      </c>
      <c r="BT30" s="13">
        <f t="shared" si="4"/>
        <v>1777.1</v>
      </c>
      <c r="BU30" s="13">
        <f t="shared" si="1"/>
        <v>181</v>
      </c>
      <c r="BV30" s="13">
        <f t="shared" si="2"/>
        <v>181</v>
      </c>
      <c r="BW30" s="14">
        <v>0</v>
      </c>
      <c r="BX30" s="14">
        <f t="shared" si="5"/>
        <v>0</v>
      </c>
      <c r="BY30" s="14">
        <v>0</v>
      </c>
      <c r="BZ30" s="14">
        <v>0</v>
      </c>
      <c r="CA30" s="14">
        <f t="shared" si="7"/>
        <v>865.6</v>
      </c>
      <c r="CB30" s="14">
        <f t="shared" si="7"/>
        <v>1958.1</v>
      </c>
      <c r="CC30" s="14">
        <f t="shared" si="3"/>
        <v>2823.7</v>
      </c>
      <c r="CD30" s="12">
        <v>21</v>
      </c>
    </row>
    <row r="31" spans="1:82" ht="24.9" customHeight="1">
      <c r="A31" s="6" t="s">
        <v>439</v>
      </c>
      <c r="B31" s="7" t="s">
        <v>417</v>
      </c>
      <c r="C31" s="8" t="s">
        <v>228</v>
      </c>
      <c r="D31" s="9" t="s">
        <v>229</v>
      </c>
      <c r="E31" s="86">
        <v>6520</v>
      </c>
      <c r="F31" s="87">
        <v>16</v>
      </c>
      <c r="G31" s="86">
        <v>1043.2</v>
      </c>
      <c r="H31" s="86">
        <v>0</v>
      </c>
      <c r="I31" s="87">
        <v>8</v>
      </c>
      <c r="J31" s="86">
        <v>521.6</v>
      </c>
      <c r="K31" s="86">
        <v>0</v>
      </c>
      <c r="L31" s="86">
        <v>6520</v>
      </c>
      <c r="M31" s="87">
        <v>9.5</v>
      </c>
      <c r="N31" s="86"/>
      <c r="O31" s="86">
        <v>619.4</v>
      </c>
      <c r="P31" s="86">
        <v>0</v>
      </c>
      <c r="Q31" s="87">
        <v>2</v>
      </c>
      <c r="R31" s="86"/>
      <c r="S31" s="86">
        <v>130.4</v>
      </c>
      <c r="T31" s="86">
        <v>0</v>
      </c>
      <c r="U31" s="86">
        <v>6520</v>
      </c>
      <c r="V31" s="87">
        <v>0.5</v>
      </c>
      <c r="W31" s="86">
        <v>32.6</v>
      </c>
      <c r="X31" s="86">
        <v>0</v>
      </c>
      <c r="Y31" s="87">
        <v>0.5</v>
      </c>
      <c r="Z31" s="86">
        <v>32.6</v>
      </c>
      <c r="AA31" s="86">
        <v>0</v>
      </c>
      <c r="AB31" s="86">
        <v>2590</v>
      </c>
      <c r="AC31" s="87">
        <v>7</v>
      </c>
      <c r="AD31" s="86">
        <v>181</v>
      </c>
      <c r="AE31" s="86">
        <v>0</v>
      </c>
      <c r="AF31" s="87">
        <v>7</v>
      </c>
      <c r="AG31" s="86">
        <v>181</v>
      </c>
      <c r="AH31" s="86">
        <v>0</v>
      </c>
      <c r="AI31" s="88">
        <v>0</v>
      </c>
      <c r="AJ31" s="88">
        <v>0</v>
      </c>
      <c r="AK31" s="88">
        <v>0</v>
      </c>
      <c r="AL31" s="88">
        <v>0</v>
      </c>
      <c r="AM31" s="88">
        <v>0</v>
      </c>
      <c r="AN31" s="88">
        <v>0</v>
      </c>
      <c r="AO31" s="88">
        <v>0</v>
      </c>
      <c r="AP31" s="88">
        <v>0</v>
      </c>
      <c r="AQ31" s="88">
        <v>0</v>
      </c>
      <c r="AR31" s="88">
        <v>0</v>
      </c>
      <c r="AS31" s="88">
        <v>0</v>
      </c>
      <c r="AT31" s="88">
        <v>0</v>
      </c>
      <c r="AU31" s="88">
        <v>0</v>
      </c>
      <c r="AV31" s="88">
        <v>0</v>
      </c>
      <c r="AW31" s="88"/>
      <c r="AX31" s="86">
        <v>6520</v>
      </c>
      <c r="AY31" s="87">
        <v>1</v>
      </c>
      <c r="AZ31" s="86">
        <v>65.2</v>
      </c>
      <c r="BA31" s="86">
        <v>0</v>
      </c>
      <c r="BB31" s="87"/>
      <c r="BC31" s="86">
        <v>0</v>
      </c>
      <c r="BD31" s="86">
        <v>0</v>
      </c>
      <c r="BE31" s="86">
        <v>6520</v>
      </c>
      <c r="BF31" s="87">
        <v>0.25600000000000001</v>
      </c>
      <c r="BG31" s="86">
        <v>16.7</v>
      </c>
      <c r="BH31" s="86">
        <v>0</v>
      </c>
      <c r="BI31" s="87"/>
      <c r="BJ31" s="86">
        <v>0</v>
      </c>
      <c r="BK31" s="86">
        <v>0</v>
      </c>
      <c r="BL31" s="88"/>
      <c r="BM31" s="88"/>
      <c r="BN31" s="88">
        <v>0</v>
      </c>
      <c r="BO31" s="88">
        <v>0</v>
      </c>
      <c r="BP31" s="88"/>
      <c r="BQ31" s="88">
        <v>0</v>
      </c>
      <c r="BR31" s="88">
        <v>0</v>
      </c>
      <c r="BS31" s="13">
        <f t="shared" si="0"/>
        <v>684.6</v>
      </c>
      <c r="BT31" s="13">
        <f t="shared" si="4"/>
        <v>1777.1</v>
      </c>
      <c r="BU31" s="13">
        <f t="shared" si="1"/>
        <v>181</v>
      </c>
      <c r="BV31" s="13">
        <f t="shared" si="2"/>
        <v>181</v>
      </c>
      <c r="BW31" s="14">
        <v>0</v>
      </c>
      <c r="BX31" s="14">
        <f t="shared" si="5"/>
        <v>0</v>
      </c>
      <c r="BY31" s="14">
        <v>0</v>
      </c>
      <c r="BZ31" s="14">
        <v>0</v>
      </c>
      <c r="CA31" s="14">
        <f t="shared" si="7"/>
        <v>865.6</v>
      </c>
      <c r="CB31" s="14">
        <f t="shared" si="7"/>
        <v>1958.1</v>
      </c>
      <c r="CC31" s="14">
        <f t="shared" si="3"/>
        <v>2823.7</v>
      </c>
      <c r="CD31" s="12">
        <v>21</v>
      </c>
    </row>
    <row r="32" spans="1:82" ht="24.9" customHeight="1">
      <c r="A32" s="6" t="s">
        <v>439</v>
      </c>
      <c r="B32" s="7" t="s">
        <v>417</v>
      </c>
      <c r="C32" s="8" t="s">
        <v>243</v>
      </c>
      <c r="D32" s="9" t="s">
        <v>244</v>
      </c>
      <c r="E32" s="86">
        <v>6520</v>
      </c>
      <c r="F32" s="87">
        <v>16</v>
      </c>
      <c r="G32" s="86">
        <v>1043.2</v>
      </c>
      <c r="H32" s="86">
        <v>0</v>
      </c>
      <c r="I32" s="87">
        <v>8</v>
      </c>
      <c r="J32" s="86">
        <v>521.6</v>
      </c>
      <c r="K32" s="86">
        <v>0</v>
      </c>
      <c r="L32" s="86">
        <v>6520</v>
      </c>
      <c r="M32" s="87">
        <v>9.5</v>
      </c>
      <c r="N32" s="86"/>
      <c r="O32" s="86">
        <v>619.4</v>
      </c>
      <c r="P32" s="86">
        <v>0</v>
      </c>
      <c r="Q32" s="87">
        <v>2</v>
      </c>
      <c r="R32" s="86"/>
      <c r="S32" s="86">
        <v>130.4</v>
      </c>
      <c r="T32" s="86">
        <v>0</v>
      </c>
      <c r="U32" s="86">
        <v>6520</v>
      </c>
      <c r="V32" s="87">
        <v>0.5</v>
      </c>
      <c r="W32" s="86">
        <v>32.6</v>
      </c>
      <c r="X32" s="86">
        <v>0</v>
      </c>
      <c r="Y32" s="87">
        <v>0.5</v>
      </c>
      <c r="Z32" s="86">
        <v>32.6</v>
      </c>
      <c r="AA32" s="86">
        <v>0</v>
      </c>
      <c r="AB32" s="86">
        <v>2590</v>
      </c>
      <c r="AC32" s="87">
        <v>7</v>
      </c>
      <c r="AD32" s="86">
        <v>181</v>
      </c>
      <c r="AE32" s="86">
        <v>0</v>
      </c>
      <c r="AF32" s="87">
        <v>7</v>
      </c>
      <c r="AG32" s="86">
        <v>181</v>
      </c>
      <c r="AH32" s="86">
        <v>0</v>
      </c>
      <c r="AI32" s="88">
        <v>0</v>
      </c>
      <c r="AJ32" s="88">
        <v>0</v>
      </c>
      <c r="AK32" s="88">
        <v>0</v>
      </c>
      <c r="AL32" s="88">
        <v>0</v>
      </c>
      <c r="AM32" s="88">
        <v>0</v>
      </c>
      <c r="AN32" s="88">
        <v>0</v>
      </c>
      <c r="AO32" s="88">
        <v>0</v>
      </c>
      <c r="AP32" s="88">
        <v>0</v>
      </c>
      <c r="AQ32" s="88">
        <v>0</v>
      </c>
      <c r="AR32" s="88">
        <v>0</v>
      </c>
      <c r="AS32" s="88">
        <v>0</v>
      </c>
      <c r="AT32" s="88">
        <v>0</v>
      </c>
      <c r="AU32" s="88">
        <v>0</v>
      </c>
      <c r="AV32" s="88">
        <v>0</v>
      </c>
      <c r="AW32" s="88"/>
      <c r="AX32" s="86">
        <v>6520</v>
      </c>
      <c r="AY32" s="87">
        <v>1</v>
      </c>
      <c r="AZ32" s="86">
        <v>65.2</v>
      </c>
      <c r="BA32" s="86">
        <v>0</v>
      </c>
      <c r="BB32" s="87"/>
      <c r="BC32" s="86">
        <v>0</v>
      </c>
      <c r="BD32" s="86">
        <v>0</v>
      </c>
      <c r="BE32" s="86">
        <v>6520</v>
      </c>
      <c r="BF32" s="87">
        <v>0.25600000000000001</v>
      </c>
      <c r="BG32" s="86">
        <v>16.7</v>
      </c>
      <c r="BH32" s="86">
        <v>0</v>
      </c>
      <c r="BI32" s="87"/>
      <c r="BJ32" s="86">
        <v>0</v>
      </c>
      <c r="BK32" s="86">
        <v>0</v>
      </c>
      <c r="BL32" s="88"/>
      <c r="BM32" s="88"/>
      <c r="BN32" s="88">
        <v>0</v>
      </c>
      <c r="BO32" s="88">
        <v>0</v>
      </c>
      <c r="BP32" s="88"/>
      <c r="BQ32" s="88">
        <v>0</v>
      </c>
      <c r="BR32" s="88">
        <v>0</v>
      </c>
      <c r="BS32" s="13">
        <f t="shared" si="0"/>
        <v>684.6</v>
      </c>
      <c r="BT32" s="13">
        <f t="shared" si="4"/>
        <v>1777.1</v>
      </c>
      <c r="BU32" s="13">
        <f t="shared" si="1"/>
        <v>181</v>
      </c>
      <c r="BV32" s="13">
        <f t="shared" si="2"/>
        <v>181</v>
      </c>
      <c r="BW32" s="14">
        <v>0</v>
      </c>
      <c r="BX32" s="14">
        <f t="shared" si="5"/>
        <v>0</v>
      </c>
      <c r="BY32" s="14">
        <v>0</v>
      </c>
      <c r="BZ32" s="14">
        <v>0</v>
      </c>
      <c r="CA32" s="14">
        <f t="shared" si="7"/>
        <v>865.6</v>
      </c>
      <c r="CB32" s="14">
        <f t="shared" si="7"/>
        <v>1958.1</v>
      </c>
      <c r="CC32" s="14">
        <f t="shared" si="3"/>
        <v>2823.7</v>
      </c>
      <c r="CD32" s="12">
        <v>21</v>
      </c>
    </row>
    <row r="33" spans="1:82" ht="24.9" customHeight="1">
      <c r="A33" s="6" t="s">
        <v>439</v>
      </c>
      <c r="B33" s="7" t="s">
        <v>417</v>
      </c>
      <c r="C33" s="8" t="s">
        <v>106</v>
      </c>
      <c r="D33" s="9" t="s">
        <v>107</v>
      </c>
      <c r="E33" s="86">
        <v>6520</v>
      </c>
      <c r="F33" s="87">
        <v>16</v>
      </c>
      <c r="G33" s="86">
        <v>1043.2</v>
      </c>
      <c r="H33" s="86">
        <v>0</v>
      </c>
      <c r="I33" s="87">
        <v>8</v>
      </c>
      <c r="J33" s="86">
        <v>521.6</v>
      </c>
      <c r="K33" s="86">
        <v>0</v>
      </c>
      <c r="L33" s="86">
        <v>6520</v>
      </c>
      <c r="M33" s="87">
        <v>9.5</v>
      </c>
      <c r="N33" s="86"/>
      <c r="O33" s="86">
        <v>619.4</v>
      </c>
      <c r="P33" s="86">
        <v>0</v>
      </c>
      <c r="Q33" s="87">
        <v>2</v>
      </c>
      <c r="R33" s="86"/>
      <c r="S33" s="86">
        <v>130.4</v>
      </c>
      <c r="T33" s="86">
        <v>0</v>
      </c>
      <c r="U33" s="86">
        <v>6520</v>
      </c>
      <c r="V33" s="87">
        <v>0.5</v>
      </c>
      <c r="W33" s="86">
        <v>32.6</v>
      </c>
      <c r="X33" s="86">
        <v>0</v>
      </c>
      <c r="Y33" s="87">
        <v>0.5</v>
      </c>
      <c r="Z33" s="86">
        <v>32.6</v>
      </c>
      <c r="AA33" s="86">
        <v>0</v>
      </c>
      <c r="AB33" s="86">
        <v>2590</v>
      </c>
      <c r="AC33" s="87">
        <v>7</v>
      </c>
      <c r="AD33" s="86">
        <v>181</v>
      </c>
      <c r="AE33" s="86">
        <v>0</v>
      </c>
      <c r="AF33" s="87">
        <v>7</v>
      </c>
      <c r="AG33" s="86">
        <v>181</v>
      </c>
      <c r="AH33" s="86">
        <v>0</v>
      </c>
      <c r="AI33" s="88">
        <v>0</v>
      </c>
      <c r="AJ33" s="88">
        <v>0</v>
      </c>
      <c r="AK33" s="88">
        <v>0</v>
      </c>
      <c r="AL33" s="88">
        <v>0</v>
      </c>
      <c r="AM33" s="88">
        <v>0</v>
      </c>
      <c r="AN33" s="88">
        <v>0</v>
      </c>
      <c r="AO33" s="88">
        <v>0</v>
      </c>
      <c r="AP33" s="88">
        <v>0</v>
      </c>
      <c r="AQ33" s="88">
        <v>0</v>
      </c>
      <c r="AR33" s="88">
        <v>0</v>
      </c>
      <c r="AS33" s="88">
        <v>0</v>
      </c>
      <c r="AT33" s="88">
        <v>0</v>
      </c>
      <c r="AU33" s="88">
        <v>0</v>
      </c>
      <c r="AV33" s="88">
        <v>0</v>
      </c>
      <c r="AW33" s="88"/>
      <c r="AX33" s="86">
        <v>6520</v>
      </c>
      <c r="AY33" s="87">
        <v>1</v>
      </c>
      <c r="AZ33" s="86">
        <v>65.2</v>
      </c>
      <c r="BA33" s="86">
        <v>0</v>
      </c>
      <c r="BB33" s="87"/>
      <c r="BC33" s="86">
        <v>0</v>
      </c>
      <c r="BD33" s="86">
        <v>0</v>
      </c>
      <c r="BE33" s="86">
        <v>6520</v>
      </c>
      <c r="BF33" s="87">
        <v>0.25600000000000001</v>
      </c>
      <c r="BG33" s="86">
        <v>16.7</v>
      </c>
      <c r="BH33" s="86">
        <v>0</v>
      </c>
      <c r="BI33" s="87"/>
      <c r="BJ33" s="86">
        <v>0</v>
      </c>
      <c r="BK33" s="86">
        <v>0</v>
      </c>
      <c r="BL33" s="88"/>
      <c r="BM33" s="88"/>
      <c r="BN33" s="88">
        <v>0</v>
      </c>
      <c r="BO33" s="88">
        <v>0</v>
      </c>
      <c r="BP33" s="88"/>
      <c r="BQ33" s="88">
        <v>0</v>
      </c>
      <c r="BR33" s="88">
        <v>0</v>
      </c>
      <c r="BS33" s="13">
        <f t="shared" si="0"/>
        <v>684.6</v>
      </c>
      <c r="BT33" s="13">
        <f t="shared" si="4"/>
        <v>1777.1</v>
      </c>
      <c r="BU33" s="13">
        <f t="shared" si="1"/>
        <v>181</v>
      </c>
      <c r="BV33" s="13">
        <f t="shared" si="2"/>
        <v>181</v>
      </c>
      <c r="BW33" s="14">
        <v>0</v>
      </c>
      <c r="BX33" s="14">
        <f t="shared" si="5"/>
        <v>0</v>
      </c>
      <c r="BY33" s="14">
        <v>0</v>
      </c>
      <c r="BZ33" s="14">
        <v>0</v>
      </c>
      <c r="CA33" s="14">
        <f t="shared" si="7"/>
        <v>865.6</v>
      </c>
      <c r="CB33" s="14">
        <f t="shared" si="7"/>
        <v>1958.1</v>
      </c>
      <c r="CC33" s="14">
        <f t="shared" si="3"/>
        <v>2823.7</v>
      </c>
      <c r="CD33" s="12">
        <v>21</v>
      </c>
    </row>
    <row r="34" spans="1:82" ht="24.9" customHeight="1">
      <c r="A34" s="6" t="s">
        <v>439</v>
      </c>
      <c r="B34" s="7" t="s">
        <v>417</v>
      </c>
      <c r="C34" s="8" t="s">
        <v>231</v>
      </c>
      <c r="D34" s="9" t="s">
        <v>232</v>
      </c>
      <c r="E34" s="86">
        <v>6520</v>
      </c>
      <c r="F34" s="87">
        <v>16</v>
      </c>
      <c r="G34" s="86">
        <v>1043.2</v>
      </c>
      <c r="H34" s="86">
        <v>0</v>
      </c>
      <c r="I34" s="87">
        <v>8</v>
      </c>
      <c r="J34" s="86">
        <v>521.6</v>
      </c>
      <c r="K34" s="86">
        <v>0</v>
      </c>
      <c r="L34" s="86">
        <v>6520</v>
      </c>
      <c r="M34" s="87">
        <v>9.5</v>
      </c>
      <c r="N34" s="86"/>
      <c r="O34" s="86">
        <v>619.4</v>
      </c>
      <c r="P34" s="86">
        <v>0</v>
      </c>
      <c r="Q34" s="87">
        <v>2</v>
      </c>
      <c r="R34" s="86"/>
      <c r="S34" s="86">
        <v>130.4</v>
      </c>
      <c r="T34" s="86">
        <v>0</v>
      </c>
      <c r="U34" s="86">
        <v>6520</v>
      </c>
      <c r="V34" s="87">
        <v>0.5</v>
      </c>
      <c r="W34" s="86">
        <v>32.6</v>
      </c>
      <c r="X34" s="86">
        <v>0</v>
      </c>
      <c r="Y34" s="87">
        <v>0.5</v>
      </c>
      <c r="Z34" s="86">
        <v>32.6</v>
      </c>
      <c r="AA34" s="86">
        <v>0</v>
      </c>
      <c r="AB34" s="86">
        <v>2590</v>
      </c>
      <c r="AC34" s="87">
        <v>7</v>
      </c>
      <c r="AD34" s="86">
        <v>181</v>
      </c>
      <c r="AE34" s="86">
        <v>0</v>
      </c>
      <c r="AF34" s="87">
        <v>7</v>
      </c>
      <c r="AG34" s="86">
        <v>181</v>
      </c>
      <c r="AH34" s="86">
        <v>0</v>
      </c>
      <c r="AI34" s="88">
        <v>0</v>
      </c>
      <c r="AJ34" s="88">
        <v>0</v>
      </c>
      <c r="AK34" s="88">
        <v>0</v>
      </c>
      <c r="AL34" s="88">
        <v>0</v>
      </c>
      <c r="AM34" s="88">
        <v>0</v>
      </c>
      <c r="AN34" s="88">
        <v>0</v>
      </c>
      <c r="AO34" s="88">
        <v>0</v>
      </c>
      <c r="AP34" s="88">
        <v>0</v>
      </c>
      <c r="AQ34" s="88">
        <v>0</v>
      </c>
      <c r="AR34" s="88">
        <v>0</v>
      </c>
      <c r="AS34" s="88">
        <v>0</v>
      </c>
      <c r="AT34" s="88">
        <v>0</v>
      </c>
      <c r="AU34" s="88">
        <v>0</v>
      </c>
      <c r="AV34" s="88">
        <v>0</v>
      </c>
      <c r="AW34" s="88"/>
      <c r="AX34" s="86">
        <v>6520</v>
      </c>
      <c r="AY34" s="87">
        <v>1</v>
      </c>
      <c r="AZ34" s="86">
        <v>65.2</v>
      </c>
      <c r="BA34" s="86">
        <v>0</v>
      </c>
      <c r="BB34" s="87"/>
      <c r="BC34" s="86">
        <v>0</v>
      </c>
      <c r="BD34" s="86">
        <v>0</v>
      </c>
      <c r="BE34" s="86">
        <v>6520</v>
      </c>
      <c r="BF34" s="87">
        <v>0.25600000000000001</v>
      </c>
      <c r="BG34" s="86">
        <v>16.7</v>
      </c>
      <c r="BH34" s="86">
        <v>0</v>
      </c>
      <c r="BI34" s="87"/>
      <c r="BJ34" s="86">
        <v>0</v>
      </c>
      <c r="BK34" s="86">
        <v>0</v>
      </c>
      <c r="BL34" s="88"/>
      <c r="BM34" s="88"/>
      <c r="BN34" s="88">
        <v>0</v>
      </c>
      <c r="BO34" s="88">
        <v>0</v>
      </c>
      <c r="BP34" s="88"/>
      <c r="BQ34" s="88">
        <v>0</v>
      </c>
      <c r="BR34" s="88">
        <v>0</v>
      </c>
      <c r="BS34" s="13">
        <f t="shared" si="0"/>
        <v>684.6</v>
      </c>
      <c r="BT34" s="13">
        <f t="shared" si="4"/>
        <v>1777.1</v>
      </c>
      <c r="BU34" s="13">
        <f t="shared" si="1"/>
        <v>181</v>
      </c>
      <c r="BV34" s="13">
        <f t="shared" si="2"/>
        <v>181</v>
      </c>
      <c r="BW34" s="14">
        <v>0</v>
      </c>
      <c r="BX34" s="14">
        <f t="shared" si="5"/>
        <v>0</v>
      </c>
      <c r="BY34" s="14">
        <v>0</v>
      </c>
      <c r="BZ34" s="14">
        <v>0</v>
      </c>
      <c r="CA34" s="14">
        <f t="shared" si="7"/>
        <v>865.6</v>
      </c>
      <c r="CB34" s="14">
        <f t="shared" si="7"/>
        <v>1958.1</v>
      </c>
      <c r="CC34" s="14">
        <f t="shared" si="3"/>
        <v>2823.7</v>
      </c>
      <c r="CD34" s="12">
        <v>21</v>
      </c>
    </row>
    <row r="35" spans="1:82" ht="24.9" customHeight="1">
      <c r="A35" s="6" t="s">
        <v>439</v>
      </c>
      <c r="B35" s="7" t="s">
        <v>417</v>
      </c>
      <c r="C35" s="8" t="s">
        <v>265</v>
      </c>
      <c r="D35" s="9" t="s">
        <v>266</v>
      </c>
      <c r="E35" s="86">
        <v>6520</v>
      </c>
      <c r="F35" s="87">
        <v>16</v>
      </c>
      <c r="G35" s="86">
        <v>1043.2</v>
      </c>
      <c r="H35" s="86">
        <v>0</v>
      </c>
      <c r="I35" s="87">
        <v>8</v>
      </c>
      <c r="J35" s="86">
        <v>521.6</v>
      </c>
      <c r="K35" s="86">
        <v>0</v>
      </c>
      <c r="L35" s="86">
        <v>6520</v>
      </c>
      <c r="M35" s="87">
        <v>9.5</v>
      </c>
      <c r="N35" s="86"/>
      <c r="O35" s="86">
        <v>619.4</v>
      </c>
      <c r="P35" s="86">
        <v>0</v>
      </c>
      <c r="Q35" s="87">
        <v>2</v>
      </c>
      <c r="R35" s="86"/>
      <c r="S35" s="86">
        <v>130.4</v>
      </c>
      <c r="T35" s="86">
        <v>0</v>
      </c>
      <c r="U35" s="86">
        <v>6520</v>
      </c>
      <c r="V35" s="87">
        <v>0.5</v>
      </c>
      <c r="W35" s="86">
        <v>32.6</v>
      </c>
      <c r="X35" s="86">
        <v>0</v>
      </c>
      <c r="Y35" s="87">
        <v>0.5</v>
      </c>
      <c r="Z35" s="86">
        <v>32.6</v>
      </c>
      <c r="AA35" s="86">
        <v>0</v>
      </c>
      <c r="AB35" s="86">
        <v>2590</v>
      </c>
      <c r="AC35" s="87">
        <v>7</v>
      </c>
      <c r="AD35" s="86">
        <v>181</v>
      </c>
      <c r="AE35" s="86">
        <v>0</v>
      </c>
      <c r="AF35" s="87">
        <v>7</v>
      </c>
      <c r="AG35" s="86">
        <v>181</v>
      </c>
      <c r="AH35" s="86">
        <v>0</v>
      </c>
      <c r="AI35" s="88">
        <v>0</v>
      </c>
      <c r="AJ35" s="88">
        <v>0</v>
      </c>
      <c r="AK35" s="88">
        <v>0</v>
      </c>
      <c r="AL35" s="88">
        <v>0</v>
      </c>
      <c r="AM35" s="88">
        <v>0</v>
      </c>
      <c r="AN35" s="88">
        <v>0</v>
      </c>
      <c r="AO35" s="88">
        <v>0</v>
      </c>
      <c r="AP35" s="88">
        <v>0</v>
      </c>
      <c r="AQ35" s="88">
        <v>0</v>
      </c>
      <c r="AR35" s="88">
        <v>0</v>
      </c>
      <c r="AS35" s="88">
        <v>0</v>
      </c>
      <c r="AT35" s="88">
        <v>0</v>
      </c>
      <c r="AU35" s="88">
        <v>0</v>
      </c>
      <c r="AV35" s="88">
        <v>0</v>
      </c>
      <c r="AW35" s="88"/>
      <c r="AX35" s="86">
        <v>6520</v>
      </c>
      <c r="AY35" s="87">
        <v>1</v>
      </c>
      <c r="AZ35" s="86">
        <v>65.2</v>
      </c>
      <c r="BA35" s="86">
        <v>0</v>
      </c>
      <c r="BB35" s="87"/>
      <c r="BC35" s="86">
        <v>0</v>
      </c>
      <c r="BD35" s="86">
        <v>0</v>
      </c>
      <c r="BE35" s="86">
        <v>6520</v>
      </c>
      <c r="BF35" s="87">
        <v>0.25600000000000001</v>
      </c>
      <c r="BG35" s="86">
        <v>16.7</v>
      </c>
      <c r="BH35" s="86">
        <v>0</v>
      </c>
      <c r="BI35" s="87"/>
      <c r="BJ35" s="86">
        <v>0</v>
      </c>
      <c r="BK35" s="86">
        <v>0</v>
      </c>
      <c r="BL35" s="88"/>
      <c r="BM35" s="88"/>
      <c r="BN35" s="88">
        <v>0</v>
      </c>
      <c r="BO35" s="88">
        <v>0</v>
      </c>
      <c r="BP35" s="88"/>
      <c r="BQ35" s="88">
        <v>0</v>
      </c>
      <c r="BR35" s="88">
        <v>0</v>
      </c>
      <c r="BS35" s="13">
        <f t="shared" si="0"/>
        <v>684.6</v>
      </c>
      <c r="BT35" s="13">
        <f t="shared" si="4"/>
        <v>1777.1</v>
      </c>
      <c r="BU35" s="13">
        <f t="shared" si="1"/>
        <v>181</v>
      </c>
      <c r="BV35" s="13">
        <f t="shared" si="2"/>
        <v>181</v>
      </c>
      <c r="BW35" s="14">
        <v>0</v>
      </c>
      <c r="BX35" s="14">
        <f t="shared" si="5"/>
        <v>0</v>
      </c>
      <c r="BY35" s="14">
        <v>0</v>
      </c>
      <c r="BZ35" s="14">
        <v>0</v>
      </c>
      <c r="CA35" s="14">
        <f t="shared" si="7"/>
        <v>865.6</v>
      </c>
      <c r="CB35" s="14">
        <f t="shared" si="7"/>
        <v>1958.1</v>
      </c>
      <c r="CC35" s="14">
        <f t="shared" si="3"/>
        <v>2823.7</v>
      </c>
      <c r="CD35" s="12">
        <v>21</v>
      </c>
    </row>
    <row r="36" spans="1:82" ht="24.9" customHeight="1">
      <c r="A36" s="6" t="s">
        <v>439</v>
      </c>
      <c r="B36" s="7" t="s">
        <v>417</v>
      </c>
      <c r="C36" s="8" t="s">
        <v>360</v>
      </c>
      <c r="D36" s="9" t="s">
        <v>361</v>
      </c>
      <c r="E36" s="86">
        <v>6520</v>
      </c>
      <c r="F36" s="87">
        <v>16</v>
      </c>
      <c r="G36" s="86">
        <v>1043.2</v>
      </c>
      <c r="H36" s="86">
        <v>0</v>
      </c>
      <c r="I36" s="87">
        <v>8</v>
      </c>
      <c r="J36" s="86">
        <v>521.6</v>
      </c>
      <c r="K36" s="86">
        <v>0</v>
      </c>
      <c r="L36" s="86">
        <v>6520</v>
      </c>
      <c r="M36" s="87">
        <v>9.5</v>
      </c>
      <c r="N36" s="86"/>
      <c r="O36" s="86">
        <v>619.4</v>
      </c>
      <c r="P36" s="86">
        <v>0</v>
      </c>
      <c r="Q36" s="87">
        <v>2</v>
      </c>
      <c r="R36" s="86"/>
      <c r="S36" s="86">
        <v>130.4</v>
      </c>
      <c r="T36" s="86">
        <v>0</v>
      </c>
      <c r="U36" s="86">
        <v>6520</v>
      </c>
      <c r="V36" s="87">
        <v>0.5</v>
      </c>
      <c r="W36" s="86">
        <v>32.6</v>
      </c>
      <c r="X36" s="86">
        <v>0</v>
      </c>
      <c r="Y36" s="87">
        <v>0.5</v>
      </c>
      <c r="Z36" s="86">
        <v>32.6</v>
      </c>
      <c r="AA36" s="86">
        <v>0</v>
      </c>
      <c r="AB36" s="86">
        <v>2590</v>
      </c>
      <c r="AC36" s="87">
        <v>7</v>
      </c>
      <c r="AD36" s="86">
        <v>181</v>
      </c>
      <c r="AE36" s="86">
        <v>0</v>
      </c>
      <c r="AF36" s="87">
        <v>7</v>
      </c>
      <c r="AG36" s="86">
        <v>181</v>
      </c>
      <c r="AH36" s="86">
        <v>0</v>
      </c>
      <c r="AI36" s="88">
        <v>0</v>
      </c>
      <c r="AJ36" s="88">
        <v>0</v>
      </c>
      <c r="AK36" s="88">
        <v>0</v>
      </c>
      <c r="AL36" s="88">
        <v>0</v>
      </c>
      <c r="AM36" s="88">
        <v>0</v>
      </c>
      <c r="AN36" s="88">
        <v>0</v>
      </c>
      <c r="AO36" s="88">
        <v>0</v>
      </c>
      <c r="AP36" s="88">
        <v>0</v>
      </c>
      <c r="AQ36" s="88">
        <v>0</v>
      </c>
      <c r="AR36" s="88">
        <v>0</v>
      </c>
      <c r="AS36" s="88">
        <v>0</v>
      </c>
      <c r="AT36" s="88">
        <v>0</v>
      </c>
      <c r="AU36" s="88">
        <v>0</v>
      </c>
      <c r="AV36" s="88">
        <v>0</v>
      </c>
      <c r="AW36" s="88"/>
      <c r="AX36" s="86">
        <v>6520</v>
      </c>
      <c r="AY36" s="87">
        <v>1</v>
      </c>
      <c r="AZ36" s="86">
        <v>65.2</v>
      </c>
      <c r="BA36" s="86">
        <v>0</v>
      </c>
      <c r="BB36" s="87"/>
      <c r="BC36" s="86">
        <v>0</v>
      </c>
      <c r="BD36" s="86">
        <v>0</v>
      </c>
      <c r="BE36" s="86">
        <v>6520</v>
      </c>
      <c r="BF36" s="87">
        <v>0.25600000000000001</v>
      </c>
      <c r="BG36" s="86">
        <v>16.7</v>
      </c>
      <c r="BH36" s="86">
        <v>0</v>
      </c>
      <c r="BI36" s="87"/>
      <c r="BJ36" s="86">
        <v>0</v>
      </c>
      <c r="BK36" s="86">
        <v>0</v>
      </c>
      <c r="BL36" s="88"/>
      <c r="BM36" s="88"/>
      <c r="BN36" s="88">
        <v>0</v>
      </c>
      <c r="BO36" s="88">
        <v>0</v>
      </c>
      <c r="BP36" s="88"/>
      <c r="BQ36" s="88">
        <v>0</v>
      </c>
      <c r="BR36" s="88">
        <v>0</v>
      </c>
      <c r="BS36" s="13">
        <f t="shared" si="0"/>
        <v>684.6</v>
      </c>
      <c r="BT36" s="13">
        <f t="shared" si="4"/>
        <v>1777.1</v>
      </c>
      <c r="BU36" s="13">
        <f t="shared" si="1"/>
        <v>181</v>
      </c>
      <c r="BV36" s="13">
        <f t="shared" si="2"/>
        <v>181</v>
      </c>
      <c r="BW36" s="14">
        <v>0</v>
      </c>
      <c r="BX36" s="14">
        <f t="shared" si="5"/>
        <v>0</v>
      </c>
      <c r="BY36" s="14">
        <v>0</v>
      </c>
      <c r="BZ36" s="14">
        <v>0</v>
      </c>
      <c r="CA36" s="14">
        <f t="shared" si="7"/>
        <v>865.6</v>
      </c>
      <c r="CB36" s="14">
        <f t="shared" si="7"/>
        <v>1958.1</v>
      </c>
      <c r="CC36" s="14">
        <f t="shared" si="3"/>
        <v>2823.7</v>
      </c>
      <c r="CD36" s="12">
        <v>21</v>
      </c>
    </row>
    <row r="37" spans="1:82" ht="24.9" customHeight="1">
      <c r="A37" s="6" t="s">
        <v>439</v>
      </c>
      <c r="B37" s="7" t="s">
        <v>417</v>
      </c>
      <c r="C37" s="8" t="s">
        <v>198</v>
      </c>
      <c r="D37" s="9" t="s">
        <v>199</v>
      </c>
      <c r="E37" s="86">
        <v>6520</v>
      </c>
      <c r="F37" s="87">
        <v>16</v>
      </c>
      <c r="G37" s="86">
        <v>1043.2</v>
      </c>
      <c r="H37" s="86">
        <v>0</v>
      </c>
      <c r="I37" s="87">
        <v>8</v>
      </c>
      <c r="J37" s="86">
        <v>521.6</v>
      </c>
      <c r="K37" s="86">
        <v>0</v>
      </c>
      <c r="L37" s="86">
        <v>6520</v>
      </c>
      <c r="M37" s="87">
        <v>9.5</v>
      </c>
      <c r="N37" s="86"/>
      <c r="O37" s="86">
        <v>619.4</v>
      </c>
      <c r="P37" s="86">
        <v>0</v>
      </c>
      <c r="Q37" s="87">
        <v>2</v>
      </c>
      <c r="R37" s="86"/>
      <c r="S37" s="86">
        <v>130.4</v>
      </c>
      <c r="T37" s="86">
        <v>0</v>
      </c>
      <c r="U37" s="86">
        <v>6520</v>
      </c>
      <c r="V37" s="87">
        <v>0.5</v>
      </c>
      <c r="W37" s="86">
        <v>32.6</v>
      </c>
      <c r="X37" s="86">
        <v>0</v>
      </c>
      <c r="Y37" s="87">
        <v>0.5</v>
      </c>
      <c r="Z37" s="86">
        <v>32.6</v>
      </c>
      <c r="AA37" s="86">
        <v>0</v>
      </c>
      <c r="AB37" s="86">
        <v>2590</v>
      </c>
      <c r="AC37" s="87">
        <v>7</v>
      </c>
      <c r="AD37" s="86">
        <v>181</v>
      </c>
      <c r="AE37" s="86">
        <v>0</v>
      </c>
      <c r="AF37" s="87">
        <v>7</v>
      </c>
      <c r="AG37" s="86">
        <v>181</v>
      </c>
      <c r="AH37" s="86">
        <v>0</v>
      </c>
      <c r="AI37" s="88">
        <v>0</v>
      </c>
      <c r="AJ37" s="88">
        <v>0</v>
      </c>
      <c r="AK37" s="88">
        <v>0</v>
      </c>
      <c r="AL37" s="88">
        <v>0</v>
      </c>
      <c r="AM37" s="88">
        <v>0</v>
      </c>
      <c r="AN37" s="88">
        <v>0</v>
      </c>
      <c r="AO37" s="88">
        <v>0</v>
      </c>
      <c r="AP37" s="88">
        <v>0</v>
      </c>
      <c r="AQ37" s="88">
        <v>0</v>
      </c>
      <c r="AR37" s="88">
        <v>0</v>
      </c>
      <c r="AS37" s="88">
        <v>0</v>
      </c>
      <c r="AT37" s="88">
        <v>0</v>
      </c>
      <c r="AU37" s="88">
        <v>0</v>
      </c>
      <c r="AV37" s="88">
        <v>0</v>
      </c>
      <c r="AW37" s="88"/>
      <c r="AX37" s="86">
        <v>6520</v>
      </c>
      <c r="AY37" s="87">
        <v>1</v>
      </c>
      <c r="AZ37" s="86">
        <v>65.2</v>
      </c>
      <c r="BA37" s="86">
        <v>0</v>
      </c>
      <c r="BB37" s="87"/>
      <c r="BC37" s="86">
        <v>0</v>
      </c>
      <c r="BD37" s="86">
        <v>0</v>
      </c>
      <c r="BE37" s="86">
        <v>6520</v>
      </c>
      <c r="BF37" s="87">
        <v>0.25600000000000001</v>
      </c>
      <c r="BG37" s="86">
        <v>16.7</v>
      </c>
      <c r="BH37" s="86">
        <v>0</v>
      </c>
      <c r="BI37" s="87"/>
      <c r="BJ37" s="86">
        <v>0</v>
      </c>
      <c r="BK37" s="86">
        <v>0</v>
      </c>
      <c r="BL37" s="88"/>
      <c r="BM37" s="88"/>
      <c r="BN37" s="88">
        <v>0</v>
      </c>
      <c r="BO37" s="88">
        <v>0</v>
      </c>
      <c r="BP37" s="88"/>
      <c r="BQ37" s="88">
        <v>0</v>
      </c>
      <c r="BR37" s="88">
        <v>0</v>
      </c>
      <c r="BS37" s="13">
        <f t="shared" si="0"/>
        <v>684.6</v>
      </c>
      <c r="BT37" s="13">
        <f t="shared" si="4"/>
        <v>1777.1</v>
      </c>
      <c r="BU37" s="13">
        <f t="shared" si="1"/>
        <v>181</v>
      </c>
      <c r="BV37" s="13">
        <f t="shared" si="2"/>
        <v>181</v>
      </c>
      <c r="BW37" s="14">
        <v>0</v>
      </c>
      <c r="BX37" s="14">
        <f t="shared" si="5"/>
        <v>0</v>
      </c>
      <c r="BY37" s="14">
        <v>0</v>
      </c>
      <c r="BZ37" s="14">
        <v>0</v>
      </c>
      <c r="CA37" s="14">
        <f t="shared" si="7"/>
        <v>865.6</v>
      </c>
      <c r="CB37" s="14">
        <f t="shared" si="7"/>
        <v>1958.1</v>
      </c>
      <c r="CC37" s="14">
        <f t="shared" si="3"/>
        <v>2823.7</v>
      </c>
      <c r="CD37" s="12">
        <v>21</v>
      </c>
    </row>
    <row r="38" spans="1:82" ht="24.9" customHeight="1">
      <c r="A38" s="6" t="s">
        <v>439</v>
      </c>
      <c r="B38" s="7" t="s">
        <v>417</v>
      </c>
      <c r="C38" s="8" t="s">
        <v>129</v>
      </c>
      <c r="D38" s="9" t="s">
        <v>130</v>
      </c>
      <c r="E38" s="86">
        <v>6520</v>
      </c>
      <c r="F38" s="87">
        <v>16</v>
      </c>
      <c r="G38" s="86">
        <v>1043.2</v>
      </c>
      <c r="H38" s="86">
        <v>0</v>
      </c>
      <c r="I38" s="87">
        <v>8</v>
      </c>
      <c r="J38" s="86">
        <v>521.6</v>
      </c>
      <c r="K38" s="86">
        <v>0</v>
      </c>
      <c r="L38" s="86">
        <v>6520</v>
      </c>
      <c r="M38" s="87">
        <v>9.5</v>
      </c>
      <c r="N38" s="86"/>
      <c r="O38" s="86">
        <v>619.4</v>
      </c>
      <c r="P38" s="86">
        <v>0</v>
      </c>
      <c r="Q38" s="87">
        <v>2</v>
      </c>
      <c r="R38" s="86"/>
      <c r="S38" s="86">
        <v>130.4</v>
      </c>
      <c r="T38" s="86">
        <v>0</v>
      </c>
      <c r="U38" s="86">
        <v>6520</v>
      </c>
      <c r="V38" s="87">
        <v>0.5</v>
      </c>
      <c r="W38" s="86">
        <v>32.6</v>
      </c>
      <c r="X38" s="86">
        <v>0</v>
      </c>
      <c r="Y38" s="87">
        <v>0.5</v>
      </c>
      <c r="Z38" s="86">
        <v>32.6</v>
      </c>
      <c r="AA38" s="86">
        <v>0</v>
      </c>
      <c r="AB38" s="86">
        <v>2590</v>
      </c>
      <c r="AC38" s="87">
        <v>7</v>
      </c>
      <c r="AD38" s="86">
        <v>181</v>
      </c>
      <c r="AE38" s="86">
        <v>0</v>
      </c>
      <c r="AF38" s="87">
        <v>7</v>
      </c>
      <c r="AG38" s="86">
        <v>181</v>
      </c>
      <c r="AH38" s="86">
        <v>0</v>
      </c>
      <c r="AI38" s="88">
        <v>0</v>
      </c>
      <c r="AJ38" s="88">
        <v>0</v>
      </c>
      <c r="AK38" s="88">
        <v>0</v>
      </c>
      <c r="AL38" s="88">
        <v>0</v>
      </c>
      <c r="AM38" s="88">
        <v>0</v>
      </c>
      <c r="AN38" s="88">
        <v>0</v>
      </c>
      <c r="AO38" s="88">
        <v>0</v>
      </c>
      <c r="AP38" s="88">
        <v>0</v>
      </c>
      <c r="AQ38" s="88">
        <v>0</v>
      </c>
      <c r="AR38" s="88">
        <v>0</v>
      </c>
      <c r="AS38" s="88">
        <v>0</v>
      </c>
      <c r="AT38" s="88">
        <v>0</v>
      </c>
      <c r="AU38" s="88">
        <v>0</v>
      </c>
      <c r="AV38" s="88">
        <v>0</v>
      </c>
      <c r="AW38" s="88"/>
      <c r="AX38" s="86">
        <v>6520</v>
      </c>
      <c r="AY38" s="87">
        <v>1</v>
      </c>
      <c r="AZ38" s="86">
        <v>65.2</v>
      </c>
      <c r="BA38" s="86">
        <v>0</v>
      </c>
      <c r="BB38" s="87"/>
      <c r="BC38" s="86">
        <v>0</v>
      </c>
      <c r="BD38" s="86">
        <v>0</v>
      </c>
      <c r="BE38" s="86">
        <v>6520</v>
      </c>
      <c r="BF38" s="87">
        <v>0.25600000000000001</v>
      </c>
      <c r="BG38" s="86">
        <v>16.7</v>
      </c>
      <c r="BH38" s="86">
        <v>0</v>
      </c>
      <c r="BI38" s="87"/>
      <c r="BJ38" s="86">
        <v>0</v>
      </c>
      <c r="BK38" s="86">
        <v>0</v>
      </c>
      <c r="BL38" s="88"/>
      <c r="BM38" s="88"/>
      <c r="BN38" s="88">
        <v>0</v>
      </c>
      <c r="BO38" s="88">
        <v>0</v>
      </c>
      <c r="BP38" s="88"/>
      <c r="BQ38" s="88">
        <v>0</v>
      </c>
      <c r="BR38" s="88">
        <v>0</v>
      </c>
      <c r="BS38" s="13">
        <f t="shared" si="0"/>
        <v>684.6</v>
      </c>
      <c r="BT38" s="13">
        <f t="shared" si="4"/>
        <v>1777.1</v>
      </c>
      <c r="BU38" s="13">
        <f t="shared" si="1"/>
        <v>181</v>
      </c>
      <c r="BV38" s="13">
        <f t="shared" si="2"/>
        <v>181</v>
      </c>
      <c r="BW38" s="14">
        <v>0</v>
      </c>
      <c r="BX38" s="14">
        <f t="shared" si="5"/>
        <v>0</v>
      </c>
      <c r="BY38" s="14">
        <v>0</v>
      </c>
      <c r="BZ38" s="14">
        <v>0</v>
      </c>
      <c r="CA38" s="14">
        <f t="shared" si="7"/>
        <v>865.6</v>
      </c>
      <c r="CB38" s="14">
        <f t="shared" si="7"/>
        <v>1958.1</v>
      </c>
      <c r="CC38" s="14">
        <f t="shared" si="3"/>
        <v>2823.7</v>
      </c>
      <c r="CD38" s="12">
        <v>21</v>
      </c>
    </row>
    <row r="39" spans="1:82" ht="24.9" customHeight="1">
      <c r="A39" s="6" t="s">
        <v>439</v>
      </c>
      <c r="B39" s="7" t="s">
        <v>417</v>
      </c>
      <c r="C39" s="8" t="s">
        <v>187</v>
      </c>
      <c r="D39" s="9" t="s">
        <v>188</v>
      </c>
      <c r="E39" s="86">
        <v>6520</v>
      </c>
      <c r="F39" s="87">
        <v>16</v>
      </c>
      <c r="G39" s="86">
        <v>1043.2</v>
      </c>
      <c r="H39" s="86">
        <v>0</v>
      </c>
      <c r="I39" s="87">
        <v>8</v>
      </c>
      <c r="J39" s="86">
        <v>521.6</v>
      </c>
      <c r="K39" s="86">
        <v>0</v>
      </c>
      <c r="L39" s="86">
        <v>6520</v>
      </c>
      <c r="M39" s="87">
        <v>9.5</v>
      </c>
      <c r="N39" s="86"/>
      <c r="O39" s="86">
        <v>619.4</v>
      </c>
      <c r="P39" s="86">
        <v>0</v>
      </c>
      <c r="Q39" s="87">
        <v>2</v>
      </c>
      <c r="R39" s="86"/>
      <c r="S39" s="86">
        <v>130.4</v>
      </c>
      <c r="T39" s="86">
        <v>0</v>
      </c>
      <c r="U39" s="86">
        <v>6520</v>
      </c>
      <c r="V39" s="87">
        <v>0.5</v>
      </c>
      <c r="W39" s="86">
        <v>32.6</v>
      </c>
      <c r="X39" s="86">
        <v>0</v>
      </c>
      <c r="Y39" s="87">
        <v>0.5</v>
      </c>
      <c r="Z39" s="86">
        <v>32.6</v>
      </c>
      <c r="AA39" s="86">
        <v>0</v>
      </c>
      <c r="AB39" s="86">
        <v>2590</v>
      </c>
      <c r="AC39" s="87">
        <v>7</v>
      </c>
      <c r="AD39" s="86">
        <v>181</v>
      </c>
      <c r="AE39" s="86">
        <v>0</v>
      </c>
      <c r="AF39" s="87">
        <v>7</v>
      </c>
      <c r="AG39" s="86">
        <v>181</v>
      </c>
      <c r="AH39" s="86">
        <v>0</v>
      </c>
      <c r="AI39" s="88">
        <v>0</v>
      </c>
      <c r="AJ39" s="88">
        <v>0</v>
      </c>
      <c r="AK39" s="88">
        <v>0</v>
      </c>
      <c r="AL39" s="88">
        <v>0</v>
      </c>
      <c r="AM39" s="88">
        <v>0</v>
      </c>
      <c r="AN39" s="88">
        <v>0</v>
      </c>
      <c r="AO39" s="88">
        <v>0</v>
      </c>
      <c r="AP39" s="88">
        <v>0</v>
      </c>
      <c r="AQ39" s="88">
        <v>0</v>
      </c>
      <c r="AR39" s="88">
        <v>0</v>
      </c>
      <c r="AS39" s="88">
        <v>0</v>
      </c>
      <c r="AT39" s="88">
        <v>0</v>
      </c>
      <c r="AU39" s="88">
        <v>0</v>
      </c>
      <c r="AV39" s="88">
        <v>0</v>
      </c>
      <c r="AW39" s="88"/>
      <c r="AX39" s="86">
        <v>6520</v>
      </c>
      <c r="AY39" s="87">
        <v>1</v>
      </c>
      <c r="AZ39" s="86">
        <v>65.2</v>
      </c>
      <c r="BA39" s="86">
        <v>0</v>
      </c>
      <c r="BB39" s="87"/>
      <c r="BC39" s="86">
        <v>0</v>
      </c>
      <c r="BD39" s="86">
        <v>0</v>
      </c>
      <c r="BE39" s="86">
        <v>6520</v>
      </c>
      <c r="BF39" s="87">
        <v>0.25600000000000001</v>
      </c>
      <c r="BG39" s="86">
        <v>16.7</v>
      </c>
      <c r="BH39" s="86">
        <v>0</v>
      </c>
      <c r="BI39" s="87"/>
      <c r="BJ39" s="86">
        <v>0</v>
      </c>
      <c r="BK39" s="86">
        <v>0</v>
      </c>
      <c r="BL39" s="88"/>
      <c r="BM39" s="88"/>
      <c r="BN39" s="88">
        <v>0</v>
      </c>
      <c r="BO39" s="88">
        <v>0</v>
      </c>
      <c r="BP39" s="88"/>
      <c r="BQ39" s="88">
        <v>0</v>
      </c>
      <c r="BR39" s="88">
        <v>0</v>
      </c>
      <c r="BS39" s="13">
        <f t="shared" si="0"/>
        <v>684.6</v>
      </c>
      <c r="BT39" s="13">
        <f t="shared" si="4"/>
        <v>1777.1</v>
      </c>
      <c r="BU39" s="13">
        <f t="shared" si="1"/>
        <v>181</v>
      </c>
      <c r="BV39" s="13">
        <f t="shared" si="2"/>
        <v>181</v>
      </c>
      <c r="BW39" s="14">
        <v>0</v>
      </c>
      <c r="BX39" s="14">
        <f t="shared" si="5"/>
        <v>0</v>
      </c>
      <c r="BY39" s="14">
        <v>0</v>
      </c>
      <c r="BZ39" s="14">
        <v>0</v>
      </c>
      <c r="CA39" s="14">
        <f t="shared" si="7"/>
        <v>865.6</v>
      </c>
      <c r="CB39" s="14">
        <f t="shared" si="7"/>
        <v>1958.1</v>
      </c>
      <c r="CC39" s="14">
        <f t="shared" si="3"/>
        <v>2823.7</v>
      </c>
      <c r="CD39" s="12">
        <v>21</v>
      </c>
    </row>
    <row r="40" spans="1:82" ht="24.9" customHeight="1">
      <c r="A40" s="6" t="s">
        <v>439</v>
      </c>
      <c r="B40" s="7" t="s">
        <v>417</v>
      </c>
      <c r="C40" s="8" t="s">
        <v>282</v>
      </c>
      <c r="D40" s="9" t="s">
        <v>283</v>
      </c>
      <c r="E40" s="86">
        <v>6520</v>
      </c>
      <c r="F40" s="87">
        <v>16</v>
      </c>
      <c r="G40" s="86">
        <v>1043.2</v>
      </c>
      <c r="H40" s="86">
        <v>0</v>
      </c>
      <c r="I40" s="87">
        <v>8</v>
      </c>
      <c r="J40" s="86">
        <v>521.6</v>
      </c>
      <c r="K40" s="86">
        <v>0</v>
      </c>
      <c r="L40" s="86">
        <v>6520</v>
      </c>
      <c r="M40" s="87">
        <v>9.5</v>
      </c>
      <c r="N40" s="86"/>
      <c r="O40" s="86">
        <v>619.4</v>
      </c>
      <c r="P40" s="86">
        <v>0</v>
      </c>
      <c r="Q40" s="87">
        <v>2</v>
      </c>
      <c r="R40" s="86"/>
      <c r="S40" s="86">
        <v>130.4</v>
      </c>
      <c r="T40" s="86">
        <v>0</v>
      </c>
      <c r="U40" s="86">
        <v>6520</v>
      </c>
      <c r="V40" s="87">
        <v>0.5</v>
      </c>
      <c r="W40" s="86">
        <v>32.6</v>
      </c>
      <c r="X40" s="86">
        <v>0</v>
      </c>
      <c r="Y40" s="87">
        <v>0.5</v>
      </c>
      <c r="Z40" s="86">
        <v>32.6</v>
      </c>
      <c r="AA40" s="86">
        <v>0</v>
      </c>
      <c r="AB40" s="86">
        <v>2590</v>
      </c>
      <c r="AC40" s="87">
        <v>7</v>
      </c>
      <c r="AD40" s="86">
        <v>181</v>
      </c>
      <c r="AE40" s="86">
        <v>0</v>
      </c>
      <c r="AF40" s="87">
        <v>7</v>
      </c>
      <c r="AG40" s="86">
        <v>181</v>
      </c>
      <c r="AH40" s="86">
        <v>0</v>
      </c>
      <c r="AI40" s="88">
        <v>0</v>
      </c>
      <c r="AJ40" s="88">
        <v>0</v>
      </c>
      <c r="AK40" s="88">
        <v>0</v>
      </c>
      <c r="AL40" s="88">
        <v>0</v>
      </c>
      <c r="AM40" s="88">
        <v>0</v>
      </c>
      <c r="AN40" s="88">
        <v>0</v>
      </c>
      <c r="AO40" s="88">
        <v>0</v>
      </c>
      <c r="AP40" s="88">
        <v>0</v>
      </c>
      <c r="AQ40" s="88">
        <v>0</v>
      </c>
      <c r="AR40" s="88">
        <v>0</v>
      </c>
      <c r="AS40" s="88">
        <v>0</v>
      </c>
      <c r="AT40" s="88">
        <v>0</v>
      </c>
      <c r="AU40" s="88">
        <v>0</v>
      </c>
      <c r="AV40" s="88">
        <v>0</v>
      </c>
      <c r="AW40" s="88"/>
      <c r="AX40" s="86">
        <v>6520</v>
      </c>
      <c r="AY40" s="87">
        <v>1</v>
      </c>
      <c r="AZ40" s="86">
        <v>65.2</v>
      </c>
      <c r="BA40" s="86">
        <v>0</v>
      </c>
      <c r="BB40" s="87"/>
      <c r="BC40" s="86">
        <v>0</v>
      </c>
      <c r="BD40" s="86">
        <v>0</v>
      </c>
      <c r="BE40" s="86">
        <v>6520</v>
      </c>
      <c r="BF40" s="87">
        <v>0.25600000000000001</v>
      </c>
      <c r="BG40" s="86">
        <v>16.7</v>
      </c>
      <c r="BH40" s="86">
        <v>0</v>
      </c>
      <c r="BI40" s="87"/>
      <c r="BJ40" s="86">
        <v>0</v>
      </c>
      <c r="BK40" s="86">
        <v>0</v>
      </c>
      <c r="BL40" s="88"/>
      <c r="BM40" s="88"/>
      <c r="BN40" s="88">
        <v>0</v>
      </c>
      <c r="BO40" s="88">
        <v>0</v>
      </c>
      <c r="BP40" s="88"/>
      <c r="BQ40" s="88">
        <v>0</v>
      </c>
      <c r="BR40" s="88">
        <v>0</v>
      </c>
      <c r="BS40" s="13">
        <f t="shared" si="0"/>
        <v>684.6</v>
      </c>
      <c r="BT40" s="13">
        <f t="shared" si="4"/>
        <v>1777.1</v>
      </c>
      <c r="BU40" s="13">
        <f t="shared" si="1"/>
        <v>181</v>
      </c>
      <c r="BV40" s="13">
        <f t="shared" si="2"/>
        <v>181</v>
      </c>
      <c r="BW40" s="14">
        <v>0</v>
      </c>
      <c r="BX40" s="14">
        <f t="shared" si="5"/>
        <v>0</v>
      </c>
      <c r="BY40" s="14">
        <v>0</v>
      </c>
      <c r="BZ40" s="14">
        <v>0</v>
      </c>
      <c r="CA40" s="14">
        <f t="shared" si="7"/>
        <v>865.6</v>
      </c>
      <c r="CB40" s="14">
        <f t="shared" si="7"/>
        <v>1958.1</v>
      </c>
      <c r="CC40" s="14">
        <f t="shared" si="3"/>
        <v>2823.7</v>
      </c>
      <c r="CD40" s="12">
        <v>21</v>
      </c>
    </row>
    <row r="41" spans="1:82" s="1" customFormat="1" ht="24.9" customHeight="1">
      <c r="A41" s="6" t="s">
        <v>439</v>
      </c>
      <c r="B41" s="7" t="s">
        <v>417</v>
      </c>
      <c r="C41" s="8" t="s">
        <v>144</v>
      </c>
      <c r="D41" s="9" t="s">
        <v>145</v>
      </c>
      <c r="E41" s="86">
        <v>6520</v>
      </c>
      <c r="F41" s="87">
        <v>16</v>
      </c>
      <c r="G41" s="86">
        <v>1043.2</v>
      </c>
      <c r="H41" s="86">
        <v>0</v>
      </c>
      <c r="I41" s="87">
        <v>8</v>
      </c>
      <c r="J41" s="86">
        <v>521.6</v>
      </c>
      <c r="K41" s="86">
        <v>0</v>
      </c>
      <c r="L41" s="86">
        <v>6520</v>
      </c>
      <c r="M41" s="87">
        <v>9.5</v>
      </c>
      <c r="N41" s="86"/>
      <c r="O41" s="86">
        <v>619.4</v>
      </c>
      <c r="P41" s="86">
        <v>0</v>
      </c>
      <c r="Q41" s="87">
        <v>2</v>
      </c>
      <c r="R41" s="86"/>
      <c r="S41" s="86">
        <v>130.4</v>
      </c>
      <c r="T41" s="86">
        <v>0</v>
      </c>
      <c r="U41" s="86">
        <v>6520</v>
      </c>
      <c r="V41" s="87">
        <v>0.5</v>
      </c>
      <c r="W41" s="86">
        <v>32.6</v>
      </c>
      <c r="X41" s="86">
        <v>0</v>
      </c>
      <c r="Y41" s="87">
        <v>0.5</v>
      </c>
      <c r="Z41" s="86">
        <v>32.6</v>
      </c>
      <c r="AA41" s="86">
        <v>0</v>
      </c>
      <c r="AB41" s="86">
        <v>2590</v>
      </c>
      <c r="AC41" s="87">
        <v>7</v>
      </c>
      <c r="AD41" s="86">
        <v>181</v>
      </c>
      <c r="AE41" s="86">
        <v>0</v>
      </c>
      <c r="AF41" s="87">
        <v>7</v>
      </c>
      <c r="AG41" s="86">
        <v>181</v>
      </c>
      <c r="AH41" s="86">
        <v>0</v>
      </c>
      <c r="AI41" s="88">
        <v>0</v>
      </c>
      <c r="AJ41" s="88">
        <v>0</v>
      </c>
      <c r="AK41" s="88">
        <v>0</v>
      </c>
      <c r="AL41" s="88">
        <v>0</v>
      </c>
      <c r="AM41" s="88">
        <v>0</v>
      </c>
      <c r="AN41" s="88">
        <v>0</v>
      </c>
      <c r="AO41" s="88">
        <v>0</v>
      </c>
      <c r="AP41" s="88">
        <v>0</v>
      </c>
      <c r="AQ41" s="88">
        <v>0</v>
      </c>
      <c r="AR41" s="88">
        <v>0</v>
      </c>
      <c r="AS41" s="88">
        <v>0</v>
      </c>
      <c r="AT41" s="88">
        <v>0</v>
      </c>
      <c r="AU41" s="88">
        <v>0</v>
      </c>
      <c r="AV41" s="88">
        <v>0</v>
      </c>
      <c r="AW41" s="88"/>
      <c r="AX41" s="86">
        <v>6520</v>
      </c>
      <c r="AY41" s="87">
        <v>1</v>
      </c>
      <c r="AZ41" s="86">
        <v>65.2</v>
      </c>
      <c r="BA41" s="86">
        <v>0</v>
      </c>
      <c r="BB41" s="87"/>
      <c r="BC41" s="86">
        <v>0</v>
      </c>
      <c r="BD41" s="86">
        <v>0</v>
      </c>
      <c r="BE41" s="86">
        <v>6520</v>
      </c>
      <c r="BF41" s="87">
        <v>0.25600000000000001</v>
      </c>
      <c r="BG41" s="86">
        <v>16.7</v>
      </c>
      <c r="BH41" s="86">
        <v>0</v>
      </c>
      <c r="BI41" s="87"/>
      <c r="BJ41" s="86">
        <v>0</v>
      </c>
      <c r="BK41" s="86">
        <v>0</v>
      </c>
      <c r="BL41" s="88"/>
      <c r="BM41" s="88"/>
      <c r="BN41" s="88">
        <v>0</v>
      </c>
      <c r="BO41" s="88">
        <v>0</v>
      </c>
      <c r="BP41" s="88"/>
      <c r="BQ41" s="88">
        <v>0</v>
      </c>
      <c r="BR41" s="88">
        <v>0</v>
      </c>
      <c r="BS41" s="13">
        <f t="shared" si="0"/>
        <v>684.6</v>
      </c>
      <c r="BT41" s="13">
        <f t="shared" si="4"/>
        <v>1777.1</v>
      </c>
      <c r="BU41" s="13">
        <f t="shared" si="1"/>
        <v>181</v>
      </c>
      <c r="BV41" s="13">
        <f t="shared" si="2"/>
        <v>181</v>
      </c>
      <c r="BW41" s="14">
        <v>0</v>
      </c>
      <c r="BX41" s="14">
        <f t="shared" si="5"/>
        <v>0</v>
      </c>
      <c r="BY41" s="14">
        <v>0</v>
      </c>
      <c r="BZ41" s="14">
        <v>0</v>
      </c>
      <c r="CA41" s="14">
        <f t="shared" si="7"/>
        <v>865.6</v>
      </c>
      <c r="CB41" s="14">
        <f t="shared" si="7"/>
        <v>1958.1</v>
      </c>
      <c r="CC41" s="14">
        <f t="shared" si="3"/>
        <v>2823.7</v>
      </c>
      <c r="CD41" s="12">
        <v>21</v>
      </c>
    </row>
    <row r="42" spans="1:82" ht="24.9" customHeight="1">
      <c r="A42" s="6" t="s">
        <v>439</v>
      </c>
      <c r="B42" s="7" t="s">
        <v>417</v>
      </c>
      <c r="C42" s="37" t="s">
        <v>239</v>
      </c>
      <c r="D42" s="37" t="s">
        <v>240</v>
      </c>
      <c r="E42" s="86">
        <v>6520</v>
      </c>
      <c r="F42" s="87">
        <v>16</v>
      </c>
      <c r="G42" s="86">
        <v>1043.2</v>
      </c>
      <c r="H42" s="86">
        <v>0</v>
      </c>
      <c r="I42" s="87">
        <v>8</v>
      </c>
      <c r="J42" s="86">
        <v>521.6</v>
      </c>
      <c r="K42" s="86">
        <v>0</v>
      </c>
      <c r="L42" s="86">
        <v>6520</v>
      </c>
      <c r="M42" s="87">
        <v>9.5</v>
      </c>
      <c r="N42" s="86"/>
      <c r="O42" s="86">
        <v>619.4</v>
      </c>
      <c r="P42" s="86">
        <v>0</v>
      </c>
      <c r="Q42" s="87">
        <v>2</v>
      </c>
      <c r="R42" s="86"/>
      <c r="S42" s="86">
        <v>130.4</v>
      </c>
      <c r="T42" s="86">
        <v>0</v>
      </c>
      <c r="U42" s="86">
        <v>6520</v>
      </c>
      <c r="V42" s="87">
        <v>0.5</v>
      </c>
      <c r="W42" s="86">
        <v>32.6</v>
      </c>
      <c r="X42" s="86">
        <v>0</v>
      </c>
      <c r="Y42" s="87">
        <v>0.5</v>
      </c>
      <c r="Z42" s="86">
        <v>32.6</v>
      </c>
      <c r="AA42" s="86">
        <v>0</v>
      </c>
      <c r="AB42" s="86">
        <v>2590</v>
      </c>
      <c r="AC42" s="87">
        <v>7</v>
      </c>
      <c r="AD42" s="86">
        <v>181</v>
      </c>
      <c r="AE42" s="86">
        <v>0</v>
      </c>
      <c r="AF42" s="87">
        <v>7</v>
      </c>
      <c r="AG42" s="86">
        <v>181</v>
      </c>
      <c r="AH42" s="86">
        <v>0</v>
      </c>
      <c r="AI42" s="88">
        <v>0</v>
      </c>
      <c r="AJ42" s="88">
        <v>0</v>
      </c>
      <c r="AK42" s="88">
        <v>0</v>
      </c>
      <c r="AL42" s="88">
        <v>0</v>
      </c>
      <c r="AM42" s="88">
        <v>0</v>
      </c>
      <c r="AN42" s="88">
        <v>0</v>
      </c>
      <c r="AO42" s="88">
        <v>0</v>
      </c>
      <c r="AP42" s="88">
        <v>0</v>
      </c>
      <c r="AQ42" s="88">
        <v>0</v>
      </c>
      <c r="AR42" s="88">
        <v>0</v>
      </c>
      <c r="AS42" s="88">
        <v>0</v>
      </c>
      <c r="AT42" s="88">
        <v>0</v>
      </c>
      <c r="AU42" s="88">
        <v>0</v>
      </c>
      <c r="AV42" s="88">
        <v>0</v>
      </c>
      <c r="AW42" s="88"/>
      <c r="AX42" s="86">
        <v>6520</v>
      </c>
      <c r="AY42" s="87">
        <v>1</v>
      </c>
      <c r="AZ42" s="86">
        <v>65.2</v>
      </c>
      <c r="BA42" s="86">
        <v>0</v>
      </c>
      <c r="BB42" s="87"/>
      <c r="BC42" s="86">
        <v>0</v>
      </c>
      <c r="BD42" s="86">
        <v>0</v>
      </c>
      <c r="BE42" s="86">
        <v>6520</v>
      </c>
      <c r="BF42" s="87">
        <v>0.25600000000000001</v>
      </c>
      <c r="BG42" s="86">
        <v>16.7</v>
      </c>
      <c r="BH42" s="86">
        <v>0</v>
      </c>
      <c r="BI42" s="87"/>
      <c r="BJ42" s="86">
        <v>0</v>
      </c>
      <c r="BK42" s="86">
        <v>0</v>
      </c>
      <c r="BL42" s="88"/>
      <c r="BM42" s="88"/>
      <c r="BN42" s="88">
        <v>0</v>
      </c>
      <c r="BO42" s="88">
        <v>0</v>
      </c>
      <c r="BP42" s="88"/>
      <c r="BQ42" s="88">
        <v>0</v>
      </c>
      <c r="BR42" s="88">
        <v>0</v>
      </c>
      <c r="BS42" s="13">
        <f t="shared" si="0"/>
        <v>684.6</v>
      </c>
      <c r="BT42" s="13">
        <f t="shared" si="4"/>
        <v>1777.1</v>
      </c>
      <c r="BU42" s="13">
        <f t="shared" si="1"/>
        <v>181</v>
      </c>
      <c r="BV42" s="13">
        <f t="shared" si="2"/>
        <v>181</v>
      </c>
      <c r="BW42" s="14">
        <v>0</v>
      </c>
      <c r="BX42" s="14">
        <f t="shared" si="5"/>
        <v>0</v>
      </c>
      <c r="BY42" s="14">
        <v>0</v>
      </c>
      <c r="BZ42" s="14">
        <v>0</v>
      </c>
      <c r="CA42" s="14">
        <f t="shared" si="7"/>
        <v>865.6</v>
      </c>
      <c r="CB42" s="14">
        <f t="shared" si="7"/>
        <v>1958.1</v>
      </c>
      <c r="CC42" s="14">
        <f t="shared" si="3"/>
        <v>2823.7</v>
      </c>
      <c r="CD42" s="12">
        <v>21</v>
      </c>
    </row>
    <row r="43" spans="1:82" ht="24.9" customHeight="1">
      <c r="A43" s="6" t="s">
        <v>439</v>
      </c>
      <c r="B43" s="7" t="s">
        <v>417</v>
      </c>
      <c r="C43" s="37" t="s">
        <v>120</v>
      </c>
      <c r="D43" s="37" t="s">
        <v>121</v>
      </c>
      <c r="E43" s="86">
        <v>6520</v>
      </c>
      <c r="F43" s="87">
        <v>16</v>
      </c>
      <c r="G43" s="86">
        <v>1043.2</v>
      </c>
      <c r="H43" s="86">
        <v>0</v>
      </c>
      <c r="I43" s="87">
        <v>8</v>
      </c>
      <c r="J43" s="86">
        <v>521.6</v>
      </c>
      <c r="K43" s="86">
        <v>0</v>
      </c>
      <c r="L43" s="86">
        <v>6520</v>
      </c>
      <c r="M43" s="87">
        <v>9.5</v>
      </c>
      <c r="N43" s="86"/>
      <c r="O43" s="86">
        <v>619.4</v>
      </c>
      <c r="P43" s="86">
        <v>0</v>
      </c>
      <c r="Q43" s="87">
        <v>2</v>
      </c>
      <c r="R43" s="86"/>
      <c r="S43" s="86">
        <v>130.4</v>
      </c>
      <c r="T43" s="86">
        <v>0</v>
      </c>
      <c r="U43" s="86">
        <v>6520</v>
      </c>
      <c r="V43" s="87">
        <v>0.5</v>
      </c>
      <c r="W43" s="86">
        <v>32.6</v>
      </c>
      <c r="X43" s="86">
        <v>0</v>
      </c>
      <c r="Y43" s="87">
        <v>0.5</v>
      </c>
      <c r="Z43" s="86">
        <v>32.6</v>
      </c>
      <c r="AA43" s="86">
        <v>0</v>
      </c>
      <c r="AB43" s="86">
        <v>2590</v>
      </c>
      <c r="AC43" s="87">
        <v>7</v>
      </c>
      <c r="AD43" s="86">
        <v>181</v>
      </c>
      <c r="AE43" s="86">
        <v>0</v>
      </c>
      <c r="AF43" s="87">
        <v>7</v>
      </c>
      <c r="AG43" s="86">
        <v>181</v>
      </c>
      <c r="AH43" s="86">
        <v>0</v>
      </c>
      <c r="AI43" s="88">
        <v>0</v>
      </c>
      <c r="AJ43" s="88">
        <v>0</v>
      </c>
      <c r="AK43" s="88">
        <v>0</v>
      </c>
      <c r="AL43" s="88">
        <v>0</v>
      </c>
      <c r="AM43" s="88">
        <v>0</v>
      </c>
      <c r="AN43" s="88">
        <v>0</v>
      </c>
      <c r="AO43" s="88">
        <v>0</v>
      </c>
      <c r="AP43" s="88">
        <v>0</v>
      </c>
      <c r="AQ43" s="88">
        <v>0</v>
      </c>
      <c r="AR43" s="88">
        <v>0</v>
      </c>
      <c r="AS43" s="88">
        <v>0</v>
      </c>
      <c r="AT43" s="88">
        <v>0</v>
      </c>
      <c r="AU43" s="88">
        <v>0</v>
      </c>
      <c r="AV43" s="88">
        <v>0</v>
      </c>
      <c r="AW43" s="88"/>
      <c r="AX43" s="86">
        <v>6520</v>
      </c>
      <c r="AY43" s="87">
        <v>1</v>
      </c>
      <c r="AZ43" s="86">
        <v>65.2</v>
      </c>
      <c r="BA43" s="86">
        <v>0</v>
      </c>
      <c r="BB43" s="87"/>
      <c r="BC43" s="86">
        <v>0</v>
      </c>
      <c r="BD43" s="86">
        <v>0</v>
      </c>
      <c r="BE43" s="86">
        <v>6520</v>
      </c>
      <c r="BF43" s="87">
        <v>0.25600000000000001</v>
      </c>
      <c r="BG43" s="86">
        <v>16.7</v>
      </c>
      <c r="BH43" s="86">
        <v>0</v>
      </c>
      <c r="BI43" s="87"/>
      <c r="BJ43" s="86">
        <v>0</v>
      </c>
      <c r="BK43" s="86">
        <v>0</v>
      </c>
      <c r="BL43" s="88"/>
      <c r="BM43" s="88"/>
      <c r="BN43" s="88">
        <v>0</v>
      </c>
      <c r="BO43" s="88">
        <v>0</v>
      </c>
      <c r="BP43" s="88"/>
      <c r="BQ43" s="88">
        <v>0</v>
      </c>
      <c r="BR43" s="88">
        <v>0</v>
      </c>
      <c r="BS43" s="13">
        <f t="shared" si="0"/>
        <v>684.6</v>
      </c>
      <c r="BT43" s="13">
        <f t="shared" si="4"/>
        <v>1777.1</v>
      </c>
      <c r="BU43" s="13">
        <f t="shared" si="1"/>
        <v>181</v>
      </c>
      <c r="BV43" s="13">
        <f t="shared" si="2"/>
        <v>181</v>
      </c>
      <c r="BW43" s="14">
        <v>0</v>
      </c>
      <c r="BX43" s="14">
        <f t="shared" si="5"/>
        <v>0</v>
      </c>
      <c r="BY43" s="14">
        <v>0</v>
      </c>
      <c r="BZ43" s="14">
        <v>0</v>
      </c>
      <c r="CA43" s="14">
        <f t="shared" si="7"/>
        <v>865.6</v>
      </c>
      <c r="CB43" s="14">
        <f t="shared" si="7"/>
        <v>1958.1</v>
      </c>
      <c r="CC43" s="14">
        <f t="shared" si="3"/>
        <v>2823.7</v>
      </c>
      <c r="CD43" s="12">
        <v>21</v>
      </c>
    </row>
    <row r="44" spans="1:82" ht="24.9" customHeight="1">
      <c r="A44" s="6" t="s">
        <v>439</v>
      </c>
      <c r="B44" s="7" t="s">
        <v>417</v>
      </c>
      <c r="C44" s="37" t="s">
        <v>221</v>
      </c>
      <c r="D44" s="37" t="s">
        <v>222</v>
      </c>
      <c r="E44" s="86">
        <v>6520</v>
      </c>
      <c r="F44" s="87">
        <v>16</v>
      </c>
      <c r="G44" s="86">
        <v>1043.2</v>
      </c>
      <c r="H44" s="86">
        <v>0</v>
      </c>
      <c r="I44" s="87">
        <v>8</v>
      </c>
      <c r="J44" s="86">
        <v>521.6</v>
      </c>
      <c r="K44" s="86">
        <v>0</v>
      </c>
      <c r="L44" s="86">
        <v>6520</v>
      </c>
      <c r="M44" s="87">
        <v>9.5</v>
      </c>
      <c r="N44" s="86"/>
      <c r="O44" s="86">
        <v>619.4</v>
      </c>
      <c r="P44" s="86">
        <v>0</v>
      </c>
      <c r="Q44" s="87">
        <v>2</v>
      </c>
      <c r="R44" s="86"/>
      <c r="S44" s="86">
        <v>130.4</v>
      </c>
      <c r="T44" s="86">
        <v>0</v>
      </c>
      <c r="U44" s="86">
        <v>6520</v>
      </c>
      <c r="V44" s="87">
        <v>0.5</v>
      </c>
      <c r="W44" s="86">
        <v>32.6</v>
      </c>
      <c r="X44" s="86">
        <v>0</v>
      </c>
      <c r="Y44" s="87">
        <v>0.5</v>
      </c>
      <c r="Z44" s="86">
        <v>32.6</v>
      </c>
      <c r="AA44" s="86">
        <v>0</v>
      </c>
      <c r="AB44" s="86">
        <v>2590</v>
      </c>
      <c r="AC44" s="87">
        <v>7</v>
      </c>
      <c r="AD44" s="86">
        <v>181</v>
      </c>
      <c r="AE44" s="86">
        <v>0</v>
      </c>
      <c r="AF44" s="87">
        <v>7</v>
      </c>
      <c r="AG44" s="86">
        <v>181</v>
      </c>
      <c r="AH44" s="86">
        <v>0</v>
      </c>
      <c r="AI44" s="88">
        <v>0</v>
      </c>
      <c r="AJ44" s="88">
        <v>0</v>
      </c>
      <c r="AK44" s="88">
        <v>0</v>
      </c>
      <c r="AL44" s="88">
        <v>0</v>
      </c>
      <c r="AM44" s="88">
        <v>0</v>
      </c>
      <c r="AN44" s="88">
        <v>0</v>
      </c>
      <c r="AO44" s="88">
        <v>0</v>
      </c>
      <c r="AP44" s="88">
        <v>0</v>
      </c>
      <c r="AQ44" s="88">
        <v>0</v>
      </c>
      <c r="AR44" s="88">
        <v>0</v>
      </c>
      <c r="AS44" s="88">
        <v>0</v>
      </c>
      <c r="AT44" s="88">
        <v>0</v>
      </c>
      <c r="AU44" s="88">
        <v>0</v>
      </c>
      <c r="AV44" s="88">
        <v>0</v>
      </c>
      <c r="AW44" s="88"/>
      <c r="AX44" s="86">
        <v>6520</v>
      </c>
      <c r="AY44" s="87">
        <v>1</v>
      </c>
      <c r="AZ44" s="86">
        <v>65.2</v>
      </c>
      <c r="BA44" s="86">
        <v>0</v>
      </c>
      <c r="BB44" s="87"/>
      <c r="BC44" s="86">
        <v>0</v>
      </c>
      <c r="BD44" s="86">
        <v>0</v>
      </c>
      <c r="BE44" s="86">
        <v>6520</v>
      </c>
      <c r="BF44" s="87">
        <v>0.25600000000000001</v>
      </c>
      <c r="BG44" s="86">
        <v>16.7</v>
      </c>
      <c r="BH44" s="86">
        <v>0</v>
      </c>
      <c r="BI44" s="87"/>
      <c r="BJ44" s="86">
        <v>0</v>
      </c>
      <c r="BK44" s="86">
        <v>0</v>
      </c>
      <c r="BL44" s="88"/>
      <c r="BM44" s="88"/>
      <c r="BN44" s="88">
        <v>0</v>
      </c>
      <c r="BO44" s="88">
        <v>0</v>
      </c>
      <c r="BP44" s="88"/>
      <c r="BQ44" s="88">
        <v>0</v>
      </c>
      <c r="BR44" s="88">
        <v>0</v>
      </c>
      <c r="BS44" s="13">
        <f t="shared" si="0"/>
        <v>684.6</v>
      </c>
      <c r="BT44" s="13">
        <f t="shared" si="4"/>
        <v>1777.1</v>
      </c>
      <c r="BU44" s="13">
        <f t="shared" si="1"/>
        <v>181</v>
      </c>
      <c r="BV44" s="13">
        <f t="shared" si="2"/>
        <v>181</v>
      </c>
      <c r="BW44" s="14">
        <v>0</v>
      </c>
      <c r="BX44" s="14">
        <f t="shared" si="5"/>
        <v>0</v>
      </c>
      <c r="BY44" s="14">
        <v>0</v>
      </c>
      <c r="BZ44" s="14">
        <v>0</v>
      </c>
      <c r="CA44" s="14">
        <f t="shared" si="7"/>
        <v>865.6</v>
      </c>
      <c r="CB44" s="14">
        <f t="shared" si="7"/>
        <v>1958.1</v>
      </c>
      <c r="CC44" s="14">
        <f t="shared" si="3"/>
        <v>2823.7</v>
      </c>
      <c r="CD44" s="12">
        <v>21</v>
      </c>
    </row>
    <row r="45" spans="1:82" ht="24.9" customHeight="1">
      <c r="A45" s="6" t="s">
        <v>439</v>
      </c>
      <c r="B45" s="7" t="s">
        <v>417</v>
      </c>
      <c r="C45" s="37" t="s">
        <v>259</v>
      </c>
      <c r="D45" s="37" t="s">
        <v>260</v>
      </c>
      <c r="E45" s="86">
        <v>6520</v>
      </c>
      <c r="F45" s="87">
        <v>16</v>
      </c>
      <c r="G45" s="86">
        <v>1043.2</v>
      </c>
      <c r="H45" s="86">
        <v>0</v>
      </c>
      <c r="I45" s="87">
        <v>8</v>
      </c>
      <c r="J45" s="86">
        <v>521.6</v>
      </c>
      <c r="K45" s="86">
        <v>0</v>
      </c>
      <c r="L45" s="86">
        <v>6520</v>
      </c>
      <c r="M45" s="87">
        <v>9.5</v>
      </c>
      <c r="N45" s="86"/>
      <c r="O45" s="86">
        <v>619.4</v>
      </c>
      <c r="P45" s="86">
        <v>0</v>
      </c>
      <c r="Q45" s="87">
        <v>2</v>
      </c>
      <c r="R45" s="86"/>
      <c r="S45" s="86">
        <v>130.4</v>
      </c>
      <c r="T45" s="86">
        <v>0</v>
      </c>
      <c r="U45" s="86">
        <v>6520</v>
      </c>
      <c r="V45" s="87">
        <v>0.5</v>
      </c>
      <c r="W45" s="86">
        <v>32.6</v>
      </c>
      <c r="X45" s="86">
        <v>0</v>
      </c>
      <c r="Y45" s="87">
        <v>0.5</v>
      </c>
      <c r="Z45" s="86">
        <v>32.6</v>
      </c>
      <c r="AA45" s="86">
        <v>0</v>
      </c>
      <c r="AB45" s="86">
        <v>2590</v>
      </c>
      <c r="AC45" s="87">
        <v>7</v>
      </c>
      <c r="AD45" s="86">
        <v>181</v>
      </c>
      <c r="AE45" s="86">
        <v>0</v>
      </c>
      <c r="AF45" s="87">
        <v>7</v>
      </c>
      <c r="AG45" s="86">
        <v>181</v>
      </c>
      <c r="AH45" s="86">
        <v>0</v>
      </c>
      <c r="AI45" s="88">
        <v>0</v>
      </c>
      <c r="AJ45" s="88">
        <v>0</v>
      </c>
      <c r="AK45" s="88">
        <v>0</v>
      </c>
      <c r="AL45" s="88">
        <v>0</v>
      </c>
      <c r="AM45" s="88">
        <v>0</v>
      </c>
      <c r="AN45" s="88">
        <v>0</v>
      </c>
      <c r="AO45" s="88">
        <v>0</v>
      </c>
      <c r="AP45" s="88">
        <v>0</v>
      </c>
      <c r="AQ45" s="88">
        <v>0</v>
      </c>
      <c r="AR45" s="88">
        <v>0</v>
      </c>
      <c r="AS45" s="88">
        <v>0</v>
      </c>
      <c r="AT45" s="88">
        <v>0</v>
      </c>
      <c r="AU45" s="88">
        <v>0</v>
      </c>
      <c r="AV45" s="88">
        <v>0</v>
      </c>
      <c r="AW45" s="88"/>
      <c r="AX45" s="86">
        <v>6520</v>
      </c>
      <c r="AY45" s="87">
        <v>1</v>
      </c>
      <c r="AZ45" s="86">
        <v>65.2</v>
      </c>
      <c r="BA45" s="86">
        <v>0</v>
      </c>
      <c r="BB45" s="87"/>
      <c r="BC45" s="86">
        <v>0</v>
      </c>
      <c r="BD45" s="86">
        <v>0</v>
      </c>
      <c r="BE45" s="86">
        <v>6520</v>
      </c>
      <c r="BF45" s="87">
        <v>0.25600000000000001</v>
      </c>
      <c r="BG45" s="86">
        <v>16.7</v>
      </c>
      <c r="BH45" s="86">
        <v>0</v>
      </c>
      <c r="BI45" s="87"/>
      <c r="BJ45" s="86">
        <v>0</v>
      </c>
      <c r="BK45" s="86">
        <v>0</v>
      </c>
      <c r="BL45" s="88"/>
      <c r="BM45" s="88"/>
      <c r="BN45" s="88">
        <v>0</v>
      </c>
      <c r="BO45" s="88">
        <v>0</v>
      </c>
      <c r="BP45" s="88"/>
      <c r="BQ45" s="88">
        <v>0</v>
      </c>
      <c r="BR45" s="88">
        <v>0</v>
      </c>
      <c r="BS45" s="13">
        <f t="shared" si="0"/>
        <v>684.6</v>
      </c>
      <c r="BT45" s="13">
        <f t="shared" si="4"/>
        <v>1777.1</v>
      </c>
      <c r="BU45" s="13">
        <f t="shared" si="1"/>
        <v>181</v>
      </c>
      <c r="BV45" s="13">
        <f t="shared" si="2"/>
        <v>181</v>
      </c>
      <c r="BW45" s="14">
        <v>0</v>
      </c>
      <c r="BX45" s="14">
        <f t="shared" si="5"/>
        <v>0</v>
      </c>
      <c r="BY45" s="14">
        <v>0</v>
      </c>
      <c r="BZ45" s="14">
        <v>0</v>
      </c>
      <c r="CA45" s="14">
        <f t="shared" si="7"/>
        <v>865.6</v>
      </c>
      <c r="CB45" s="14">
        <f t="shared" si="7"/>
        <v>1958.1</v>
      </c>
      <c r="CC45" s="14">
        <f t="shared" si="3"/>
        <v>2823.7</v>
      </c>
      <c r="CD45" s="12">
        <v>21</v>
      </c>
    </row>
    <row r="46" spans="1:82" ht="24.9" customHeight="1">
      <c r="A46" s="6" t="s">
        <v>439</v>
      </c>
      <c r="B46" s="7" t="s">
        <v>417</v>
      </c>
      <c r="C46" s="37" t="s">
        <v>155</v>
      </c>
      <c r="D46" s="37" t="s">
        <v>156</v>
      </c>
      <c r="E46" s="86">
        <v>6520</v>
      </c>
      <c r="F46" s="87">
        <v>16</v>
      </c>
      <c r="G46" s="86">
        <v>1043.2</v>
      </c>
      <c r="H46" s="86">
        <v>0</v>
      </c>
      <c r="I46" s="87">
        <v>8</v>
      </c>
      <c r="J46" s="86">
        <v>521.6</v>
      </c>
      <c r="K46" s="86">
        <v>0</v>
      </c>
      <c r="L46" s="86">
        <v>6520</v>
      </c>
      <c r="M46" s="87">
        <v>9.5</v>
      </c>
      <c r="N46" s="86"/>
      <c r="O46" s="86">
        <v>619.4</v>
      </c>
      <c r="P46" s="86">
        <v>0</v>
      </c>
      <c r="Q46" s="87">
        <v>2</v>
      </c>
      <c r="R46" s="86"/>
      <c r="S46" s="86">
        <v>130.4</v>
      </c>
      <c r="T46" s="86">
        <v>0</v>
      </c>
      <c r="U46" s="86">
        <v>6520</v>
      </c>
      <c r="V46" s="87">
        <v>0.5</v>
      </c>
      <c r="W46" s="86">
        <v>32.6</v>
      </c>
      <c r="X46" s="86">
        <v>0</v>
      </c>
      <c r="Y46" s="87">
        <v>0.5</v>
      </c>
      <c r="Z46" s="86">
        <v>32.6</v>
      </c>
      <c r="AA46" s="86">
        <v>0</v>
      </c>
      <c r="AB46" s="86">
        <v>2590</v>
      </c>
      <c r="AC46" s="87">
        <v>7</v>
      </c>
      <c r="AD46" s="86">
        <v>181</v>
      </c>
      <c r="AE46" s="86">
        <v>0</v>
      </c>
      <c r="AF46" s="87">
        <v>7</v>
      </c>
      <c r="AG46" s="86">
        <v>181</v>
      </c>
      <c r="AH46" s="86">
        <v>0</v>
      </c>
      <c r="AI46" s="88">
        <v>0</v>
      </c>
      <c r="AJ46" s="88">
        <v>0</v>
      </c>
      <c r="AK46" s="88">
        <v>0</v>
      </c>
      <c r="AL46" s="88">
        <v>0</v>
      </c>
      <c r="AM46" s="88">
        <v>0</v>
      </c>
      <c r="AN46" s="88">
        <v>0</v>
      </c>
      <c r="AO46" s="88">
        <v>0</v>
      </c>
      <c r="AP46" s="88">
        <v>0</v>
      </c>
      <c r="AQ46" s="88">
        <v>0</v>
      </c>
      <c r="AR46" s="88">
        <v>0</v>
      </c>
      <c r="AS46" s="88">
        <v>0</v>
      </c>
      <c r="AT46" s="88">
        <v>0</v>
      </c>
      <c r="AU46" s="88">
        <v>0</v>
      </c>
      <c r="AV46" s="88">
        <v>0</v>
      </c>
      <c r="AW46" s="88"/>
      <c r="AX46" s="86">
        <v>6520</v>
      </c>
      <c r="AY46" s="87">
        <v>1</v>
      </c>
      <c r="AZ46" s="86">
        <v>65.2</v>
      </c>
      <c r="BA46" s="86">
        <v>0</v>
      </c>
      <c r="BB46" s="87"/>
      <c r="BC46" s="86">
        <v>0</v>
      </c>
      <c r="BD46" s="86">
        <v>0</v>
      </c>
      <c r="BE46" s="86">
        <v>6520</v>
      </c>
      <c r="BF46" s="87">
        <v>0.25600000000000001</v>
      </c>
      <c r="BG46" s="86">
        <v>16.7</v>
      </c>
      <c r="BH46" s="86">
        <v>0</v>
      </c>
      <c r="BI46" s="87"/>
      <c r="BJ46" s="86">
        <v>0</v>
      </c>
      <c r="BK46" s="86">
        <v>0</v>
      </c>
      <c r="BL46" s="88"/>
      <c r="BM46" s="88"/>
      <c r="BN46" s="88">
        <v>0</v>
      </c>
      <c r="BO46" s="88">
        <v>0</v>
      </c>
      <c r="BP46" s="88"/>
      <c r="BQ46" s="88">
        <v>0</v>
      </c>
      <c r="BR46" s="88">
        <v>0</v>
      </c>
      <c r="BS46" s="13">
        <f t="shared" si="0"/>
        <v>684.6</v>
      </c>
      <c r="BT46" s="13">
        <f t="shared" si="4"/>
        <v>1777.1</v>
      </c>
      <c r="BU46" s="13">
        <f t="shared" si="1"/>
        <v>181</v>
      </c>
      <c r="BV46" s="13">
        <f t="shared" si="2"/>
        <v>181</v>
      </c>
      <c r="BW46" s="14">
        <v>0</v>
      </c>
      <c r="BX46" s="14">
        <f t="shared" si="5"/>
        <v>0</v>
      </c>
      <c r="BY46" s="14">
        <v>0</v>
      </c>
      <c r="BZ46" s="14">
        <v>0</v>
      </c>
      <c r="CA46" s="14">
        <f t="shared" si="7"/>
        <v>865.6</v>
      </c>
      <c r="CB46" s="14">
        <f t="shared" si="7"/>
        <v>1958.1</v>
      </c>
      <c r="CC46" s="14">
        <f t="shared" si="3"/>
        <v>2823.7</v>
      </c>
      <c r="CD46" s="12">
        <v>21</v>
      </c>
    </row>
    <row r="47" spans="1:82" ht="24.9" customHeight="1">
      <c r="A47" s="6" t="s">
        <v>439</v>
      </c>
      <c r="B47" s="7" t="s">
        <v>417</v>
      </c>
      <c r="C47" s="37" t="s">
        <v>234</v>
      </c>
      <c r="D47" s="37" t="s">
        <v>235</v>
      </c>
      <c r="E47" s="86">
        <v>6520</v>
      </c>
      <c r="F47" s="87">
        <v>16</v>
      </c>
      <c r="G47" s="86">
        <v>1043.2</v>
      </c>
      <c r="H47" s="86">
        <v>0</v>
      </c>
      <c r="I47" s="87">
        <v>8</v>
      </c>
      <c r="J47" s="86">
        <v>521.6</v>
      </c>
      <c r="K47" s="86">
        <v>0</v>
      </c>
      <c r="L47" s="86">
        <v>6520</v>
      </c>
      <c r="M47" s="87">
        <v>9.5</v>
      </c>
      <c r="N47" s="86"/>
      <c r="O47" s="86">
        <v>619.4</v>
      </c>
      <c r="P47" s="86">
        <v>0</v>
      </c>
      <c r="Q47" s="87">
        <v>2</v>
      </c>
      <c r="R47" s="86"/>
      <c r="S47" s="86">
        <v>130.4</v>
      </c>
      <c r="T47" s="86">
        <v>0</v>
      </c>
      <c r="U47" s="86">
        <v>6520</v>
      </c>
      <c r="V47" s="87">
        <v>0.5</v>
      </c>
      <c r="W47" s="86">
        <v>32.6</v>
      </c>
      <c r="X47" s="86">
        <v>0</v>
      </c>
      <c r="Y47" s="87">
        <v>0.5</v>
      </c>
      <c r="Z47" s="86">
        <v>32.6</v>
      </c>
      <c r="AA47" s="86">
        <v>0</v>
      </c>
      <c r="AB47" s="86">
        <v>2590</v>
      </c>
      <c r="AC47" s="87">
        <v>7</v>
      </c>
      <c r="AD47" s="86">
        <v>181</v>
      </c>
      <c r="AE47" s="86">
        <v>0</v>
      </c>
      <c r="AF47" s="87">
        <v>7</v>
      </c>
      <c r="AG47" s="86">
        <v>181</v>
      </c>
      <c r="AH47" s="86">
        <v>0</v>
      </c>
      <c r="AI47" s="88">
        <v>0</v>
      </c>
      <c r="AJ47" s="88">
        <v>0</v>
      </c>
      <c r="AK47" s="88">
        <v>0</v>
      </c>
      <c r="AL47" s="88">
        <v>0</v>
      </c>
      <c r="AM47" s="88">
        <v>0</v>
      </c>
      <c r="AN47" s="88">
        <v>0</v>
      </c>
      <c r="AO47" s="88">
        <v>0</v>
      </c>
      <c r="AP47" s="88">
        <v>0</v>
      </c>
      <c r="AQ47" s="88">
        <v>0</v>
      </c>
      <c r="AR47" s="88">
        <v>0</v>
      </c>
      <c r="AS47" s="88">
        <v>0</v>
      </c>
      <c r="AT47" s="88">
        <v>0</v>
      </c>
      <c r="AU47" s="88">
        <v>0</v>
      </c>
      <c r="AV47" s="88">
        <v>0</v>
      </c>
      <c r="AW47" s="88"/>
      <c r="AX47" s="86">
        <v>6520</v>
      </c>
      <c r="AY47" s="87">
        <v>1</v>
      </c>
      <c r="AZ47" s="86">
        <v>65.2</v>
      </c>
      <c r="BA47" s="86">
        <v>0</v>
      </c>
      <c r="BB47" s="87"/>
      <c r="BC47" s="86">
        <v>0</v>
      </c>
      <c r="BD47" s="86">
        <v>0</v>
      </c>
      <c r="BE47" s="86">
        <v>6520</v>
      </c>
      <c r="BF47" s="87">
        <v>0.25600000000000001</v>
      </c>
      <c r="BG47" s="86">
        <v>16.7</v>
      </c>
      <c r="BH47" s="86">
        <v>0</v>
      </c>
      <c r="BI47" s="87"/>
      <c r="BJ47" s="86">
        <v>0</v>
      </c>
      <c r="BK47" s="86">
        <v>0</v>
      </c>
      <c r="BL47" s="88"/>
      <c r="BM47" s="88"/>
      <c r="BN47" s="88">
        <v>0</v>
      </c>
      <c r="BO47" s="88">
        <v>0</v>
      </c>
      <c r="BP47" s="88"/>
      <c r="BQ47" s="88">
        <v>0</v>
      </c>
      <c r="BR47" s="88">
        <v>0</v>
      </c>
      <c r="BS47" s="13">
        <f t="shared" si="0"/>
        <v>684.6</v>
      </c>
      <c r="BT47" s="13">
        <f t="shared" si="4"/>
        <v>1777.1</v>
      </c>
      <c r="BU47" s="13">
        <f t="shared" si="1"/>
        <v>181</v>
      </c>
      <c r="BV47" s="13">
        <f t="shared" si="2"/>
        <v>181</v>
      </c>
      <c r="BW47" s="14">
        <v>0</v>
      </c>
      <c r="BX47" s="14">
        <f t="shared" si="5"/>
        <v>0</v>
      </c>
      <c r="BY47" s="14">
        <v>0</v>
      </c>
      <c r="BZ47" s="14">
        <v>0</v>
      </c>
      <c r="CA47" s="14">
        <f t="shared" si="7"/>
        <v>865.6</v>
      </c>
      <c r="CB47" s="14">
        <f t="shared" si="7"/>
        <v>1958.1</v>
      </c>
      <c r="CC47" s="14">
        <f t="shared" si="3"/>
        <v>2823.7</v>
      </c>
      <c r="CD47" s="12">
        <v>21</v>
      </c>
    </row>
    <row r="48" spans="1:82" ht="24.9" customHeight="1">
      <c r="A48" s="6" t="s">
        <v>439</v>
      </c>
      <c r="B48" s="7" t="s">
        <v>417</v>
      </c>
      <c r="C48" s="37" t="s">
        <v>384</v>
      </c>
      <c r="D48" s="37" t="s">
        <v>386</v>
      </c>
      <c r="E48" s="86">
        <v>6520</v>
      </c>
      <c r="F48" s="87">
        <v>16</v>
      </c>
      <c r="G48" s="86">
        <v>1043.2</v>
      </c>
      <c r="H48" s="86">
        <v>0</v>
      </c>
      <c r="I48" s="87">
        <v>8</v>
      </c>
      <c r="J48" s="86">
        <v>521.6</v>
      </c>
      <c r="K48" s="86">
        <v>0</v>
      </c>
      <c r="L48" s="86">
        <v>6520</v>
      </c>
      <c r="M48" s="87">
        <v>9.5</v>
      </c>
      <c r="N48" s="86"/>
      <c r="O48" s="86">
        <v>619.4</v>
      </c>
      <c r="P48" s="86">
        <v>0</v>
      </c>
      <c r="Q48" s="87">
        <v>2</v>
      </c>
      <c r="R48" s="86"/>
      <c r="S48" s="86">
        <v>130.4</v>
      </c>
      <c r="T48" s="86">
        <v>0</v>
      </c>
      <c r="U48" s="86">
        <v>6520</v>
      </c>
      <c r="V48" s="87">
        <v>0.5</v>
      </c>
      <c r="W48" s="86">
        <v>32.6</v>
      </c>
      <c r="X48" s="86">
        <v>0</v>
      </c>
      <c r="Y48" s="87">
        <v>0.5</v>
      </c>
      <c r="Z48" s="86">
        <v>32.6</v>
      </c>
      <c r="AA48" s="86">
        <v>0</v>
      </c>
      <c r="AB48" s="86">
        <v>2590</v>
      </c>
      <c r="AC48" s="87">
        <v>7</v>
      </c>
      <c r="AD48" s="86">
        <v>181</v>
      </c>
      <c r="AE48" s="86">
        <v>0</v>
      </c>
      <c r="AF48" s="87">
        <v>7</v>
      </c>
      <c r="AG48" s="86">
        <v>181</v>
      </c>
      <c r="AH48" s="86">
        <v>0</v>
      </c>
      <c r="AI48" s="88">
        <v>0</v>
      </c>
      <c r="AJ48" s="88">
        <v>0</v>
      </c>
      <c r="AK48" s="88">
        <v>0</v>
      </c>
      <c r="AL48" s="88">
        <v>0</v>
      </c>
      <c r="AM48" s="88">
        <v>0</v>
      </c>
      <c r="AN48" s="88">
        <v>0</v>
      </c>
      <c r="AO48" s="88">
        <v>0</v>
      </c>
      <c r="AP48" s="88">
        <v>0</v>
      </c>
      <c r="AQ48" s="88">
        <v>0</v>
      </c>
      <c r="AR48" s="88">
        <v>0</v>
      </c>
      <c r="AS48" s="88">
        <v>0</v>
      </c>
      <c r="AT48" s="88">
        <v>0</v>
      </c>
      <c r="AU48" s="88">
        <v>0</v>
      </c>
      <c r="AV48" s="88">
        <v>0</v>
      </c>
      <c r="AW48" s="88"/>
      <c r="AX48" s="86">
        <v>6520</v>
      </c>
      <c r="AY48" s="87">
        <v>1</v>
      </c>
      <c r="AZ48" s="86">
        <v>65.2</v>
      </c>
      <c r="BA48" s="86">
        <v>0</v>
      </c>
      <c r="BB48" s="87"/>
      <c r="BC48" s="86">
        <v>0</v>
      </c>
      <c r="BD48" s="86">
        <v>0</v>
      </c>
      <c r="BE48" s="86">
        <v>6520</v>
      </c>
      <c r="BF48" s="87">
        <v>0.25600000000000001</v>
      </c>
      <c r="BG48" s="86">
        <v>16.7</v>
      </c>
      <c r="BH48" s="86">
        <v>0</v>
      </c>
      <c r="BI48" s="87"/>
      <c r="BJ48" s="86">
        <v>0</v>
      </c>
      <c r="BK48" s="86">
        <v>0</v>
      </c>
      <c r="BL48" s="88"/>
      <c r="BM48" s="88"/>
      <c r="BN48" s="88">
        <v>0</v>
      </c>
      <c r="BO48" s="88">
        <v>0</v>
      </c>
      <c r="BP48" s="88"/>
      <c r="BQ48" s="88">
        <v>0</v>
      </c>
      <c r="BR48" s="88">
        <v>0</v>
      </c>
      <c r="BS48" s="13">
        <f t="shared" si="0"/>
        <v>684.6</v>
      </c>
      <c r="BT48" s="13">
        <f t="shared" si="4"/>
        <v>1777.1</v>
      </c>
      <c r="BU48" s="13">
        <f t="shared" si="1"/>
        <v>181</v>
      </c>
      <c r="BV48" s="13">
        <f t="shared" si="2"/>
        <v>181</v>
      </c>
      <c r="BW48" s="14">
        <v>0</v>
      </c>
      <c r="BX48" s="14">
        <f t="shared" si="5"/>
        <v>0</v>
      </c>
      <c r="BY48" s="14">
        <v>0</v>
      </c>
      <c r="BZ48" s="14">
        <v>0</v>
      </c>
      <c r="CA48" s="14">
        <f t="shared" si="7"/>
        <v>865.6</v>
      </c>
      <c r="CB48" s="14">
        <f t="shared" si="7"/>
        <v>1958.1</v>
      </c>
      <c r="CC48" s="14">
        <f t="shared" si="3"/>
        <v>2823.7</v>
      </c>
      <c r="CD48" s="12">
        <v>21</v>
      </c>
    </row>
    <row r="49" spans="1:82" ht="24.9" customHeight="1">
      <c r="A49" s="6" t="s">
        <v>439</v>
      </c>
      <c r="B49" s="7" t="s">
        <v>417</v>
      </c>
      <c r="C49" s="37" t="s">
        <v>190</v>
      </c>
      <c r="D49" s="37" t="s">
        <v>191</v>
      </c>
      <c r="E49" s="86">
        <v>6520</v>
      </c>
      <c r="F49" s="87">
        <v>16</v>
      </c>
      <c r="G49" s="86">
        <v>1043.2</v>
      </c>
      <c r="H49" s="86">
        <v>0</v>
      </c>
      <c r="I49" s="87">
        <v>8</v>
      </c>
      <c r="J49" s="86">
        <v>521.6</v>
      </c>
      <c r="K49" s="86">
        <v>0</v>
      </c>
      <c r="L49" s="86">
        <v>6520</v>
      </c>
      <c r="M49" s="87">
        <v>9.5</v>
      </c>
      <c r="N49" s="86"/>
      <c r="O49" s="86">
        <v>619.4</v>
      </c>
      <c r="P49" s="86">
        <v>0</v>
      </c>
      <c r="Q49" s="87">
        <v>2</v>
      </c>
      <c r="R49" s="86"/>
      <c r="S49" s="86">
        <v>130.4</v>
      </c>
      <c r="T49" s="86">
        <v>0</v>
      </c>
      <c r="U49" s="86">
        <v>6520</v>
      </c>
      <c r="V49" s="87">
        <v>0.5</v>
      </c>
      <c r="W49" s="86">
        <v>32.6</v>
      </c>
      <c r="X49" s="86">
        <v>0</v>
      </c>
      <c r="Y49" s="87">
        <v>0.5</v>
      </c>
      <c r="Z49" s="86">
        <v>32.6</v>
      </c>
      <c r="AA49" s="86">
        <v>0</v>
      </c>
      <c r="AB49" s="86">
        <v>2590</v>
      </c>
      <c r="AC49" s="87">
        <v>7</v>
      </c>
      <c r="AD49" s="86">
        <v>181</v>
      </c>
      <c r="AE49" s="86">
        <v>0</v>
      </c>
      <c r="AF49" s="87">
        <v>7</v>
      </c>
      <c r="AG49" s="86">
        <v>181</v>
      </c>
      <c r="AH49" s="86">
        <v>0</v>
      </c>
      <c r="AI49" s="88">
        <v>0</v>
      </c>
      <c r="AJ49" s="88">
        <v>0</v>
      </c>
      <c r="AK49" s="88">
        <v>0</v>
      </c>
      <c r="AL49" s="88">
        <v>0</v>
      </c>
      <c r="AM49" s="88">
        <v>0</v>
      </c>
      <c r="AN49" s="88">
        <v>0</v>
      </c>
      <c r="AO49" s="88">
        <v>0</v>
      </c>
      <c r="AP49" s="88">
        <v>0</v>
      </c>
      <c r="AQ49" s="88">
        <v>0</v>
      </c>
      <c r="AR49" s="88">
        <v>0</v>
      </c>
      <c r="AS49" s="88">
        <v>0</v>
      </c>
      <c r="AT49" s="88">
        <v>0</v>
      </c>
      <c r="AU49" s="88">
        <v>0</v>
      </c>
      <c r="AV49" s="88">
        <v>0</v>
      </c>
      <c r="AW49" s="88"/>
      <c r="AX49" s="86">
        <v>6520</v>
      </c>
      <c r="AY49" s="87">
        <v>1</v>
      </c>
      <c r="AZ49" s="86">
        <v>65.2</v>
      </c>
      <c r="BA49" s="86">
        <v>0</v>
      </c>
      <c r="BB49" s="87"/>
      <c r="BC49" s="86">
        <v>0</v>
      </c>
      <c r="BD49" s="86">
        <v>0</v>
      </c>
      <c r="BE49" s="86">
        <v>6520</v>
      </c>
      <c r="BF49" s="87">
        <v>0.25600000000000001</v>
      </c>
      <c r="BG49" s="86">
        <v>16.7</v>
      </c>
      <c r="BH49" s="86">
        <v>0</v>
      </c>
      <c r="BI49" s="87"/>
      <c r="BJ49" s="86">
        <v>0</v>
      </c>
      <c r="BK49" s="86">
        <v>0</v>
      </c>
      <c r="BL49" s="88"/>
      <c r="BM49" s="88"/>
      <c r="BN49" s="88">
        <v>0</v>
      </c>
      <c r="BO49" s="88">
        <v>0</v>
      </c>
      <c r="BP49" s="88"/>
      <c r="BQ49" s="88">
        <v>0</v>
      </c>
      <c r="BR49" s="88">
        <v>0</v>
      </c>
      <c r="BS49" s="13">
        <f t="shared" si="0"/>
        <v>684.6</v>
      </c>
      <c r="BT49" s="13">
        <f t="shared" si="4"/>
        <v>1777.1</v>
      </c>
      <c r="BU49" s="13">
        <f t="shared" si="1"/>
        <v>181</v>
      </c>
      <c r="BV49" s="13">
        <f t="shared" si="2"/>
        <v>181</v>
      </c>
      <c r="BW49" s="14">
        <v>0</v>
      </c>
      <c r="BX49" s="14">
        <f t="shared" si="5"/>
        <v>0</v>
      </c>
      <c r="BY49" s="14">
        <v>0</v>
      </c>
      <c r="BZ49" s="14">
        <v>0</v>
      </c>
      <c r="CA49" s="14">
        <f t="shared" si="7"/>
        <v>865.6</v>
      </c>
      <c r="CB49" s="14">
        <f t="shared" si="7"/>
        <v>1958.1</v>
      </c>
      <c r="CC49" s="14">
        <f t="shared" si="3"/>
        <v>2823.7</v>
      </c>
      <c r="CD49" s="12">
        <v>21</v>
      </c>
    </row>
    <row r="50" spans="1:82" ht="24.9" customHeight="1">
      <c r="A50" s="6" t="s">
        <v>439</v>
      </c>
      <c r="B50" s="7" t="s">
        <v>417</v>
      </c>
      <c r="C50" s="37" t="s">
        <v>236</v>
      </c>
      <c r="D50" s="37" t="s">
        <v>237</v>
      </c>
      <c r="E50" s="86">
        <v>6520</v>
      </c>
      <c r="F50" s="87">
        <v>16</v>
      </c>
      <c r="G50" s="86">
        <v>1043.2</v>
      </c>
      <c r="H50" s="86">
        <v>0</v>
      </c>
      <c r="I50" s="87">
        <v>8</v>
      </c>
      <c r="J50" s="86">
        <v>521.6</v>
      </c>
      <c r="K50" s="86">
        <v>0</v>
      </c>
      <c r="L50" s="86">
        <v>6520</v>
      </c>
      <c r="M50" s="87">
        <v>9.5</v>
      </c>
      <c r="N50" s="86"/>
      <c r="O50" s="86">
        <v>619.4</v>
      </c>
      <c r="P50" s="86">
        <v>0</v>
      </c>
      <c r="Q50" s="87">
        <v>2</v>
      </c>
      <c r="R50" s="86"/>
      <c r="S50" s="86">
        <v>130.4</v>
      </c>
      <c r="T50" s="86">
        <v>0</v>
      </c>
      <c r="U50" s="86">
        <v>6520</v>
      </c>
      <c r="V50" s="87">
        <v>0.5</v>
      </c>
      <c r="W50" s="86">
        <v>32.6</v>
      </c>
      <c r="X50" s="86">
        <v>0</v>
      </c>
      <c r="Y50" s="87">
        <v>0.5</v>
      </c>
      <c r="Z50" s="86">
        <v>32.6</v>
      </c>
      <c r="AA50" s="86">
        <v>0</v>
      </c>
      <c r="AB50" s="86">
        <v>2590</v>
      </c>
      <c r="AC50" s="87">
        <v>7</v>
      </c>
      <c r="AD50" s="86">
        <v>181</v>
      </c>
      <c r="AE50" s="86">
        <v>0</v>
      </c>
      <c r="AF50" s="87">
        <v>7</v>
      </c>
      <c r="AG50" s="86">
        <v>181</v>
      </c>
      <c r="AH50" s="86">
        <v>0</v>
      </c>
      <c r="AI50" s="88">
        <v>0</v>
      </c>
      <c r="AJ50" s="88">
        <v>0</v>
      </c>
      <c r="AK50" s="88">
        <v>0</v>
      </c>
      <c r="AL50" s="88">
        <v>0</v>
      </c>
      <c r="AM50" s="88">
        <v>0</v>
      </c>
      <c r="AN50" s="88">
        <v>0</v>
      </c>
      <c r="AO50" s="88">
        <v>0</v>
      </c>
      <c r="AP50" s="88">
        <v>0</v>
      </c>
      <c r="AQ50" s="88">
        <v>0</v>
      </c>
      <c r="AR50" s="88">
        <v>0</v>
      </c>
      <c r="AS50" s="88">
        <v>0</v>
      </c>
      <c r="AT50" s="88">
        <v>0</v>
      </c>
      <c r="AU50" s="88">
        <v>0</v>
      </c>
      <c r="AV50" s="88">
        <v>0</v>
      </c>
      <c r="AW50" s="88"/>
      <c r="AX50" s="86">
        <v>6520</v>
      </c>
      <c r="AY50" s="87">
        <v>1</v>
      </c>
      <c r="AZ50" s="86">
        <v>65.2</v>
      </c>
      <c r="BA50" s="86">
        <v>0</v>
      </c>
      <c r="BB50" s="87"/>
      <c r="BC50" s="86">
        <v>0</v>
      </c>
      <c r="BD50" s="86">
        <v>0</v>
      </c>
      <c r="BE50" s="86">
        <v>6520</v>
      </c>
      <c r="BF50" s="87">
        <v>0.25600000000000001</v>
      </c>
      <c r="BG50" s="86">
        <v>16.7</v>
      </c>
      <c r="BH50" s="86">
        <v>0</v>
      </c>
      <c r="BI50" s="87"/>
      <c r="BJ50" s="86">
        <v>0</v>
      </c>
      <c r="BK50" s="86">
        <v>0</v>
      </c>
      <c r="BL50" s="88"/>
      <c r="BM50" s="88"/>
      <c r="BN50" s="88">
        <v>0</v>
      </c>
      <c r="BO50" s="88">
        <v>0</v>
      </c>
      <c r="BP50" s="88"/>
      <c r="BQ50" s="88">
        <v>0</v>
      </c>
      <c r="BR50" s="88">
        <v>0</v>
      </c>
      <c r="BS50" s="13">
        <f t="shared" si="0"/>
        <v>684.6</v>
      </c>
      <c r="BT50" s="13">
        <f t="shared" si="4"/>
        <v>1777.1</v>
      </c>
      <c r="BU50" s="13">
        <f t="shared" si="1"/>
        <v>181</v>
      </c>
      <c r="BV50" s="13">
        <f t="shared" si="2"/>
        <v>181</v>
      </c>
      <c r="BW50" s="14">
        <v>0</v>
      </c>
      <c r="BX50" s="14">
        <f t="shared" si="5"/>
        <v>0</v>
      </c>
      <c r="BY50" s="14">
        <v>0</v>
      </c>
      <c r="BZ50" s="14">
        <v>0</v>
      </c>
      <c r="CA50" s="14">
        <f t="shared" si="7"/>
        <v>865.6</v>
      </c>
      <c r="CB50" s="14">
        <f t="shared" si="7"/>
        <v>1958.1</v>
      </c>
      <c r="CC50" s="14">
        <f t="shared" si="3"/>
        <v>2823.7</v>
      </c>
      <c r="CD50" s="12">
        <v>21</v>
      </c>
    </row>
    <row r="51" spans="1:82" ht="24.9" customHeight="1">
      <c r="A51" s="6" t="s">
        <v>439</v>
      </c>
      <c r="B51" s="7" t="s">
        <v>417</v>
      </c>
      <c r="C51" s="37" t="s">
        <v>184</v>
      </c>
      <c r="D51" s="37" t="s">
        <v>185</v>
      </c>
      <c r="E51" s="86">
        <v>6520</v>
      </c>
      <c r="F51" s="87">
        <v>16</v>
      </c>
      <c r="G51" s="86">
        <v>1043.2</v>
      </c>
      <c r="H51" s="86">
        <v>0</v>
      </c>
      <c r="I51" s="87">
        <v>8</v>
      </c>
      <c r="J51" s="86">
        <v>521.6</v>
      </c>
      <c r="K51" s="86">
        <v>0</v>
      </c>
      <c r="L51" s="86">
        <v>6520</v>
      </c>
      <c r="M51" s="87">
        <v>9.5</v>
      </c>
      <c r="N51" s="86"/>
      <c r="O51" s="86">
        <v>619.4</v>
      </c>
      <c r="P51" s="86">
        <v>0</v>
      </c>
      <c r="Q51" s="87">
        <v>2</v>
      </c>
      <c r="R51" s="86"/>
      <c r="S51" s="86">
        <v>130.4</v>
      </c>
      <c r="T51" s="86">
        <v>0</v>
      </c>
      <c r="U51" s="86">
        <v>6520</v>
      </c>
      <c r="V51" s="87">
        <v>0.5</v>
      </c>
      <c r="W51" s="86">
        <v>32.6</v>
      </c>
      <c r="X51" s="86">
        <v>0</v>
      </c>
      <c r="Y51" s="87">
        <v>0.5</v>
      </c>
      <c r="Z51" s="86">
        <v>32.6</v>
      </c>
      <c r="AA51" s="86">
        <v>0</v>
      </c>
      <c r="AB51" s="86">
        <v>2590</v>
      </c>
      <c r="AC51" s="87">
        <v>7</v>
      </c>
      <c r="AD51" s="86">
        <v>181</v>
      </c>
      <c r="AE51" s="86">
        <v>0</v>
      </c>
      <c r="AF51" s="87">
        <v>7</v>
      </c>
      <c r="AG51" s="86">
        <v>181</v>
      </c>
      <c r="AH51" s="86">
        <v>0</v>
      </c>
      <c r="AI51" s="88">
        <v>0</v>
      </c>
      <c r="AJ51" s="88">
        <v>0</v>
      </c>
      <c r="AK51" s="88">
        <v>0</v>
      </c>
      <c r="AL51" s="88">
        <v>0</v>
      </c>
      <c r="AM51" s="88">
        <v>0</v>
      </c>
      <c r="AN51" s="88">
        <v>0</v>
      </c>
      <c r="AO51" s="88">
        <v>0</v>
      </c>
      <c r="AP51" s="88">
        <v>0</v>
      </c>
      <c r="AQ51" s="88">
        <v>0</v>
      </c>
      <c r="AR51" s="88">
        <v>0</v>
      </c>
      <c r="AS51" s="88">
        <v>0</v>
      </c>
      <c r="AT51" s="88">
        <v>0</v>
      </c>
      <c r="AU51" s="88">
        <v>0</v>
      </c>
      <c r="AV51" s="88">
        <v>0</v>
      </c>
      <c r="AW51" s="88"/>
      <c r="AX51" s="86">
        <v>6520</v>
      </c>
      <c r="AY51" s="87">
        <v>1</v>
      </c>
      <c r="AZ51" s="86">
        <v>65.2</v>
      </c>
      <c r="BA51" s="86">
        <v>0</v>
      </c>
      <c r="BB51" s="87"/>
      <c r="BC51" s="86">
        <v>0</v>
      </c>
      <c r="BD51" s="86">
        <v>0</v>
      </c>
      <c r="BE51" s="86">
        <v>6520</v>
      </c>
      <c r="BF51" s="87">
        <v>0.25600000000000001</v>
      </c>
      <c r="BG51" s="86">
        <v>16.7</v>
      </c>
      <c r="BH51" s="86">
        <v>0</v>
      </c>
      <c r="BI51" s="87"/>
      <c r="BJ51" s="86">
        <v>0</v>
      </c>
      <c r="BK51" s="86">
        <v>0</v>
      </c>
      <c r="BL51" s="88"/>
      <c r="BM51" s="88"/>
      <c r="BN51" s="88">
        <v>0</v>
      </c>
      <c r="BO51" s="88">
        <v>0</v>
      </c>
      <c r="BP51" s="88"/>
      <c r="BQ51" s="88">
        <v>0</v>
      </c>
      <c r="BR51" s="88">
        <v>0</v>
      </c>
      <c r="BS51" s="13">
        <f t="shared" si="0"/>
        <v>684.6</v>
      </c>
      <c r="BT51" s="13">
        <f t="shared" si="4"/>
        <v>1777.1</v>
      </c>
      <c r="BU51" s="13">
        <f t="shared" si="1"/>
        <v>181</v>
      </c>
      <c r="BV51" s="13">
        <f t="shared" si="2"/>
        <v>181</v>
      </c>
      <c r="BW51" s="14">
        <v>0</v>
      </c>
      <c r="BX51" s="14">
        <f t="shared" si="5"/>
        <v>0</v>
      </c>
      <c r="BY51" s="14">
        <v>0</v>
      </c>
      <c r="BZ51" s="14">
        <v>0</v>
      </c>
      <c r="CA51" s="14">
        <f t="shared" si="7"/>
        <v>865.6</v>
      </c>
      <c r="CB51" s="14">
        <f t="shared" si="7"/>
        <v>1958.1</v>
      </c>
      <c r="CC51" s="14">
        <f t="shared" si="3"/>
        <v>2823.7</v>
      </c>
      <c r="CD51" s="12">
        <v>21</v>
      </c>
    </row>
    <row r="52" spans="1:82" ht="24.9" customHeight="1">
      <c r="A52" s="6" t="s">
        <v>439</v>
      </c>
      <c r="B52" s="7" t="s">
        <v>417</v>
      </c>
      <c r="C52" s="37" t="s">
        <v>368</v>
      </c>
      <c r="D52" s="37" t="s">
        <v>364</v>
      </c>
      <c r="E52" s="86">
        <v>6520</v>
      </c>
      <c r="F52" s="87">
        <v>16</v>
      </c>
      <c r="G52" s="86">
        <v>1043.2</v>
      </c>
      <c r="H52" s="86">
        <v>0</v>
      </c>
      <c r="I52" s="87">
        <v>8</v>
      </c>
      <c r="J52" s="86">
        <v>521.6</v>
      </c>
      <c r="K52" s="86">
        <v>0</v>
      </c>
      <c r="L52" s="86">
        <v>6520</v>
      </c>
      <c r="M52" s="87">
        <v>9.5</v>
      </c>
      <c r="N52" s="86"/>
      <c r="O52" s="86">
        <v>619.4</v>
      </c>
      <c r="P52" s="86">
        <v>0</v>
      </c>
      <c r="Q52" s="87">
        <v>2</v>
      </c>
      <c r="R52" s="86"/>
      <c r="S52" s="86">
        <v>130.4</v>
      </c>
      <c r="T52" s="86">
        <v>0</v>
      </c>
      <c r="U52" s="86">
        <v>6520</v>
      </c>
      <c r="V52" s="87">
        <v>0.5</v>
      </c>
      <c r="W52" s="86">
        <v>32.6</v>
      </c>
      <c r="X52" s="86">
        <v>0</v>
      </c>
      <c r="Y52" s="87">
        <v>0.5</v>
      </c>
      <c r="Z52" s="86">
        <v>32.6</v>
      </c>
      <c r="AA52" s="86">
        <v>0</v>
      </c>
      <c r="AB52" s="86">
        <v>2590</v>
      </c>
      <c r="AC52" s="87">
        <v>7</v>
      </c>
      <c r="AD52" s="86">
        <v>181</v>
      </c>
      <c r="AE52" s="86">
        <v>0</v>
      </c>
      <c r="AF52" s="87">
        <v>7</v>
      </c>
      <c r="AG52" s="86">
        <v>181</v>
      </c>
      <c r="AH52" s="86">
        <v>0</v>
      </c>
      <c r="AI52" s="88">
        <v>0</v>
      </c>
      <c r="AJ52" s="88">
        <v>0</v>
      </c>
      <c r="AK52" s="88">
        <v>0</v>
      </c>
      <c r="AL52" s="88">
        <v>0</v>
      </c>
      <c r="AM52" s="88">
        <v>0</v>
      </c>
      <c r="AN52" s="88">
        <v>0</v>
      </c>
      <c r="AO52" s="88">
        <v>0</v>
      </c>
      <c r="AP52" s="88">
        <v>0</v>
      </c>
      <c r="AQ52" s="88">
        <v>0</v>
      </c>
      <c r="AR52" s="88">
        <v>0</v>
      </c>
      <c r="AS52" s="88">
        <v>0</v>
      </c>
      <c r="AT52" s="88">
        <v>0</v>
      </c>
      <c r="AU52" s="88">
        <v>0</v>
      </c>
      <c r="AV52" s="88">
        <v>0</v>
      </c>
      <c r="AW52" s="88"/>
      <c r="AX52" s="86">
        <v>6520</v>
      </c>
      <c r="AY52" s="87">
        <v>1</v>
      </c>
      <c r="AZ52" s="86">
        <v>65.2</v>
      </c>
      <c r="BA52" s="86">
        <v>0</v>
      </c>
      <c r="BB52" s="87"/>
      <c r="BC52" s="86">
        <v>0</v>
      </c>
      <c r="BD52" s="86">
        <v>0</v>
      </c>
      <c r="BE52" s="86">
        <v>6520</v>
      </c>
      <c r="BF52" s="87">
        <v>0.25600000000000001</v>
      </c>
      <c r="BG52" s="86">
        <v>16.7</v>
      </c>
      <c r="BH52" s="86">
        <v>0</v>
      </c>
      <c r="BI52" s="87"/>
      <c r="BJ52" s="86">
        <v>0</v>
      </c>
      <c r="BK52" s="86">
        <v>0</v>
      </c>
      <c r="BL52" s="88"/>
      <c r="BM52" s="88"/>
      <c r="BN52" s="88">
        <v>0</v>
      </c>
      <c r="BO52" s="88">
        <v>0</v>
      </c>
      <c r="BP52" s="88"/>
      <c r="BQ52" s="88">
        <v>0</v>
      </c>
      <c r="BR52" s="88">
        <v>0</v>
      </c>
      <c r="BS52" s="13">
        <f t="shared" si="0"/>
        <v>684.6</v>
      </c>
      <c r="BT52" s="13">
        <f t="shared" si="4"/>
        <v>1777.1</v>
      </c>
      <c r="BU52" s="13">
        <f t="shared" si="1"/>
        <v>181</v>
      </c>
      <c r="BV52" s="13">
        <f t="shared" si="2"/>
        <v>181</v>
      </c>
      <c r="BW52" s="14">
        <v>0</v>
      </c>
      <c r="BX52" s="14">
        <f t="shared" si="5"/>
        <v>0</v>
      </c>
      <c r="BY52" s="14">
        <v>0</v>
      </c>
      <c r="BZ52" s="14">
        <v>0</v>
      </c>
      <c r="CA52" s="14">
        <f t="shared" si="7"/>
        <v>865.6</v>
      </c>
      <c r="CB52" s="14">
        <f t="shared" si="7"/>
        <v>1958.1</v>
      </c>
      <c r="CC52" s="14">
        <f t="shared" si="3"/>
        <v>2823.7</v>
      </c>
      <c r="CD52" s="12">
        <v>21</v>
      </c>
    </row>
    <row r="53" spans="1:82" ht="24.9" customHeight="1">
      <c r="A53" s="6" t="s">
        <v>439</v>
      </c>
      <c r="B53" s="7" t="s">
        <v>417</v>
      </c>
      <c r="C53" s="37" t="s">
        <v>168</v>
      </c>
      <c r="D53" s="37" t="s">
        <v>169</v>
      </c>
      <c r="E53" s="86">
        <v>6520</v>
      </c>
      <c r="F53" s="87">
        <v>16</v>
      </c>
      <c r="G53" s="86">
        <v>1043.2</v>
      </c>
      <c r="H53" s="86">
        <v>0</v>
      </c>
      <c r="I53" s="87">
        <v>8</v>
      </c>
      <c r="J53" s="86">
        <v>521.6</v>
      </c>
      <c r="K53" s="86">
        <v>0</v>
      </c>
      <c r="L53" s="86">
        <v>6520</v>
      </c>
      <c r="M53" s="87">
        <v>9.5</v>
      </c>
      <c r="N53" s="86"/>
      <c r="O53" s="86">
        <v>619.4</v>
      </c>
      <c r="P53" s="86">
        <v>0</v>
      </c>
      <c r="Q53" s="87">
        <v>2</v>
      </c>
      <c r="R53" s="86"/>
      <c r="S53" s="86">
        <v>130.4</v>
      </c>
      <c r="T53" s="86">
        <v>0</v>
      </c>
      <c r="U53" s="86">
        <v>6520</v>
      </c>
      <c r="V53" s="87">
        <v>0.5</v>
      </c>
      <c r="W53" s="86">
        <v>32.6</v>
      </c>
      <c r="X53" s="86">
        <v>0</v>
      </c>
      <c r="Y53" s="87">
        <v>0.5</v>
      </c>
      <c r="Z53" s="86">
        <v>32.6</v>
      </c>
      <c r="AA53" s="86">
        <v>0</v>
      </c>
      <c r="AB53" s="86">
        <v>2590</v>
      </c>
      <c r="AC53" s="87">
        <v>7</v>
      </c>
      <c r="AD53" s="86">
        <v>181</v>
      </c>
      <c r="AE53" s="86">
        <v>0</v>
      </c>
      <c r="AF53" s="87">
        <v>7</v>
      </c>
      <c r="AG53" s="86">
        <v>181</v>
      </c>
      <c r="AH53" s="86">
        <v>0</v>
      </c>
      <c r="AI53" s="88">
        <v>0</v>
      </c>
      <c r="AJ53" s="88">
        <v>0</v>
      </c>
      <c r="AK53" s="88">
        <v>0</v>
      </c>
      <c r="AL53" s="88">
        <v>0</v>
      </c>
      <c r="AM53" s="88">
        <v>0</v>
      </c>
      <c r="AN53" s="88">
        <v>0</v>
      </c>
      <c r="AO53" s="88">
        <v>0</v>
      </c>
      <c r="AP53" s="88">
        <v>0</v>
      </c>
      <c r="AQ53" s="88">
        <v>0</v>
      </c>
      <c r="AR53" s="88">
        <v>0</v>
      </c>
      <c r="AS53" s="88">
        <v>0</v>
      </c>
      <c r="AT53" s="88">
        <v>0</v>
      </c>
      <c r="AU53" s="88">
        <v>0</v>
      </c>
      <c r="AV53" s="88">
        <v>0</v>
      </c>
      <c r="AW53" s="88"/>
      <c r="AX53" s="86">
        <v>6520</v>
      </c>
      <c r="AY53" s="87">
        <v>1</v>
      </c>
      <c r="AZ53" s="86">
        <v>65.2</v>
      </c>
      <c r="BA53" s="86">
        <v>0</v>
      </c>
      <c r="BB53" s="87"/>
      <c r="BC53" s="86">
        <v>0</v>
      </c>
      <c r="BD53" s="86">
        <v>0</v>
      </c>
      <c r="BE53" s="86">
        <v>6520</v>
      </c>
      <c r="BF53" s="87">
        <v>0.25600000000000001</v>
      </c>
      <c r="BG53" s="86">
        <v>16.7</v>
      </c>
      <c r="BH53" s="86">
        <v>0</v>
      </c>
      <c r="BI53" s="87"/>
      <c r="BJ53" s="86">
        <v>0</v>
      </c>
      <c r="BK53" s="86">
        <v>0</v>
      </c>
      <c r="BL53" s="88"/>
      <c r="BM53" s="88"/>
      <c r="BN53" s="88">
        <v>0</v>
      </c>
      <c r="BO53" s="88">
        <v>0</v>
      </c>
      <c r="BP53" s="88"/>
      <c r="BQ53" s="88">
        <v>0</v>
      </c>
      <c r="BR53" s="88">
        <v>0</v>
      </c>
      <c r="BS53" s="13">
        <f t="shared" si="0"/>
        <v>684.6</v>
      </c>
      <c r="BT53" s="13">
        <f t="shared" si="4"/>
        <v>1777.1</v>
      </c>
      <c r="BU53" s="13">
        <f t="shared" si="1"/>
        <v>181</v>
      </c>
      <c r="BV53" s="13">
        <f t="shared" si="2"/>
        <v>181</v>
      </c>
      <c r="BW53" s="14">
        <v>0</v>
      </c>
      <c r="BX53" s="14">
        <f t="shared" si="5"/>
        <v>0</v>
      </c>
      <c r="BY53" s="14">
        <v>0</v>
      </c>
      <c r="BZ53" s="14">
        <v>0</v>
      </c>
      <c r="CA53" s="14">
        <f t="shared" si="7"/>
        <v>865.6</v>
      </c>
      <c r="CB53" s="14">
        <f t="shared" si="7"/>
        <v>1958.1</v>
      </c>
      <c r="CC53" s="14">
        <f t="shared" si="3"/>
        <v>2823.7</v>
      </c>
      <c r="CD53" s="12">
        <v>21</v>
      </c>
    </row>
    <row r="54" spans="1:82" ht="24.9" customHeight="1">
      <c r="A54" s="6" t="s">
        <v>439</v>
      </c>
      <c r="B54" s="7" t="s">
        <v>417</v>
      </c>
      <c r="C54" s="37" t="s">
        <v>207</v>
      </c>
      <c r="D54" s="37" t="s">
        <v>208</v>
      </c>
      <c r="E54" s="86">
        <v>6520</v>
      </c>
      <c r="F54" s="87">
        <v>16</v>
      </c>
      <c r="G54" s="86">
        <v>1043.2</v>
      </c>
      <c r="H54" s="86">
        <v>0</v>
      </c>
      <c r="I54" s="87">
        <v>8</v>
      </c>
      <c r="J54" s="86">
        <v>521.6</v>
      </c>
      <c r="K54" s="86">
        <v>0</v>
      </c>
      <c r="L54" s="86">
        <v>6520</v>
      </c>
      <c r="M54" s="87">
        <v>9.5</v>
      </c>
      <c r="N54" s="86"/>
      <c r="O54" s="86">
        <v>619.4</v>
      </c>
      <c r="P54" s="86">
        <v>0</v>
      </c>
      <c r="Q54" s="87">
        <v>2</v>
      </c>
      <c r="R54" s="86"/>
      <c r="S54" s="86">
        <v>130.4</v>
      </c>
      <c r="T54" s="86">
        <v>0</v>
      </c>
      <c r="U54" s="86">
        <v>6520</v>
      </c>
      <c r="V54" s="87">
        <v>0.5</v>
      </c>
      <c r="W54" s="86">
        <v>32.6</v>
      </c>
      <c r="X54" s="86">
        <v>0</v>
      </c>
      <c r="Y54" s="87">
        <v>0.5</v>
      </c>
      <c r="Z54" s="86">
        <v>32.6</v>
      </c>
      <c r="AA54" s="86">
        <v>0</v>
      </c>
      <c r="AB54" s="86">
        <v>2590</v>
      </c>
      <c r="AC54" s="87">
        <v>7</v>
      </c>
      <c r="AD54" s="86">
        <v>181</v>
      </c>
      <c r="AE54" s="86">
        <v>0</v>
      </c>
      <c r="AF54" s="87">
        <v>7</v>
      </c>
      <c r="AG54" s="86">
        <v>181</v>
      </c>
      <c r="AH54" s="86">
        <v>0</v>
      </c>
      <c r="AI54" s="88">
        <v>0</v>
      </c>
      <c r="AJ54" s="88">
        <v>0</v>
      </c>
      <c r="AK54" s="88">
        <v>0</v>
      </c>
      <c r="AL54" s="88">
        <v>0</v>
      </c>
      <c r="AM54" s="88">
        <v>0</v>
      </c>
      <c r="AN54" s="88">
        <v>0</v>
      </c>
      <c r="AO54" s="88">
        <v>0</v>
      </c>
      <c r="AP54" s="88">
        <v>0</v>
      </c>
      <c r="AQ54" s="88">
        <v>0</v>
      </c>
      <c r="AR54" s="88">
        <v>0</v>
      </c>
      <c r="AS54" s="88">
        <v>0</v>
      </c>
      <c r="AT54" s="88">
        <v>0</v>
      </c>
      <c r="AU54" s="88">
        <v>0</v>
      </c>
      <c r="AV54" s="88">
        <v>0</v>
      </c>
      <c r="AW54" s="88"/>
      <c r="AX54" s="86">
        <v>6520</v>
      </c>
      <c r="AY54" s="87">
        <v>1</v>
      </c>
      <c r="AZ54" s="86">
        <v>65.2</v>
      </c>
      <c r="BA54" s="86">
        <v>0</v>
      </c>
      <c r="BB54" s="87"/>
      <c r="BC54" s="86">
        <v>0</v>
      </c>
      <c r="BD54" s="86">
        <v>0</v>
      </c>
      <c r="BE54" s="86">
        <v>6520</v>
      </c>
      <c r="BF54" s="87">
        <v>0.25600000000000001</v>
      </c>
      <c r="BG54" s="86">
        <v>16.7</v>
      </c>
      <c r="BH54" s="86">
        <v>0</v>
      </c>
      <c r="BI54" s="87"/>
      <c r="BJ54" s="86">
        <v>0</v>
      </c>
      <c r="BK54" s="86">
        <v>0</v>
      </c>
      <c r="BL54" s="88"/>
      <c r="BM54" s="88"/>
      <c r="BN54" s="88">
        <v>0</v>
      </c>
      <c r="BO54" s="88">
        <v>0</v>
      </c>
      <c r="BP54" s="88"/>
      <c r="BQ54" s="88">
        <v>0</v>
      </c>
      <c r="BR54" s="88">
        <v>0</v>
      </c>
      <c r="BS54" s="13">
        <f t="shared" si="0"/>
        <v>684.6</v>
      </c>
      <c r="BT54" s="13">
        <f t="shared" si="4"/>
        <v>1777.1</v>
      </c>
      <c r="BU54" s="13">
        <f t="shared" si="1"/>
        <v>181</v>
      </c>
      <c r="BV54" s="13">
        <f t="shared" si="2"/>
        <v>181</v>
      </c>
      <c r="BW54" s="14">
        <v>0</v>
      </c>
      <c r="BX54" s="14">
        <f t="shared" si="5"/>
        <v>0</v>
      </c>
      <c r="BY54" s="14">
        <v>0</v>
      </c>
      <c r="BZ54" s="14">
        <v>0</v>
      </c>
      <c r="CA54" s="14">
        <f t="shared" si="7"/>
        <v>865.6</v>
      </c>
      <c r="CB54" s="14">
        <f t="shared" si="7"/>
        <v>1958.1</v>
      </c>
      <c r="CC54" s="14">
        <f t="shared" si="3"/>
        <v>2823.7</v>
      </c>
      <c r="CD54" s="12">
        <v>21</v>
      </c>
    </row>
    <row r="55" spans="1:82" s="38" customFormat="1" ht="24.9" customHeight="1">
      <c r="A55" s="6" t="s">
        <v>439</v>
      </c>
      <c r="B55" s="7" t="s">
        <v>417</v>
      </c>
      <c r="C55" s="37" t="s">
        <v>256</v>
      </c>
      <c r="D55" s="37" t="s">
        <v>337</v>
      </c>
      <c r="E55" s="86">
        <v>6520</v>
      </c>
      <c r="F55" s="87">
        <v>16</v>
      </c>
      <c r="G55" s="86">
        <v>1043.2</v>
      </c>
      <c r="H55" s="86">
        <v>0</v>
      </c>
      <c r="I55" s="87">
        <v>8</v>
      </c>
      <c r="J55" s="86">
        <v>521.6</v>
      </c>
      <c r="K55" s="86">
        <v>0</v>
      </c>
      <c r="L55" s="86">
        <v>6520</v>
      </c>
      <c r="M55" s="87">
        <v>9.5</v>
      </c>
      <c r="N55" s="86"/>
      <c r="O55" s="86">
        <v>619.4</v>
      </c>
      <c r="P55" s="86">
        <v>0</v>
      </c>
      <c r="Q55" s="87">
        <v>2</v>
      </c>
      <c r="R55" s="86"/>
      <c r="S55" s="86">
        <v>130.4</v>
      </c>
      <c r="T55" s="86">
        <v>0</v>
      </c>
      <c r="U55" s="86">
        <v>6520</v>
      </c>
      <c r="V55" s="87">
        <v>0.5</v>
      </c>
      <c r="W55" s="86">
        <v>32.6</v>
      </c>
      <c r="X55" s="86">
        <v>0</v>
      </c>
      <c r="Y55" s="87">
        <v>0.5</v>
      </c>
      <c r="Z55" s="86">
        <v>32.6</v>
      </c>
      <c r="AA55" s="86">
        <v>0</v>
      </c>
      <c r="AB55" s="86">
        <v>2590</v>
      </c>
      <c r="AC55" s="87">
        <v>7</v>
      </c>
      <c r="AD55" s="86">
        <v>181</v>
      </c>
      <c r="AE55" s="86">
        <v>0</v>
      </c>
      <c r="AF55" s="87">
        <v>7</v>
      </c>
      <c r="AG55" s="86">
        <v>181</v>
      </c>
      <c r="AH55" s="86">
        <v>0</v>
      </c>
      <c r="AI55" s="88">
        <v>0</v>
      </c>
      <c r="AJ55" s="88">
        <v>0</v>
      </c>
      <c r="AK55" s="88">
        <v>0</v>
      </c>
      <c r="AL55" s="88">
        <v>0</v>
      </c>
      <c r="AM55" s="88">
        <v>0</v>
      </c>
      <c r="AN55" s="88">
        <v>0</v>
      </c>
      <c r="AO55" s="88">
        <v>0</v>
      </c>
      <c r="AP55" s="88">
        <v>0</v>
      </c>
      <c r="AQ55" s="88">
        <v>0</v>
      </c>
      <c r="AR55" s="88">
        <v>0</v>
      </c>
      <c r="AS55" s="88">
        <v>0</v>
      </c>
      <c r="AT55" s="88">
        <v>0</v>
      </c>
      <c r="AU55" s="88">
        <v>0</v>
      </c>
      <c r="AV55" s="88">
        <v>0</v>
      </c>
      <c r="AW55" s="88"/>
      <c r="AX55" s="86">
        <v>6520</v>
      </c>
      <c r="AY55" s="87">
        <v>1</v>
      </c>
      <c r="AZ55" s="86">
        <v>65.2</v>
      </c>
      <c r="BA55" s="86">
        <v>0</v>
      </c>
      <c r="BB55" s="87"/>
      <c r="BC55" s="86">
        <v>0</v>
      </c>
      <c r="BD55" s="86">
        <v>0</v>
      </c>
      <c r="BE55" s="86">
        <v>6520</v>
      </c>
      <c r="BF55" s="87">
        <v>0.25600000000000001</v>
      </c>
      <c r="BG55" s="86">
        <v>16.7</v>
      </c>
      <c r="BH55" s="86">
        <v>0</v>
      </c>
      <c r="BI55" s="87"/>
      <c r="BJ55" s="86">
        <v>0</v>
      </c>
      <c r="BK55" s="86">
        <v>0</v>
      </c>
      <c r="BL55" s="88"/>
      <c r="BM55" s="88"/>
      <c r="BN55" s="88">
        <v>0</v>
      </c>
      <c r="BO55" s="88">
        <v>0</v>
      </c>
      <c r="BP55" s="88"/>
      <c r="BQ55" s="88">
        <v>0</v>
      </c>
      <c r="BR55" s="88">
        <v>0</v>
      </c>
      <c r="BS55" s="13">
        <f t="shared" si="0"/>
        <v>684.6</v>
      </c>
      <c r="BT55" s="13">
        <f t="shared" si="4"/>
        <v>1777.1</v>
      </c>
      <c r="BU55" s="13">
        <f t="shared" si="1"/>
        <v>181</v>
      </c>
      <c r="BV55" s="13">
        <f t="shared" si="2"/>
        <v>181</v>
      </c>
      <c r="BW55" s="14">
        <v>0</v>
      </c>
      <c r="BX55" s="14">
        <f t="shared" si="5"/>
        <v>0</v>
      </c>
      <c r="BY55" s="14">
        <v>0</v>
      </c>
      <c r="BZ55" s="14">
        <v>0</v>
      </c>
      <c r="CA55" s="14">
        <f t="shared" si="7"/>
        <v>865.6</v>
      </c>
      <c r="CB55" s="14">
        <f t="shared" si="7"/>
        <v>1958.1</v>
      </c>
      <c r="CC55" s="14">
        <f t="shared" si="3"/>
        <v>2823.7</v>
      </c>
      <c r="CD55" s="12">
        <v>21</v>
      </c>
    </row>
    <row r="56" spans="1:82" s="38" customFormat="1" ht="24.9" customHeight="1">
      <c r="A56" s="6" t="s">
        <v>439</v>
      </c>
      <c r="B56" s="7" t="s">
        <v>417</v>
      </c>
      <c r="C56" s="37" t="s">
        <v>110</v>
      </c>
      <c r="D56" s="37" t="s">
        <v>111</v>
      </c>
      <c r="E56" s="86">
        <v>6520</v>
      </c>
      <c r="F56" s="87">
        <v>16</v>
      </c>
      <c r="G56" s="86">
        <v>1043.2</v>
      </c>
      <c r="H56" s="86">
        <v>0</v>
      </c>
      <c r="I56" s="87">
        <v>8</v>
      </c>
      <c r="J56" s="86">
        <v>521.6</v>
      </c>
      <c r="K56" s="86">
        <v>0</v>
      </c>
      <c r="L56" s="86">
        <v>6520</v>
      </c>
      <c r="M56" s="87">
        <v>9.5</v>
      </c>
      <c r="N56" s="86"/>
      <c r="O56" s="86">
        <v>619.4</v>
      </c>
      <c r="P56" s="86">
        <v>0</v>
      </c>
      <c r="Q56" s="87">
        <v>2</v>
      </c>
      <c r="R56" s="86"/>
      <c r="S56" s="86">
        <v>130.4</v>
      </c>
      <c r="T56" s="86">
        <v>0</v>
      </c>
      <c r="U56" s="86">
        <v>6520</v>
      </c>
      <c r="V56" s="87">
        <v>0.5</v>
      </c>
      <c r="W56" s="86">
        <v>32.6</v>
      </c>
      <c r="X56" s="86">
        <v>0</v>
      </c>
      <c r="Y56" s="87">
        <v>0.5</v>
      </c>
      <c r="Z56" s="86">
        <v>32.6</v>
      </c>
      <c r="AA56" s="86">
        <v>0</v>
      </c>
      <c r="AB56" s="86">
        <v>2590</v>
      </c>
      <c r="AC56" s="87">
        <v>7</v>
      </c>
      <c r="AD56" s="86">
        <v>181</v>
      </c>
      <c r="AE56" s="86">
        <v>0</v>
      </c>
      <c r="AF56" s="87">
        <v>7</v>
      </c>
      <c r="AG56" s="86">
        <v>181</v>
      </c>
      <c r="AH56" s="86">
        <v>0</v>
      </c>
      <c r="AI56" s="88">
        <v>0</v>
      </c>
      <c r="AJ56" s="88">
        <v>0</v>
      </c>
      <c r="AK56" s="88">
        <v>0</v>
      </c>
      <c r="AL56" s="88">
        <v>0</v>
      </c>
      <c r="AM56" s="88">
        <v>0</v>
      </c>
      <c r="AN56" s="88">
        <v>0</v>
      </c>
      <c r="AO56" s="88">
        <v>0</v>
      </c>
      <c r="AP56" s="88">
        <v>0</v>
      </c>
      <c r="AQ56" s="88">
        <v>0</v>
      </c>
      <c r="AR56" s="88">
        <v>0</v>
      </c>
      <c r="AS56" s="88">
        <v>0</v>
      </c>
      <c r="AT56" s="88">
        <v>0</v>
      </c>
      <c r="AU56" s="88">
        <v>0</v>
      </c>
      <c r="AV56" s="88">
        <v>0</v>
      </c>
      <c r="AW56" s="88"/>
      <c r="AX56" s="86">
        <v>6520</v>
      </c>
      <c r="AY56" s="87">
        <v>1</v>
      </c>
      <c r="AZ56" s="86">
        <v>65.2</v>
      </c>
      <c r="BA56" s="86">
        <v>0</v>
      </c>
      <c r="BB56" s="87"/>
      <c r="BC56" s="86">
        <v>0</v>
      </c>
      <c r="BD56" s="86">
        <v>0</v>
      </c>
      <c r="BE56" s="86">
        <v>6520</v>
      </c>
      <c r="BF56" s="87">
        <v>0.25600000000000001</v>
      </c>
      <c r="BG56" s="86">
        <v>16.7</v>
      </c>
      <c r="BH56" s="86">
        <v>0</v>
      </c>
      <c r="BI56" s="87"/>
      <c r="BJ56" s="86">
        <v>0</v>
      </c>
      <c r="BK56" s="86">
        <v>0</v>
      </c>
      <c r="BL56" s="88"/>
      <c r="BM56" s="88"/>
      <c r="BN56" s="88">
        <v>0</v>
      </c>
      <c r="BO56" s="88">
        <v>0</v>
      </c>
      <c r="BP56" s="88"/>
      <c r="BQ56" s="88">
        <v>0</v>
      </c>
      <c r="BR56" s="88">
        <v>0</v>
      </c>
      <c r="BS56" s="13">
        <f t="shared" si="0"/>
        <v>684.6</v>
      </c>
      <c r="BT56" s="13">
        <f t="shared" si="4"/>
        <v>1777.1</v>
      </c>
      <c r="BU56" s="13">
        <f t="shared" si="1"/>
        <v>181</v>
      </c>
      <c r="BV56" s="13">
        <f t="shared" si="2"/>
        <v>181</v>
      </c>
      <c r="BW56" s="14">
        <v>0</v>
      </c>
      <c r="BX56" s="14">
        <f t="shared" si="5"/>
        <v>0</v>
      </c>
      <c r="BY56" s="14">
        <v>0</v>
      </c>
      <c r="BZ56" s="14">
        <v>0</v>
      </c>
      <c r="CA56" s="14">
        <f t="shared" si="7"/>
        <v>865.6</v>
      </c>
      <c r="CB56" s="14">
        <f t="shared" si="7"/>
        <v>1958.1</v>
      </c>
      <c r="CC56" s="14">
        <f t="shared" si="3"/>
        <v>2823.7</v>
      </c>
      <c r="CD56" s="12">
        <v>21</v>
      </c>
    </row>
    <row r="57" spans="1:82" s="38" customFormat="1" ht="24.9" customHeight="1">
      <c r="A57" s="6" t="s">
        <v>439</v>
      </c>
      <c r="B57" s="7" t="s">
        <v>417</v>
      </c>
      <c r="C57" s="37" t="s">
        <v>90</v>
      </c>
      <c r="D57" s="37" t="s">
        <v>91</v>
      </c>
      <c r="E57" s="86">
        <v>6520</v>
      </c>
      <c r="F57" s="87">
        <v>16</v>
      </c>
      <c r="G57" s="86">
        <v>1043.2</v>
      </c>
      <c r="H57" s="86">
        <v>0</v>
      </c>
      <c r="I57" s="87">
        <v>8</v>
      </c>
      <c r="J57" s="86">
        <v>521.6</v>
      </c>
      <c r="K57" s="86">
        <v>0</v>
      </c>
      <c r="L57" s="86">
        <v>6520</v>
      </c>
      <c r="M57" s="87">
        <v>9.5</v>
      </c>
      <c r="N57" s="86"/>
      <c r="O57" s="86">
        <v>619.4</v>
      </c>
      <c r="P57" s="86">
        <v>0</v>
      </c>
      <c r="Q57" s="87">
        <v>2</v>
      </c>
      <c r="R57" s="86"/>
      <c r="S57" s="86">
        <v>130.4</v>
      </c>
      <c r="T57" s="86">
        <v>0</v>
      </c>
      <c r="U57" s="86">
        <v>6520</v>
      </c>
      <c r="V57" s="87">
        <v>0.5</v>
      </c>
      <c r="W57" s="86">
        <v>32.6</v>
      </c>
      <c r="X57" s="86">
        <v>0</v>
      </c>
      <c r="Y57" s="87">
        <v>0.5</v>
      </c>
      <c r="Z57" s="86">
        <v>32.6</v>
      </c>
      <c r="AA57" s="86">
        <v>0</v>
      </c>
      <c r="AB57" s="86">
        <v>2590</v>
      </c>
      <c r="AC57" s="87">
        <v>7</v>
      </c>
      <c r="AD57" s="86">
        <v>181</v>
      </c>
      <c r="AE57" s="86">
        <v>0</v>
      </c>
      <c r="AF57" s="87">
        <v>7</v>
      </c>
      <c r="AG57" s="86">
        <v>181</v>
      </c>
      <c r="AH57" s="86">
        <v>0</v>
      </c>
      <c r="AI57" s="88">
        <v>0</v>
      </c>
      <c r="AJ57" s="88">
        <v>0</v>
      </c>
      <c r="AK57" s="88">
        <v>0</v>
      </c>
      <c r="AL57" s="88">
        <v>0</v>
      </c>
      <c r="AM57" s="88">
        <v>0</v>
      </c>
      <c r="AN57" s="88">
        <v>0</v>
      </c>
      <c r="AO57" s="88">
        <v>0</v>
      </c>
      <c r="AP57" s="88">
        <v>0</v>
      </c>
      <c r="AQ57" s="88">
        <v>0</v>
      </c>
      <c r="AR57" s="88">
        <v>0</v>
      </c>
      <c r="AS57" s="88">
        <v>0</v>
      </c>
      <c r="AT57" s="88">
        <v>0</v>
      </c>
      <c r="AU57" s="88">
        <v>0</v>
      </c>
      <c r="AV57" s="88">
        <v>0</v>
      </c>
      <c r="AW57" s="88"/>
      <c r="AX57" s="86">
        <v>6520</v>
      </c>
      <c r="AY57" s="87">
        <v>1</v>
      </c>
      <c r="AZ57" s="86">
        <v>65.2</v>
      </c>
      <c r="BA57" s="86">
        <v>0</v>
      </c>
      <c r="BB57" s="87"/>
      <c r="BC57" s="86">
        <v>0</v>
      </c>
      <c r="BD57" s="86">
        <v>0</v>
      </c>
      <c r="BE57" s="86">
        <v>6520</v>
      </c>
      <c r="BF57" s="87">
        <v>0.25600000000000001</v>
      </c>
      <c r="BG57" s="86">
        <v>16.7</v>
      </c>
      <c r="BH57" s="86">
        <v>0</v>
      </c>
      <c r="BI57" s="87"/>
      <c r="BJ57" s="86">
        <v>0</v>
      </c>
      <c r="BK57" s="86">
        <v>0</v>
      </c>
      <c r="BL57" s="88"/>
      <c r="BM57" s="88"/>
      <c r="BN57" s="88">
        <v>0</v>
      </c>
      <c r="BO57" s="88">
        <v>0</v>
      </c>
      <c r="BP57" s="88"/>
      <c r="BQ57" s="88">
        <v>0</v>
      </c>
      <c r="BR57" s="88">
        <v>0</v>
      </c>
      <c r="BS57" s="13">
        <f t="shared" si="0"/>
        <v>684.6</v>
      </c>
      <c r="BT57" s="13">
        <f t="shared" si="4"/>
        <v>1777.1</v>
      </c>
      <c r="BU57" s="13">
        <f t="shared" si="1"/>
        <v>181</v>
      </c>
      <c r="BV57" s="13">
        <f t="shared" si="2"/>
        <v>181</v>
      </c>
      <c r="BW57" s="14">
        <v>0</v>
      </c>
      <c r="BX57" s="14">
        <f t="shared" si="5"/>
        <v>0</v>
      </c>
      <c r="BY57" s="14">
        <v>0</v>
      </c>
      <c r="BZ57" s="14">
        <v>0</v>
      </c>
      <c r="CA57" s="14">
        <f t="shared" si="7"/>
        <v>865.6</v>
      </c>
      <c r="CB57" s="14">
        <f t="shared" si="7"/>
        <v>1958.1</v>
      </c>
      <c r="CC57" s="14">
        <f t="shared" si="3"/>
        <v>2823.7</v>
      </c>
      <c r="CD57" s="12">
        <v>21</v>
      </c>
    </row>
    <row r="58" spans="1:82" s="38" customFormat="1" ht="24.9" customHeight="1">
      <c r="A58" s="6" t="s">
        <v>439</v>
      </c>
      <c r="B58" s="7" t="s">
        <v>417</v>
      </c>
      <c r="C58" s="37" t="s">
        <v>369</v>
      </c>
      <c r="D58" s="37" t="s">
        <v>370</v>
      </c>
      <c r="E58" s="86">
        <v>6520</v>
      </c>
      <c r="F58" s="87">
        <v>16</v>
      </c>
      <c r="G58" s="86">
        <v>1043.2</v>
      </c>
      <c r="H58" s="86">
        <v>0</v>
      </c>
      <c r="I58" s="87">
        <v>8</v>
      </c>
      <c r="J58" s="86">
        <v>521.6</v>
      </c>
      <c r="K58" s="86">
        <v>0</v>
      </c>
      <c r="L58" s="86">
        <v>6520</v>
      </c>
      <c r="M58" s="87">
        <v>9.5</v>
      </c>
      <c r="N58" s="86"/>
      <c r="O58" s="86">
        <v>619.4</v>
      </c>
      <c r="P58" s="86">
        <v>0</v>
      </c>
      <c r="Q58" s="87">
        <v>2</v>
      </c>
      <c r="R58" s="86"/>
      <c r="S58" s="86">
        <v>130.4</v>
      </c>
      <c r="T58" s="86">
        <v>0</v>
      </c>
      <c r="U58" s="86">
        <v>6520</v>
      </c>
      <c r="V58" s="87">
        <v>0.5</v>
      </c>
      <c r="W58" s="86">
        <v>32.6</v>
      </c>
      <c r="X58" s="86">
        <v>0</v>
      </c>
      <c r="Y58" s="87">
        <v>0.5</v>
      </c>
      <c r="Z58" s="86">
        <v>32.6</v>
      </c>
      <c r="AA58" s="86">
        <v>0</v>
      </c>
      <c r="AB58" s="86">
        <v>2590</v>
      </c>
      <c r="AC58" s="87">
        <v>7</v>
      </c>
      <c r="AD58" s="86">
        <v>181</v>
      </c>
      <c r="AE58" s="86">
        <v>0</v>
      </c>
      <c r="AF58" s="87">
        <v>7</v>
      </c>
      <c r="AG58" s="86">
        <v>181</v>
      </c>
      <c r="AH58" s="86">
        <v>0</v>
      </c>
      <c r="AI58" s="88">
        <v>0</v>
      </c>
      <c r="AJ58" s="88">
        <v>0</v>
      </c>
      <c r="AK58" s="88">
        <v>0</v>
      </c>
      <c r="AL58" s="88">
        <v>0</v>
      </c>
      <c r="AM58" s="88">
        <v>0</v>
      </c>
      <c r="AN58" s="88">
        <v>0</v>
      </c>
      <c r="AO58" s="88">
        <v>0</v>
      </c>
      <c r="AP58" s="88">
        <v>0</v>
      </c>
      <c r="AQ58" s="88">
        <v>0</v>
      </c>
      <c r="AR58" s="88">
        <v>0</v>
      </c>
      <c r="AS58" s="88">
        <v>0</v>
      </c>
      <c r="AT58" s="88">
        <v>0</v>
      </c>
      <c r="AU58" s="88">
        <v>0</v>
      </c>
      <c r="AV58" s="88">
        <v>0</v>
      </c>
      <c r="AW58" s="88"/>
      <c r="AX58" s="86">
        <v>6520</v>
      </c>
      <c r="AY58" s="87">
        <v>1</v>
      </c>
      <c r="AZ58" s="86">
        <v>65.2</v>
      </c>
      <c r="BA58" s="86">
        <v>0</v>
      </c>
      <c r="BB58" s="87"/>
      <c r="BC58" s="86">
        <v>0</v>
      </c>
      <c r="BD58" s="86">
        <v>0</v>
      </c>
      <c r="BE58" s="86">
        <v>6520</v>
      </c>
      <c r="BF58" s="87">
        <v>0.25600000000000001</v>
      </c>
      <c r="BG58" s="86">
        <v>16.7</v>
      </c>
      <c r="BH58" s="86">
        <v>0</v>
      </c>
      <c r="BI58" s="87"/>
      <c r="BJ58" s="86">
        <v>0</v>
      </c>
      <c r="BK58" s="86">
        <v>0</v>
      </c>
      <c r="BL58" s="88"/>
      <c r="BM58" s="88"/>
      <c r="BN58" s="88">
        <v>0</v>
      </c>
      <c r="BO58" s="88">
        <v>0</v>
      </c>
      <c r="BP58" s="88"/>
      <c r="BQ58" s="88">
        <v>0</v>
      </c>
      <c r="BR58" s="88">
        <v>0</v>
      </c>
      <c r="BS58" s="13">
        <f t="shared" si="0"/>
        <v>684.6</v>
      </c>
      <c r="BT58" s="13">
        <f t="shared" si="4"/>
        <v>1777.1</v>
      </c>
      <c r="BU58" s="13">
        <f t="shared" si="1"/>
        <v>181</v>
      </c>
      <c r="BV58" s="13">
        <f t="shared" si="2"/>
        <v>181</v>
      </c>
      <c r="BW58" s="14">
        <v>0</v>
      </c>
      <c r="BX58" s="14">
        <f t="shared" si="5"/>
        <v>0</v>
      </c>
      <c r="BY58" s="14">
        <v>0</v>
      </c>
      <c r="BZ58" s="14">
        <v>0</v>
      </c>
      <c r="CA58" s="14">
        <f t="shared" si="7"/>
        <v>865.6</v>
      </c>
      <c r="CB58" s="14">
        <f t="shared" si="7"/>
        <v>1958.1</v>
      </c>
      <c r="CC58" s="14">
        <f t="shared" si="3"/>
        <v>2823.7</v>
      </c>
      <c r="CD58" s="12">
        <v>21</v>
      </c>
    </row>
    <row r="59" spans="1:82" s="38" customFormat="1" ht="24.9" customHeight="1">
      <c r="A59" s="6" t="s">
        <v>439</v>
      </c>
      <c r="B59" s="7" t="s">
        <v>417</v>
      </c>
      <c r="C59" s="37" t="s">
        <v>355</v>
      </c>
      <c r="D59" s="37" t="s">
        <v>356</v>
      </c>
      <c r="E59" s="86">
        <v>6520</v>
      </c>
      <c r="F59" s="87">
        <v>16</v>
      </c>
      <c r="G59" s="86">
        <v>1043.2</v>
      </c>
      <c r="H59" s="86">
        <v>0</v>
      </c>
      <c r="I59" s="87">
        <v>8</v>
      </c>
      <c r="J59" s="86">
        <v>521.6</v>
      </c>
      <c r="K59" s="86">
        <v>0</v>
      </c>
      <c r="L59" s="86">
        <v>6520</v>
      </c>
      <c r="M59" s="87">
        <v>9.5</v>
      </c>
      <c r="N59" s="86"/>
      <c r="O59" s="86">
        <v>619.4</v>
      </c>
      <c r="P59" s="86">
        <v>0</v>
      </c>
      <c r="Q59" s="87">
        <v>2</v>
      </c>
      <c r="R59" s="86"/>
      <c r="S59" s="86">
        <v>130.4</v>
      </c>
      <c r="T59" s="86">
        <v>0</v>
      </c>
      <c r="U59" s="86">
        <v>6520</v>
      </c>
      <c r="V59" s="87">
        <v>0.5</v>
      </c>
      <c r="W59" s="86">
        <v>32.6</v>
      </c>
      <c r="X59" s="86">
        <v>0</v>
      </c>
      <c r="Y59" s="87">
        <v>0.5</v>
      </c>
      <c r="Z59" s="86">
        <v>32.6</v>
      </c>
      <c r="AA59" s="86">
        <v>0</v>
      </c>
      <c r="AB59" s="86">
        <v>2590</v>
      </c>
      <c r="AC59" s="87">
        <v>7</v>
      </c>
      <c r="AD59" s="86">
        <v>181</v>
      </c>
      <c r="AE59" s="86">
        <v>0</v>
      </c>
      <c r="AF59" s="87">
        <v>7</v>
      </c>
      <c r="AG59" s="86">
        <v>181</v>
      </c>
      <c r="AH59" s="86">
        <v>0</v>
      </c>
      <c r="AI59" s="88">
        <v>0</v>
      </c>
      <c r="AJ59" s="88">
        <v>0</v>
      </c>
      <c r="AK59" s="88">
        <v>0</v>
      </c>
      <c r="AL59" s="88">
        <v>0</v>
      </c>
      <c r="AM59" s="88">
        <v>0</v>
      </c>
      <c r="AN59" s="88">
        <v>0</v>
      </c>
      <c r="AO59" s="88">
        <v>0</v>
      </c>
      <c r="AP59" s="88">
        <v>0</v>
      </c>
      <c r="AQ59" s="88">
        <v>0</v>
      </c>
      <c r="AR59" s="88">
        <v>0</v>
      </c>
      <c r="AS59" s="88">
        <v>0</v>
      </c>
      <c r="AT59" s="88">
        <v>0</v>
      </c>
      <c r="AU59" s="88">
        <v>0</v>
      </c>
      <c r="AV59" s="88">
        <v>0</v>
      </c>
      <c r="AW59" s="88"/>
      <c r="AX59" s="86">
        <v>6520</v>
      </c>
      <c r="AY59" s="87">
        <v>1</v>
      </c>
      <c r="AZ59" s="86">
        <v>65.2</v>
      </c>
      <c r="BA59" s="86">
        <v>0</v>
      </c>
      <c r="BB59" s="87"/>
      <c r="BC59" s="86">
        <v>0</v>
      </c>
      <c r="BD59" s="86">
        <v>0</v>
      </c>
      <c r="BE59" s="86">
        <v>6520</v>
      </c>
      <c r="BF59" s="87">
        <v>0.25600000000000001</v>
      </c>
      <c r="BG59" s="86">
        <v>16.7</v>
      </c>
      <c r="BH59" s="86">
        <v>0</v>
      </c>
      <c r="BI59" s="87"/>
      <c r="BJ59" s="86">
        <v>0</v>
      </c>
      <c r="BK59" s="86">
        <v>0</v>
      </c>
      <c r="BL59" s="88"/>
      <c r="BM59" s="88"/>
      <c r="BN59" s="88">
        <v>0</v>
      </c>
      <c r="BO59" s="88">
        <v>0</v>
      </c>
      <c r="BP59" s="88"/>
      <c r="BQ59" s="88">
        <v>0</v>
      </c>
      <c r="BR59" s="88">
        <v>0</v>
      </c>
      <c r="BS59" s="13">
        <f t="shared" si="0"/>
        <v>684.6</v>
      </c>
      <c r="BT59" s="13">
        <f t="shared" si="4"/>
        <v>1777.1</v>
      </c>
      <c r="BU59" s="13">
        <f t="shared" si="1"/>
        <v>181</v>
      </c>
      <c r="BV59" s="13">
        <f t="shared" si="2"/>
        <v>181</v>
      </c>
      <c r="BW59" s="14">
        <v>0</v>
      </c>
      <c r="BX59" s="14">
        <f t="shared" si="5"/>
        <v>0</v>
      </c>
      <c r="BY59" s="14">
        <v>0</v>
      </c>
      <c r="BZ59" s="14">
        <v>0</v>
      </c>
      <c r="CA59" s="14">
        <f t="shared" si="7"/>
        <v>865.6</v>
      </c>
      <c r="CB59" s="14">
        <f t="shared" si="7"/>
        <v>1958.1</v>
      </c>
      <c r="CC59" s="14">
        <f t="shared" si="3"/>
        <v>2823.7</v>
      </c>
      <c r="CD59" s="12">
        <v>21</v>
      </c>
    </row>
    <row r="60" spans="1:82" s="38" customFormat="1" ht="24.9" customHeight="1">
      <c r="A60" s="6" t="s">
        <v>439</v>
      </c>
      <c r="B60" s="7" t="s">
        <v>417</v>
      </c>
      <c r="C60" s="37" t="s">
        <v>350</v>
      </c>
      <c r="D60" s="37" t="s">
        <v>351</v>
      </c>
      <c r="E60" s="86">
        <v>6520</v>
      </c>
      <c r="F60" s="87">
        <v>16</v>
      </c>
      <c r="G60" s="86">
        <v>1043.2</v>
      </c>
      <c r="H60" s="86">
        <v>0</v>
      </c>
      <c r="I60" s="87">
        <v>8</v>
      </c>
      <c r="J60" s="86">
        <v>521.6</v>
      </c>
      <c r="K60" s="86">
        <v>0</v>
      </c>
      <c r="L60" s="86">
        <v>6520</v>
      </c>
      <c r="M60" s="87">
        <v>9.5</v>
      </c>
      <c r="N60" s="86"/>
      <c r="O60" s="86">
        <v>619.4</v>
      </c>
      <c r="P60" s="86">
        <v>0</v>
      </c>
      <c r="Q60" s="87">
        <v>2</v>
      </c>
      <c r="R60" s="86"/>
      <c r="S60" s="86">
        <v>130.4</v>
      </c>
      <c r="T60" s="86">
        <v>0</v>
      </c>
      <c r="U60" s="86">
        <v>6520</v>
      </c>
      <c r="V60" s="87">
        <v>0.5</v>
      </c>
      <c r="W60" s="86">
        <v>32.6</v>
      </c>
      <c r="X60" s="86">
        <v>0</v>
      </c>
      <c r="Y60" s="87">
        <v>0.5</v>
      </c>
      <c r="Z60" s="86">
        <v>32.6</v>
      </c>
      <c r="AA60" s="86">
        <v>0</v>
      </c>
      <c r="AB60" s="86">
        <v>2590</v>
      </c>
      <c r="AC60" s="87">
        <v>7</v>
      </c>
      <c r="AD60" s="86">
        <v>181</v>
      </c>
      <c r="AE60" s="86">
        <v>0</v>
      </c>
      <c r="AF60" s="87">
        <v>7</v>
      </c>
      <c r="AG60" s="86">
        <v>181</v>
      </c>
      <c r="AH60" s="86">
        <v>0</v>
      </c>
      <c r="AI60" s="88">
        <v>0</v>
      </c>
      <c r="AJ60" s="88">
        <v>0</v>
      </c>
      <c r="AK60" s="88">
        <v>0</v>
      </c>
      <c r="AL60" s="88">
        <v>0</v>
      </c>
      <c r="AM60" s="88">
        <v>0</v>
      </c>
      <c r="AN60" s="88">
        <v>0</v>
      </c>
      <c r="AO60" s="88">
        <v>0</v>
      </c>
      <c r="AP60" s="88">
        <v>0</v>
      </c>
      <c r="AQ60" s="88">
        <v>0</v>
      </c>
      <c r="AR60" s="88">
        <v>0</v>
      </c>
      <c r="AS60" s="88">
        <v>0</v>
      </c>
      <c r="AT60" s="88">
        <v>0</v>
      </c>
      <c r="AU60" s="88">
        <v>0</v>
      </c>
      <c r="AV60" s="88">
        <v>0</v>
      </c>
      <c r="AW60" s="88"/>
      <c r="AX60" s="86">
        <v>6520</v>
      </c>
      <c r="AY60" s="87">
        <v>1</v>
      </c>
      <c r="AZ60" s="86">
        <v>65.2</v>
      </c>
      <c r="BA60" s="86">
        <v>0</v>
      </c>
      <c r="BB60" s="87"/>
      <c r="BC60" s="86">
        <v>0</v>
      </c>
      <c r="BD60" s="86">
        <v>0</v>
      </c>
      <c r="BE60" s="86">
        <v>6520</v>
      </c>
      <c r="BF60" s="87">
        <v>0.25600000000000001</v>
      </c>
      <c r="BG60" s="86">
        <v>16.7</v>
      </c>
      <c r="BH60" s="86">
        <v>0</v>
      </c>
      <c r="BI60" s="87"/>
      <c r="BJ60" s="86">
        <v>0</v>
      </c>
      <c r="BK60" s="86">
        <v>0</v>
      </c>
      <c r="BL60" s="88"/>
      <c r="BM60" s="88"/>
      <c r="BN60" s="88">
        <v>0</v>
      </c>
      <c r="BO60" s="88">
        <v>0</v>
      </c>
      <c r="BP60" s="88"/>
      <c r="BQ60" s="88">
        <v>0</v>
      </c>
      <c r="BR60" s="88">
        <v>0</v>
      </c>
      <c r="BS60" s="13">
        <f t="shared" si="0"/>
        <v>684.6</v>
      </c>
      <c r="BT60" s="13">
        <f t="shared" si="4"/>
        <v>1777.1</v>
      </c>
      <c r="BU60" s="13">
        <f t="shared" si="1"/>
        <v>181</v>
      </c>
      <c r="BV60" s="13">
        <f t="shared" si="2"/>
        <v>181</v>
      </c>
      <c r="BW60" s="14">
        <v>0</v>
      </c>
      <c r="BX60" s="14">
        <f t="shared" si="5"/>
        <v>0</v>
      </c>
      <c r="BY60" s="14">
        <v>0</v>
      </c>
      <c r="BZ60" s="14">
        <v>0</v>
      </c>
      <c r="CA60" s="14">
        <f t="shared" si="7"/>
        <v>865.6</v>
      </c>
      <c r="CB60" s="14">
        <f t="shared" si="7"/>
        <v>1958.1</v>
      </c>
      <c r="CC60" s="14">
        <f t="shared" si="3"/>
        <v>2823.7</v>
      </c>
      <c r="CD60" s="12">
        <v>21</v>
      </c>
    </row>
    <row r="61" spans="1:82" s="38" customFormat="1" ht="24.9" customHeight="1">
      <c r="A61" s="6" t="s">
        <v>439</v>
      </c>
      <c r="B61" s="7" t="s">
        <v>417</v>
      </c>
      <c r="C61" s="37" t="s">
        <v>196</v>
      </c>
      <c r="D61" s="37" t="s">
        <v>197</v>
      </c>
      <c r="E61" s="86">
        <v>6520</v>
      </c>
      <c r="F61" s="87">
        <v>16</v>
      </c>
      <c r="G61" s="86">
        <v>1043.2</v>
      </c>
      <c r="H61" s="86">
        <v>0</v>
      </c>
      <c r="I61" s="87">
        <v>8</v>
      </c>
      <c r="J61" s="86">
        <v>521.6</v>
      </c>
      <c r="K61" s="86">
        <v>0</v>
      </c>
      <c r="L61" s="86">
        <v>6520</v>
      </c>
      <c r="M61" s="87">
        <v>9.5</v>
      </c>
      <c r="N61" s="86"/>
      <c r="O61" s="86">
        <v>619.4</v>
      </c>
      <c r="P61" s="86">
        <v>0</v>
      </c>
      <c r="Q61" s="87">
        <v>2</v>
      </c>
      <c r="R61" s="86"/>
      <c r="S61" s="86">
        <v>130.4</v>
      </c>
      <c r="T61" s="86">
        <v>0</v>
      </c>
      <c r="U61" s="86">
        <v>6520</v>
      </c>
      <c r="V61" s="87">
        <v>0.5</v>
      </c>
      <c r="W61" s="86">
        <v>32.6</v>
      </c>
      <c r="X61" s="86">
        <v>0</v>
      </c>
      <c r="Y61" s="87">
        <v>0.5</v>
      </c>
      <c r="Z61" s="86">
        <v>32.6</v>
      </c>
      <c r="AA61" s="86">
        <v>0</v>
      </c>
      <c r="AB61" s="86">
        <v>2590</v>
      </c>
      <c r="AC61" s="87">
        <v>7</v>
      </c>
      <c r="AD61" s="86">
        <v>181</v>
      </c>
      <c r="AE61" s="86">
        <v>0</v>
      </c>
      <c r="AF61" s="87">
        <v>7</v>
      </c>
      <c r="AG61" s="86">
        <v>181</v>
      </c>
      <c r="AH61" s="86">
        <v>0</v>
      </c>
      <c r="AI61" s="88">
        <v>0</v>
      </c>
      <c r="AJ61" s="88">
        <v>0</v>
      </c>
      <c r="AK61" s="88">
        <v>0</v>
      </c>
      <c r="AL61" s="88">
        <v>0</v>
      </c>
      <c r="AM61" s="88">
        <v>0</v>
      </c>
      <c r="AN61" s="88">
        <v>0</v>
      </c>
      <c r="AO61" s="88">
        <v>0</v>
      </c>
      <c r="AP61" s="88">
        <v>0</v>
      </c>
      <c r="AQ61" s="88">
        <v>0</v>
      </c>
      <c r="AR61" s="88">
        <v>0</v>
      </c>
      <c r="AS61" s="88">
        <v>0</v>
      </c>
      <c r="AT61" s="88">
        <v>0</v>
      </c>
      <c r="AU61" s="88">
        <v>0</v>
      </c>
      <c r="AV61" s="88">
        <v>0</v>
      </c>
      <c r="AW61" s="88"/>
      <c r="AX61" s="86">
        <v>6520</v>
      </c>
      <c r="AY61" s="87">
        <v>1</v>
      </c>
      <c r="AZ61" s="86">
        <v>65.2</v>
      </c>
      <c r="BA61" s="86">
        <v>0</v>
      </c>
      <c r="BB61" s="87"/>
      <c r="BC61" s="86">
        <v>0</v>
      </c>
      <c r="BD61" s="86">
        <v>0</v>
      </c>
      <c r="BE61" s="86">
        <v>6520</v>
      </c>
      <c r="BF61" s="87">
        <v>0.25600000000000001</v>
      </c>
      <c r="BG61" s="86">
        <v>16.7</v>
      </c>
      <c r="BH61" s="86">
        <v>0</v>
      </c>
      <c r="BI61" s="87"/>
      <c r="BJ61" s="86">
        <v>0</v>
      </c>
      <c r="BK61" s="86">
        <v>0</v>
      </c>
      <c r="BL61" s="88"/>
      <c r="BM61" s="88"/>
      <c r="BN61" s="88">
        <v>0</v>
      </c>
      <c r="BO61" s="88">
        <v>0</v>
      </c>
      <c r="BP61" s="88"/>
      <c r="BQ61" s="88">
        <v>0</v>
      </c>
      <c r="BR61" s="88">
        <v>0</v>
      </c>
      <c r="BS61" s="13">
        <f t="shared" si="0"/>
        <v>684.6</v>
      </c>
      <c r="BT61" s="13">
        <f t="shared" si="4"/>
        <v>1777.1</v>
      </c>
      <c r="BU61" s="13">
        <f t="shared" si="1"/>
        <v>181</v>
      </c>
      <c r="BV61" s="13">
        <f t="shared" si="2"/>
        <v>181</v>
      </c>
      <c r="BW61" s="14">
        <v>0</v>
      </c>
      <c r="BX61" s="14">
        <f t="shared" si="5"/>
        <v>0</v>
      </c>
      <c r="BY61" s="14">
        <v>0</v>
      </c>
      <c r="BZ61" s="14">
        <v>0</v>
      </c>
      <c r="CA61" s="14">
        <f t="shared" si="7"/>
        <v>865.6</v>
      </c>
      <c r="CB61" s="14">
        <f t="shared" si="7"/>
        <v>1958.1</v>
      </c>
      <c r="CC61" s="14">
        <f t="shared" si="3"/>
        <v>2823.7</v>
      </c>
      <c r="CD61" s="12">
        <v>21</v>
      </c>
    </row>
    <row r="62" spans="1:82" s="38" customFormat="1" ht="24.9" customHeight="1">
      <c r="A62" s="6" t="s">
        <v>439</v>
      </c>
      <c r="B62" s="7" t="s">
        <v>417</v>
      </c>
      <c r="C62" s="37" t="s">
        <v>226</v>
      </c>
      <c r="D62" s="37" t="s">
        <v>227</v>
      </c>
      <c r="E62" s="86">
        <v>6520</v>
      </c>
      <c r="F62" s="87">
        <v>16</v>
      </c>
      <c r="G62" s="86">
        <v>1043.2</v>
      </c>
      <c r="H62" s="86">
        <v>0</v>
      </c>
      <c r="I62" s="87">
        <v>8</v>
      </c>
      <c r="J62" s="86">
        <v>521.6</v>
      </c>
      <c r="K62" s="86">
        <v>0</v>
      </c>
      <c r="L62" s="86">
        <v>6520</v>
      </c>
      <c r="M62" s="87">
        <v>9.5</v>
      </c>
      <c r="N62" s="86"/>
      <c r="O62" s="86">
        <v>619.4</v>
      </c>
      <c r="P62" s="86">
        <v>0</v>
      </c>
      <c r="Q62" s="87">
        <v>2</v>
      </c>
      <c r="R62" s="86"/>
      <c r="S62" s="86">
        <v>130.4</v>
      </c>
      <c r="T62" s="86">
        <v>0</v>
      </c>
      <c r="U62" s="86">
        <v>6520</v>
      </c>
      <c r="V62" s="87">
        <v>0.5</v>
      </c>
      <c r="W62" s="86">
        <v>32.6</v>
      </c>
      <c r="X62" s="86">
        <v>0</v>
      </c>
      <c r="Y62" s="87">
        <v>0.5</v>
      </c>
      <c r="Z62" s="86">
        <v>32.6</v>
      </c>
      <c r="AA62" s="86">
        <v>0</v>
      </c>
      <c r="AB62" s="86">
        <v>2590</v>
      </c>
      <c r="AC62" s="87">
        <v>7</v>
      </c>
      <c r="AD62" s="86">
        <v>181</v>
      </c>
      <c r="AE62" s="86">
        <v>0</v>
      </c>
      <c r="AF62" s="87">
        <v>7</v>
      </c>
      <c r="AG62" s="86">
        <v>181</v>
      </c>
      <c r="AH62" s="86">
        <v>0</v>
      </c>
      <c r="AI62" s="88">
        <v>0</v>
      </c>
      <c r="AJ62" s="88">
        <v>0</v>
      </c>
      <c r="AK62" s="88">
        <v>0</v>
      </c>
      <c r="AL62" s="88">
        <v>0</v>
      </c>
      <c r="AM62" s="88">
        <v>0</v>
      </c>
      <c r="AN62" s="88">
        <v>0</v>
      </c>
      <c r="AO62" s="88">
        <v>0</v>
      </c>
      <c r="AP62" s="88">
        <v>0</v>
      </c>
      <c r="AQ62" s="88">
        <v>0</v>
      </c>
      <c r="AR62" s="88">
        <v>0</v>
      </c>
      <c r="AS62" s="88">
        <v>0</v>
      </c>
      <c r="AT62" s="88">
        <v>0</v>
      </c>
      <c r="AU62" s="88">
        <v>0</v>
      </c>
      <c r="AV62" s="88">
        <v>0</v>
      </c>
      <c r="AW62" s="88"/>
      <c r="AX62" s="86">
        <v>6520</v>
      </c>
      <c r="AY62" s="87">
        <v>1</v>
      </c>
      <c r="AZ62" s="86">
        <v>65.2</v>
      </c>
      <c r="BA62" s="86">
        <v>0</v>
      </c>
      <c r="BB62" s="87"/>
      <c r="BC62" s="86">
        <v>0</v>
      </c>
      <c r="BD62" s="86">
        <v>0</v>
      </c>
      <c r="BE62" s="86">
        <v>6520</v>
      </c>
      <c r="BF62" s="87">
        <v>0.25600000000000001</v>
      </c>
      <c r="BG62" s="86">
        <v>16.7</v>
      </c>
      <c r="BH62" s="86">
        <v>0</v>
      </c>
      <c r="BI62" s="87"/>
      <c r="BJ62" s="86">
        <v>0</v>
      </c>
      <c r="BK62" s="86">
        <v>0</v>
      </c>
      <c r="BL62" s="88"/>
      <c r="BM62" s="88"/>
      <c r="BN62" s="88">
        <v>0</v>
      </c>
      <c r="BO62" s="88">
        <v>0</v>
      </c>
      <c r="BP62" s="88"/>
      <c r="BQ62" s="88">
        <v>0</v>
      </c>
      <c r="BR62" s="88">
        <v>0</v>
      </c>
      <c r="BS62" s="13">
        <f t="shared" si="0"/>
        <v>684.6</v>
      </c>
      <c r="BT62" s="13">
        <f t="shared" si="4"/>
        <v>1777.1</v>
      </c>
      <c r="BU62" s="13">
        <f t="shared" si="1"/>
        <v>181</v>
      </c>
      <c r="BV62" s="13">
        <f t="shared" si="2"/>
        <v>181</v>
      </c>
      <c r="BW62" s="14">
        <v>0</v>
      </c>
      <c r="BX62" s="14">
        <f t="shared" si="5"/>
        <v>0</v>
      </c>
      <c r="BY62" s="14">
        <v>0</v>
      </c>
      <c r="BZ62" s="14">
        <v>0</v>
      </c>
      <c r="CA62" s="14">
        <f t="shared" si="7"/>
        <v>865.6</v>
      </c>
      <c r="CB62" s="14">
        <f t="shared" si="7"/>
        <v>1958.1</v>
      </c>
      <c r="CC62" s="14">
        <f t="shared" si="3"/>
        <v>2823.7</v>
      </c>
      <c r="CD62" s="12">
        <v>21</v>
      </c>
    </row>
    <row r="63" spans="1:82" s="38" customFormat="1" ht="24.9" customHeight="1">
      <c r="A63" s="6" t="s">
        <v>439</v>
      </c>
      <c r="B63" s="7" t="s">
        <v>417</v>
      </c>
      <c r="C63" s="37" t="s">
        <v>362</v>
      </c>
      <c r="D63" s="37" t="s">
        <v>363</v>
      </c>
      <c r="E63" s="86"/>
      <c r="F63" s="87"/>
      <c r="G63" s="86"/>
      <c r="H63" s="86"/>
      <c r="I63" s="87"/>
      <c r="J63" s="86"/>
      <c r="K63" s="86"/>
      <c r="L63" s="86"/>
      <c r="M63" s="87"/>
      <c r="N63" s="86"/>
      <c r="O63" s="86"/>
      <c r="P63" s="86"/>
      <c r="Q63" s="87"/>
      <c r="R63" s="86"/>
      <c r="S63" s="86"/>
      <c r="T63" s="86"/>
      <c r="U63" s="86"/>
      <c r="V63" s="87"/>
      <c r="W63" s="86"/>
      <c r="X63" s="86"/>
      <c r="Y63" s="87"/>
      <c r="Z63" s="86"/>
      <c r="AA63" s="86"/>
      <c r="AB63" s="86"/>
      <c r="AC63" s="87"/>
      <c r="AD63" s="86"/>
      <c r="AE63" s="86"/>
      <c r="AF63" s="87"/>
      <c r="AG63" s="86"/>
      <c r="AH63" s="86"/>
      <c r="AI63" s="88"/>
      <c r="AJ63" s="88"/>
      <c r="AK63" s="88"/>
      <c r="AL63" s="88"/>
      <c r="AM63" s="88"/>
      <c r="AN63" s="88"/>
      <c r="AO63" s="88"/>
      <c r="AP63" s="88"/>
      <c r="AQ63" s="88"/>
      <c r="AR63" s="88"/>
      <c r="AS63" s="88"/>
      <c r="AT63" s="88"/>
      <c r="AU63" s="88"/>
      <c r="AV63" s="88"/>
      <c r="AW63" s="88"/>
      <c r="AX63" s="86"/>
      <c r="AY63" s="87"/>
      <c r="AZ63" s="86"/>
      <c r="BA63" s="86"/>
      <c r="BB63" s="87"/>
      <c r="BC63" s="86"/>
      <c r="BD63" s="86"/>
      <c r="BE63" s="86"/>
      <c r="BF63" s="87"/>
      <c r="BG63" s="86"/>
      <c r="BH63" s="86"/>
      <c r="BI63" s="87"/>
      <c r="BJ63" s="86"/>
      <c r="BK63" s="86"/>
      <c r="BL63" s="88"/>
      <c r="BM63" s="88"/>
      <c r="BN63" s="88"/>
      <c r="BO63" s="88"/>
      <c r="BP63" s="88"/>
      <c r="BQ63" s="88"/>
      <c r="BR63" s="88"/>
      <c r="BS63" s="13">
        <f t="shared" si="0"/>
        <v>0</v>
      </c>
      <c r="BT63" s="13">
        <f t="shared" si="4"/>
        <v>0</v>
      </c>
      <c r="BU63" s="13">
        <f t="shared" si="1"/>
        <v>0</v>
      </c>
      <c r="BV63" s="13">
        <f t="shared" si="2"/>
        <v>0</v>
      </c>
      <c r="BW63" s="14">
        <v>0</v>
      </c>
      <c r="BX63" s="14">
        <f t="shared" si="5"/>
        <v>0</v>
      </c>
      <c r="BY63" s="14">
        <v>0</v>
      </c>
      <c r="BZ63" s="14">
        <v>0</v>
      </c>
      <c r="CA63" s="14">
        <f t="shared" si="7"/>
        <v>0</v>
      </c>
      <c r="CB63" s="14">
        <f t="shared" si="7"/>
        <v>0</v>
      </c>
      <c r="CC63" s="14">
        <f t="shared" si="3"/>
        <v>0</v>
      </c>
      <c r="CD63" s="12">
        <v>21</v>
      </c>
    </row>
    <row r="64" spans="1:82" s="38" customFormat="1" ht="24.9" customHeight="1">
      <c r="A64" s="6" t="s">
        <v>439</v>
      </c>
      <c r="B64" s="7" t="s">
        <v>417</v>
      </c>
      <c r="C64" s="37" t="s">
        <v>179</v>
      </c>
      <c r="D64" s="37" t="s">
        <v>180</v>
      </c>
      <c r="E64" s="86">
        <v>6520</v>
      </c>
      <c r="F64" s="87">
        <v>16</v>
      </c>
      <c r="G64" s="86">
        <v>1043.2</v>
      </c>
      <c r="H64" s="86">
        <v>0</v>
      </c>
      <c r="I64" s="87">
        <v>8</v>
      </c>
      <c r="J64" s="86">
        <v>521.6</v>
      </c>
      <c r="K64" s="86">
        <v>0</v>
      </c>
      <c r="L64" s="86">
        <v>6520</v>
      </c>
      <c r="M64" s="87">
        <v>9.5</v>
      </c>
      <c r="N64" s="86"/>
      <c r="O64" s="86">
        <v>619.4</v>
      </c>
      <c r="P64" s="86">
        <v>0</v>
      </c>
      <c r="Q64" s="87">
        <v>2</v>
      </c>
      <c r="R64" s="86"/>
      <c r="S64" s="86">
        <v>130.4</v>
      </c>
      <c r="T64" s="86">
        <v>0</v>
      </c>
      <c r="U64" s="86">
        <v>6520</v>
      </c>
      <c r="V64" s="87">
        <v>0.5</v>
      </c>
      <c r="W64" s="86">
        <v>32.6</v>
      </c>
      <c r="X64" s="86">
        <v>0</v>
      </c>
      <c r="Y64" s="87">
        <v>0.5</v>
      </c>
      <c r="Z64" s="86">
        <v>32.6</v>
      </c>
      <c r="AA64" s="86">
        <v>0</v>
      </c>
      <c r="AB64" s="86">
        <v>2590</v>
      </c>
      <c r="AC64" s="87">
        <v>7</v>
      </c>
      <c r="AD64" s="86">
        <v>181</v>
      </c>
      <c r="AE64" s="86">
        <v>0</v>
      </c>
      <c r="AF64" s="87">
        <v>7</v>
      </c>
      <c r="AG64" s="86">
        <v>181</v>
      </c>
      <c r="AH64" s="86">
        <v>0</v>
      </c>
      <c r="AI64" s="88">
        <v>0</v>
      </c>
      <c r="AJ64" s="88">
        <v>0</v>
      </c>
      <c r="AK64" s="88">
        <v>0</v>
      </c>
      <c r="AL64" s="88">
        <v>0</v>
      </c>
      <c r="AM64" s="88">
        <v>0</v>
      </c>
      <c r="AN64" s="88">
        <v>0</v>
      </c>
      <c r="AO64" s="88">
        <v>0</v>
      </c>
      <c r="AP64" s="88">
        <v>0</v>
      </c>
      <c r="AQ64" s="88">
        <v>0</v>
      </c>
      <c r="AR64" s="88">
        <v>0</v>
      </c>
      <c r="AS64" s="88">
        <v>0</v>
      </c>
      <c r="AT64" s="88">
        <v>0</v>
      </c>
      <c r="AU64" s="88">
        <v>0</v>
      </c>
      <c r="AV64" s="88">
        <v>0</v>
      </c>
      <c r="AW64" s="88"/>
      <c r="AX64" s="86">
        <v>6520</v>
      </c>
      <c r="AY64" s="87">
        <v>1</v>
      </c>
      <c r="AZ64" s="86">
        <v>65.2</v>
      </c>
      <c r="BA64" s="86">
        <v>0</v>
      </c>
      <c r="BB64" s="87"/>
      <c r="BC64" s="86">
        <v>0</v>
      </c>
      <c r="BD64" s="86">
        <v>0</v>
      </c>
      <c r="BE64" s="86">
        <v>6520</v>
      </c>
      <c r="BF64" s="87">
        <v>0.25600000000000001</v>
      </c>
      <c r="BG64" s="86">
        <v>16.7</v>
      </c>
      <c r="BH64" s="86">
        <v>0</v>
      </c>
      <c r="BI64" s="87"/>
      <c r="BJ64" s="86">
        <v>0</v>
      </c>
      <c r="BK64" s="86">
        <v>0</v>
      </c>
      <c r="BL64" s="88"/>
      <c r="BM64" s="88"/>
      <c r="BN64" s="88">
        <v>0</v>
      </c>
      <c r="BO64" s="88">
        <v>0</v>
      </c>
      <c r="BP64" s="88"/>
      <c r="BQ64" s="88">
        <v>0</v>
      </c>
      <c r="BR64" s="88">
        <v>0</v>
      </c>
      <c r="BS64" s="13">
        <f t="shared" si="0"/>
        <v>684.6</v>
      </c>
      <c r="BT64" s="13">
        <f t="shared" si="4"/>
        <v>1777.1</v>
      </c>
      <c r="BU64" s="13">
        <f t="shared" si="1"/>
        <v>181</v>
      </c>
      <c r="BV64" s="13">
        <f t="shared" si="2"/>
        <v>181</v>
      </c>
      <c r="BW64" s="14">
        <v>0</v>
      </c>
      <c r="BX64" s="14">
        <f t="shared" si="5"/>
        <v>0</v>
      </c>
      <c r="BY64" s="14">
        <v>0</v>
      </c>
      <c r="BZ64" s="14">
        <v>0</v>
      </c>
      <c r="CA64" s="14">
        <f t="shared" si="7"/>
        <v>865.6</v>
      </c>
      <c r="CB64" s="14">
        <f t="shared" si="7"/>
        <v>1958.1</v>
      </c>
      <c r="CC64" s="14">
        <f t="shared" si="3"/>
        <v>2823.7</v>
      </c>
      <c r="CD64" s="12">
        <v>21</v>
      </c>
    </row>
    <row r="65" spans="1:82" s="38" customFormat="1" ht="24.9" customHeight="1">
      <c r="A65" s="6" t="s">
        <v>439</v>
      </c>
      <c r="B65" s="7" t="s">
        <v>417</v>
      </c>
      <c r="C65" s="37" t="s">
        <v>262</v>
      </c>
      <c r="D65" s="37" t="s">
        <v>263</v>
      </c>
      <c r="E65" s="86">
        <v>6520</v>
      </c>
      <c r="F65" s="87">
        <v>16</v>
      </c>
      <c r="G65" s="86">
        <v>1043.2</v>
      </c>
      <c r="H65" s="86">
        <v>0</v>
      </c>
      <c r="I65" s="87">
        <v>8</v>
      </c>
      <c r="J65" s="86">
        <v>521.6</v>
      </c>
      <c r="K65" s="86">
        <v>0</v>
      </c>
      <c r="L65" s="86">
        <v>6520</v>
      </c>
      <c r="M65" s="87">
        <v>9.5</v>
      </c>
      <c r="N65" s="86"/>
      <c r="O65" s="86">
        <v>619.4</v>
      </c>
      <c r="P65" s="86">
        <v>0</v>
      </c>
      <c r="Q65" s="87">
        <v>2</v>
      </c>
      <c r="R65" s="86"/>
      <c r="S65" s="86">
        <v>130.4</v>
      </c>
      <c r="T65" s="86">
        <v>0</v>
      </c>
      <c r="U65" s="86">
        <v>6520</v>
      </c>
      <c r="V65" s="87">
        <v>0.5</v>
      </c>
      <c r="W65" s="86">
        <v>32.6</v>
      </c>
      <c r="X65" s="86">
        <v>0</v>
      </c>
      <c r="Y65" s="87">
        <v>0.5</v>
      </c>
      <c r="Z65" s="86">
        <v>32.6</v>
      </c>
      <c r="AA65" s="86">
        <v>0</v>
      </c>
      <c r="AB65" s="86">
        <v>2590</v>
      </c>
      <c r="AC65" s="87">
        <v>7</v>
      </c>
      <c r="AD65" s="86">
        <v>181</v>
      </c>
      <c r="AE65" s="86">
        <v>0</v>
      </c>
      <c r="AF65" s="87">
        <v>7</v>
      </c>
      <c r="AG65" s="86">
        <v>181</v>
      </c>
      <c r="AH65" s="86">
        <v>0</v>
      </c>
      <c r="AI65" s="88">
        <v>0</v>
      </c>
      <c r="AJ65" s="88">
        <v>0</v>
      </c>
      <c r="AK65" s="88">
        <v>0</v>
      </c>
      <c r="AL65" s="88">
        <v>0</v>
      </c>
      <c r="AM65" s="88">
        <v>0</v>
      </c>
      <c r="AN65" s="88">
        <v>0</v>
      </c>
      <c r="AO65" s="88">
        <v>0</v>
      </c>
      <c r="AP65" s="88">
        <v>0</v>
      </c>
      <c r="AQ65" s="88">
        <v>0</v>
      </c>
      <c r="AR65" s="88">
        <v>0</v>
      </c>
      <c r="AS65" s="88">
        <v>0</v>
      </c>
      <c r="AT65" s="88">
        <v>0</v>
      </c>
      <c r="AU65" s="88">
        <v>0</v>
      </c>
      <c r="AV65" s="88">
        <v>0</v>
      </c>
      <c r="AW65" s="88"/>
      <c r="AX65" s="86">
        <v>6520</v>
      </c>
      <c r="AY65" s="87">
        <v>1</v>
      </c>
      <c r="AZ65" s="86">
        <v>65.2</v>
      </c>
      <c r="BA65" s="86">
        <v>0</v>
      </c>
      <c r="BB65" s="87"/>
      <c r="BC65" s="86">
        <v>0</v>
      </c>
      <c r="BD65" s="86">
        <v>0</v>
      </c>
      <c r="BE65" s="86">
        <v>6520</v>
      </c>
      <c r="BF65" s="87">
        <v>0.25600000000000001</v>
      </c>
      <c r="BG65" s="86">
        <v>16.7</v>
      </c>
      <c r="BH65" s="86">
        <v>0</v>
      </c>
      <c r="BI65" s="87"/>
      <c r="BJ65" s="86">
        <v>0</v>
      </c>
      <c r="BK65" s="86">
        <v>0</v>
      </c>
      <c r="BL65" s="88"/>
      <c r="BM65" s="88"/>
      <c r="BN65" s="88">
        <v>0</v>
      </c>
      <c r="BO65" s="88">
        <v>0</v>
      </c>
      <c r="BP65" s="88"/>
      <c r="BQ65" s="88">
        <v>0</v>
      </c>
      <c r="BR65" s="88">
        <v>0</v>
      </c>
      <c r="BS65" s="13">
        <f t="shared" si="0"/>
        <v>684.6</v>
      </c>
      <c r="BT65" s="13">
        <f t="shared" si="4"/>
        <v>1777.1</v>
      </c>
      <c r="BU65" s="13">
        <f t="shared" si="1"/>
        <v>181</v>
      </c>
      <c r="BV65" s="13">
        <f t="shared" si="2"/>
        <v>181</v>
      </c>
      <c r="BW65" s="14">
        <v>0</v>
      </c>
      <c r="BX65" s="14">
        <f t="shared" si="5"/>
        <v>0</v>
      </c>
      <c r="BY65" s="14">
        <v>0</v>
      </c>
      <c r="BZ65" s="14">
        <v>0</v>
      </c>
      <c r="CA65" s="14">
        <f t="shared" si="7"/>
        <v>865.6</v>
      </c>
      <c r="CB65" s="14">
        <f t="shared" si="7"/>
        <v>1958.1</v>
      </c>
      <c r="CC65" s="14">
        <f t="shared" si="3"/>
        <v>2823.7</v>
      </c>
      <c r="CD65" s="12">
        <v>21</v>
      </c>
    </row>
    <row r="66" spans="1:82" s="38" customFormat="1" ht="24.9" customHeight="1">
      <c r="A66" s="6" t="s">
        <v>439</v>
      </c>
      <c r="B66" s="7" t="s">
        <v>417</v>
      </c>
      <c r="C66" s="37" t="s">
        <v>85</v>
      </c>
      <c r="D66" s="37" t="s">
        <v>86</v>
      </c>
      <c r="E66" s="86">
        <v>6520</v>
      </c>
      <c r="F66" s="87">
        <v>16</v>
      </c>
      <c r="G66" s="86">
        <v>1043.2</v>
      </c>
      <c r="H66" s="86">
        <v>0</v>
      </c>
      <c r="I66" s="87">
        <v>8</v>
      </c>
      <c r="J66" s="86">
        <v>521.6</v>
      </c>
      <c r="K66" s="86">
        <v>0</v>
      </c>
      <c r="L66" s="86">
        <v>6520</v>
      </c>
      <c r="M66" s="87">
        <v>9.5</v>
      </c>
      <c r="N66" s="86"/>
      <c r="O66" s="86">
        <v>619.4</v>
      </c>
      <c r="P66" s="86">
        <v>0</v>
      </c>
      <c r="Q66" s="87">
        <v>2</v>
      </c>
      <c r="R66" s="86"/>
      <c r="S66" s="86">
        <v>130.4</v>
      </c>
      <c r="T66" s="86">
        <v>0</v>
      </c>
      <c r="U66" s="86">
        <v>6520</v>
      </c>
      <c r="V66" s="87">
        <v>0.5</v>
      </c>
      <c r="W66" s="86">
        <v>32.6</v>
      </c>
      <c r="X66" s="86">
        <v>0</v>
      </c>
      <c r="Y66" s="87">
        <v>0.5</v>
      </c>
      <c r="Z66" s="86">
        <v>32.6</v>
      </c>
      <c r="AA66" s="86">
        <v>0</v>
      </c>
      <c r="AB66" s="86">
        <v>2590</v>
      </c>
      <c r="AC66" s="87">
        <v>7</v>
      </c>
      <c r="AD66" s="86">
        <v>181</v>
      </c>
      <c r="AE66" s="86">
        <v>0</v>
      </c>
      <c r="AF66" s="87">
        <v>7</v>
      </c>
      <c r="AG66" s="86">
        <v>181</v>
      </c>
      <c r="AH66" s="86">
        <v>0</v>
      </c>
      <c r="AI66" s="88">
        <v>0</v>
      </c>
      <c r="AJ66" s="88">
        <v>0</v>
      </c>
      <c r="AK66" s="88">
        <v>0</v>
      </c>
      <c r="AL66" s="88">
        <v>0</v>
      </c>
      <c r="AM66" s="88">
        <v>0</v>
      </c>
      <c r="AN66" s="88">
        <v>0</v>
      </c>
      <c r="AO66" s="88">
        <v>0</v>
      </c>
      <c r="AP66" s="88">
        <v>0</v>
      </c>
      <c r="AQ66" s="88">
        <v>0</v>
      </c>
      <c r="AR66" s="88">
        <v>0</v>
      </c>
      <c r="AS66" s="88">
        <v>0</v>
      </c>
      <c r="AT66" s="88">
        <v>0</v>
      </c>
      <c r="AU66" s="88">
        <v>0</v>
      </c>
      <c r="AV66" s="88">
        <v>0</v>
      </c>
      <c r="AW66" s="88"/>
      <c r="AX66" s="86">
        <v>6520</v>
      </c>
      <c r="AY66" s="87">
        <v>1</v>
      </c>
      <c r="AZ66" s="86">
        <v>65.2</v>
      </c>
      <c r="BA66" s="86">
        <v>0</v>
      </c>
      <c r="BB66" s="87"/>
      <c r="BC66" s="86">
        <v>0</v>
      </c>
      <c r="BD66" s="86">
        <v>0</v>
      </c>
      <c r="BE66" s="86">
        <v>6520</v>
      </c>
      <c r="BF66" s="87">
        <v>0.25600000000000001</v>
      </c>
      <c r="BG66" s="86">
        <v>16.7</v>
      </c>
      <c r="BH66" s="86">
        <v>0</v>
      </c>
      <c r="BI66" s="87"/>
      <c r="BJ66" s="86">
        <v>0</v>
      </c>
      <c r="BK66" s="86">
        <v>0</v>
      </c>
      <c r="BL66" s="88"/>
      <c r="BM66" s="88"/>
      <c r="BN66" s="88">
        <v>0</v>
      </c>
      <c r="BO66" s="88">
        <v>0</v>
      </c>
      <c r="BP66" s="88"/>
      <c r="BQ66" s="88">
        <v>0</v>
      </c>
      <c r="BR66" s="88">
        <v>0</v>
      </c>
      <c r="BS66" s="13">
        <f t="shared" si="0"/>
        <v>684.6</v>
      </c>
      <c r="BT66" s="13">
        <f t="shared" si="4"/>
        <v>1777.1</v>
      </c>
      <c r="BU66" s="13">
        <f t="shared" si="1"/>
        <v>181</v>
      </c>
      <c r="BV66" s="13">
        <f t="shared" si="2"/>
        <v>181</v>
      </c>
      <c r="BW66" s="14">
        <v>0</v>
      </c>
      <c r="BX66" s="14">
        <f t="shared" si="5"/>
        <v>0</v>
      </c>
      <c r="BY66" s="14">
        <v>0</v>
      </c>
      <c r="BZ66" s="14">
        <v>0</v>
      </c>
      <c r="CA66" s="14">
        <f t="shared" si="7"/>
        <v>865.6</v>
      </c>
      <c r="CB66" s="14">
        <f t="shared" si="7"/>
        <v>1958.1</v>
      </c>
      <c r="CC66" s="14">
        <f t="shared" si="3"/>
        <v>2823.7</v>
      </c>
      <c r="CD66" s="12">
        <v>21</v>
      </c>
    </row>
    <row r="67" spans="1:82" s="38" customFormat="1" ht="24.9" customHeight="1">
      <c r="A67" s="6" t="s">
        <v>439</v>
      </c>
      <c r="B67" s="7" t="s">
        <v>417</v>
      </c>
      <c r="C67" s="37" t="s">
        <v>253</v>
      </c>
      <c r="D67" s="37" t="s">
        <v>254</v>
      </c>
      <c r="E67" s="86">
        <v>6520</v>
      </c>
      <c r="F67" s="87">
        <v>16</v>
      </c>
      <c r="G67" s="86">
        <v>1043.2</v>
      </c>
      <c r="H67" s="86">
        <v>0</v>
      </c>
      <c r="I67" s="87">
        <v>8</v>
      </c>
      <c r="J67" s="86">
        <v>521.6</v>
      </c>
      <c r="K67" s="86">
        <v>0</v>
      </c>
      <c r="L67" s="86">
        <v>6520</v>
      </c>
      <c r="M67" s="87">
        <v>9.5</v>
      </c>
      <c r="N67" s="86"/>
      <c r="O67" s="86">
        <v>619.4</v>
      </c>
      <c r="P67" s="86">
        <v>0</v>
      </c>
      <c r="Q67" s="87">
        <v>2</v>
      </c>
      <c r="R67" s="86"/>
      <c r="S67" s="86">
        <v>130.4</v>
      </c>
      <c r="T67" s="86">
        <v>0</v>
      </c>
      <c r="U67" s="86">
        <v>6520</v>
      </c>
      <c r="V67" s="87">
        <v>0.5</v>
      </c>
      <c r="W67" s="86">
        <v>32.6</v>
      </c>
      <c r="X67" s="86">
        <v>0</v>
      </c>
      <c r="Y67" s="87">
        <v>0.5</v>
      </c>
      <c r="Z67" s="86">
        <v>32.6</v>
      </c>
      <c r="AA67" s="86">
        <v>0</v>
      </c>
      <c r="AB67" s="86">
        <v>2590</v>
      </c>
      <c r="AC67" s="87">
        <v>7</v>
      </c>
      <c r="AD67" s="86">
        <v>181</v>
      </c>
      <c r="AE67" s="86">
        <v>0</v>
      </c>
      <c r="AF67" s="87">
        <v>7</v>
      </c>
      <c r="AG67" s="86">
        <v>181</v>
      </c>
      <c r="AH67" s="86">
        <v>0</v>
      </c>
      <c r="AI67" s="88">
        <v>0</v>
      </c>
      <c r="AJ67" s="88">
        <v>0</v>
      </c>
      <c r="AK67" s="88">
        <v>0</v>
      </c>
      <c r="AL67" s="88">
        <v>0</v>
      </c>
      <c r="AM67" s="88">
        <v>0</v>
      </c>
      <c r="AN67" s="88">
        <v>0</v>
      </c>
      <c r="AO67" s="88">
        <v>0</v>
      </c>
      <c r="AP67" s="88">
        <v>0</v>
      </c>
      <c r="AQ67" s="88">
        <v>0</v>
      </c>
      <c r="AR67" s="88">
        <v>0</v>
      </c>
      <c r="AS67" s="88">
        <v>0</v>
      </c>
      <c r="AT67" s="88">
        <v>0</v>
      </c>
      <c r="AU67" s="88">
        <v>0</v>
      </c>
      <c r="AV67" s="88">
        <v>0</v>
      </c>
      <c r="AW67" s="88"/>
      <c r="AX67" s="86">
        <v>6520</v>
      </c>
      <c r="AY67" s="87">
        <v>1</v>
      </c>
      <c r="AZ67" s="86">
        <v>65.2</v>
      </c>
      <c r="BA67" s="86">
        <v>0</v>
      </c>
      <c r="BB67" s="87"/>
      <c r="BC67" s="86">
        <v>0</v>
      </c>
      <c r="BD67" s="86">
        <v>0</v>
      </c>
      <c r="BE67" s="86">
        <v>6520</v>
      </c>
      <c r="BF67" s="87">
        <v>0.25600000000000001</v>
      </c>
      <c r="BG67" s="86">
        <v>16.7</v>
      </c>
      <c r="BH67" s="86">
        <v>0</v>
      </c>
      <c r="BI67" s="87"/>
      <c r="BJ67" s="86">
        <v>0</v>
      </c>
      <c r="BK67" s="86">
        <v>0</v>
      </c>
      <c r="BL67" s="88"/>
      <c r="BM67" s="88"/>
      <c r="BN67" s="88">
        <v>0</v>
      </c>
      <c r="BO67" s="88">
        <v>0</v>
      </c>
      <c r="BP67" s="88"/>
      <c r="BQ67" s="88">
        <v>0</v>
      </c>
      <c r="BR67" s="88">
        <v>0</v>
      </c>
      <c r="BS67" s="13">
        <f t="shared" si="0"/>
        <v>684.6</v>
      </c>
      <c r="BT67" s="13">
        <f t="shared" si="4"/>
        <v>1777.1</v>
      </c>
      <c r="BU67" s="13">
        <f t="shared" si="1"/>
        <v>181</v>
      </c>
      <c r="BV67" s="13">
        <f t="shared" si="2"/>
        <v>181</v>
      </c>
      <c r="BW67" s="14">
        <v>0</v>
      </c>
      <c r="BX67" s="14">
        <f t="shared" si="5"/>
        <v>0</v>
      </c>
      <c r="BY67" s="14">
        <v>0</v>
      </c>
      <c r="BZ67" s="14">
        <v>0</v>
      </c>
      <c r="CA67" s="14">
        <f t="shared" si="7"/>
        <v>865.6</v>
      </c>
      <c r="CB67" s="14">
        <f t="shared" si="7"/>
        <v>1958.1</v>
      </c>
      <c r="CC67" s="14">
        <f t="shared" si="3"/>
        <v>2823.7</v>
      </c>
      <c r="CD67" s="12">
        <v>21</v>
      </c>
    </row>
    <row r="68" spans="1:82" s="38" customFormat="1" ht="24.9" customHeight="1">
      <c r="A68" s="6" t="s">
        <v>439</v>
      </c>
      <c r="B68" s="7" t="s">
        <v>417</v>
      </c>
      <c r="C68" s="37" t="s">
        <v>211</v>
      </c>
      <c r="D68" s="37" t="s">
        <v>212</v>
      </c>
      <c r="E68" s="86">
        <v>6520</v>
      </c>
      <c r="F68" s="87">
        <v>16</v>
      </c>
      <c r="G68" s="86">
        <v>1043.2</v>
      </c>
      <c r="H68" s="86">
        <v>0</v>
      </c>
      <c r="I68" s="87">
        <v>8</v>
      </c>
      <c r="J68" s="86">
        <v>521.6</v>
      </c>
      <c r="K68" s="86">
        <v>0</v>
      </c>
      <c r="L68" s="86">
        <v>6520</v>
      </c>
      <c r="M68" s="87">
        <v>9.5</v>
      </c>
      <c r="N68" s="86"/>
      <c r="O68" s="86">
        <v>619.4</v>
      </c>
      <c r="P68" s="86">
        <v>0</v>
      </c>
      <c r="Q68" s="87">
        <v>2</v>
      </c>
      <c r="R68" s="86"/>
      <c r="S68" s="86">
        <v>130.4</v>
      </c>
      <c r="T68" s="86">
        <v>0</v>
      </c>
      <c r="U68" s="86">
        <v>6520</v>
      </c>
      <c r="V68" s="87">
        <v>0.5</v>
      </c>
      <c r="W68" s="86">
        <v>32.6</v>
      </c>
      <c r="X68" s="86">
        <v>0</v>
      </c>
      <c r="Y68" s="87">
        <v>0.5</v>
      </c>
      <c r="Z68" s="86">
        <v>32.6</v>
      </c>
      <c r="AA68" s="86">
        <v>0</v>
      </c>
      <c r="AB68" s="86">
        <v>2590</v>
      </c>
      <c r="AC68" s="87">
        <v>7</v>
      </c>
      <c r="AD68" s="86">
        <v>181</v>
      </c>
      <c r="AE68" s="86">
        <v>0</v>
      </c>
      <c r="AF68" s="87">
        <v>7</v>
      </c>
      <c r="AG68" s="86">
        <v>181</v>
      </c>
      <c r="AH68" s="86">
        <v>0</v>
      </c>
      <c r="AI68" s="88">
        <v>0</v>
      </c>
      <c r="AJ68" s="88">
        <v>0</v>
      </c>
      <c r="AK68" s="88">
        <v>0</v>
      </c>
      <c r="AL68" s="88">
        <v>0</v>
      </c>
      <c r="AM68" s="88">
        <v>0</v>
      </c>
      <c r="AN68" s="88">
        <v>0</v>
      </c>
      <c r="AO68" s="88">
        <v>0</v>
      </c>
      <c r="AP68" s="88">
        <v>0</v>
      </c>
      <c r="AQ68" s="88">
        <v>0</v>
      </c>
      <c r="AR68" s="88">
        <v>0</v>
      </c>
      <c r="AS68" s="88">
        <v>0</v>
      </c>
      <c r="AT68" s="88">
        <v>0</v>
      </c>
      <c r="AU68" s="88">
        <v>0</v>
      </c>
      <c r="AV68" s="88">
        <v>0</v>
      </c>
      <c r="AW68" s="88"/>
      <c r="AX68" s="86">
        <v>6520</v>
      </c>
      <c r="AY68" s="87">
        <v>1</v>
      </c>
      <c r="AZ68" s="86">
        <v>65.2</v>
      </c>
      <c r="BA68" s="86">
        <v>0</v>
      </c>
      <c r="BB68" s="87"/>
      <c r="BC68" s="86">
        <v>0</v>
      </c>
      <c r="BD68" s="86">
        <v>0</v>
      </c>
      <c r="BE68" s="86">
        <v>6520</v>
      </c>
      <c r="BF68" s="87">
        <v>0.25600000000000001</v>
      </c>
      <c r="BG68" s="86">
        <v>16.7</v>
      </c>
      <c r="BH68" s="86">
        <v>0</v>
      </c>
      <c r="BI68" s="87"/>
      <c r="BJ68" s="86">
        <v>0</v>
      </c>
      <c r="BK68" s="86">
        <v>0</v>
      </c>
      <c r="BL68" s="88"/>
      <c r="BM68" s="88"/>
      <c r="BN68" s="88">
        <v>0</v>
      </c>
      <c r="BO68" s="88">
        <v>0</v>
      </c>
      <c r="BP68" s="88"/>
      <c r="BQ68" s="88">
        <v>0</v>
      </c>
      <c r="BR68" s="88">
        <v>0</v>
      </c>
      <c r="BS68" s="13">
        <f t="shared" ref="BS68:BS80" si="8">J68+S68+Z68+AK68+AU68+BC68+BJ68</f>
        <v>684.6</v>
      </c>
      <c r="BT68" s="13">
        <f t="shared" si="4"/>
        <v>1777.1</v>
      </c>
      <c r="BU68" s="13">
        <f t="shared" ref="BU68:BU80" si="9">AG68</f>
        <v>181</v>
      </c>
      <c r="BV68" s="13">
        <f t="shared" ref="BV68:BV80" si="10">AD68</f>
        <v>181</v>
      </c>
      <c r="BW68" s="14">
        <v>0</v>
      </c>
      <c r="BX68" s="14">
        <f t="shared" si="5"/>
        <v>0</v>
      </c>
      <c r="BY68" s="14">
        <v>0</v>
      </c>
      <c r="BZ68" s="14">
        <v>0</v>
      </c>
      <c r="CA68" s="14">
        <f t="shared" si="7"/>
        <v>865.6</v>
      </c>
      <c r="CB68" s="14">
        <f t="shared" si="7"/>
        <v>1958.1</v>
      </c>
      <c r="CC68" s="14">
        <f t="shared" ref="CC68:CC80" si="11">CA68+CB68</f>
        <v>2823.7</v>
      </c>
      <c r="CD68" s="12">
        <v>21</v>
      </c>
    </row>
    <row r="69" spans="1:82" s="38" customFormat="1" ht="24.9" customHeight="1">
      <c r="A69" s="6" t="s">
        <v>439</v>
      </c>
      <c r="B69" s="7" t="s">
        <v>417</v>
      </c>
      <c r="C69" s="37" t="s">
        <v>272</v>
      </c>
      <c r="D69" s="37" t="s">
        <v>273</v>
      </c>
      <c r="E69" s="86">
        <v>6520</v>
      </c>
      <c r="F69" s="87">
        <v>16</v>
      </c>
      <c r="G69" s="86">
        <v>1043.2</v>
      </c>
      <c r="H69" s="86">
        <v>0</v>
      </c>
      <c r="I69" s="87">
        <v>8</v>
      </c>
      <c r="J69" s="86">
        <v>521.6</v>
      </c>
      <c r="K69" s="86">
        <v>0</v>
      </c>
      <c r="L69" s="86">
        <v>6520</v>
      </c>
      <c r="M69" s="87">
        <v>9.5</v>
      </c>
      <c r="N69" s="86"/>
      <c r="O69" s="86">
        <v>619.4</v>
      </c>
      <c r="P69" s="86">
        <v>0</v>
      </c>
      <c r="Q69" s="87">
        <v>2</v>
      </c>
      <c r="R69" s="86"/>
      <c r="S69" s="86">
        <v>130.4</v>
      </c>
      <c r="T69" s="86">
        <v>0</v>
      </c>
      <c r="U69" s="86">
        <v>6520</v>
      </c>
      <c r="V69" s="87">
        <v>0.5</v>
      </c>
      <c r="W69" s="86">
        <v>32.6</v>
      </c>
      <c r="X69" s="86">
        <v>0</v>
      </c>
      <c r="Y69" s="87">
        <v>0.5</v>
      </c>
      <c r="Z69" s="86">
        <v>32.6</v>
      </c>
      <c r="AA69" s="86">
        <v>0</v>
      </c>
      <c r="AB69" s="86">
        <v>2590</v>
      </c>
      <c r="AC69" s="87">
        <v>7</v>
      </c>
      <c r="AD69" s="86">
        <v>181</v>
      </c>
      <c r="AE69" s="86">
        <v>0</v>
      </c>
      <c r="AF69" s="87">
        <v>7</v>
      </c>
      <c r="AG69" s="86">
        <v>181</v>
      </c>
      <c r="AH69" s="86">
        <v>0</v>
      </c>
      <c r="AI69" s="88">
        <v>0</v>
      </c>
      <c r="AJ69" s="88">
        <v>0</v>
      </c>
      <c r="AK69" s="88">
        <v>0</v>
      </c>
      <c r="AL69" s="88">
        <v>0</v>
      </c>
      <c r="AM69" s="88">
        <v>0</v>
      </c>
      <c r="AN69" s="88">
        <v>0</v>
      </c>
      <c r="AO69" s="88">
        <v>0</v>
      </c>
      <c r="AP69" s="88">
        <v>0</v>
      </c>
      <c r="AQ69" s="88">
        <v>0</v>
      </c>
      <c r="AR69" s="88">
        <v>0</v>
      </c>
      <c r="AS69" s="88">
        <v>0</v>
      </c>
      <c r="AT69" s="88">
        <v>0</v>
      </c>
      <c r="AU69" s="88">
        <v>0</v>
      </c>
      <c r="AV69" s="88">
        <v>0</v>
      </c>
      <c r="AW69" s="88"/>
      <c r="AX69" s="86">
        <v>6520</v>
      </c>
      <c r="AY69" s="87">
        <v>1</v>
      </c>
      <c r="AZ69" s="86">
        <v>65.2</v>
      </c>
      <c r="BA69" s="86">
        <v>0</v>
      </c>
      <c r="BB69" s="87"/>
      <c r="BC69" s="86">
        <v>0</v>
      </c>
      <c r="BD69" s="86">
        <v>0</v>
      </c>
      <c r="BE69" s="86">
        <v>6520</v>
      </c>
      <c r="BF69" s="87">
        <v>0.25600000000000001</v>
      </c>
      <c r="BG69" s="86">
        <v>16.7</v>
      </c>
      <c r="BH69" s="86">
        <v>0</v>
      </c>
      <c r="BI69" s="87"/>
      <c r="BJ69" s="86">
        <v>0</v>
      </c>
      <c r="BK69" s="86">
        <v>0</v>
      </c>
      <c r="BL69" s="88"/>
      <c r="BM69" s="88"/>
      <c r="BN69" s="88">
        <v>0</v>
      </c>
      <c r="BO69" s="88">
        <v>0</v>
      </c>
      <c r="BP69" s="88"/>
      <c r="BQ69" s="88">
        <v>0</v>
      </c>
      <c r="BR69" s="88">
        <v>0</v>
      </c>
      <c r="BS69" s="13">
        <f t="shared" si="8"/>
        <v>684.6</v>
      </c>
      <c r="BT69" s="13">
        <f t="shared" ref="BT69:BT80" si="12">G69+O69+W69+AI69+AM69+AO69+AQ69+AS69+AZ69+BG69</f>
        <v>1777.1</v>
      </c>
      <c r="BU69" s="13">
        <f t="shared" si="9"/>
        <v>181</v>
      </c>
      <c r="BV69" s="13">
        <f t="shared" si="10"/>
        <v>181</v>
      </c>
      <c r="BW69" s="14">
        <v>0</v>
      </c>
      <c r="BX69" s="14">
        <f t="shared" ref="BX69:BX80" si="13">H69+P69+X69+BA69+BH69</f>
        <v>0</v>
      </c>
      <c r="BY69" s="14">
        <v>0</v>
      </c>
      <c r="BZ69" s="14">
        <v>0</v>
      </c>
      <c r="CA69" s="14">
        <f t="shared" si="7"/>
        <v>865.6</v>
      </c>
      <c r="CB69" s="14">
        <f t="shared" si="7"/>
        <v>1958.1</v>
      </c>
      <c r="CC69" s="14">
        <f t="shared" si="11"/>
        <v>2823.7</v>
      </c>
      <c r="CD69" s="12">
        <v>21</v>
      </c>
    </row>
    <row r="70" spans="1:82" s="38" customFormat="1" ht="24.9" customHeight="1">
      <c r="A70" s="6" t="s">
        <v>439</v>
      </c>
      <c r="B70" s="7" t="s">
        <v>417</v>
      </c>
      <c r="C70" s="37" t="s">
        <v>269</v>
      </c>
      <c r="D70" s="37" t="s">
        <v>270</v>
      </c>
      <c r="E70" s="86">
        <v>6520</v>
      </c>
      <c r="F70" s="87">
        <v>16</v>
      </c>
      <c r="G70" s="86">
        <v>1043.2</v>
      </c>
      <c r="H70" s="86">
        <v>0</v>
      </c>
      <c r="I70" s="87">
        <v>8</v>
      </c>
      <c r="J70" s="86">
        <v>521.6</v>
      </c>
      <c r="K70" s="86">
        <v>0</v>
      </c>
      <c r="L70" s="86">
        <v>6520</v>
      </c>
      <c r="M70" s="87">
        <v>9.5</v>
      </c>
      <c r="N70" s="86"/>
      <c r="O70" s="86">
        <v>619.4</v>
      </c>
      <c r="P70" s="86">
        <v>0</v>
      </c>
      <c r="Q70" s="87">
        <v>2</v>
      </c>
      <c r="R70" s="86"/>
      <c r="S70" s="86">
        <v>130.4</v>
      </c>
      <c r="T70" s="86">
        <v>0</v>
      </c>
      <c r="U70" s="86">
        <v>6520</v>
      </c>
      <c r="V70" s="87">
        <v>0.5</v>
      </c>
      <c r="W70" s="86">
        <v>32.6</v>
      </c>
      <c r="X70" s="86">
        <v>0</v>
      </c>
      <c r="Y70" s="87">
        <v>0.5</v>
      </c>
      <c r="Z70" s="86">
        <v>32.6</v>
      </c>
      <c r="AA70" s="86">
        <v>0</v>
      </c>
      <c r="AB70" s="86">
        <v>2590</v>
      </c>
      <c r="AC70" s="87">
        <v>7</v>
      </c>
      <c r="AD70" s="86">
        <v>181</v>
      </c>
      <c r="AE70" s="86">
        <v>0</v>
      </c>
      <c r="AF70" s="87">
        <v>7</v>
      </c>
      <c r="AG70" s="86">
        <v>181</v>
      </c>
      <c r="AH70" s="86">
        <v>0</v>
      </c>
      <c r="AI70" s="88">
        <v>0</v>
      </c>
      <c r="AJ70" s="88">
        <v>0</v>
      </c>
      <c r="AK70" s="88">
        <v>0</v>
      </c>
      <c r="AL70" s="88">
        <v>0</v>
      </c>
      <c r="AM70" s="88">
        <v>0</v>
      </c>
      <c r="AN70" s="88">
        <v>0</v>
      </c>
      <c r="AO70" s="88">
        <v>0</v>
      </c>
      <c r="AP70" s="88">
        <v>0</v>
      </c>
      <c r="AQ70" s="88">
        <v>0</v>
      </c>
      <c r="AR70" s="88">
        <v>0</v>
      </c>
      <c r="AS70" s="88">
        <v>0</v>
      </c>
      <c r="AT70" s="88">
        <v>0</v>
      </c>
      <c r="AU70" s="88">
        <v>0</v>
      </c>
      <c r="AV70" s="88">
        <v>0</v>
      </c>
      <c r="AW70" s="88"/>
      <c r="AX70" s="86">
        <v>6520</v>
      </c>
      <c r="AY70" s="87">
        <v>1</v>
      </c>
      <c r="AZ70" s="86">
        <v>65.2</v>
      </c>
      <c r="BA70" s="86">
        <v>0</v>
      </c>
      <c r="BB70" s="87"/>
      <c r="BC70" s="86">
        <v>0</v>
      </c>
      <c r="BD70" s="86">
        <v>0</v>
      </c>
      <c r="BE70" s="86">
        <v>6520</v>
      </c>
      <c r="BF70" s="87">
        <v>0.25600000000000001</v>
      </c>
      <c r="BG70" s="86">
        <v>16.7</v>
      </c>
      <c r="BH70" s="86">
        <v>0</v>
      </c>
      <c r="BI70" s="87"/>
      <c r="BJ70" s="86">
        <v>0</v>
      </c>
      <c r="BK70" s="86">
        <v>0</v>
      </c>
      <c r="BL70" s="88"/>
      <c r="BM70" s="88"/>
      <c r="BN70" s="88">
        <v>0</v>
      </c>
      <c r="BO70" s="88">
        <v>0</v>
      </c>
      <c r="BP70" s="88"/>
      <c r="BQ70" s="88">
        <v>0</v>
      </c>
      <c r="BR70" s="88">
        <v>0</v>
      </c>
      <c r="BS70" s="13">
        <f t="shared" si="8"/>
        <v>684.6</v>
      </c>
      <c r="BT70" s="13">
        <f t="shared" si="12"/>
        <v>1777.1</v>
      </c>
      <c r="BU70" s="13">
        <f t="shared" si="9"/>
        <v>181</v>
      </c>
      <c r="BV70" s="13">
        <f t="shared" si="10"/>
        <v>181</v>
      </c>
      <c r="BW70" s="14">
        <v>0</v>
      </c>
      <c r="BX70" s="14">
        <f t="shared" si="13"/>
        <v>0</v>
      </c>
      <c r="BY70" s="14">
        <v>0</v>
      </c>
      <c r="BZ70" s="14">
        <v>0</v>
      </c>
      <c r="CA70" s="14">
        <f t="shared" si="7"/>
        <v>865.6</v>
      </c>
      <c r="CB70" s="14">
        <f t="shared" si="7"/>
        <v>1958.1</v>
      </c>
      <c r="CC70" s="14">
        <f t="shared" si="11"/>
        <v>2823.7</v>
      </c>
      <c r="CD70" s="12">
        <v>21</v>
      </c>
    </row>
    <row r="71" spans="1:82" s="38" customFormat="1" ht="24.9" customHeight="1">
      <c r="A71" s="6" t="s">
        <v>439</v>
      </c>
      <c r="B71" s="7" t="s">
        <v>417</v>
      </c>
      <c r="C71" s="37" t="s">
        <v>173</v>
      </c>
      <c r="D71" s="37" t="s">
        <v>174</v>
      </c>
      <c r="E71" s="86">
        <v>6520</v>
      </c>
      <c r="F71" s="87">
        <v>16</v>
      </c>
      <c r="G71" s="86">
        <v>1043.2</v>
      </c>
      <c r="H71" s="86">
        <v>0</v>
      </c>
      <c r="I71" s="87">
        <v>8</v>
      </c>
      <c r="J71" s="86">
        <v>521.6</v>
      </c>
      <c r="K71" s="86">
        <v>0</v>
      </c>
      <c r="L71" s="86">
        <v>6520</v>
      </c>
      <c r="M71" s="87">
        <v>9.5</v>
      </c>
      <c r="N71" s="86"/>
      <c r="O71" s="86">
        <v>619.4</v>
      </c>
      <c r="P71" s="86">
        <v>0</v>
      </c>
      <c r="Q71" s="87">
        <v>2</v>
      </c>
      <c r="R71" s="86"/>
      <c r="S71" s="86">
        <v>130.4</v>
      </c>
      <c r="T71" s="86">
        <v>0</v>
      </c>
      <c r="U71" s="86">
        <v>6520</v>
      </c>
      <c r="V71" s="87">
        <v>0.5</v>
      </c>
      <c r="W71" s="86">
        <v>32.6</v>
      </c>
      <c r="X71" s="86">
        <v>0</v>
      </c>
      <c r="Y71" s="87">
        <v>0.5</v>
      </c>
      <c r="Z71" s="86">
        <v>32.6</v>
      </c>
      <c r="AA71" s="86">
        <v>0</v>
      </c>
      <c r="AB71" s="86">
        <v>2590</v>
      </c>
      <c r="AC71" s="87">
        <v>7</v>
      </c>
      <c r="AD71" s="86">
        <v>181</v>
      </c>
      <c r="AE71" s="86">
        <v>0</v>
      </c>
      <c r="AF71" s="87">
        <v>7</v>
      </c>
      <c r="AG71" s="86">
        <v>181</v>
      </c>
      <c r="AH71" s="86">
        <v>0</v>
      </c>
      <c r="AI71" s="88">
        <v>0</v>
      </c>
      <c r="AJ71" s="88">
        <v>0</v>
      </c>
      <c r="AK71" s="88">
        <v>0</v>
      </c>
      <c r="AL71" s="88">
        <v>0</v>
      </c>
      <c r="AM71" s="88">
        <v>0</v>
      </c>
      <c r="AN71" s="88">
        <v>0</v>
      </c>
      <c r="AO71" s="88">
        <v>0</v>
      </c>
      <c r="AP71" s="88">
        <v>0</v>
      </c>
      <c r="AQ71" s="88">
        <v>0</v>
      </c>
      <c r="AR71" s="88">
        <v>0</v>
      </c>
      <c r="AS71" s="88">
        <v>0</v>
      </c>
      <c r="AT71" s="88">
        <v>0</v>
      </c>
      <c r="AU71" s="88">
        <v>0</v>
      </c>
      <c r="AV71" s="88">
        <v>0</v>
      </c>
      <c r="AW71" s="88"/>
      <c r="AX71" s="86">
        <v>6520</v>
      </c>
      <c r="AY71" s="87">
        <v>1</v>
      </c>
      <c r="AZ71" s="86">
        <v>65.2</v>
      </c>
      <c r="BA71" s="86">
        <v>0</v>
      </c>
      <c r="BB71" s="87"/>
      <c r="BC71" s="86">
        <v>0</v>
      </c>
      <c r="BD71" s="86">
        <v>0</v>
      </c>
      <c r="BE71" s="86">
        <v>6520</v>
      </c>
      <c r="BF71" s="87">
        <v>0.25600000000000001</v>
      </c>
      <c r="BG71" s="86">
        <v>16.7</v>
      </c>
      <c r="BH71" s="86">
        <v>0</v>
      </c>
      <c r="BI71" s="87"/>
      <c r="BJ71" s="86">
        <v>0</v>
      </c>
      <c r="BK71" s="86">
        <v>0</v>
      </c>
      <c r="BL71" s="88"/>
      <c r="BM71" s="88"/>
      <c r="BN71" s="88">
        <v>0</v>
      </c>
      <c r="BO71" s="88">
        <v>0</v>
      </c>
      <c r="BP71" s="88"/>
      <c r="BQ71" s="88">
        <v>0</v>
      </c>
      <c r="BR71" s="88">
        <v>0</v>
      </c>
      <c r="BS71" s="13">
        <f t="shared" si="8"/>
        <v>684.6</v>
      </c>
      <c r="BT71" s="13">
        <f t="shared" si="12"/>
        <v>1777.1</v>
      </c>
      <c r="BU71" s="13">
        <f t="shared" si="9"/>
        <v>181</v>
      </c>
      <c r="BV71" s="13">
        <f t="shared" si="10"/>
        <v>181</v>
      </c>
      <c r="BW71" s="14">
        <v>0</v>
      </c>
      <c r="BX71" s="14">
        <f t="shared" si="13"/>
        <v>0</v>
      </c>
      <c r="BY71" s="14">
        <v>0</v>
      </c>
      <c r="BZ71" s="14">
        <v>0</v>
      </c>
      <c r="CA71" s="14">
        <f t="shared" si="7"/>
        <v>865.6</v>
      </c>
      <c r="CB71" s="14">
        <f t="shared" si="7"/>
        <v>1958.1</v>
      </c>
      <c r="CC71" s="14">
        <f t="shared" si="11"/>
        <v>2823.7</v>
      </c>
      <c r="CD71" s="12">
        <v>21</v>
      </c>
    </row>
    <row r="72" spans="1:82" s="38" customFormat="1" ht="24.9" customHeight="1">
      <c r="A72" s="6" t="s">
        <v>439</v>
      </c>
      <c r="B72" s="7" t="s">
        <v>417</v>
      </c>
      <c r="C72" s="37" t="s">
        <v>398</v>
      </c>
      <c r="D72" s="37" t="s">
        <v>399</v>
      </c>
      <c r="E72" s="86">
        <v>6520</v>
      </c>
      <c r="F72" s="87">
        <v>16</v>
      </c>
      <c r="G72" s="86">
        <v>1043.2</v>
      </c>
      <c r="H72" s="86">
        <v>0</v>
      </c>
      <c r="I72" s="87">
        <v>8</v>
      </c>
      <c r="J72" s="86">
        <v>521.6</v>
      </c>
      <c r="K72" s="86">
        <v>0</v>
      </c>
      <c r="L72" s="86">
        <v>6520</v>
      </c>
      <c r="M72" s="87">
        <v>9.5</v>
      </c>
      <c r="N72" s="86"/>
      <c r="O72" s="86">
        <v>619.4</v>
      </c>
      <c r="P72" s="86">
        <v>0</v>
      </c>
      <c r="Q72" s="87">
        <v>2</v>
      </c>
      <c r="R72" s="86"/>
      <c r="S72" s="86">
        <v>130.4</v>
      </c>
      <c r="T72" s="86">
        <v>0</v>
      </c>
      <c r="U72" s="86">
        <v>6520</v>
      </c>
      <c r="V72" s="87">
        <v>0.5</v>
      </c>
      <c r="W72" s="86">
        <v>32.6</v>
      </c>
      <c r="X72" s="86">
        <v>0</v>
      </c>
      <c r="Y72" s="87">
        <v>0.5</v>
      </c>
      <c r="Z72" s="86">
        <v>32.6</v>
      </c>
      <c r="AA72" s="86">
        <v>0</v>
      </c>
      <c r="AB72" s="86">
        <v>2590</v>
      </c>
      <c r="AC72" s="87">
        <v>7</v>
      </c>
      <c r="AD72" s="86">
        <v>181</v>
      </c>
      <c r="AE72" s="86">
        <v>0</v>
      </c>
      <c r="AF72" s="87">
        <v>7</v>
      </c>
      <c r="AG72" s="86">
        <v>181</v>
      </c>
      <c r="AH72" s="86">
        <v>0</v>
      </c>
      <c r="AI72" s="88">
        <v>0</v>
      </c>
      <c r="AJ72" s="88">
        <v>0</v>
      </c>
      <c r="AK72" s="88">
        <v>0</v>
      </c>
      <c r="AL72" s="88">
        <v>0</v>
      </c>
      <c r="AM72" s="88">
        <v>0</v>
      </c>
      <c r="AN72" s="88">
        <v>0</v>
      </c>
      <c r="AO72" s="88">
        <v>0</v>
      </c>
      <c r="AP72" s="88">
        <v>0</v>
      </c>
      <c r="AQ72" s="88">
        <v>0</v>
      </c>
      <c r="AR72" s="88">
        <v>0</v>
      </c>
      <c r="AS72" s="88">
        <v>0</v>
      </c>
      <c r="AT72" s="88">
        <v>0</v>
      </c>
      <c r="AU72" s="88">
        <v>0</v>
      </c>
      <c r="AV72" s="88">
        <v>0</v>
      </c>
      <c r="AW72" s="88"/>
      <c r="AX72" s="86">
        <v>6520</v>
      </c>
      <c r="AY72" s="87">
        <v>1</v>
      </c>
      <c r="AZ72" s="86">
        <v>65.2</v>
      </c>
      <c r="BA72" s="86">
        <v>0</v>
      </c>
      <c r="BB72" s="87"/>
      <c r="BC72" s="86">
        <v>0</v>
      </c>
      <c r="BD72" s="86">
        <v>0</v>
      </c>
      <c r="BE72" s="86">
        <v>6520</v>
      </c>
      <c r="BF72" s="87">
        <v>0.25600000000000001</v>
      </c>
      <c r="BG72" s="86">
        <v>16.7</v>
      </c>
      <c r="BH72" s="86">
        <v>0</v>
      </c>
      <c r="BI72" s="87"/>
      <c r="BJ72" s="86">
        <v>0</v>
      </c>
      <c r="BK72" s="86">
        <v>0</v>
      </c>
      <c r="BL72" s="88"/>
      <c r="BM72" s="88"/>
      <c r="BN72" s="88">
        <v>0</v>
      </c>
      <c r="BO72" s="88">
        <v>0</v>
      </c>
      <c r="BP72" s="88"/>
      <c r="BQ72" s="88">
        <v>0</v>
      </c>
      <c r="BR72" s="88">
        <v>0</v>
      </c>
      <c r="BS72" s="13">
        <f t="shared" si="8"/>
        <v>684.6</v>
      </c>
      <c r="BT72" s="13">
        <f t="shared" si="12"/>
        <v>1777.1</v>
      </c>
      <c r="BU72" s="13">
        <f t="shared" si="9"/>
        <v>181</v>
      </c>
      <c r="BV72" s="13">
        <f t="shared" si="10"/>
        <v>181</v>
      </c>
      <c r="BW72" s="14">
        <v>0</v>
      </c>
      <c r="BX72" s="14">
        <f t="shared" si="13"/>
        <v>0</v>
      </c>
      <c r="BY72" s="14">
        <v>0</v>
      </c>
      <c r="BZ72" s="14">
        <v>0</v>
      </c>
      <c r="CA72" s="14">
        <f t="shared" si="7"/>
        <v>865.6</v>
      </c>
      <c r="CB72" s="14">
        <f t="shared" si="7"/>
        <v>1958.1</v>
      </c>
      <c r="CC72" s="14">
        <f t="shared" si="11"/>
        <v>2823.7</v>
      </c>
      <c r="CD72" s="12">
        <v>21</v>
      </c>
    </row>
    <row r="73" spans="1:82" s="38" customFormat="1" ht="24.9" customHeight="1">
      <c r="A73" s="6" t="s">
        <v>439</v>
      </c>
      <c r="B73" s="7" t="s">
        <v>417</v>
      </c>
      <c r="C73" s="37" t="s">
        <v>404</v>
      </c>
      <c r="D73" s="37" t="s">
        <v>405</v>
      </c>
      <c r="E73" s="86">
        <v>6520</v>
      </c>
      <c r="F73" s="87">
        <v>16</v>
      </c>
      <c r="G73" s="86">
        <v>1043.2</v>
      </c>
      <c r="H73" s="86">
        <v>0</v>
      </c>
      <c r="I73" s="87">
        <v>8</v>
      </c>
      <c r="J73" s="86">
        <v>521.6</v>
      </c>
      <c r="K73" s="86">
        <v>0</v>
      </c>
      <c r="L73" s="86">
        <v>6520</v>
      </c>
      <c r="M73" s="87">
        <v>9.5</v>
      </c>
      <c r="N73" s="86"/>
      <c r="O73" s="86">
        <v>619.4</v>
      </c>
      <c r="P73" s="86">
        <v>0</v>
      </c>
      <c r="Q73" s="87">
        <v>2</v>
      </c>
      <c r="R73" s="86"/>
      <c r="S73" s="86">
        <v>130.4</v>
      </c>
      <c r="T73" s="86">
        <v>0</v>
      </c>
      <c r="U73" s="86">
        <v>6520</v>
      </c>
      <c r="V73" s="87">
        <v>0.5</v>
      </c>
      <c r="W73" s="86">
        <v>32.6</v>
      </c>
      <c r="X73" s="86">
        <v>0</v>
      </c>
      <c r="Y73" s="87">
        <v>0.5</v>
      </c>
      <c r="Z73" s="86">
        <v>32.6</v>
      </c>
      <c r="AA73" s="86">
        <v>0</v>
      </c>
      <c r="AB73" s="86">
        <v>2590</v>
      </c>
      <c r="AC73" s="87">
        <v>7</v>
      </c>
      <c r="AD73" s="86">
        <v>181</v>
      </c>
      <c r="AE73" s="86">
        <v>0</v>
      </c>
      <c r="AF73" s="87">
        <v>7</v>
      </c>
      <c r="AG73" s="86">
        <v>181</v>
      </c>
      <c r="AH73" s="86">
        <v>0</v>
      </c>
      <c r="AI73" s="88">
        <v>0</v>
      </c>
      <c r="AJ73" s="88">
        <v>0</v>
      </c>
      <c r="AK73" s="88">
        <v>0</v>
      </c>
      <c r="AL73" s="88">
        <v>0</v>
      </c>
      <c r="AM73" s="88">
        <v>0</v>
      </c>
      <c r="AN73" s="88">
        <v>0</v>
      </c>
      <c r="AO73" s="88">
        <v>0</v>
      </c>
      <c r="AP73" s="88">
        <v>0</v>
      </c>
      <c r="AQ73" s="88">
        <v>0</v>
      </c>
      <c r="AR73" s="88">
        <v>0</v>
      </c>
      <c r="AS73" s="88">
        <v>0</v>
      </c>
      <c r="AT73" s="88">
        <v>0</v>
      </c>
      <c r="AU73" s="88">
        <v>0</v>
      </c>
      <c r="AV73" s="88">
        <v>0</v>
      </c>
      <c r="AW73" s="88"/>
      <c r="AX73" s="86">
        <v>6520</v>
      </c>
      <c r="AY73" s="87">
        <v>1</v>
      </c>
      <c r="AZ73" s="86">
        <v>65.2</v>
      </c>
      <c r="BA73" s="86">
        <v>0</v>
      </c>
      <c r="BB73" s="87"/>
      <c r="BC73" s="86">
        <v>0</v>
      </c>
      <c r="BD73" s="86">
        <v>0</v>
      </c>
      <c r="BE73" s="86">
        <v>6520</v>
      </c>
      <c r="BF73" s="87">
        <v>0.25600000000000001</v>
      </c>
      <c r="BG73" s="86">
        <v>16.7</v>
      </c>
      <c r="BH73" s="86">
        <v>0</v>
      </c>
      <c r="BI73" s="87"/>
      <c r="BJ73" s="86">
        <v>0</v>
      </c>
      <c r="BK73" s="86">
        <v>0</v>
      </c>
      <c r="BL73" s="88"/>
      <c r="BM73" s="88"/>
      <c r="BN73" s="88">
        <v>0</v>
      </c>
      <c r="BO73" s="88">
        <v>0</v>
      </c>
      <c r="BP73" s="88"/>
      <c r="BQ73" s="88">
        <v>0</v>
      </c>
      <c r="BR73" s="88">
        <v>0</v>
      </c>
      <c r="BS73" s="13">
        <f t="shared" si="8"/>
        <v>684.6</v>
      </c>
      <c r="BT73" s="13">
        <f t="shared" si="12"/>
        <v>1777.1</v>
      </c>
      <c r="BU73" s="13">
        <f t="shared" si="9"/>
        <v>181</v>
      </c>
      <c r="BV73" s="13">
        <f t="shared" si="10"/>
        <v>181</v>
      </c>
      <c r="BW73" s="14">
        <v>0</v>
      </c>
      <c r="BX73" s="14">
        <f t="shared" si="13"/>
        <v>0</v>
      </c>
      <c r="BY73" s="14">
        <v>0</v>
      </c>
      <c r="BZ73" s="14">
        <v>0</v>
      </c>
      <c r="CA73" s="14">
        <f t="shared" si="7"/>
        <v>865.6</v>
      </c>
      <c r="CB73" s="14">
        <f t="shared" si="7"/>
        <v>1958.1</v>
      </c>
      <c r="CC73" s="14">
        <f t="shared" si="11"/>
        <v>2823.7</v>
      </c>
      <c r="CD73" s="12">
        <v>21</v>
      </c>
    </row>
    <row r="74" spans="1:82" s="38" customFormat="1" ht="24.9" customHeight="1">
      <c r="A74" s="6" t="s">
        <v>439</v>
      </c>
      <c r="B74" s="7" t="s">
        <v>417</v>
      </c>
      <c r="C74" s="37" t="s">
        <v>406</v>
      </c>
      <c r="D74" s="37" t="s">
        <v>407</v>
      </c>
      <c r="E74" s="86">
        <v>6520</v>
      </c>
      <c r="F74" s="87">
        <v>16</v>
      </c>
      <c r="G74" s="86">
        <v>1043.2</v>
      </c>
      <c r="H74" s="86">
        <v>0</v>
      </c>
      <c r="I74" s="87">
        <v>8</v>
      </c>
      <c r="J74" s="86">
        <v>521.6</v>
      </c>
      <c r="K74" s="86">
        <v>0</v>
      </c>
      <c r="L74" s="86">
        <v>6520</v>
      </c>
      <c r="M74" s="87">
        <v>9.5</v>
      </c>
      <c r="N74" s="86"/>
      <c r="O74" s="86">
        <v>619.4</v>
      </c>
      <c r="P74" s="86">
        <v>0</v>
      </c>
      <c r="Q74" s="87">
        <v>2</v>
      </c>
      <c r="R74" s="86"/>
      <c r="S74" s="86">
        <v>130.4</v>
      </c>
      <c r="T74" s="86">
        <v>0</v>
      </c>
      <c r="U74" s="86">
        <v>6520</v>
      </c>
      <c r="V74" s="87">
        <v>0.5</v>
      </c>
      <c r="W74" s="86">
        <v>32.6</v>
      </c>
      <c r="X74" s="86">
        <v>0</v>
      </c>
      <c r="Y74" s="87">
        <v>0.5</v>
      </c>
      <c r="Z74" s="86">
        <v>32.6</v>
      </c>
      <c r="AA74" s="86">
        <v>0</v>
      </c>
      <c r="AB74" s="86">
        <v>2590</v>
      </c>
      <c r="AC74" s="87">
        <v>7</v>
      </c>
      <c r="AD74" s="86">
        <v>181</v>
      </c>
      <c r="AE74" s="86">
        <v>0</v>
      </c>
      <c r="AF74" s="87">
        <v>7</v>
      </c>
      <c r="AG74" s="86">
        <v>181</v>
      </c>
      <c r="AH74" s="86">
        <v>0</v>
      </c>
      <c r="AI74" s="88">
        <v>0</v>
      </c>
      <c r="AJ74" s="88">
        <v>0</v>
      </c>
      <c r="AK74" s="88">
        <v>0</v>
      </c>
      <c r="AL74" s="88">
        <v>0</v>
      </c>
      <c r="AM74" s="88">
        <v>0</v>
      </c>
      <c r="AN74" s="88">
        <v>0</v>
      </c>
      <c r="AO74" s="88">
        <v>0</v>
      </c>
      <c r="AP74" s="88">
        <v>0</v>
      </c>
      <c r="AQ74" s="88">
        <v>0</v>
      </c>
      <c r="AR74" s="88">
        <v>0</v>
      </c>
      <c r="AS74" s="88">
        <v>0</v>
      </c>
      <c r="AT74" s="88">
        <v>0</v>
      </c>
      <c r="AU74" s="88">
        <v>0</v>
      </c>
      <c r="AV74" s="88">
        <v>0</v>
      </c>
      <c r="AW74" s="88"/>
      <c r="AX74" s="86">
        <v>6520</v>
      </c>
      <c r="AY74" s="87">
        <v>1</v>
      </c>
      <c r="AZ74" s="86">
        <v>65.2</v>
      </c>
      <c r="BA74" s="86">
        <v>0</v>
      </c>
      <c r="BB74" s="87"/>
      <c r="BC74" s="86">
        <v>0</v>
      </c>
      <c r="BD74" s="86">
        <v>0</v>
      </c>
      <c r="BE74" s="86">
        <v>6520</v>
      </c>
      <c r="BF74" s="87">
        <v>0.25600000000000001</v>
      </c>
      <c r="BG74" s="86">
        <v>16.7</v>
      </c>
      <c r="BH74" s="86">
        <v>0</v>
      </c>
      <c r="BI74" s="87"/>
      <c r="BJ74" s="86">
        <v>0</v>
      </c>
      <c r="BK74" s="86">
        <v>0</v>
      </c>
      <c r="BL74" s="88"/>
      <c r="BM74" s="88"/>
      <c r="BN74" s="88">
        <v>0</v>
      </c>
      <c r="BO74" s="88">
        <v>0</v>
      </c>
      <c r="BP74" s="88"/>
      <c r="BQ74" s="88">
        <v>0</v>
      </c>
      <c r="BR74" s="88">
        <v>0</v>
      </c>
      <c r="BS74" s="13">
        <f t="shared" si="8"/>
        <v>684.6</v>
      </c>
      <c r="BT74" s="13">
        <f t="shared" si="12"/>
        <v>1777.1</v>
      </c>
      <c r="BU74" s="13">
        <f t="shared" si="9"/>
        <v>181</v>
      </c>
      <c r="BV74" s="13">
        <f t="shared" si="10"/>
        <v>181</v>
      </c>
      <c r="BW74" s="14">
        <v>0</v>
      </c>
      <c r="BX74" s="14">
        <f t="shared" si="13"/>
        <v>0</v>
      </c>
      <c r="BY74" s="14">
        <v>0</v>
      </c>
      <c r="BZ74" s="14">
        <v>0</v>
      </c>
      <c r="CA74" s="14">
        <f t="shared" si="7"/>
        <v>865.6</v>
      </c>
      <c r="CB74" s="14">
        <f t="shared" si="7"/>
        <v>1958.1</v>
      </c>
      <c r="CC74" s="14">
        <f t="shared" si="11"/>
        <v>2823.7</v>
      </c>
      <c r="CD74" s="12">
        <v>21</v>
      </c>
    </row>
    <row r="75" spans="1:82" s="38" customFormat="1" ht="24.9" customHeight="1">
      <c r="A75" s="6" t="s">
        <v>439</v>
      </c>
      <c r="B75" s="7" t="s">
        <v>417</v>
      </c>
      <c r="C75" s="51" t="s">
        <v>412</v>
      </c>
      <c r="D75" s="52" t="s">
        <v>413</v>
      </c>
      <c r="E75" s="86">
        <v>6520</v>
      </c>
      <c r="F75" s="87">
        <v>16</v>
      </c>
      <c r="G75" s="86">
        <v>1043.2</v>
      </c>
      <c r="H75" s="86">
        <v>0</v>
      </c>
      <c r="I75" s="87">
        <v>8</v>
      </c>
      <c r="J75" s="86">
        <v>521.6</v>
      </c>
      <c r="K75" s="86">
        <v>0</v>
      </c>
      <c r="L75" s="86">
        <v>6520</v>
      </c>
      <c r="M75" s="87">
        <v>9.5</v>
      </c>
      <c r="N75" s="86"/>
      <c r="O75" s="86">
        <v>619.4</v>
      </c>
      <c r="P75" s="86">
        <v>0</v>
      </c>
      <c r="Q75" s="87">
        <v>2</v>
      </c>
      <c r="R75" s="86"/>
      <c r="S75" s="86">
        <v>130.4</v>
      </c>
      <c r="T75" s="86">
        <v>0</v>
      </c>
      <c r="U75" s="86">
        <v>6520</v>
      </c>
      <c r="V75" s="87">
        <v>0.5</v>
      </c>
      <c r="W75" s="86">
        <v>32.6</v>
      </c>
      <c r="X75" s="86">
        <v>0</v>
      </c>
      <c r="Y75" s="87">
        <v>0.5</v>
      </c>
      <c r="Z75" s="86">
        <v>32.6</v>
      </c>
      <c r="AA75" s="86">
        <v>0</v>
      </c>
      <c r="AB75" s="86">
        <v>2590</v>
      </c>
      <c r="AC75" s="87">
        <v>7</v>
      </c>
      <c r="AD75" s="86">
        <v>181</v>
      </c>
      <c r="AE75" s="86">
        <v>0</v>
      </c>
      <c r="AF75" s="87">
        <v>7</v>
      </c>
      <c r="AG75" s="86">
        <v>181</v>
      </c>
      <c r="AH75" s="86">
        <v>0</v>
      </c>
      <c r="AI75" s="88">
        <v>0</v>
      </c>
      <c r="AJ75" s="88">
        <v>0</v>
      </c>
      <c r="AK75" s="88">
        <v>0</v>
      </c>
      <c r="AL75" s="88">
        <v>0</v>
      </c>
      <c r="AM75" s="88">
        <v>0</v>
      </c>
      <c r="AN75" s="88">
        <v>0</v>
      </c>
      <c r="AO75" s="88">
        <v>0</v>
      </c>
      <c r="AP75" s="88">
        <v>0</v>
      </c>
      <c r="AQ75" s="88">
        <v>0</v>
      </c>
      <c r="AR75" s="88">
        <v>0</v>
      </c>
      <c r="AS75" s="88">
        <v>0</v>
      </c>
      <c r="AT75" s="88">
        <v>0</v>
      </c>
      <c r="AU75" s="88">
        <v>0</v>
      </c>
      <c r="AV75" s="88">
        <v>0</v>
      </c>
      <c r="AW75" s="88"/>
      <c r="AX75" s="86">
        <v>6520</v>
      </c>
      <c r="AY75" s="87">
        <v>1</v>
      </c>
      <c r="AZ75" s="86">
        <v>65.2</v>
      </c>
      <c r="BA75" s="86">
        <v>0</v>
      </c>
      <c r="BB75" s="87"/>
      <c r="BC75" s="86">
        <v>0</v>
      </c>
      <c r="BD75" s="86">
        <v>0</v>
      </c>
      <c r="BE75" s="86">
        <v>6520</v>
      </c>
      <c r="BF75" s="87">
        <v>0.25600000000000001</v>
      </c>
      <c r="BG75" s="86">
        <v>16.7</v>
      </c>
      <c r="BH75" s="86">
        <v>0</v>
      </c>
      <c r="BI75" s="87"/>
      <c r="BJ75" s="86">
        <v>0</v>
      </c>
      <c r="BK75" s="86">
        <v>0</v>
      </c>
      <c r="BL75" s="88"/>
      <c r="BM75" s="88"/>
      <c r="BN75" s="88">
        <v>0</v>
      </c>
      <c r="BO75" s="88">
        <v>0</v>
      </c>
      <c r="BP75" s="88"/>
      <c r="BQ75" s="88">
        <v>0</v>
      </c>
      <c r="BR75" s="88">
        <v>0</v>
      </c>
      <c r="BS75" s="13">
        <f t="shared" si="8"/>
        <v>684.6</v>
      </c>
      <c r="BT75" s="13">
        <f t="shared" si="12"/>
        <v>1777.1</v>
      </c>
      <c r="BU75" s="13">
        <f t="shared" si="9"/>
        <v>181</v>
      </c>
      <c r="BV75" s="13">
        <f t="shared" si="10"/>
        <v>181</v>
      </c>
      <c r="BW75" s="14">
        <v>0</v>
      </c>
      <c r="BX75" s="14">
        <f t="shared" si="13"/>
        <v>0</v>
      </c>
      <c r="BY75" s="14">
        <v>0</v>
      </c>
      <c r="BZ75" s="14">
        <v>0</v>
      </c>
      <c r="CA75" s="14">
        <f t="shared" si="7"/>
        <v>865.6</v>
      </c>
      <c r="CB75" s="14">
        <f t="shared" si="7"/>
        <v>1958.1</v>
      </c>
      <c r="CC75" s="14">
        <f t="shared" si="11"/>
        <v>2823.7</v>
      </c>
      <c r="CD75" s="12">
        <v>21</v>
      </c>
    </row>
    <row r="76" spans="1:82" s="38" customFormat="1" ht="24.9" customHeight="1">
      <c r="A76" s="6" t="s">
        <v>439</v>
      </c>
      <c r="B76" s="7" t="s">
        <v>417</v>
      </c>
      <c r="C76" s="51" t="s">
        <v>420</v>
      </c>
      <c r="D76" s="52" t="s">
        <v>421</v>
      </c>
      <c r="E76" s="86"/>
      <c r="F76" s="87"/>
      <c r="G76" s="86"/>
      <c r="H76" s="86"/>
      <c r="I76" s="87"/>
      <c r="J76" s="86"/>
      <c r="K76" s="86"/>
      <c r="L76" s="86"/>
      <c r="M76" s="87"/>
      <c r="N76" s="86"/>
      <c r="O76" s="86"/>
      <c r="P76" s="86"/>
      <c r="Q76" s="87"/>
      <c r="R76" s="86"/>
      <c r="S76" s="86"/>
      <c r="T76" s="86"/>
      <c r="U76" s="86"/>
      <c r="V76" s="87"/>
      <c r="W76" s="86"/>
      <c r="X76" s="86"/>
      <c r="Y76" s="87"/>
      <c r="Z76" s="86"/>
      <c r="AA76" s="86"/>
      <c r="AB76" s="86"/>
      <c r="AC76" s="87"/>
      <c r="AD76" s="86"/>
      <c r="AE76" s="86"/>
      <c r="AF76" s="87"/>
      <c r="AG76" s="86"/>
      <c r="AH76" s="86"/>
      <c r="AI76" s="88"/>
      <c r="AJ76" s="88"/>
      <c r="AK76" s="88"/>
      <c r="AL76" s="88"/>
      <c r="AM76" s="88"/>
      <c r="AN76" s="88"/>
      <c r="AO76" s="88"/>
      <c r="AP76" s="88"/>
      <c r="AQ76" s="88"/>
      <c r="AR76" s="88"/>
      <c r="AS76" s="88"/>
      <c r="AT76" s="88"/>
      <c r="AU76" s="88"/>
      <c r="AV76" s="88"/>
      <c r="AW76" s="88"/>
      <c r="AX76" s="86"/>
      <c r="AY76" s="87"/>
      <c r="AZ76" s="86"/>
      <c r="BA76" s="86"/>
      <c r="BB76" s="87"/>
      <c r="BC76" s="86"/>
      <c r="BD76" s="86"/>
      <c r="BE76" s="86"/>
      <c r="BF76" s="87"/>
      <c r="BG76" s="86"/>
      <c r="BH76" s="86"/>
      <c r="BI76" s="87"/>
      <c r="BJ76" s="86"/>
      <c r="BK76" s="86"/>
      <c r="BL76" s="88"/>
      <c r="BM76" s="88"/>
      <c r="BN76" s="88"/>
      <c r="BO76" s="88"/>
      <c r="BP76" s="88"/>
      <c r="BQ76" s="88"/>
      <c r="BR76" s="88"/>
      <c r="BS76" s="13">
        <f t="shared" si="8"/>
        <v>0</v>
      </c>
      <c r="BT76" s="13">
        <f t="shared" si="12"/>
        <v>0</v>
      </c>
      <c r="BU76" s="13">
        <f t="shared" si="9"/>
        <v>0</v>
      </c>
      <c r="BV76" s="13">
        <f t="shared" si="10"/>
        <v>0</v>
      </c>
      <c r="BW76" s="14">
        <v>0</v>
      </c>
      <c r="BX76" s="14">
        <f t="shared" si="13"/>
        <v>0</v>
      </c>
      <c r="BY76" s="14">
        <v>0</v>
      </c>
      <c r="BZ76" s="14">
        <v>0</v>
      </c>
      <c r="CA76" s="14">
        <f t="shared" si="7"/>
        <v>0</v>
      </c>
      <c r="CB76" s="14">
        <f t="shared" si="7"/>
        <v>0</v>
      </c>
      <c r="CC76" s="14">
        <f t="shared" si="11"/>
        <v>0</v>
      </c>
      <c r="CD76" s="12">
        <v>21</v>
      </c>
    </row>
    <row r="77" spans="1:82" s="38" customFormat="1" ht="24.9" customHeight="1">
      <c r="A77" s="6" t="s">
        <v>439</v>
      </c>
      <c r="B77" s="7" t="s">
        <v>417</v>
      </c>
      <c r="C77" s="51" t="s">
        <v>422</v>
      </c>
      <c r="D77" s="52" t="s">
        <v>423</v>
      </c>
      <c r="E77" s="86">
        <v>6520</v>
      </c>
      <c r="F77" s="87">
        <v>16</v>
      </c>
      <c r="G77" s="86">
        <v>1043.2</v>
      </c>
      <c r="H77" s="86">
        <v>0</v>
      </c>
      <c r="I77" s="87">
        <v>8</v>
      </c>
      <c r="J77" s="86">
        <v>521.6</v>
      </c>
      <c r="K77" s="86">
        <v>0</v>
      </c>
      <c r="L77" s="86">
        <v>6520</v>
      </c>
      <c r="M77" s="87">
        <v>9.5</v>
      </c>
      <c r="N77" s="86"/>
      <c r="O77" s="86">
        <v>619.4</v>
      </c>
      <c r="P77" s="86">
        <v>0</v>
      </c>
      <c r="Q77" s="87">
        <v>2</v>
      </c>
      <c r="R77" s="86"/>
      <c r="S77" s="86">
        <v>130.4</v>
      </c>
      <c r="T77" s="86">
        <v>0</v>
      </c>
      <c r="U77" s="86">
        <v>6520</v>
      </c>
      <c r="V77" s="87">
        <v>0.5</v>
      </c>
      <c r="W77" s="86">
        <v>32.6</v>
      </c>
      <c r="X77" s="86">
        <v>0</v>
      </c>
      <c r="Y77" s="87">
        <v>0.5</v>
      </c>
      <c r="Z77" s="86">
        <v>32.6</v>
      </c>
      <c r="AA77" s="86">
        <v>0</v>
      </c>
      <c r="AB77" s="86">
        <v>2590</v>
      </c>
      <c r="AC77" s="87">
        <v>7</v>
      </c>
      <c r="AD77" s="86">
        <v>181</v>
      </c>
      <c r="AE77" s="86">
        <v>0</v>
      </c>
      <c r="AF77" s="87">
        <v>7</v>
      </c>
      <c r="AG77" s="86">
        <v>181</v>
      </c>
      <c r="AH77" s="86">
        <v>0</v>
      </c>
      <c r="AI77" s="88">
        <v>0</v>
      </c>
      <c r="AJ77" s="88">
        <v>0</v>
      </c>
      <c r="AK77" s="88">
        <v>0</v>
      </c>
      <c r="AL77" s="88">
        <v>0</v>
      </c>
      <c r="AM77" s="88">
        <v>0</v>
      </c>
      <c r="AN77" s="88">
        <v>0</v>
      </c>
      <c r="AO77" s="88">
        <v>0</v>
      </c>
      <c r="AP77" s="88">
        <v>0</v>
      </c>
      <c r="AQ77" s="88">
        <v>0</v>
      </c>
      <c r="AR77" s="88">
        <v>0</v>
      </c>
      <c r="AS77" s="88">
        <v>0</v>
      </c>
      <c r="AT77" s="88">
        <v>0</v>
      </c>
      <c r="AU77" s="88">
        <v>0</v>
      </c>
      <c r="AV77" s="88">
        <v>0</v>
      </c>
      <c r="AW77" s="88"/>
      <c r="AX77" s="86">
        <v>6520</v>
      </c>
      <c r="AY77" s="87">
        <v>1</v>
      </c>
      <c r="AZ77" s="86">
        <v>65.2</v>
      </c>
      <c r="BA77" s="86">
        <v>0</v>
      </c>
      <c r="BB77" s="87"/>
      <c r="BC77" s="86">
        <v>0</v>
      </c>
      <c r="BD77" s="86">
        <v>0</v>
      </c>
      <c r="BE77" s="86">
        <v>6520</v>
      </c>
      <c r="BF77" s="87">
        <v>0.25600000000000001</v>
      </c>
      <c r="BG77" s="86">
        <v>16.7</v>
      </c>
      <c r="BH77" s="86">
        <v>0</v>
      </c>
      <c r="BI77" s="87"/>
      <c r="BJ77" s="86">
        <v>0</v>
      </c>
      <c r="BK77" s="86">
        <v>0</v>
      </c>
      <c r="BL77" s="88"/>
      <c r="BM77" s="88"/>
      <c r="BN77" s="88">
        <v>0</v>
      </c>
      <c r="BO77" s="88">
        <v>0</v>
      </c>
      <c r="BP77" s="88"/>
      <c r="BQ77" s="88">
        <v>0</v>
      </c>
      <c r="BR77" s="88">
        <v>0</v>
      </c>
      <c r="BS77" s="13">
        <f t="shared" si="8"/>
        <v>684.6</v>
      </c>
      <c r="BT77" s="13">
        <f t="shared" si="12"/>
        <v>1777.1</v>
      </c>
      <c r="BU77" s="13">
        <f t="shared" si="9"/>
        <v>181</v>
      </c>
      <c r="BV77" s="13">
        <f t="shared" si="10"/>
        <v>181</v>
      </c>
      <c r="BW77" s="14">
        <v>0</v>
      </c>
      <c r="BX77" s="14">
        <f t="shared" si="13"/>
        <v>0</v>
      </c>
      <c r="BY77" s="14">
        <v>0</v>
      </c>
      <c r="BZ77" s="14">
        <v>0</v>
      </c>
      <c r="CA77" s="14">
        <f t="shared" si="7"/>
        <v>865.6</v>
      </c>
      <c r="CB77" s="14">
        <f t="shared" si="7"/>
        <v>1958.1</v>
      </c>
      <c r="CC77" s="14">
        <f t="shared" si="11"/>
        <v>2823.7</v>
      </c>
      <c r="CD77" s="12">
        <v>21</v>
      </c>
    </row>
    <row r="78" spans="1:82" s="38" customFormat="1" ht="24.9" customHeight="1">
      <c r="A78" s="6" t="s">
        <v>439</v>
      </c>
      <c r="B78" s="7" t="s">
        <v>417</v>
      </c>
      <c r="C78" s="51" t="s">
        <v>425</v>
      </c>
      <c r="D78" s="52" t="s">
        <v>426</v>
      </c>
      <c r="E78" s="86">
        <v>6520</v>
      </c>
      <c r="F78" s="87">
        <v>16</v>
      </c>
      <c r="G78" s="86">
        <v>1043.2</v>
      </c>
      <c r="H78" s="86">
        <v>0</v>
      </c>
      <c r="I78" s="87">
        <v>8</v>
      </c>
      <c r="J78" s="86">
        <v>521.6</v>
      </c>
      <c r="K78" s="86">
        <v>0</v>
      </c>
      <c r="L78" s="86">
        <v>6520</v>
      </c>
      <c r="M78" s="87">
        <v>9.5</v>
      </c>
      <c r="N78" s="86"/>
      <c r="O78" s="86">
        <v>619.4</v>
      </c>
      <c r="P78" s="86">
        <v>0</v>
      </c>
      <c r="Q78" s="87">
        <v>2</v>
      </c>
      <c r="R78" s="86"/>
      <c r="S78" s="86">
        <v>130.4</v>
      </c>
      <c r="T78" s="86">
        <v>0</v>
      </c>
      <c r="U78" s="86">
        <v>6520</v>
      </c>
      <c r="V78" s="87">
        <v>0.5</v>
      </c>
      <c r="W78" s="86">
        <v>32.6</v>
      </c>
      <c r="X78" s="86">
        <v>0</v>
      </c>
      <c r="Y78" s="87">
        <v>0.5</v>
      </c>
      <c r="Z78" s="86">
        <v>32.6</v>
      </c>
      <c r="AA78" s="86">
        <v>0</v>
      </c>
      <c r="AB78" s="86">
        <v>2590</v>
      </c>
      <c r="AC78" s="87">
        <v>7</v>
      </c>
      <c r="AD78" s="86">
        <v>181</v>
      </c>
      <c r="AE78" s="86">
        <v>0</v>
      </c>
      <c r="AF78" s="87">
        <v>7</v>
      </c>
      <c r="AG78" s="86">
        <v>181</v>
      </c>
      <c r="AH78" s="86">
        <v>0</v>
      </c>
      <c r="AI78" s="88">
        <v>0</v>
      </c>
      <c r="AJ78" s="88">
        <v>0</v>
      </c>
      <c r="AK78" s="88">
        <v>0</v>
      </c>
      <c r="AL78" s="88">
        <v>0</v>
      </c>
      <c r="AM78" s="88">
        <v>0</v>
      </c>
      <c r="AN78" s="88">
        <v>0</v>
      </c>
      <c r="AO78" s="88">
        <v>0</v>
      </c>
      <c r="AP78" s="88">
        <v>0</v>
      </c>
      <c r="AQ78" s="88">
        <v>0</v>
      </c>
      <c r="AR78" s="88">
        <v>0</v>
      </c>
      <c r="AS78" s="88">
        <v>0</v>
      </c>
      <c r="AT78" s="88">
        <v>0</v>
      </c>
      <c r="AU78" s="88">
        <v>0</v>
      </c>
      <c r="AV78" s="88">
        <v>0</v>
      </c>
      <c r="AW78" s="88"/>
      <c r="AX78" s="86">
        <v>6520</v>
      </c>
      <c r="AY78" s="87">
        <v>1</v>
      </c>
      <c r="AZ78" s="86">
        <v>65.2</v>
      </c>
      <c r="BA78" s="86">
        <v>0</v>
      </c>
      <c r="BB78" s="87"/>
      <c r="BC78" s="86">
        <v>0</v>
      </c>
      <c r="BD78" s="86">
        <v>0</v>
      </c>
      <c r="BE78" s="86">
        <v>6520</v>
      </c>
      <c r="BF78" s="87">
        <v>0.25600000000000001</v>
      </c>
      <c r="BG78" s="86">
        <v>16.7</v>
      </c>
      <c r="BH78" s="86">
        <v>0</v>
      </c>
      <c r="BI78" s="87"/>
      <c r="BJ78" s="86">
        <v>0</v>
      </c>
      <c r="BK78" s="86">
        <v>0</v>
      </c>
      <c r="BL78" s="88"/>
      <c r="BM78" s="88"/>
      <c r="BN78" s="88">
        <v>0</v>
      </c>
      <c r="BO78" s="88">
        <v>0</v>
      </c>
      <c r="BP78" s="88"/>
      <c r="BQ78" s="88">
        <v>0</v>
      </c>
      <c r="BR78" s="88">
        <v>0</v>
      </c>
      <c r="BS78" s="13">
        <f t="shared" si="8"/>
        <v>684.6</v>
      </c>
      <c r="BT78" s="13">
        <f t="shared" si="12"/>
        <v>1777.1</v>
      </c>
      <c r="BU78" s="13">
        <f t="shared" si="9"/>
        <v>181</v>
      </c>
      <c r="BV78" s="13">
        <f t="shared" si="10"/>
        <v>181</v>
      </c>
      <c r="BW78" s="14">
        <v>0</v>
      </c>
      <c r="BX78" s="14">
        <f t="shared" si="13"/>
        <v>0</v>
      </c>
      <c r="BY78" s="14">
        <v>0</v>
      </c>
      <c r="BZ78" s="14">
        <v>0</v>
      </c>
      <c r="CA78" s="14">
        <f t="shared" si="7"/>
        <v>865.6</v>
      </c>
      <c r="CB78" s="14">
        <f t="shared" si="7"/>
        <v>1958.1</v>
      </c>
      <c r="CC78" s="14">
        <f t="shared" si="11"/>
        <v>2823.7</v>
      </c>
      <c r="CD78" s="12">
        <v>21</v>
      </c>
    </row>
    <row r="79" spans="1:82" s="38" customFormat="1" ht="24.9" customHeight="1">
      <c r="A79" s="6" t="s">
        <v>439</v>
      </c>
      <c r="B79" s="7" t="s">
        <v>417</v>
      </c>
      <c r="C79" s="51" t="s">
        <v>430</v>
      </c>
      <c r="D79" s="52" t="s">
        <v>431</v>
      </c>
      <c r="E79" s="86">
        <v>6520</v>
      </c>
      <c r="F79" s="87">
        <v>16</v>
      </c>
      <c r="G79" s="86">
        <v>1043.2</v>
      </c>
      <c r="H79" s="86">
        <v>0</v>
      </c>
      <c r="I79" s="87">
        <v>8</v>
      </c>
      <c r="J79" s="86">
        <v>521.6</v>
      </c>
      <c r="K79" s="86">
        <v>0</v>
      </c>
      <c r="L79" s="86">
        <v>6520</v>
      </c>
      <c r="M79" s="87">
        <v>9.5</v>
      </c>
      <c r="N79" s="86"/>
      <c r="O79" s="86">
        <v>619.4</v>
      </c>
      <c r="P79" s="86">
        <v>0</v>
      </c>
      <c r="Q79" s="87">
        <v>2</v>
      </c>
      <c r="R79" s="86"/>
      <c r="S79" s="86">
        <v>130.4</v>
      </c>
      <c r="T79" s="86">
        <v>0</v>
      </c>
      <c r="U79" s="86">
        <v>6520</v>
      </c>
      <c r="V79" s="87">
        <v>0.5</v>
      </c>
      <c r="W79" s="86">
        <v>32.6</v>
      </c>
      <c r="X79" s="86">
        <v>0</v>
      </c>
      <c r="Y79" s="87">
        <v>0.5</v>
      </c>
      <c r="Z79" s="86">
        <v>32.6</v>
      </c>
      <c r="AA79" s="86">
        <v>0</v>
      </c>
      <c r="AB79" s="86">
        <v>2590</v>
      </c>
      <c r="AC79" s="87">
        <v>7</v>
      </c>
      <c r="AD79" s="86">
        <v>181</v>
      </c>
      <c r="AE79" s="86">
        <v>0</v>
      </c>
      <c r="AF79" s="87">
        <v>7</v>
      </c>
      <c r="AG79" s="86">
        <v>181</v>
      </c>
      <c r="AH79" s="86">
        <v>0</v>
      </c>
      <c r="AI79" s="88">
        <v>0</v>
      </c>
      <c r="AJ79" s="88">
        <v>0</v>
      </c>
      <c r="AK79" s="88">
        <v>0</v>
      </c>
      <c r="AL79" s="88">
        <v>0</v>
      </c>
      <c r="AM79" s="88">
        <v>0</v>
      </c>
      <c r="AN79" s="88">
        <v>0</v>
      </c>
      <c r="AO79" s="88">
        <v>0</v>
      </c>
      <c r="AP79" s="88">
        <v>0</v>
      </c>
      <c r="AQ79" s="88">
        <v>0</v>
      </c>
      <c r="AR79" s="88">
        <v>0</v>
      </c>
      <c r="AS79" s="88">
        <v>0</v>
      </c>
      <c r="AT79" s="88">
        <v>0</v>
      </c>
      <c r="AU79" s="88">
        <v>0</v>
      </c>
      <c r="AV79" s="88">
        <v>0</v>
      </c>
      <c r="AW79" s="88"/>
      <c r="AX79" s="86">
        <v>6520</v>
      </c>
      <c r="AY79" s="87">
        <v>1</v>
      </c>
      <c r="AZ79" s="86">
        <v>65.2</v>
      </c>
      <c r="BA79" s="86">
        <v>0</v>
      </c>
      <c r="BB79" s="87"/>
      <c r="BC79" s="86">
        <v>0</v>
      </c>
      <c r="BD79" s="86">
        <v>0</v>
      </c>
      <c r="BE79" s="86">
        <v>6520</v>
      </c>
      <c r="BF79" s="87">
        <v>0.25600000000000001</v>
      </c>
      <c r="BG79" s="86">
        <v>16.7</v>
      </c>
      <c r="BH79" s="86">
        <v>0</v>
      </c>
      <c r="BI79" s="87"/>
      <c r="BJ79" s="86">
        <v>0</v>
      </c>
      <c r="BK79" s="86">
        <v>0</v>
      </c>
      <c r="BL79" s="88"/>
      <c r="BM79" s="88"/>
      <c r="BN79" s="88">
        <v>0</v>
      </c>
      <c r="BO79" s="88">
        <v>0</v>
      </c>
      <c r="BP79" s="88"/>
      <c r="BQ79" s="88">
        <v>0</v>
      </c>
      <c r="BR79" s="88">
        <v>0</v>
      </c>
      <c r="BS79" s="13">
        <f t="shared" si="8"/>
        <v>684.6</v>
      </c>
      <c r="BT79" s="13">
        <f t="shared" si="12"/>
        <v>1777.1</v>
      </c>
      <c r="BU79" s="13">
        <f t="shared" si="9"/>
        <v>181</v>
      </c>
      <c r="BV79" s="13">
        <f t="shared" si="10"/>
        <v>181</v>
      </c>
      <c r="BW79" s="14">
        <v>0</v>
      </c>
      <c r="BX79" s="14">
        <f t="shared" si="13"/>
        <v>0</v>
      </c>
      <c r="BY79" s="14">
        <v>0</v>
      </c>
      <c r="BZ79" s="14">
        <v>0</v>
      </c>
      <c r="CA79" s="14">
        <f t="shared" si="7"/>
        <v>865.6</v>
      </c>
      <c r="CB79" s="14">
        <f t="shared" si="7"/>
        <v>1958.1</v>
      </c>
      <c r="CC79" s="14">
        <f t="shared" si="11"/>
        <v>2823.7</v>
      </c>
      <c r="CD79" s="12">
        <v>0</v>
      </c>
    </row>
    <row r="80" spans="1:82" s="38" customFormat="1" ht="24.9" customHeight="1">
      <c r="A80" s="6" t="s">
        <v>439</v>
      </c>
      <c r="B80" s="7" t="s">
        <v>417</v>
      </c>
      <c r="C80" s="51" t="s">
        <v>430</v>
      </c>
      <c r="D80" s="52" t="s">
        <v>431</v>
      </c>
      <c r="E80" s="89">
        <v>5975</v>
      </c>
      <c r="F80" s="90">
        <v>16</v>
      </c>
      <c r="G80" s="89">
        <v>956</v>
      </c>
      <c r="H80" s="89">
        <v>0</v>
      </c>
      <c r="I80" s="90">
        <v>8</v>
      </c>
      <c r="J80" s="89">
        <v>478</v>
      </c>
      <c r="K80" s="89">
        <v>0</v>
      </c>
      <c r="L80" s="89">
        <v>5975</v>
      </c>
      <c r="M80" s="90">
        <v>9.5</v>
      </c>
      <c r="N80" s="89"/>
      <c r="O80" s="89">
        <v>567.63</v>
      </c>
      <c r="P80" s="89">
        <v>0</v>
      </c>
      <c r="Q80" s="90">
        <v>2</v>
      </c>
      <c r="R80" s="89"/>
      <c r="S80" s="89">
        <v>119.5</v>
      </c>
      <c r="T80" s="89">
        <v>0</v>
      </c>
      <c r="U80" s="89">
        <v>5975</v>
      </c>
      <c r="V80" s="90">
        <v>0.5</v>
      </c>
      <c r="W80" s="89">
        <v>29.87</v>
      </c>
      <c r="X80" s="89">
        <v>0</v>
      </c>
      <c r="Y80" s="90">
        <v>0.5</v>
      </c>
      <c r="Z80" s="89">
        <v>29.88</v>
      </c>
      <c r="AA80" s="89">
        <v>0</v>
      </c>
      <c r="AB80" s="89">
        <v>2590</v>
      </c>
      <c r="AC80" s="90">
        <v>7</v>
      </c>
      <c r="AD80" s="89">
        <v>181</v>
      </c>
      <c r="AE80" s="89">
        <v>0</v>
      </c>
      <c r="AF80" s="90">
        <v>7</v>
      </c>
      <c r="AG80" s="89">
        <v>181</v>
      </c>
      <c r="AH80" s="89">
        <v>0</v>
      </c>
      <c r="AI80" s="89">
        <v>0</v>
      </c>
      <c r="AJ80" s="89">
        <v>0</v>
      </c>
      <c r="AK80" s="89">
        <v>0</v>
      </c>
      <c r="AL80" s="89">
        <v>0</v>
      </c>
      <c r="AM80" s="89">
        <v>0</v>
      </c>
      <c r="AN80" s="89">
        <v>0</v>
      </c>
      <c r="AO80" s="89">
        <v>0</v>
      </c>
      <c r="AP80" s="89">
        <v>0</v>
      </c>
      <c r="AQ80" s="89">
        <v>0</v>
      </c>
      <c r="AR80" s="89">
        <v>0</v>
      </c>
      <c r="AS80" s="89">
        <v>0</v>
      </c>
      <c r="AT80" s="89">
        <v>0</v>
      </c>
      <c r="AU80" s="89">
        <v>0</v>
      </c>
      <c r="AV80" s="89">
        <v>0</v>
      </c>
      <c r="AW80" s="89"/>
      <c r="AX80" s="89">
        <v>5975</v>
      </c>
      <c r="AY80" s="90">
        <v>1</v>
      </c>
      <c r="AZ80" s="89">
        <v>59.75</v>
      </c>
      <c r="BA80" s="89">
        <v>0</v>
      </c>
      <c r="BB80" s="90"/>
      <c r="BC80" s="89">
        <v>0</v>
      </c>
      <c r="BD80" s="89">
        <v>0</v>
      </c>
      <c r="BE80" s="89">
        <v>5975</v>
      </c>
      <c r="BF80" s="90">
        <v>0.25600000000000001</v>
      </c>
      <c r="BG80" s="89">
        <v>15.3</v>
      </c>
      <c r="BH80" s="89">
        <v>0</v>
      </c>
      <c r="BI80" s="90"/>
      <c r="BJ80" s="89">
        <v>0</v>
      </c>
      <c r="BK80" s="89">
        <v>0</v>
      </c>
      <c r="BL80" s="89"/>
      <c r="BM80" s="90"/>
      <c r="BN80" s="89">
        <v>0</v>
      </c>
      <c r="BO80" s="89">
        <v>0</v>
      </c>
      <c r="BP80" s="90"/>
      <c r="BQ80" s="89">
        <v>0</v>
      </c>
      <c r="BR80" s="89">
        <v>0</v>
      </c>
      <c r="BS80" s="13">
        <f t="shared" si="8"/>
        <v>627.38</v>
      </c>
      <c r="BT80" s="13">
        <f t="shared" si="12"/>
        <v>1628.55</v>
      </c>
      <c r="BU80" s="13">
        <f t="shared" si="9"/>
        <v>181</v>
      </c>
      <c r="BV80" s="13">
        <f t="shared" si="10"/>
        <v>181</v>
      </c>
      <c r="BW80" s="14">
        <v>0</v>
      </c>
      <c r="BX80" s="14">
        <f t="shared" si="13"/>
        <v>0</v>
      </c>
      <c r="BY80" s="14">
        <v>0</v>
      </c>
      <c r="BZ80" s="14">
        <v>0</v>
      </c>
      <c r="CA80" s="14">
        <f t="shared" si="7"/>
        <v>808.38</v>
      </c>
      <c r="CB80" s="14">
        <f t="shared" si="7"/>
        <v>1809.55</v>
      </c>
      <c r="CC80" s="14">
        <f t="shared" si="11"/>
        <v>2617.9299999999998</v>
      </c>
      <c r="CD80" s="12">
        <v>21</v>
      </c>
    </row>
    <row r="81" spans="1:87" ht="24.9" customHeight="1">
      <c r="A81" s="6" t="s">
        <v>439</v>
      </c>
      <c r="B81" s="7" t="s">
        <v>365</v>
      </c>
      <c r="C81" s="37" t="s">
        <v>177</v>
      </c>
      <c r="D81" s="37" t="s">
        <v>178</v>
      </c>
      <c r="E81" s="12">
        <v>3957</v>
      </c>
      <c r="F81" s="12">
        <v>16</v>
      </c>
      <c r="G81" s="12">
        <v>633.12</v>
      </c>
      <c r="H81" s="12">
        <v>0</v>
      </c>
      <c r="I81" s="12">
        <v>8</v>
      </c>
      <c r="J81" s="12">
        <v>316.56</v>
      </c>
      <c r="K81" s="12">
        <v>0</v>
      </c>
      <c r="L81" s="12">
        <v>3957</v>
      </c>
      <c r="M81" s="12">
        <v>8.5</v>
      </c>
      <c r="N81" s="12">
        <v>0</v>
      </c>
      <c r="O81" s="12">
        <v>336.3</v>
      </c>
      <c r="P81" s="12">
        <v>0</v>
      </c>
      <c r="Q81" s="12">
        <v>2</v>
      </c>
      <c r="R81" s="12">
        <v>0</v>
      </c>
      <c r="S81" s="12">
        <v>79.099999999999994</v>
      </c>
      <c r="T81" s="12">
        <v>0</v>
      </c>
      <c r="U81" s="12">
        <v>3957</v>
      </c>
      <c r="V81" s="12">
        <v>0.5</v>
      </c>
      <c r="W81" s="12">
        <v>19.79</v>
      </c>
      <c r="X81" s="12">
        <v>0</v>
      </c>
      <c r="Y81" s="12">
        <v>0.5</v>
      </c>
      <c r="Z81" s="12">
        <v>19.79</v>
      </c>
      <c r="AA81" s="12">
        <v>0</v>
      </c>
      <c r="AB81" s="12">
        <v>2010</v>
      </c>
      <c r="AC81" s="12">
        <v>8</v>
      </c>
      <c r="AD81" s="12">
        <v>161</v>
      </c>
      <c r="AE81" s="12">
        <v>0</v>
      </c>
      <c r="AF81" s="12">
        <v>8</v>
      </c>
      <c r="AG81" s="12">
        <v>161</v>
      </c>
      <c r="AH81" s="12">
        <v>0</v>
      </c>
      <c r="AI81" s="12">
        <v>0</v>
      </c>
      <c r="AJ81" s="12">
        <v>0</v>
      </c>
      <c r="AK81" s="12">
        <v>0</v>
      </c>
      <c r="AL81" s="12">
        <v>0</v>
      </c>
      <c r="AM81" s="12">
        <v>0</v>
      </c>
      <c r="AN81" s="12">
        <v>0</v>
      </c>
      <c r="AO81" s="12">
        <v>0</v>
      </c>
      <c r="AP81" s="12">
        <v>0</v>
      </c>
      <c r="AQ81" s="12">
        <v>0</v>
      </c>
      <c r="AR81" s="12">
        <v>0</v>
      </c>
      <c r="AS81" s="12">
        <v>0</v>
      </c>
      <c r="AT81" s="12">
        <v>0</v>
      </c>
      <c r="AU81" s="12">
        <v>0</v>
      </c>
      <c r="AV81" s="12">
        <v>0</v>
      </c>
      <c r="AW81" s="12"/>
      <c r="AX81" s="12"/>
      <c r="AY81" s="12"/>
      <c r="AZ81" s="12">
        <v>0</v>
      </c>
      <c r="BA81" s="12">
        <v>0</v>
      </c>
      <c r="BB81" s="12"/>
      <c r="BC81" s="12">
        <v>0</v>
      </c>
      <c r="BD81" s="12">
        <v>0</v>
      </c>
      <c r="BE81" s="12">
        <v>3957</v>
      </c>
      <c r="BF81" s="12">
        <v>0.45</v>
      </c>
      <c r="BG81" s="12">
        <v>17.809999999999999</v>
      </c>
      <c r="BH81" s="12">
        <v>0</v>
      </c>
      <c r="BI81" s="12">
        <v>0</v>
      </c>
      <c r="BJ81" s="12">
        <v>0</v>
      </c>
      <c r="BK81" s="12">
        <v>0</v>
      </c>
      <c r="BL81" s="12"/>
      <c r="BM81" s="12"/>
      <c r="BN81" s="12">
        <v>0</v>
      </c>
      <c r="BO81" s="12">
        <v>0</v>
      </c>
      <c r="BP81" s="12"/>
      <c r="BQ81" s="12">
        <v>0</v>
      </c>
      <c r="BR81" s="12">
        <v>0</v>
      </c>
      <c r="BS81" s="12">
        <v>415.45</v>
      </c>
      <c r="BT81" s="12">
        <v>1007.02</v>
      </c>
      <c r="BU81" s="12">
        <v>161</v>
      </c>
      <c r="BV81" s="12">
        <v>161</v>
      </c>
      <c r="BW81" s="12">
        <v>0</v>
      </c>
      <c r="BX81" s="12">
        <v>0</v>
      </c>
      <c r="BY81" s="12">
        <v>0</v>
      </c>
      <c r="BZ81" s="12">
        <v>0</v>
      </c>
      <c r="CA81" s="12">
        <v>576.45000000000005</v>
      </c>
      <c r="CB81" s="12">
        <v>1168.02</v>
      </c>
      <c r="CC81" s="12">
        <v>1744.47</v>
      </c>
      <c r="CD81" s="12">
        <v>21</v>
      </c>
      <c r="CF81">
        <v>415.45</v>
      </c>
      <c r="CG81">
        <v>1007.02</v>
      </c>
      <c r="CH81">
        <v>161</v>
      </c>
      <c r="CI81">
        <v>161</v>
      </c>
    </row>
    <row r="82" spans="1:87">
      <c r="A82" s="6" t="s">
        <v>439</v>
      </c>
      <c r="B82" t="s">
        <v>365</v>
      </c>
      <c r="C82" s="5" t="s">
        <v>201</v>
      </c>
      <c r="D82" s="5" t="s">
        <v>338</v>
      </c>
      <c r="E82">
        <v>3957</v>
      </c>
      <c r="F82">
        <v>16</v>
      </c>
      <c r="G82">
        <v>633.12</v>
      </c>
      <c r="H82">
        <v>0</v>
      </c>
      <c r="I82">
        <v>8</v>
      </c>
      <c r="J82">
        <v>316.56</v>
      </c>
      <c r="K82">
        <v>0</v>
      </c>
      <c r="L82">
        <v>3957</v>
      </c>
      <c r="M82">
        <v>8.5</v>
      </c>
      <c r="N82">
        <v>0</v>
      </c>
      <c r="O82">
        <v>336.3</v>
      </c>
      <c r="P82">
        <v>0</v>
      </c>
      <c r="Q82">
        <v>2</v>
      </c>
      <c r="R82">
        <v>0</v>
      </c>
      <c r="S82">
        <v>79.099999999999994</v>
      </c>
      <c r="T82">
        <v>0</v>
      </c>
      <c r="U82">
        <v>3957</v>
      </c>
      <c r="V82">
        <v>0.5</v>
      </c>
      <c r="W82">
        <v>19.79</v>
      </c>
      <c r="X82">
        <v>0</v>
      </c>
      <c r="Y82">
        <v>0.5</v>
      </c>
      <c r="Z82">
        <v>19.79</v>
      </c>
      <c r="AA82">
        <v>0</v>
      </c>
      <c r="AB82">
        <v>2010</v>
      </c>
      <c r="AC82">
        <v>8</v>
      </c>
      <c r="AD82">
        <v>161</v>
      </c>
      <c r="AE82">
        <v>0</v>
      </c>
      <c r="AF82">
        <v>8</v>
      </c>
      <c r="AG82">
        <v>161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Z82">
        <v>0</v>
      </c>
      <c r="BA82">
        <v>0</v>
      </c>
      <c r="BC82">
        <v>0</v>
      </c>
      <c r="BD82">
        <v>0</v>
      </c>
      <c r="BE82">
        <v>3957</v>
      </c>
      <c r="BF82">
        <v>0.45</v>
      </c>
      <c r="BG82">
        <v>17.809999999999999</v>
      </c>
      <c r="BH82">
        <v>0</v>
      </c>
      <c r="BI82">
        <v>0</v>
      </c>
      <c r="BJ82">
        <v>0</v>
      </c>
      <c r="BK82">
        <v>0</v>
      </c>
      <c r="BN82">
        <v>0</v>
      </c>
      <c r="BO82">
        <v>0</v>
      </c>
      <c r="BQ82">
        <v>0</v>
      </c>
      <c r="BR82">
        <v>0</v>
      </c>
      <c r="BS82" s="49">
        <v>415.45</v>
      </c>
      <c r="BT82" s="49">
        <v>1007.02</v>
      </c>
      <c r="BU82" s="49">
        <v>161</v>
      </c>
      <c r="BV82">
        <v>161</v>
      </c>
      <c r="BW82">
        <v>0</v>
      </c>
      <c r="BX82">
        <v>0</v>
      </c>
      <c r="BY82">
        <v>0</v>
      </c>
      <c r="BZ82">
        <v>0</v>
      </c>
      <c r="CA82">
        <v>576.45000000000005</v>
      </c>
      <c r="CB82">
        <v>1168.02</v>
      </c>
      <c r="CC82">
        <v>1744.47</v>
      </c>
      <c r="CD82">
        <v>21</v>
      </c>
      <c r="CF82">
        <v>415.45</v>
      </c>
      <c r="CG82">
        <v>1007.02</v>
      </c>
      <c r="CH82">
        <v>161</v>
      </c>
      <c r="CI82">
        <v>161</v>
      </c>
    </row>
    <row r="83" spans="1:87">
      <c r="A83" s="6" t="s">
        <v>439</v>
      </c>
      <c r="B83" t="s">
        <v>365</v>
      </c>
      <c r="C83" s="5" t="s">
        <v>402</v>
      </c>
      <c r="D83" s="5" t="s">
        <v>403</v>
      </c>
      <c r="E83">
        <v>3957</v>
      </c>
      <c r="F83">
        <v>15</v>
      </c>
      <c r="G83">
        <v>593.54999999999995</v>
      </c>
      <c r="H83">
        <v>39.57</v>
      </c>
      <c r="I83">
        <v>8</v>
      </c>
      <c r="J83">
        <v>316.56</v>
      </c>
      <c r="K83">
        <v>0</v>
      </c>
      <c r="L83">
        <v>5930</v>
      </c>
      <c r="M83">
        <v>6</v>
      </c>
      <c r="N83">
        <v>0</v>
      </c>
      <c r="O83">
        <v>355.8</v>
      </c>
      <c r="P83">
        <v>0</v>
      </c>
      <c r="Q83">
        <v>0</v>
      </c>
      <c r="R83">
        <v>0</v>
      </c>
      <c r="S83">
        <v>0</v>
      </c>
      <c r="T83">
        <v>0</v>
      </c>
      <c r="U83">
        <v>3957</v>
      </c>
      <c r="V83">
        <v>0.5</v>
      </c>
      <c r="W83">
        <v>19.79</v>
      </c>
      <c r="X83">
        <v>0</v>
      </c>
      <c r="Y83">
        <v>0.5</v>
      </c>
      <c r="Z83">
        <v>19.79</v>
      </c>
      <c r="AA83">
        <v>0</v>
      </c>
      <c r="AB83">
        <v>3957</v>
      </c>
      <c r="AC83">
        <v>8</v>
      </c>
      <c r="AD83">
        <v>317</v>
      </c>
      <c r="AE83">
        <v>0</v>
      </c>
      <c r="AF83">
        <v>8</v>
      </c>
      <c r="AG83">
        <v>317</v>
      </c>
      <c r="AH83">
        <v>0</v>
      </c>
      <c r="AI83">
        <v>0</v>
      </c>
      <c r="AJ83">
        <v>0</v>
      </c>
      <c r="AK83">
        <v>5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Z83">
        <v>0</v>
      </c>
      <c r="BA83">
        <v>0</v>
      </c>
      <c r="BC83">
        <v>0</v>
      </c>
      <c r="BD83">
        <v>0</v>
      </c>
      <c r="BE83">
        <v>3957</v>
      </c>
      <c r="BF83">
        <v>0.2</v>
      </c>
      <c r="BG83">
        <v>7.91</v>
      </c>
      <c r="BH83">
        <v>0</v>
      </c>
      <c r="BI83">
        <v>0</v>
      </c>
      <c r="BJ83">
        <v>0</v>
      </c>
      <c r="BK83">
        <v>0</v>
      </c>
      <c r="BN83">
        <v>0</v>
      </c>
      <c r="BO83">
        <v>0</v>
      </c>
      <c r="BQ83">
        <v>0</v>
      </c>
      <c r="BR83">
        <v>0</v>
      </c>
      <c r="BS83" s="49">
        <v>341.35</v>
      </c>
      <c r="BT83" s="49">
        <v>977.05</v>
      </c>
      <c r="BU83" s="49">
        <v>317</v>
      </c>
      <c r="BV83">
        <v>317</v>
      </c>
      <c r="BW83">
        <v>0</v>
      </c>
      <c r="BX83">
        <v>39.57</v>
      </c>
      <c r="BY83">
        <v>0</v>
      </c>
      <c r="BZ83">
        <v>0</v>
      </c>
      <c r="CA83">
        <v>658.35</v>
      </c>
      <c r="CB83">
        <v>1333.62</v>
      </c>
      <c r="CC83">
        <v>1991.9699999999998</v>
      </c>
      <c r="CD83">
        <v>21</v>
      </c>
      <c r="CF83">
        <v>341.35</v>
      </c>
      <c r="CG83">
        <v>1016.62</v>
      </c>
      <c r="CH83">
        <v>317</v>
      </c>
      <c r="CI83">
        <v>317</v>
      </c>
    </row>
    <row r="84" spans="1:87">
      <c r="A84" s="6" t="s">
        <v>439</v>
      </c>
      <c r="B84" t="s">
        <v>365</v>
      </c>
      <c r="C84" s="5" t="s">
        <v>202</v>
      </c>
      <c r="D84" s="5" t="s">
        <v>339</v>
      </c>
      <c r="E84">
        <v>3957</v>
      </c>
      <c r="F84">
        <v>16</v>
      </c>
      <c r="G84">
        <v>633.12</v>
      </c>
      <c r="H84">
        <v>0</v>
      </c>
      <c r="I84">
        <v>8</v>
      </c>
      <c r="J84">
        <v>316.56</v>
      </c>
      <c r="K84">
        <v>0</v>
      </c>
      <c r="L84">
        <v>3957</v>
      </c>
      <c r="M84">
        <v>8.5</v>
      </c>
      <c r="N84">
        <v>0</v>
      </c>
      <c r="O84">
        <v>336.3</v>
      </c>
      <c r="P84">
        <v>0</v>
      </c>
      <c r="Q84">
        <v>2</v>
      </c>
      <c r="R84">
        <v>0</v>
      </c>
      <c r="S84">
        <v>79.099999999999994</v>
      </c>
      <c r="T84">
        <v>0</v>
      </c>
      <c r="U84">
        <v>3957</v>
      </c>
      <c r="V84">
        <v>0.5</v>
      </c>
      <c r="W84">
        <v>19.79</v>
      </c>
      <c r="X84">
        <v>0</v>
      </c>
      <c r="Y84">
        <v>0.5</v>
      </c>
      <c r="Z84">
        <v>19.79</v>
      </c>
      <c r="AA84">
        <v>0</v>
      </c>
      <c r="AB84">
        <v>2010</v>
      </c>
      <c r="AC84">
        <v>8</v>
      </c>
      <c r="AD84">
        <v>161</v>
      </c>
      <c r="AE84">
        <v>0</v>
      </c>
      <c r="AF84">
        <v>8</v>
      </c>
      <c r="AG84">
        <v>161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Z84">
        <v>0</v>
      </c>
      <c r="BA84">
        <v>0</v>
      </c>
      <c r="BC84">
        <v>0</v>
      </c>
      <c r="BD84">
        <v>0</v>
      </c>
      <c r="BE84">
        <v>3957</v>
      </c>
      <c r="BF84">
        <v>0.45</v>
      </c>
      <c r="BG84">
        <v>17.809999999999999</v>
      </c>
      <c r="BH84">
        <v>0</v>
      </c>
      <c r="BI84">
        <v>0</v>
      </c>
      <c r="BJ84">
        <v>0</v>
      </c>
      <c r="BK84">
        <v>0</v>
      </c>
      <c r="BN84">
        <v>0</v>
      </c>
      <c r="BO84">
        <v>0</v>
      </c>
      <c r="BQ84">
        <v>0</v>
      </c>
      <c r="BR84">
        <v>0</v>
      </c>
      <c r="BS84" s="49">
        <v>415.45</v>
      </c>
      <c r="BT84" s="49">
        <v>1007.02</v>
      </c>
      <c r="BU84" s="49">
        <v>161</v>
      </c>
      <c r="BV84">
        <v>161</v>
      </c>
      <c r="BW84">
        <v>0</v>
      </c>
      <c r="BX84">
        <v>0</v>
      </c>
      <c r="BY84">
        <v>0</v>
      </c>
      <c r="BZ84">
        <v>0</v>
      </c>
      <c r="CA84">
        <v>576.45000000000005</v>
      </c>
      <c r="CB84">
        <v>1168.02</v>
      </c>
      <c r="CC84">
        <v>1744.47</v>
      </c>
      <c r="CD84">
        <v>21</v>
      </c>
      <c r="CF84">
        <v>415.45</v>
      </c>
      <c r="CG84">
        <v>1007.02</v>
      </c>
      <c r="CH84">
        <v>161</v>
      </c>
      <c r="CI84">
        <v>161</v>
      </c>
    </row>
    <row r="85" spans="1:87">
      <c r="A85" s="6" t="s">
        <v>439</v>
      </c>
      <c r="B85" t="s">
        <v>365</v>
      </c>
      <c r="C85" s="5" t="s">
        <v>204</v>
      </c>
      <c r="D85" s="5" t="s">
        <v>205</v>
      </c>
      <c r="E85">
        <v>3957</v>
      </c>
      <c r="F85">
        <v>16</v>
      </c>
      <c r="G85">
        <v>633.12</v>
      </c>
      <c r="H85">
        <v>0</v>
      </c>
      <c r="I85">
        <v>8</v>
      </c>
      <c r="J85">
        <v>316.56</v>
      </c>
      <c r="K85">
        <v>0</v>
      </c>
      <c r="L85">
        <v>3957</v>
      </c>
      <c r="M85">
        <v>8.5</v>
      </c>
      <c r="N85">
        <v>0</v>
      </c>
      <c r="O85">
        <v>336.3</v>
      </c>
      <c r="P85">
        <v>0</v>
      </c>
      <c r="Q85">
        <v>2</v>
      </c>
      <c r="R85">
        <v>0</v>
      </c>
      <c r="S85">
        <v>79.099999999999994</v>
      </c>
      <c r="T85">
        <v>0</v>
      </c>
      <c r="U85">
        <v>3957</v>
      </c>
      <c r="V85">
        <v>0.5</v>
      </c>
      <c r="W85">
        <v>19.79</v>
      </c>
      <c r="X85">
        <v>0</v>
      </c>
      <c r="Y85">
        <v>0.5</v>
      </c>
      <c r="Z85">
        <v>19.79</v>
      </c>
      <c r="AA85">
        <v>0</v>
      </c>
      <c r="AB85">
        <v>2010</v>
      </c>
      <c r="AC85">
        <v>8</v>
      </c>
      <c r="AD85">
        <v>161</v>
      </c>
      <c r="AE85">
        <v>0</v>
      </c>
      <c r="AF85">
        <v>8</v>
      </c>
      <c r="AG85">
        <v>161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Z85">
        <v>0</v>
      </c>
      <c r="BA85">
        <v>0</v>
      </c>
      <c r="BC85">
        <v>0</v>
      </c>
      <c r="BD85">
        <v>0</v>
      </c>
      <c r="BE85">
        <v>3957</v>
      </c>
      <c r="BF85">
        <v>0.45</v>
      </c>
      <c r="BG85">
        <v>17.809999999999999</v>
      </c>
      <c r="BH85">
        <v>0</v>
      </c>
      <c r="BI85">
        <v>0</v>
      </c>
      <c r="BJ85">
        <v>0</v>
      </c>
      <c r="BK85">
        <v>0</v>
      </c>
      <c r="BN85">
        <v>0</v>
      </c>
      <c r="BO85">
        <v>0</v>
      </c>
      <c r="BQ85">
        <v>0</v>
      </c>
      <c r="BR85">
        <v>0</v>
      </c>
      <c r="BS85" s="49">
        <v>415.45</v>
      </c>
      <c r="BT85" s="49">
        <v>1007.02</v>
      </c>
      <c r="BU85" s="49">
        <v>161</v>
      </c>
      <c r="BV85">
        <v>161</v>
      </c>
      <c r="BW85">
        <v>0</v>
      </c>
      <c r="BX85">
        <v>0</v>
      </c>
      <c r="BY85">
        <v>0</v>
      </c>
      <c r="BZ85">
        <v>0</v>
      </c>
      <c r="CA85">
        <v>576.45000000000005</v>
      </c>
      <c r="CB85">
        <v>1168.02</v>
      </c>
      <c r="CC85">
        <v>1744.47</v>
      </c>
      <c r="CD85">
        <v>21</v>
      </c>
      <c r="CF85">
        <v>415.45</v>
      </c>
      <c r="CG85">
        <v>1007.02</v>
      </c>
      <c r="CH85">
        <v>161</v>
      </c>
      <c r="CI85">
        <v>161</v>
      </c>
    </row>
    <row r="86" spans="1:87">
      <c r="A86" s="6" t="s">
        <v>439</v>
      </c>
      <c r="B86" t="s">
        <v>365</v>
      </c>
      <c r="C86" s="5" t="s">
        <v>408</v>
      </c>
      <c r="D86" s="5" t="s">
        <v>409</v>
      </c>
      <c r="E86">
        <v>3957</v>
      </c>
      <c r="F86">
        <v>16</v>
      </c>
      <c r="G86">
        <v>633.12</v>
      </c>
      <c r="H86">
        <v>0</v>
      </c>
      <c r="I86">
        <v>8</v>
      </c>
      <c r="J86">
        <v>316.56</v>
      </c>
      <c r="K86">
        <v>0</v>
      </c>
      <c r="L86">
        <v>3957</v>
      </c>
      <c r="M86">
        <v>8.5</v>
      </c>
      <c r="N86">
        <v>0</v>
      </c>
      <c r="O86">
        <v>336.3</v>
      </c>
      <c r="P86">
        <v>0</v>
      </c>
      <c r="Q86">
        <v>2</v>
      </c>
      <c r="R86">
        <v>0</v>
      </c>
      <c r="S86">
        <v>79.099999999999994</v>
      </c>
      <c r="T86">
        <v>0</v>
      </c>
      <c r="U86">
        <v>3957</v>
      </c>
      <c r="V86">
        <v>0.5</v>
      </c>
      <c r="W86">
        <v>19.79</v>
      </c>
      <c r="X86">
        <v>0</v>
      </c>
      <c r="Y86">
        <v>0.5</v>
      </c>
      <c r="Z86">
        <v>19.79</v>
      </c>
      <c r="AA86">
        <v>0</v>
      </c>
      <c r="AB86">
        <v>2280</v>
      </c>
      <c r="AC86">
        <v>8</v>
      </c>
      <c r="AD86">
        <v>182</v>
      </c>
      <c r="AE86">
        <v>0</v>
      </c>
      <c r="AF86">
        <v>8</v>
      </c>
      <c r="AG86">
        <v>182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Z86">
        <v>0</v>
      </c>
      <c r="BA86">
        <v>0</v>
      </c>
      <c r="BC86">
        <v>0</v>
      </c>
      <c r="BD86">
        <v>0</v>
      </c>
      <c r="BE86">
        <v>3957</v>
      </c>
      <c r="BF86">
        <v>0.45</v>
      </c>
      <c r="BG86">
        <v>17.809999999999999</v>
      </c>
      <c r="BH86">
        <v>0</v>
      </c>
      <c r="BI86">
        <v>0</v>
      </c>
      <c r="BJ86">
        <v>0</v>
      </c>
      <c r="BK86">
        <v>0</v>
      </c>
      <c r="BN86">
        <v>0</v>
      </c>
      <c r="BO86">
        <v>0</v>
      </c>
      <c r="BQ86">
        <v>0</v>
      </c>
      <c r="BR86">
        <v>0</v>
      </c>
      <c r="BS86">
        <v>415.45</v>
      </c>
      <c r="BT86">
        <v>1007.02</v>
      </c>
      <c r="BU86">
        <v>182</v>
      </c>
      <c r="BV86">
        <v>182</v>
      </c>
      <c r="BW86">
        <v>0</v>
      </c>
      <c r="BX86">
        <v>0</v>
      </c>
      <c r="BY86">
        <v>0</v>
      </c>
      <c r="BZ86">
        <v>0</v>
      </c>
      <c r="CA86">
        <v>597.45000000000005</v>
      </c>
      <c r="CB86">
        <v>1189.02</v>
      </c>
      <c r="CC86">
        <v>1786.47</v>
      </c>
      <c r="CD86">
        <v>21</v>
      </c>
      <c r="CF86">
        <v>415.45</v>
      </c>
      <c r="CG86">
        <v>1007.02</v>
      </c>
      <c r="CH86">
        <v>182</v>
      </c>
      <c r="CI86">
        <v>182</v>
      </c>
    </row>
    <row r="87" spans="1:87">
      <c r="A87" s="6" t="s">
        <v>439</v>
      </c>
      <c r="B87" t="s">
        <v>365</v>
      </c>
      <c r="C87" s="5" t="s">
        <v>371</v>
      </c>
      <c r="D87" s="5" t="s">
        <v>372</v>
      </c>
      <c r="E87">
        <v>4250</v>
      </c>
      <c r="F87">
        <v>16</v>
      </c>
      <c r="G87">
        <v>680</v>
      </c>
      <c r="H87">
        <v>0</v>
      </c>
      <c r="I87">
        <v>8</v>
      </c>
      <c r="J87">
        <v>340</v>
      </c>
      <c r="K87">
        <v>0</v>
      </c>
      <c r="L87">
        <v>4250</v>
      </c>
      <c r="M87">
        <v>7.6</v>
      </c>
      <c r="N87">
        <v>0</v>
      </c>
      <c r="O87">
        <v>323</v>
      </c>
      <c r="P87">
        <v>0</v>
      </c>
      <c r="Q87">
        <v>2</v>
      </c>
      <c r="S87">
        <v>85</v>
      </c>
      <c r="T87">
        <v>0</v>
      </c>
      <c r="U87">
        <v>4250</v>
      </c>
      <c r="V87">
        <v>0.5</v>
      </c>
      <c r="W87">
        <v>21.25</v>
      </c>
      <c r="X87">
        <v>0</v>
      </c>
      <c r="Y87">
        <v>0.5</v>
      </c>
      <c r="Z87">
        <v>21.25</v>
      </c>
      <c r="AA87">
        <v>0</v>
      </c>
      <c r="AD87">
        <v>0</v>
      </c>
      <c r="AE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X87">
        <v>4250</v>
      </c>
      <c r="AY87">
        <v>0.8</v>
      </c>
      <c r="AZ87">
        <v>34</v>
      </c>
      <c r="BA87">
        <v>0</v>
      </c>
      <c r="BB87">
        <v>0</v>
      </c>
      <c r="BC87">
        <v>0</v>
      </c>
      <c r="BD87">
        <v>0</v>
      </c>
      <c r="BE87">
        <v>4250</v>
      </c>
      <c r="BF87">
        <v>0.9</v>
      </c>
      <c r="BG87">
        <v>38.25</v>
      </c>
      <c r="BH87">
        <v>0</v>
      </c>
      <c r="BI87">
        <v>0</v>
      </c>
      <c r="BJ87">
        <v>0</v>
      </c>
      <c r="BK87">
        <v>0</v>
      </c>
      <c r="BN87">
        <v>0</v>
      </c>
      <c r="BO87">
        <v>0</v>
      </c>
      <c r="BQ87">
        <v>0</v>
      </c>
      <c r="BR87">
        <v>0</v>
      </c>
      <c r="BS87">
        <v>446.25</v>
      </c>
      <c r="BT87">
        <v>1096.5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446.25</v>
      </c>
      <c r="CB87">
        <v>1096.5</v>
      </c>
      <c r="CC87">
        <v>1542.75</v>
      </c>
      <c r="CD87">
        <v>21</v>
      </c>
      <c r="CF87">
        <v>446.25</v>
      </c>
      <c r="CG87">
        <v>1096.5</v>
      </c>
      <c r="CH87">
        <v>0</v>
      </c>
      <c r="CI87">
        <v>0</v>
      </c>
    </row>
    <row r="88" spans="1:87">
      <c r="A88" s="6" t="s">
        <v>439</v>
      </c>
      <c r="B88" t="s">
        <v>365</v>
      </c>
      <c r="C88" s="5" t="s">
        <v>293</v>
      </c>
      <c r="D88" s="5" t="s">
        <v>294</v>
      </c>
      <c r="E88">
        <v>4250</v>
      </c>
      <c r="F88">
        <v>16</v>
      </c>
      <c r="G88">
        <v>680</v>
      </c>
      <c r="H88">
        <v>0</v>
      </c>
      <c r="I88">
        <v>8</v>
      </c>
      <c r="J88">
        <v>340</v>
      </c>
      <c r="K88">
        <v>0</v>
      </c>
      <c r="L88">
        <v>4250</v>
      </c>
      <c r="M88">
        <v>7</v>
      </c>
      <c r="N88">
        <v>0</v>
      </c>
      <c r="O88">
        <v>297.5</v>
      </c>
      <c r="P88">
        <v>0</v>
      </c>
      <c r="Q88">
        <v>2</v>
      </c>
      <c r="R88">
        <v>0</v>
      </c>
      <c r="S88">
        <v>85</v>
      </c>
      <c r="T88">
        <v>0</v>
      </c>
      <c r="U88">
        <v>4250</v>
      </c>
      <c r="V88">
        <v>0.5</v>
      </c>
      <c r="W88">
        <v>21.25</v>
      </c>
      <c r="X88">
        <v>0</v>
      </c>
      <c r="Y88">
        <v>0.5</v>
      </c>
      <c r="Z88">
        <v>21.25</v>
      </c>
      <c r="AA88">
        <v>0</v>
      </c>
      <c r="AB88">
        <v>3800</v>
      </c>
      <c r="AC88">
        <v>8</v>
      </c>
      <c r="AD88">
        <v>304</v>
      </c>
      <c r="AE88">
        <v>0</v>
      </c>
      <c r="AF88">
        <v>8</v>
      </c>
      <c r="AG88">
        <v>304</v>
      </c>
      <c r="AH88">
        <v>0</v>
      </c>
      <c r="AI88">
        <v>0</v>
      </c>
      <c r="AJ88">
        <v>0</v>
      </c>
      <c r="AK88">
        <v>5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X88">
        <v>4250</v>
      </c>
      <c r="AY88">
        <v>0.8</v>
      </c>
      <c r="AZ88">
        <v>34</v>
      </c>
      <c r="BA88">
        <v>0</v>
      </c>
      <c r="BB88">
        <v>0</v>
      </c>
      <c r="BC88">
        <v>0</v>
      </c>
      <c r="BD88">
        <v>0</v>
      </c>
      <c r="BE88">
        <v>4250</v>
      </c>
      <c r="BF88">
        <v>0.45</v>
      </c>
      <c r="BG88">
        <v>19.13</v>
      </c>
      <c r="BH88">
        <v>0</v>
      </c>
      <c r="BI88">
        <v>0</v>
      </c>
      <c r="BJ88">
        <v>0</v>
      </c>
      <c r="BK88">
        <v>0</v>
      </c>
      <c r="BN88">
        <v>0</v>
      </c>
      <c r="BO88">
        <v>0</v>
      </c>
      <c r="BQ88">
        <v>0</v>
      </c>
      <c r="BR88">
        <v>0</v>
      </c>
      <c r="BS88">
        <v>451.25</v>
      </c>
      <c r="BT88">
        <v>1051.8800000000001</v>
      </c>
      <c r="BU88">
        <v>304</v>
      </c>
      <c r="BV88">
        <v>304</v>
      </c>
      <c r="BW88">
        <v>0</v>
      </c>
      <c r="BX88">
        <v>0</v>
      </c>
      <c r="BY88">
        <v>0</v>
      </c>
      <c r="BZ88">
        <v>0</v>
      </c>
      <c r="CA88">
        <v>755.25</v>
      </c>
      <c r="CB88">
        <v>1355.88</v>
      </c>
      <c r="CC88">
        <v>2111.13</v>
      </c>
      <c r="CD88">
        <v>21</v>
      </c>
      <c r="CF88">
        <v>451.25</v>
      </c>
      <c r="CG88">
        <v>1051.8800000000001</v>
      </c>
      <c r="CH88">
        <v>304</v>
      </c>
      <c r="CI88">
        <v>304</v>
      </c>
    </row>
    <row r="89" spans="1:87">
      <c r="A89" s="6" t="s">
        <v>439</v>
      </c>
      <c r="B89" t="s">
        <v>365</v>
      </c>
      <c r="C89" s="5" t="s">
        <v>373</v>
      </c>
      <c r="D89" s="5" t="s">
        <v>374</v>
      </c>
      <c r="E89">
        <v>4250</v>
      </c>
      <c r="F89">
        <v>16</v>
      </c>
      <c r="G89">
        <v>680</v>
      </c>
      <c r="H89">
        <v>0</v>
      </c>
      <c r="I89">
        <v>8</v>
      </c>
      <c r="J89">
        <v>340</v>
      </c>
      <c r="K89">
        <v>0</v>
      </c>
      <c r="L89">
        <v>4250</v>
      </c>
      <c r="M89">
        <v>7.6</v>
      </c>
      <c r="N89">
        <v>0</v>
      </c>
      <c r="O89">
        <v>323</v>
      </c>
      <c r="P89">
        <v>0</v>
      </c>
      <c r="Q89">
        <v>2</v>
      </c>
      <c r="S89">
        <v>85</v>
      </c>
      <c r="T89">
        <v>0</v>
      </c>
      <c r="U89">
        <v>4250</v>
      </c>
      <c r="V89">
        <v>0.5</v>
      </c>
      <c r="W89">
        <v>21.25</v>
      </c>
      <c r="X89">
        <v>0</v>
      </c>
      <c r="Y89">
        <v>0.5</v>
      </c>
      <c r="Z89">
        <v>21.25</v>
      </c>
      <c r="AA89">
        <v>0</v>
      </c>
      <c r="AB89">
        <v>2020</v>
      </c>
      <c r="AC89">
        <v>8</v>
      </c>
      <c r="AD89">
        <v>162</v>
      </c>
      <c r="AE89">
        <v>0</v>
      </c>
      <c r="AF89">
        <v>8</v>
      </c>
      <c r="AG89">
        <v>162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X89">
        <v>4250</v>
      </c>
      <c r="AY89">
        <v>0.8</v>
      </c>
      <c r="AZ89">
        <v>34</v>
      </c>
      <c r="BA89">
        <v>0</v>
      </c>
      <c r="BB89">
        <v>0</v>
      </c>
      <c r="BC89">
        <v>0</v>
      </c>
      <c r="BD89">
        <v>0</v>
      </c>
      <c r="BE89">
        <v>4250</v>
      </c>
      <c r="BF89">
        <v>0.9</v>
      </c>
      <c r="BG89">
        <v>38.25</v>
      </c>
      <c r="BH89">
        <v>0</v>
      </c>
      <c r="BI89">
        <v>0</v>
      </c>
      <c r="BJ89">
        <v>0</v>
      </c>
      <c r="BK89">
        <v>0</v>
      </c>
      <c r="BN89">
        <v>0</v>
      </c>
      <c r="BO89">
        <v>0</v>
      </c>
      <c r="BQ89">
        <v>0</v>
      </c>
      <c r="BR89">
        <v>0</v>
      </c>
      <c r="BS89">
        <v>446.25</v>
      </c>
      <c r="BT89">
        <v>1096.5</v>
      </c>
      <c r="BU89">
        <v>162</v>
      </c>
      <c r="BV89">
        <v>162</v>
      </c>
      <c r="BW89">
        <v>0</v>
      </c>
      <c r="BX89">
        <v>0</v>
      </c>
      <c r="BY89">
        <v>0</v>
      </c>
      <c r="BZ89">
        <v>0</v>
      </c>
      <c r="CA89">
        <v>608.25</v>
      </c>
      <c r="CB89">
        <v>1258.5</v>
      </c>
      <c r="CC89">
        <v>1866.75</v>
      </c>
      <c r="CD89">
        <v>21</v>
      </c>
      <c r="CF89">
        <v>446.25</v>
      </c>
      <c r="CG89">
        <v>1096.5</v>
      </c>
      <c r="CH89">
        <v>162</v>
      </c>
      <c r="CI89">
        <v>162</v>
      </c>
    </row>
    <row r="90" spans="1:87">
      <c r="A90" s="6" t="s">
        <v>439</v>
      </c>
      <c r="B90" t="s">
        <v>365</v>
      </c>
      <c r="C90" s="5" t="s">
        <v>289</v>
      </c>
      <c r="D90" s="5" t="s">
        <v>290</v>
      </c>
      <c r="E90">
        <v>4250</v>
      </c>
      <c r="F90">
        <v>16</v>
      </c>
      <c r="G90">
        <v>680</v>
      </c>
      <c r="H90">
        <v>0</v>
      </c>
      <c r="I90">
        <v>8</v>
      </c>
      <c r="J90">
        <v>340</v>
      </c>
      <c r="K90">
        <v>0</v>
      </c>
      <c r="L90">
        <v>4250</v>
      </c>
      <c r="M90">
        <v>7.6</v>
      </c>
      <c r="N90">
        <v>0</v>
      </c>
      <c r="O90">
        <v>323</v>
      </c>
      <c r="P90">
        <v>0</v>
      </c>
      <c r="Q90">
        <v>2</v>
      </c>
      <c r="S90">
        <v>85</v>
      </c>
      <c r="T90">
        <v>0</v>
      </c>
      <c r="U90">
        <v>4250</v>
      </c>
      <c r="V90">
        <v>0.5</v>
      </c>
      <c r="W90">
        <v>21.25</v>
      </c>
      <c r="X90">
        <v>0</v>
      </c>
      <c r="Y90">
        <v>0.5</v>
      </c>
      <c r="Z90">
        <v>21.25</v>
      </c>
      <c r="AA90">
        <v>0</v>
      </c>
      <c r="AB90">
        <v>2020</v>
      </c>
      <c r="AC90">
        <v>8</v>
      </c>
      <c r="AD90">
        <v>162</v>
      </c>
      <c r="AE90">
        <v>0</v>
      </c>
      <c r="AF90">
        <v>8</v>
      </c>
      <c r="AG90">
        <v>162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X90">
        <v>4250</v>
      </c>
      <c r="AY90">
        <v>0.8</v>
      </c>
      <c r="AZ90">
        <v>34</v>
      </c>
      <c r="BA90">
        <v>0</v>
      </c>
      <c r="BB90">
        <v>0</v>
      </c>
      <c r="BC90">
        <v>0</v>
      </c>
      <c r="BD90">
        <v>0</v>
      </c>
      <c r="BE90">
        <v>4250</v>
      </c>
      <c r="BF90">
        <v>0.9</v>
      </c>
      <c r="BG90">
        <v>38.25</v>
      </c>
      <c r="BH90">
        <v>0</v>
      </c>
      <c r="BI90">
        <v>0</v>
      </c>
      <c r="BJ90">
        <v>0</v>
      </c>
      <c r="BK90">
        <v>0</v>
      </c>
      <c r="BN90">
        <v>0</v>
      </c>
      <c r="BO90">
        <v>0</v>
      </c>
      <c r="BQ90">
        <v>0</v>
      </c>
      <c r="BR90">
        <v>0</v>
      </c>
      <c r="BS90">
        <v>446.25</v>
      </c>
      <c r="BT90">
        <v>1096.5</v>
      </c>
      <c r="BU90">
        <v>162</v>
      </c>
      <c r="BV90">
        <v>162</v>
      </c>
      <c r="BW90">
        <v>0</v>
      </c>
      <c r="BX90">
        <v>0</v>
      </c>
      <c r="BY90">
        <v>0</v>
      </c>
      <c r="BZ90">
        <v>0</v>
      </c>
      <c r="CA90">
        <v>608.25</v>
      </c>
      <c r="CB90">
        <v>1258.5</v>
      </c>
      <c r="CC90">
        <v>1866.75</v>
      </c>
      <c r="CD90">
        <v>21</v>
      </c>
      <c r="CF90">
        <v>446.25</v>
      </c>
      <c r="CG90">
        <v>1096.5</v>
      </c>
      <c r="CH90">
        <v>162</v>
      </c>
      <c r="CI90">
        <v>162</v>
      </c>
    </row>
    <row r="91" spans="1:87">
      <c r="A91" s="6" t="s">
        <v>439</v>
      </c>
      <c r="B91" t="s">
        <v>365</v>
      </c>
      <c r="C91" s="5" t="s">
        <v>381</v>
      </c>
      <c r="D91" s="5" t="s">
        <v>382</v>
      </c>
      <c r="E91">
        <v>4250</v>
      </c>
      <c r="F91">
        <v>16</v>
      </c>
      <c r="G91">
        <v>680</v>
      </c>
      <c r="H91">
        <v>0</v>
      </c>
      <c r="I91">
        <v>8</v>
      </c>
      <c r="J91">
        <v>340</v>
      </c>
      <c r="K91">
        <v>0</v>
      </c>
      <c r="L91">
        <v>4250</v>
      </c>
      <c r="M91">
        <v>7.6</v>
      </c>
      <c r="N91">
        <v>0</v>
      </c>
      <c r="O91">
        <v>323</v>
      </c>
      <c r="P91">
        <v>0</v>
      </c>
      <c r="Q91">
        <v>2</v>
      </c>
      <c r="S91">
        <v>85</v>
      </c>
      <c r="T91">
        <v>0</v>
      </c>
      <c r="U91">
        <v>4250</v>
      </c>
      <c r="V91">
        <v>0.5</v>
      </c>
      <c r="W91">
        <v>21.25</v>
      </c>
      <c r="X91">
        <v>0</v>
      </c>
      <c r="Y91">
        <v>0.5</v>
      </c>
      <c r="Z91">
        <v>21.25</v>
      </c>
      <c r="AA91">
        <v>0</v>
      </c>
      <c r="AD91">
        <v>0</v>
      </c>
      <c r="AE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X91">
        <v>4250</v>
      </c>
      <c r="AY91">
        <v>0.8</v>
      </c>
      <c r="AZ91">
        <v>34</v>
      </c>
      <c r="BA91">
        <v>0</v>
      </c>
      <c r="BB91">
        <v>0</v>
      </c>
      <c r="BC91">
        <v>0</v>
      </c>
      <c r="BD91">
        <v>0</v>
      </c>
      <c r="BE91">
        <v>4250</v>
      </c>
      <c r="BF91">
        <v>0.9</v>
      </c>
      <c r="BG91">
        <v>38.25</v>
      </c>
      <c r="BH91">
        <v>0</v>
      </c>
      <c r="BI91">
        <v>0</v>
      </c>
      <c r="BJ91">
        <v>0</v>
      </c>
      <c r="BK91">
        <v>0</v>
      </c>
      <c r="BN91">
        <v>0</v>
      </c>
      <c r="BO91">
        <v>0</v>
      </c>
      <c r="BQ91">
        <v>0</v>
      </c>
      <c r="BR91">
        <v>0</v>
      </c>
      <c r="BS91">
        <v>446.25</v>
      </c>
      <c r="BT91">
        <v>1096.5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446.25</v>
      </c>
      <c r="CB91">
        <v>1096.5</v>
      </c>
      <c r="CC91">
        <v>1542.75</v>
      </c>
      <c r="CD91">
        <v>21</v>
      </c>
      <c r="CF91">
        <v>446.25</v>
      </c>
      <c r="CG91">
        <v>1096.5</v>
      </c>
      <c r="CH91">
        <v>0</v>
      </c>
      <c r="CI91">
        <v>0</v>
      </c>
    </row>
    <row r="92" spans="1:87">
      <c r="A92" s="6" t="s">
        <v>439</v>
      </c>
      <c r="B92" t="s">
        <v>365</v>
      </c>
      <c r="C92" s="5" t="s">
        <v>298</v>
      </c>
      <c r="D92" s="5" t="s">
        <v>299</v>
      </c>
      <c r="E92">
        <v>4250</v>
      </c>
      <c r="F92">
        <v>16</v>
      </c>
      <c r="G92">
        <v>680</v>
      </c>
      <c r="H92">
        <v>0</v>
      </c>
      <c r="I92">
        <v>8</v>
      </c>
      <c r="J92">
        <v>340</v>
      </c>
      <c r="K92">
        <v>0</v>
      </c>
      <c r="L92">
        <v>4250</v>
      </c>
      <c r="M92">
        <v>9</v>
      </c>
      <c r="N92">
        <v>0</v>
      </c>
      <c r="O92">
        <v>382.5</v>
      </c>
      <c r="P92">
        <v>0</v>
      </c>
      <c r="Q92">
        <v>2</v>
      </c>
      <c r="R92">
        <v>0</v>
      </c>
      <c r="S92">
        <v>85</v>
      </c>
      <c r="T92">
        <v>0</v>
      </c>
      <c r="U92">
        <v>4250</v>
      </c>
      <c r="V92">
        <v>0.5</v>
      </c>
      <c r="W92">
        <v>21.25</v>
      </c>
      <c r="X92">
        <v>0</v>
      </c>
      <c r="Y92">
        <v>0.5</v>
      </c>
      <c r="Z92">
        <v>21.25</v>
      </c>
      <c r="AA92">
        <v>0</v>
      </c>
      <c r="AB92">
        <v>2280</v>
      </c>
      <c r="AC92">
        <v>12</v>
      </c>
      <c r="AD92">
        <v>274</v>
      </c>
      <c r="AE92">
        <v>0</v>
      </c>
      <c r="AF92">
        <v>12</v>
      </c>
      <c r="AG92">
        <v>274</v>
      </c>
      <c r="AH92">
        <v>0</v>
      </c>
      <c r="AI92">
        <v>0</v>
      </c>
      <c r="AJ92">
        <v>0</v>
      </c>
      <c r="AK92">
        <v>10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X92">
        <v>4250</v>
      </c>
      <c r="AY92">
        <v>0.8</v>
      </c>
      <c r="AZ92">
        <v>34</v>
      </c>
      <c r="BA92">
        <v>0</v>
      </c>
      <c r="BB92">
        <v>0</v>
      </c>
      <c r="BC92">
        <v>0</v>
      </c>
      <c r="BD92">
        <v>0</v>
      </c>
      <c r="BE92">
        <v>4250</v>
      </c>
      <c r="BF92">
        <v>0.4</v>
      </c>
      <c r="BG92">
        <v>17</v>
      </c>
      <c r="BH92">
        <v>0</v>
      </c>
      <c r="BI92">
        <v>0</v>
      </c>
      <c r="BJ92">
        <v>0</v>
      </c>
      <c r="BK92">
        <v>0</v>
      </c>
      <c r="BN92">
        <v>0</v>
      </c>
      <c r="BO92">
        <v>0</v>
      </c>
      <c r="BQ92">
        <v>0</v>
      </c>
      <c r="BR92">
        <v>0</v>
      </c>
      <c r="BS92">
        <v>456.25</v>
      </c>
      <c r="BT92">
        <v>1134.75</v>
      </c>
      <c r="BU92">
        <v>274</v>
      </c>
      <c r="BV92">
        <v>274</v>
      </c>
      <c r="BW92">
        <v>0</v>
      </c>
      <c r="BX92">
        <v>0</v>
      </c>
      <c r="BY92">
        <v>0</v>
      </c>
      <c r="BZ92">
        <v>0</v>
      </c>
      <c r="CA92">
        <v>730.25</v>
      </c>
      <c r="CB92">
        <v>1408.75</v>
      </c>
      <c r="CC92">
        <v>2139</v>
      </c>
      <c r="CD92">
        <v>21</v>
      </c>
      <c r="CF92">
        <v>456.25</v>
      </c>
      <c r="CG92">
        <v>1134.75</v>
      </c>
      <c r="CH92">
        <v>274</v>
      </c>
      <c r="CI92">
        <v>274</v>
      </c>
    </row>
    <row r="93" spans="1:87">
      <c r="A93" s="6" t="s">
        <v>439</v>
      </c>
      <c r="B93" t="s">
        <v>365</v>
      </c>
      <c r="C93" s="5" t="s">
        <v>358</v>
      </c>
      <c r="D93" s="5" t="s">
        <v>359</v>
      </c>
      <c r="E93">
        <v>4250</v>
      </c>
      <c r="F93">
        <v>16</v>
      </c>
      <c r="G93">
        <v>680</v>
      </c>
      <c r="H93">
        <v>0</v>
      </c>
      <c r="I93">
        <v>8</v>
      </c>
      <c r="J93">
        <v>340</v>
      </c>
      <c r="K93">
        <v>0</v>
      </c>
      <c r="L93">
        <v>4250</v>
      </c>
      <c r="M93">
        <v>9</v>
      </c>
      <c r="N93">
        <v>0</v>
      </c>
      <c r="O93">
        <v>382.5</v>
      </c>
      <c r="P93">
        <v>0</v>
      </c>
      <c r="Q93">
        <v>2</v>
      </c>
      <c r="R93">
        <v>0</v>
      </c>
      <c r="S93">
        <v>85</v>
      </c>
      <c r="T93">
        <v>0</v>
      </c>
      <c r="U93">
        <v>4250</v>
      </c>
      <c r="V93">
        <v>0.5</v>
      </c>
      <c r="W93">
        <v>21.25</v>
      </c>
      <c r="X93">
        <v>0</v>
      </c>
      <c r="Y93">
        <v>0.5</v>
      </c>
      <c r="Z93">
        <v>21.25</v>
      </c>
      <c r="AA93">
        <v>0</v>
      </c>
      <c r="AD93">
        <v>0</v>
      </c>
      <c r="AE93">
        <v>0</v>
      </c>
      <c r="AG93">
        <v>0</v>
      </c>
      <c r="AH93">
        <v>0</v>
      </c>
      <c r="AI93">
        <v>0</v>
      </c>
      <c r="AJ93">
        <v>0</v>
      </c>
      <c r="AK93">
        <v>10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X93">
        <v>4250</v>
      </c>
      <c r="AY93">
        <v>0.8</v>
      </c>
      <c r="AZ93">
        <v>34</v>
      </c>
      <c r="BA93">
        <v>0</v>
      </c>
      <c r="BB93">
        <v>0</v>
      </c>
      <c r="BC93">
        <v>0</v>
      </c>
      <c r="BD93">
        <v>0</v>
      </c>
      <c r="BE93">
        <v>4250</v>
      </c>
      <c r="BF93">
        <v>0.4</v>
      </c>
      <c r="BG93">
        <v>17</v>
      </c>
      <c r="BH93">
        <v>0</v>
      </c>
      <c r="BI93">
        <v>0</v>
      </c>
      <c r="BJ93">
        <v>0</v>
      </c>
      <c r="BK93">
        <v>0</v>
      </c>
      <c r="BN93">
        <v>0</v>
      </c>
      <c r="BO93">
        <v>0</v>
      </c>
      <c r="BQ93">
        <v>0</v>
      </c>
      <c r="BR93">
        <v>0</v>
      </c>
      <c r="BS93">
        <v>456.25</v>
      </c>
      <c r="BT93">
        <v>1134.75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456.25</v>
      </c>
      <c r="CB93">
        <v>1134.75</v>
      </c>
      <c r="CC93">
        <v>1591</v>
      </c>
      <c r="CD93">
        <v>21</v>
      </c>
      <c r="CF93">
        <v>456.25</v>
      </c>
      <c r="CG93">
        <v>1134.75</v>
      </c>
      <c r="CH93">
        <v>0</v>
      </c>
      <c r="CI93">
        <v>0</v>
      </c>
    </row>
    <row r="94" spans="1:87">
      <c r="A94" s="6" t="s">
        <v>439</v>
      </c>
      <c r="B94" t="s">
        <v>365</v>
      </c>
      <c r="C94" s="5" t="s">
        <v>285</v>
      </c>
      <c r="D94" s="5" t="s">
        <v>286</v>
      </c>
      <c r="E94">
        <v>4250</v>
      </c>
      <c r="F94">
        <v>16</v>
      </c>
      <c r="G94">
        <v>680</v>
      </c>
      <c r="H94">
        <v>0</v>
      </c>
      <c r="I94">
        <v>8</v>
      </c>
      <c r="J94">
        <v>340</v>
      </c>
      <c r="K94">
        <v>0</v>
      </c>
      <c r="L94">
        <v>4250</v>
      </c>
      <c r="M94">
        <v>7.6</v>
      </c>
      <c r="N94">
        <v>0</v>
      </c>
      <c r="O94">
        <v>323</v>
      </c>
      <c r="P94">
        <v>0</v>
      </c>
      <c r="Q94">
        <v>2</v>
      </c>
      <c r="S94">
        <v>85</v>
      </c>
      <c r="T94">
        <v>0</v>
      </c>
      <c r="U94">
        <v>4250</v>
      </c>
      <c r="V94">
        <v>0.5</v>
      </c>
      <c r="W94">
        <v>21.25</v>
      </c>
      <c r="X94">
        <v>0</v>
      </c>
      <c r="Y94">
        <v>0.5</v>
      </c>
      <c r="Z94">
        <v>21.25</v>
      </c>
      <c r="AA94">
        <v>0</v>
      </c>
      <c r="AB94">
        <v>2020</v>
      </c>
      <c r="AC94">
        <v>8</v>
      </c>
      <c r="AD94">
        <v>162</v>
      </c>
      <c r="AE94">
        <v>0</v>
      </c>
      <c r="AF94">
        <v>8</v>
      </c>
      <c r="AG94">
        <v>162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X94">
        <v>4250</v>
      </c>
      <c r="AY94">
        <v>0.8</v>
      </c>
      <c r="AZ94">
        <v>34</v>
      </c>
      <c r="BA94">
        <v>0</v>
      </c>
      <c r="BB94">
        <v>0</v>
      </c>
      <c r="BC94">
        <v>0</v>
      </c>
      <c r="BD94">
        <v>0</v>
      </c>
      <c r="BE94">
        <v>4250</v>
      </c>
      <c r="BF94">
        <v>0.9</v>
      </c>
      <c r="BG94">
        <v>38.25</v>
      </c>
      <c r="BH94">
        <v>0</v>
      </c>
      <c r="BI94">
        <v>0</v>
      </c>
      <c r="BJ94">
        <v>0</v>
      </c>
      <c r="BK94">
        <v>0</v>
      </c>
      <c r="BN94">
        <v>0</v>
      </c>
      <c r="BO94">
        <v>0</v>
      </c>
      <c r="BQ94">
        <v>0</v>
      </c>
      <c r="BR94">
        <v>0</v>
      </c>
      <c r="BS94">
        <v>446.25</v>
      </c>
      <c r="BT94">
        <v>1096.5</v>
      </c>
      <c r="BU94">
        <v>162</v>
      </c>
      <c r="BV94">
        <v>162</v>
      </c>
      <c r="BW94">
        <v>0</v>
      </c>
      <c r="BX94">
        <v>0</v>
      </c>
      <c r="BY94">
        <v>0</v>
      </c>
      <c r="BZ94">
        <v>0</v>
      </c>
      <c r="CA94">
        <v>608.25</v>
      </c>
      <c r="CB94">
        <v>1258.5</v>
      </c>
      <c r="CC94">
        <v>1866.75</v>
      </c>
      <c r="CD94">
        <v>21</v>
      </c>
      <c r="CF94">
        <v>446.25</v>
      </c>
      <c r="CG94">
        <v>1096.5</v>
      </c>
      <c r="CH94">
        <v>162</v>
      </c>
      <c r="CI94">
        <v>162</v>
      </c>
    </row>
    <row r="95" spans="1:87">
      <c r="A95" s="6" t="s">
        <v>439</v>
      </c>
      <c r="B95" t="s">
        <v>365</v>
      </c>
      <c r="C95" s="5" t="s">
        <v>347</v>
      </c>
      <c r="D95" s="5" t="s">
        <v>348</v>
      </c>
      <c r="E95">
        <v>4250</v>
      </c>
      <c r="F95">
        <v>16</v>
      </c>
      <c r="G95">
        <v>680</v>
      </c>
      <c r="H95">
        <v>0</v>
      </c>
      <c r="I95">
        <v>8</v>
      </c>
      <c r="J95">
        <v>340</v>
      </c>
      <c r="K95">
        <v>0</v>
      </c>
      <c r="L95">
        <v>4250</v>
      </c>
      <c r="M95">
        <v>7</v>
      </c>
      <c r="N95">
        <v>0</v>
      </c>
      <c r="O95">
        <v>297.5</v>
      </c>
      <c r="P95">
        <v>0</v>
      </c>
      <c r="Q95">
        <v>2</v>
      </c>
      <c r="R95">
        <v>0</v>
      </c>
      <c r="S95">
        <v>85</v>
      </c>
      <c r="T95">
        <v>0</v>
      </c>
      <c r="U95">
        <v>4250</v>
      </c>
      <c r="V95">
        <v>0.5</v>
      </c>
      <c r="W95">
        <v>21.25</v>
      </c>
      <c r="X95">
        <v>0</v>
      </c>
      <c r="Y95">
        <v>0.5</v>
      </c>
      <c r="Z95">
        <v>21.25</v>
      </c>
      <c r="AA95">
        <v>0</v>
      </c>
      <c r="AB95">
        <v>3800</v>
      </c>
      <c r="AC95">
        <v>8</v>
      </c>
      <c r="AD95">
        <v>304</v>
      </c>
      <c r="AE95">
        <v>0</v>
      </c>
      <c r="AF95">
        <v>8</v>
      </c>
      <c r="AG95">
        <v>304</v>
      </c>
      <c r="AH95">
        <v>0</v>
      </c>
      <c r="AI95">
        <v>0</v>
      </c>
      <c r="AJ95">
        <v>0</v>
      </c>
      <c r="AK95">
        <v>5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X95">
        <v>4250</v>
      </c>
      <c r="AY95">
        <v>0.8</v>
      </c>
      <c r="AZ95">
        <v>34</v>
      </c>
      <c r="BA95">
        <v>0</v>
      </c>
      <c r="BB95">
        <v>0</v>
      </c>
      <c r="BC95">
        <v>0</v>
      </c>
      <c r="BD95">
        <v>0</v>
      </c>
      <c r="BE95">
        <v>4250</v>
      </c>
      <c r="BF95">
        <v>0.45</v>
      </c>
      <c r="BG95">
        <v>19.13</v>
      </c>
      <c r="BH95">
        <v>0</v>
      </c>
      <c r="BI95">
        <v>0</v>
      </c>
      <c r="BJ95">
        <v>0</v>
      </c>
      <c r="BK95">
        <v>0</v>
      </c>
      <c r="BN95">
        <v>0</v>
      </c>
      <c r="BO95">
        <v>0</v>
      </c>
      <c r="BQ95">
        <v>0</v>
      </c>
      <c r="BR95">
        <v>0</v>
      </c>
      <c r="BS95">
        <v>451.25</v>
      </c>
      <c r="BT95">
        <v>1051.8800000000001</v>
      </c>
      <c r="BU95">
        <v>304</v>
      </c>
      <c r="BV95">
        <v>304</v>
      </c>
      <c r="BW95">
        <v>0</v>
      </c>
      <c r="BX95">
        <v>0</v>
      </c>
      <c r="BY95">
        <v>0</v>
      </c>
      <c r="BZ95">
        <v>0</v>
      </c>
      <c r="CA95">
        <v>755.25</v>
      </c>
      <c r="CB95">
        <v>1355.88</v>
      </c>
      <c r="CC95">
        <v>2111.13</v>
      </c>
      <c r="CD95">
        <v>21</v>
      </c>
      <c r="CF95">
        <v>451.25</v>
      </c>
      <c r="CG95">
        <v>1051.8800000000001</v>
      </c>
      <c r="CH95">
        <v>304</v>
      </c>
      <c r="CI95">
        <v>304</v>
      </c>
    </row>
    <row r="96" spans="1:87">
      <c r="A96" s="6" t="s">
        <v>439</v>
      </c>
      <c r="B96" t="s">
        <v>365</v>
      </c>
      <c r="C96" s="5" t="s">
        <v>296</v>
      </c>
      <c r="D96" s="5" t="s">
        <v>297</v>
      </c>
      <c r="E96">
        <v>4250</v>
      </c>
      <c r="F96">
        <v>16</v>
      </c>
      <c r="G96">
        <v>680</v>
      </c>
      <c r="H96">
        <v>0</v>
      </c>
      <c r="I96">
        <v>8</v>
      </c>
      <c r="J96">
        <v>340</v>
      </c>
      <c r="K96">
        <v>0</v>
      </c>
      <c r="L96">
        <v>4250</v>
      </c>
      <c r="M96">
        <v>7</v>
      </c>
      <c r="N96">
        <v>0</v>
      </c>
      <c r="O96">
        <v>297.5</v>
      </c>
      <c r="P96">
        <v>0</v>
      </c>
      <c r="Q96">
        <v>2</v>
      </c>
      <c r="R96">
        <v>0</v>
      </c>
      <c r="S96">
        <v>85</v>
      </c>
      <c r="T96">
        <v>0</v>
      </c>
      <c r="U96">
        <v>4250</v>
      </c>
      <c r="V96">
        <v>0.5</v>
      </c>
      <c r="W96">
        <v>21.25</v>
      </c>
      <c r="X96">
        <v>0</v>
      </c>
      <c r="Y96">
        <v>0.5</v>
      </c>
      <c r="Z96">
        <v>21.25</v>
      </c>
      <c r="AA96">
        <v>0</v>
      </c>
      <c r="AB96">
        <v>3800</v>
      </c>
      <c r="AC96">
        <v>8</v>
      </c>
      <c r="AD96">
        <v>304</v>
      </c>
      <c r="AE96">
        <v>0</v>
      </c>
      <c r="AF96">
        <v>8</v>
      </c>
      <c r="AG96">
        <v>304</v>
      </c>
      <c r="AH96">
        <v>0</v>
      </c>
      <c r="AI96">
        <v>0</v>
      </c>
      <c r="AJ96">
        <v>0</v>
      </c>
      <c r="AK96">
        <v>5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X96">
        <v>4250</v>
      </c>
      <c r="AY96">
        <v>0.8</v>
      </c>
      <c r="AZ96">
        <v>34</v>
      </c>
      <c r="BA96">
        <v>0</v>
      </c>
      <c r="BB96">
        <v>0</v>
      </c>
      <c r="BC96">
        <v>0</v>
      </c>
      <c r="BD96">
        <v>0</v>
      </c>
      <c r="BE96">
        <v>4250</v>
      </c>
      <c r="BF96">
        <v>0.45</v>
      </c>
      <c r="BG96">
        <v>19.13</v>
      </c>
      <c r="BH96">
        <v>0</v>
      </c>
      <c r="BI96">
        <v>0</v>
      </c>
      <c r="BJ96">
        <v>0</v>
      </c>
      <c r="BK96">
        <v>0</v>
      </c>
      <c r="BN96">
        <v>0</v>
      </c>
      <c r="BO96">
        <v>0</v>
      </c>
      <c r="BQ96">
        <v>0</v>
      </c>
      <c r="BR96">
        <v>0</v>
      </c>
      <c r="BS96">
        <v>451.25</v>
      </c>
      <c r="BT96">
        <v>1051.8800000000001</v>
      </c>
      <c r="BU96">
        <v>304</v>
      </c>
      <c r="BV96">
        <v>304</v>
      </c>
      <c r="BW96">
        <v>0</v>
      </c>
      <c r="BX96">
        <v>0</v>
      </c>
      <c r="BY96">
        <v>0</v>
      </c>
      <c r="BZ96">
        <v>0</v>
      </c>
      <c r="CA96">
        <v>755.25</v>
      </c>
      <c r="CB96">
        <v>1355.88</v>
      </c>
      <c r="CC96">
        <v>2111.13</v>
      </c>
      <c r="CD96">
        <v>21</v>
      </c>
      <c r="CF96">
        <v>451.25</v>
      </c>
      <c r="CG96">
        <v>1051.8800000000001</v>
      </c>
      <c r="CH96">
        <v>304</v>
      </c>
      <c r="CI96">
        <v>304</v>
      </c>
    </row>
    <row r="97" spans="1:87">
      <c r="A97" s="6" t="s">
        <v>439</v>
      </c>
      <c r="B97" t="s">
        <v>365</v>
      </c>
      <c r="C97" s="5" t="s">
        <v>427</v>
      </c>
      <c r="D97" s="5" t="s">
        <v>428</v>
      </c>
      <c r="E97">
        <v>4250</v>
      </c>
      <c r="F97">
        <v>16</v>
      </c>
      <c r="G97">
        <v>680</v>
      </c>
      <c r="H97">
        <v>0</v>
      </c>
      <c r="I97">
        <v>8</v>
      </c>
      <c r="J97">
        <v>340</v>
      </c>
      <c r="K97">
        <v>0</v>
      </c>
      <c r="L97">
        <v>4250</v>
      </c>
      <c r="M97">
        <v>7.6</v>
      </c>
      <c r="N97">
        <v>0</v>
      </c>
      <c r="O97">
        <v>323</v>
      </c>
      <c r="P97">
        <v>0</v>
      </c>
      <c r="Q97">
        <v>2</v>
      </c>
      <c r="R97">
        <v>0</v>
      </c>
      <c r="S97">
        <v>85</v>
      </c>
      <c r="T97">
        <v>0</v>
      </c>
      <c r="U97">
        <v>4250</v>
      </c>
      <c r="V97">
        <v>0.5</v>
      </c>
      <c r="W97">
        <v>21.25</v>
      </c>
      <c r="X97">
        <v>0</v>
      </c>
      <c r="Y97">
        <v>0.5</v>
      </c>
      <c r="Z97">
        <v>21.25</v>
      </c>
      <c r="AA97">
        <v>0</v>
      </c>
      <c r="AB97">
        <v>2280</v>
      </c>
      <c r="AC97">
        <v>8</v>
      </c>
      <c r="AD97">
        <v>183</v>
      </c>
      <c r="AE97">
        <v>0</v>
      </c>
      <c r="AF97">
        <v>8</v>
      </c>
      <c r="AG97">
        <v>183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X97">
        <v>4250</v>
      </c>
      <c r="AY97">
        <v>0.8</v>
      </c>
      <c r="AZ97">
        <v>34</v>
      </c>
      <c r="BA97">
        <v>0</v>
      </c>
      <c r="BB97">
        <v>0</v>
      </c>
      <c r="BC97">
        <v>0</v>
      </c>
      <c r="BD97">
        <v>0</v>
      </c>
      <c r="BE97">
        <v>4250</v>
      </c>
      <c r="BF97">
        <v>0.9</v>
      </c>
      <c r="BG97">
        <v>38.25</v>
      </c>
      <c r="BH97">
        <v>0</v>
      </c>
      <c r="BI97">
        <v>0</v>
      </c>
      <c r="BJ97">
        <v>0</v>
      </c>
      <c r="BK97">
        <v>0</v>
      </c>
      <c r="BN97">
        <v>0</v>
      </c>
      <c r="BO97">
        <v>0</v>
      </c>
      <c r="BQ97">
        <v>0</v>
      </c>
      <c r="BR97">
        <v>0</v>
      </c>
      <c r="BS97">
        <v>446.25</v>
      </c>
      <c r="BT97">
        <v>1096.5</v>
      </c>
      <c r="BU97">
        <v>183</v>
      </c>
      <c r="BV97">
        <v>183</v>
      </c>
      <c r="BW97">
        <v>0</v>
      </c>
      <c r="BX97">
        <v>0</v>
      </c>
      <c r="BY97">
        <v>0</v>
      </c>
      <c r="BZ97">
        <v>0</v>
      </c>
      <c r="CA97">
        <v>629.25</v>
      </c>
      <c r="CB97">
        <v>1279.5</v>
      </c>
      <c r="CC97">
        <v>1908.75</v>
      </c>
      <c r="CD97">
        <v>21</v>
      </c>
      <c r="CF97">
        <v>446.25</v>
      </c>
      <c r="CG97">
        <v>1096.5</v>
      </c>
      <c r="CH97">
        <v>183</v>
      </c>
      <c r="CI97">
        <v>183</v>
      </c>
    </row>
    <row r="98" spans="1:87">
      <c r="A98" s="6" t="s">
        <v>439</v>
      </c>
      <c r="B98" t="s">
        <v>365</v>
      </c>
      <c r="C98" s="5" t="s">
        <v>291</v>
      </c>
      <c r="D98" s="5" t="s">
        <v>292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 t="s">
        <v>438</v>
      </c>
      <c r="CF98">
        <v>0</v>
      </c>
      <c r="CG98">
        <v>0</v>
      </c>
      <c r="CH98">
        <v>0</v>
      </c>
      <c r="CI98">
        <v>0</v>
      </c>
    </row>
  </sheetData>
  <mergeCells count="40">
    <mergeCell ref="A1:A3"/>
    <mergeCell ref="B1:B3"/>
    <mergeCell ref="C1:C3"/>
    <mergeCell ref="D1:D3"/>
    <mergeCell ref="BS1:BV1"/>
    <mergeCell ref="AI1:AW1"/>
    <mergeCell ref="AX1:BD1"/>
    <mergeCell ref="BE1:BK1"/>
    <mergeCell ref="BL1:BR1"/>
    <mergeCell ref="AK2:AL2"/>
    <mergeCell ref="AM2:AN2"/>
    <mergeCell ref="AO2:AP2"/>
    <mergeCell ref="AQ2:AR2"/>
    <mergeCell ref="AS2:AT2"/>
    <mergeCell ref="BS2:BT2"/>
    <mergeCell ref="BU2:BV2"/>
    <mergeCell ref="CD1:CD3"/>
    <mergeCell ref="E1:K1"/>
    <mergeCell ref="L1:T1"/>
    <mergeCell ref="U1:AA1"/>
    <mergeCell ref="AU2:AV2"/>
    <mergeCell ref="BW1:BZ1"/>
    <mergeCell ref="F2:H2"/>
    <mergeCell ref="I2:K2"/>
    <mergeCell ref="M2:P2"/>
    <mergeCell ref="Q2:T2"/>
    <mergeCell ref="V2:X2"/>
    <mergeCell ref="Y2:AA2"/>
    <mergeCell ref="AC2:AE2"/>
    <mergeCell ref="AF2:AH2"/>
    <mergeCell ref="AI2:AJ2"/>
    <mergeCell ref="AB1:AH1"/>
    <mergeCell ref="BW2:BX2"/>
    <mergeCell ref="BY2:BZ2"/>
    <mergeCell ref="AY2:BA2"/>
    <mergeCell ref="BB2:BD2"/>
    <mergeCell ref="BF2:BH2"/>
    <mergeCell ref="BI2:BK2"/>
    <mergeCell ref="BM2:BO2"/>
    <mergeCell ref="BP2:BR2"/>
  </mergeCells>
  <phoneticPr fontId="23" type="noConversion"/>
  <conditionalFormatting sqref="C1:C3 C34:C1048576">
    <cfRule type="duplicateValues" dxfId="476" priority="107"/>
    <cfRule type="duplicateValues" dxfId="475" priority="110"/>
  </conditionalFormatting>
  <conditionalFormatting sqref="C1:C3">
    <cfRule type="duplicateValues" dxfId="474" priority="111"/>
  </conditionalFormatting>
  <conditionalFormatting sqref="C37 C38:D81 D20">
    <cfRule type="cellIs" dxfId="473" priority="108" stopIfTrue="1" operator="between">
      <formula>-1</formula>
      <formula>-10000</formula>
    </cfRule>
  </conditionalFormatting>
  <conditionalFormatting sqref="C37:C40">
    <cfRule type="duplicateValues" dxfId="472" priority="257"/>
  </conditionalFormatting>
  <conditionalFormatting sqref="C38:C40">
    <cfRule type="duplicateValues" dxfId="471" priority="222"/>
    <cfRule type="duplicateValues" dxfId="470" priority="223"/>
    <cfRule type="duplicateValues" dxfId="469" priority="224"/>
    <cfRule type="duplicateValues" dxfId="468" priority="225"/>
    <cfRule type="duplicateValues" dxfId="467" priority="226"/>
    <cfRule type="duplicateValues" dxfId="466" priority="227"/>
    <cfRule type="duplicateValues" dxfId="465" priority="228"/>
    <cfRule type="duplicateValues" dxfId="464" priority="229"/>
    <cfRule type="cellIs" dxfId="463" priority="230" stopIfTrue="1" operator="between">
      <formula>-1</formula>
      <formula>-10000</formula>
    </cfRule>
    <cfRule type="duplicateValues" dxfId="462" priority="256"/>
  </conditionalFormatting>
  <conditionalFormatting sqref="C39">
    <cfRule type="duplicateValues" dxfId="461" priority="81"/>
    <cfRule type="duplicateValues" dxfId="460" priority="82"/>
    <cfRule type="duplicateValues" dxfId="459" priority="89"/>
    <cfRule type="duplicateValues" dxfId="458" priority="221"/>
  </conditionalFormatting>
  <conditionalFormatting sqref="C39:C40">
    <cfRule type="duplicateValues" dxfId="457" priority="232"/>
    <cfRule type="duplicateValues" dxfId="456" priority="233"/>
    <cfRule type="duplicateValues" dxfId="455" priority="234"/>
    <cfRule type="duplicateValues" dxfId="454" priority="235"/>
    <cfRule type="duplicateValues" dxfId="453" priority="236"/>
    <cfRule type="duplicateValues" dxfId="452" priority="237"/>
    <cfRule type="cellIs" dxfId="451" priority="238" stopIfTrue="1" operator="between">
      <formula>-1</formula>
      <formula>-10000</formula>
    </cfRule>
  </conditionalFormatting>
  <conditionalFormatting sqref="C40">
    <cfRule type="duplicateValues" dxfId="450" priority="113"/>
    <cfRule type="duplicateValues" dxfId="449" priority="114"/>
    <cfRule type="duplicateValues" dxfId="448" priority="115"/>
    <cfRule type="duplicateValues" dxfId="447" priority="116"/>
    <cfRule type="duplicateValues" dxfId="446" priority="117"/>
    <cfRule type="cellIs" dxfId="445" priority="118" stopIfTrue="1" operator="between">
      <formula>-1</formula>
      <formula>-10000</formula>
    </cfRule>
    <cfRule type="duplicateValues" dxfId="444" priority="120"/>
    <cfRule type="duplicateValues" dxfId="443" priority="121"/>
    <cfRule type="duplicateValues" dxfId="442" priority="122"/>
  </conditionalFormatting>
  <conditionalFormatting sqref="C41">
    <cfRule type="duplicateValues" dxfId="441" priority="99"/>
    <cfRule type="duplicateValues" dxfId="440" priority="100"/>
    <cfRule type="duplicateValues" dxfId="439" priority="101"/>
    <cfRule type="duplicateValues" dxfId="438" priority="102"/>
    <cfRule type="duplicateValues" dxfId="437" priority="103"/>
    <cfRule type="cellIs" dxfId="436" priority="104" stopIfTrue="1" operator="between">
      <formula>-1</formula>
      <formula>-10000</formula>
    </cfRule>
  </conditionalFormatting>
  <conditionalFormatting sqref="C42:C49">
    <cfRule type="duplicateValues" dxfId="435" priority="149"/>
  </conditionalFormatting>
  <conditionalFormatting sqref="C47:C49">
    <cfRule type="duplicateValues" dxfId="434" priority="134"/>
  </conditionalFormatting>
  <conditionalFormatting sqref="C49">
    <cfRule type="duplicateValues" dxfId="433" priority="143"/>
  </conditionalFormatting>
  <conditionalFormatting sqref="C50:C80">
    <cfRule type="duplicateValues" dxfId="432" priority="171"/>
  </conditionalFormatting>
  <conditionalFormatting sqref="C52:C80">
    <cfRule type="duplicateValues" dxfId="431" priority="180"/>
  </conditionalFormatting>
  <conditionalFormatting sqref="C54">
    <cfRule type="duplicateValues" dxfId="430" priority="50"/>
    <cfRule type="duplicateValues" dxfId="429" priority="51"/>
    <cfRule type="duplicateValues" dxfId="428" priority="52"/>
    <cfRule type="duplicateValues" dxfId="427" priority="53"/>
    <cfRule type="duplicateValues" dxfId="426" priority="54"/>
    <cfRule type="duplicateValues" dxfId="425" priority="55"/>
    <cfRule type="duplicateValues" dxfId="424" priority="56"/>
    <cfRule type="duplicateValues" dxfId="423" priority="57"/>
    <cfRule type="duplicateValues" dxfId="422" priority="58"/>
    <cfRule type="cellIs" dxfId="421" priority="59" stopIfTrue="1" operator="between">
      <formula>-1</formula>
      <formula>-10000</formula>
    </cfRule>
    <cfRule type="duplicateValues" dxfId="420" priority="69"/>
  </conditionalFormatting>
  <conditionalFormatting sqref="C55:C80">
    <cfRule type="duplicateValues" dxfId="419" priority="186"/>
    <cfRule type="duplicateValues" dxfId="418" priority="187"/>
    <cfRule type="duplicateValues" dxfId="417" priority="188"/>
    <cfRule type="duplicateValues" dxfId="416" priority="189"/>
    <cfRule type="duplicateValues" dxfId="415" priority="190"/>
    <cfRule type="cellIs" dxfId="414" priority="191" stopIfTrue="1" operator="between">
      <formula>-1</formula>
      <formula>-10000</formula>
    </cfRule>
    <cfRule type="duplicateValues" dxfId="413" priority="193"/>
    <cfRule type="duplicateValues" dxfId="412" priority="194"/>
    <cfRule type="duplicateValues" dxfId="411" priority="195"/>
    <cfRule type="duplicateValues" dxfId="410" priority="196"/>
    <cfRule type="duplicateValues" dxfId="409" priority="197"/>
    <cfRule type="duplicateValues" dxfId="408" priority="198"/>
    <cfRule type="duplicateValues" dxfId="407" priority="199"/>
    <cfRule type="duplicateValues" dxfId="406" priority="200"/>
    <cfRule type="duplicateValues" dxfId="405" priority="201"/>
    <cfRule type="cellIs" dxfId="404" priority="202" stopIfTrue="1" operator="between">
      <formula>-1</formula>
      <formula>-10000</formula>
    </cfRule>
    <cfRule type="duplicateValues" dxfId="403" priority="204"/>
    <cfRule type="duplicateValues" dxfId="402" priority="205"/>
    <cfRule type="duplicateValues" dxfId="401" priority="206"/>
    <cfRule type="duplicateValues" dxfId="400" priority="207"/>
  </conditionalFormatting>
  <conditionalFormatting sqref="C72:C80">
    <cfRule type="duplicateValues" dxfId="399" priority="165"/>
  </conditionalFormatting>
  <conditionalFormatting sqref="C75:C80">
    <cfRule type="duplicateValues" dxfId="398" priority="153"/>
    <cfRule type="duplicateValues" dxfId="397" priority="162"/>
    <cfRule type="duplicateValues" dxfId="396" priority="163"/>
    <cfRule type="duplicateValues" dxfId="395" priority="164"/>
  </conditionalFormatting>
  <conditionalFormatting sqref="C81">
    <cfRule type="duplicateValues" dxfId="394" priority="10"/>
    <cfRule type="duplicateValues" dxfId="393" priority="11"/>
    <cfRule type="duplicateValues" dxfId="392" priority="12"/>
    <cfRule type="duplicateValues" dxfId="391" priority="13"/>
    <cfRule type="duplicateValues" dxfId="390" priority="14"/>
    <cfRule type="duplicateValues" dxfId="389" priority="15"/>
    <cfRule type="duplicateValues" dxfId="388" priority="16"/>
    <cfRule type="duplicateValues" dxfId="387" priority="17"/>
    <cfRule type="duplicateValues" dxfId="386" priority="18"/>
    <cfRule type="duplicateValues" dxfId="385" priority="19"/>
    <cfRule type="duplicateValues" dxfId="384" priority="20"/>
    <cfRule type="cellIs" dxfId="383" priority="21" stopIfTrue="1" operator="between">
      <formula>-1</formula>
      <formula>-10000</formula>
    </cfRule>
    <cfRule type="duplicateValues" dxfId="382" priority="23"/>
    <cfRule type="duplicateValues" dxfId="381" priority="24"/>
    <cfRule type="cellIs" dxfId="380" priority="25" stopIfTrue="1" operator="between">
      <formula>-1</formula>
      <formula>-10000</formula>
    </cfRule>
    <cfRule type="duplicateValues" dxfId="379" priority="27"/>
    <cfRule type="duplicateValues" dxfId="378" priority="28"/>
    <cfRule type="duplicateValues" dxfId="377" priority="29"/>
    <cfRule type="duplicateValues" dxfId="376" priority="30"/>
    <cfRule type="duplicateValues" dxfId="375" priority="39"/>
  </conditionalFormatting>
  <conditionalFormatting sqref="C1:D3 C34:D1048576">
    <cfRule type="duplicateValues" dxfId="374" priority="112"/>
  </conditionalFormatting>
  <conditionalFormatting sqref="C1:D1048576">
    <cfRule type="duplicateValues" dxfId="373" priority="1"/>
    <cfRule type="duplicateValues" dxfId="372" priority="94"/>
    <cfRule type="duplicateValues" dxfId="371" priority="106"/>
  </conditionalFormatting>
  <conditionalFormatting sqref="C37:D40">
    <cfRule type="duplicateValues" dxfId="370" priority="258"/>
    <cfRule type="duplicateValues" dxfId="369" priority="259"/>
    <cfRule type="duplicateValues" dxfId="368" priority="260"/>
  </conditionalFormatting>
  <conditionalFormatting sqref="C38:D40">
    <cfRule type="duplicateValues" dxfId="367" priority="245"/>
    <cfRule type="duplicateValues" dxfId="366" priority="246"/>
    <cfRule type="duplicateValues" dxfId="365" priority="247"/>
    <cfRule type="duplicateValues" dxfId="364" priority="248"/>
    <cfRule type="duplicateValues" dxfId="363" priority="249"/>
    <cfRule type="duplicateValues" dxfId="362" priority="250"/>
  </conditionalFormatting>
  <conditionalFormatting sqref="C39:D39">
    <cfRule type="duplicateValues" dxfId="361" priority="78"/>
    <cfRule type="duplicateValues" dxfId="360" priority="79"/>
    <cfRule type="duplicateValues" dxfId="359" priority="80"/>
    <cfRule type="duplicateValues" dxfId="358" priority="88"/>
    <cfRule type="duplicateValues" dxfId="357" priority="90"/>
    <cfRule type="duplicateValues" dxfId="356" priority="91"/>
  </conditionalFormatting>
  <conditionalFormatting sqref="C39:D40">
    <cfRule type="duplicateValues" dxfId="355" priority="251"/>
    <cfRule type="duplicateValues" dxfId="354" priority="252"/>
    <cfRule type="duplicateValues" dxfId="353" priority="253"/>
    <cfRule type="duplicateValues" dxfId="352" priority="254"/>
    <cfRule type="duplicateValues" dxfId="351" priority="255"/>
  </conditionalFormatting>
  <conditionalFormatting sqref="C40:D40">
    <cfRule type="duplicateValues" dxfId="350" priority="128"/>
    <cfRule type="duplicateValues" dxfId="349" priority="129"/>
    <cfRule type="duplicateValues" dxfId="348" priority="130"/>
    <cfRule type="duplicateValues" dxfId="347" priority="131"/>
    <cfRule type="duplicateValues" dxfId="346" priority="132"/>
    <cfRule type="duplicateValues" dxfId="345" priority="133"/>
  </conditionalFormatting>
  <conditionalFormatting sqref="C41:D41">
    <cfRule type="duplicateValues" dxfId="344" priority="98"/>
  </conditionalFormatting>
  <conditionalFormatting sqref="C42:D49">
    <cfRule type="duplicateValues" dxfId="343" priority="150"/>
    <cfRule type="duplicateValues" dxfId="342" priority="151"/>
    <cfRule type="duplicateValues" dxfId="341" priority="152"/>
  </conditionalFormatting>
  <conditionalFormatting sqref="C47:D49">
    <cfRule type="duplicateValues" dxfId="340" priority="140"/>
    <cfRule type="duplicateValues" dxfId="339" priority="141"/>
    <cfRule type="duplicateValues" dxfId="338" priority="142"/>
  </conditionalFormatting>
  <conditionalFormatting sqref="C50:D80">
    <cfRule type="duplicateValues" dxfId="337" priority="177"/>
    <cfRule type="duplicateValues" dxfId="336" priority="178"/>
    <cfRule type="duplicateValues" dxfId="335" priority="179"/>
  </conditionalFormatting>
  <conditionalFormatting sqref="C54:D54">
    <cfRule type="duplicateValues" dxfId="334" priority="45"/>
    <cfRule type="duplicateValues" dxfId="333" priority="46"/>
    <cfRule type="duplicateValues" dxfId="332" priority="47"/>
    <cfRule type="duplicateValues" dxfId="331" priority="48"/>
    <cfRule type="duplicateValues" dxfId="330" priority="49"/>
    <cfRule type="duplicateValues" dxfId="329" priority="61"/>
    <cfRule type="duplicateValues" dxfId="328" priority="62"/>
    <cfRule type="cellIs" dxfId="327" priority="63" stopIfTrue="1" operator="between">
      <formula>-1</formula>
      <formula>-10000</formula>
    </cfRule>
    <cfRule type="duplicateValues" dxfId="326" priority="65"/>
    <cfRule type="duplicateValues" dxfId="325" priority="66"/>
    <cfRule type="duplicateValues" dxfId="324" priority="67"/>
    <cfRule type="duplicateValues" dxfId="323" priority="68"/>
  </conditionalFormatting>
  <conditionalFormatting sqref="C75:D80">
    <cfRule type="duplicateValues" dxfId="322" priority="159"/>
    <cfRule type="duplicateValues" dxfId="321" priority="160"/>
    <cfRule type="duplicateValues" dxfId="320" priority="161"/>
  </conditionalFormatting>
  <conditionalFormatting sqref="C81:D81">
    <cfRule type="duplicateValues" dxfId="319" priority="31"/>
    <cfRule type="duplicateValues" dxfId="318" priority="32"/>
    <cfRule type="duplicateValues" dxfId="317" priority="33"/>
  </conditionalFormatting>
  <conditionalFormatting sqref="D20">
    <cfRule type="duplicateValues" dxfId="316" priority="95"/>
    <cfRule type="duplicateValues" dxfId="315" priority="96"/>
    <cfRule type="duplicateValues" dxfId="314" priority="97"/>
  </conditionalFormatting>
  <conditionalFormatting sqref="D38:D40 D47:D81">
    <cfRule type="cellIs" dxfId="313" priority="92" stopIfTrue="1" operator="between">
      <formula>-1</formula>
      <formula>-10000</formula>
    </cfRule>
  </conditionalFormatting>
  <conditionalFormatting sqref="D38:D40">
    <cfRule type="duplicateValues" dxfId="312" priority="240"/>
    <cfRule type="duplicateValues" dxfId="311" priority="241"/>
    <cfRule type="duplicateValues" dxfId="310" priority="242"/>
    <cfRule type="duplicateValues" dxfId="309" priority="243"/>
    <cfRule type="duplicateValues" dxfId="308" priority="244"/>
  </conditionalFormatting>
  <conditionalFormatting sqref="D39">
    <cfRule type="duplicateValues" dxfId="307" priority="83"/>
    <cfRule type="duplicateValues" dxfId="306" priority="84"/>
    <cfRule type="duplicateValues" dxfId="305" priority="85"/>
    <cfRule type="duplicateValues" dxfId="304" priority="86"/>
    <cfRule type="duplicateValues" dxfId="303" priority="87"/>
  </conditionalFormatting>
  <conditionalFormatting sqref="D40">
    <cfRule type="duplicateValues" dxfId="302" priority="123"/>
    <cfRule type="duplicateValues" dxfId="301" priority="124"/>
    <cfRule type="duplicateValues" dxfId="300" priority="125"/>
    <cfRule type="duplicateValues" dxfId="299" priority="126"/>
    <cfRule type="duplicateValues" dxfId="298" priority="127"/>
  </conditionalFormatting>
  <conditionalFormatting sqref="D47:D49">
    <cfRule type="duplicateValues" dxfId="297" priority="135"/>
    <cfRule type="duplicateValues" dxfId="296" priority="136"/>
    <cfRule type="duplicateValues" dxfId="295" priority="137"/>
    <cfRule type="duplicateValues" dxfId="294" priority="138"/>
    <cfRule type="duplicateValues" dxfId="293" priority="139"/>
  </conditionalFormatting>
  <conditionalFormatting sqref="D49">
    <cfRule type="duplicateValues" dxfId="292" priority="144"/>
    <cfRule type="duplicateValues" dxfId="291" priority="145"/>
    <cfRule type="duplicateValues" dxfId="290" priority="146"/>
    <cfRule type="duplicateValues" dxfId="289" priority="147"/>
    <cfRule type="duplicateValues" dxfId="288" priority="148"/>
  </conditionalFormatting>
  <conditionalFormatting sqref="D50:D80">
    <cfRule type="duplicateValues" dxfId="287" priority="172"/>
    <cfRule type="duplicateValues" dxfId="286" priority="173"/>
    <cfRule type="duplicateValues" dxfId="285" priority="174"/>
    <cfRule type="duplicateValues" dxfId="284" priority="175"/>
    <cfRule type="duplicateValues" dxfId="283" priority="176"/>
  </conditionalFormatting>
  <conditionalFormatting sqref="D52:D80">
    <cfRule type="duplicateValues" dxfId="282" priority="181"/>
    <cfRule type="duplicateValues" dxfId="281" priority="182"/>
    <cfRule type="duplicateValues" dxfId="280" priority="183"/>
    <cfRule type="duplicateValues" dxfId="279" priority="184"/>
    <cfRule type="duplicateValues" dxfId="278" priority="185"/>
  </conditionalFormatting>
  <conditionalFormatting sqref="D54">
    <cfRule type="duplicateValues" dxfId="277" priority="70"/>
    <cfRule type="duplicateValues" dxfId="276" priority="71"/>
    <cfRule type="duplicateValues" dxfId="275" priority="72"/>
    <cfRule type="duplicateValues" dxfId="274" priority="73"/>
    <cfRule type="duplicateValues" dxfId="273" priority="74"/>
  </conditionalFormatting>
  <conditionalFormatting sqref="D55:D80">
    <cfRule type="duplicateValues" dxfId="272" priority="208"/>
    <cfRule type="duplicateValues" dxfId="271" priority="209"/>
    <cfRule type="duplicateValues" dxfId="270" priority="210"/>
    <cfRule type="duplicateValues" dxfId="269" priority="211"/>
    <cfRule type="duplicateValues" dxfId="268" priority="212"/>
    <cfRule type="duplicateValues" dxfId="267" priority="213"/>
    <cfRule type="duplicateValues" dxfId="266" priority="214"/>
    <cfRule type="duplicateValues" dxfId="265" priority="215"/>
    <cfRule type="duplicateValues" dxfId="264" priority="216"/>
    <cfRule type="cellIs" dxfId="263" priority="217" stopIfTrue="1" operator="between">
      <formula>-1</formula>
      <formula>-10000</formula>
    </cfRule>
    <cfRule type="duplicateValues" dxfId="262" priority="219"/>
    <cfRule type="duplicateValues" dxfId="261" priority="220"/>
  </conditionalFormatting>
  <conditionalFormatting sqref="D72:D80">
    <cfRule type="duplicateValues" dxfId="260" priority="166"/>
    <cfRule type="duplicateValues" dxfId="259" priority="167"/>
    <cfRule type="duplicateValues" dxfId="258" priority="168"/>
    <cfRule type="duplicateValues" dxfId="257" priority="169"/>
    <cfRule type="duplicateValues" dxfId="256" priority="170"/>
  </conditionalFormatting>
  <conditionalFormatting sqref="D75:D80">
    <cfRule type="duplicateValues" dxfId="255" priority="154"/>
    <cfRule type="duplicateValues" dxfId="254" priority="155"/>
    <cfRule type="duplicateValues" dxfId="253" priority="156"/>
    <cfRule type="duplicateValues" dxfId="252" priority="157"/>
    <cfRule type="duplicateValues" dxfId="251" priority="158"/>
  </conditionalFormatting>
  <conditionalFormatting sqref="D81">
    <cfRule type="duplicateValues" dxfId="250" priority="2"/>
    <cfRule type="duplicateValues" dxfId="249" priority="3"/>
    <cfRule type="cellIs" dxfId="248" priority="4" stopIfTrue="1" operator="between">
      <formula>-1</formula>
      <formula>-10000</formula>
    </cfRule>
    <cfRule type="duplicateValues" dxfId="247" priority="6"/>
    <cfRule type="duplicateValues" dxfId="246" priority="7"/>
    <cfRule type="duplicateValues" dxfId="245" priority="8"/>
    <cfRule type="duplicateValues" dxfId="244" priority="9"/>
    <cfRule type="duplicateValues" dxfId="243" priority="34"/>
    <cfRule type="duplicateValues" dxfId="242" priority="35"/>
    <cfRule type="duplicateValues" dxfId="241" priority="36"/>
    <cfRule type="duplicateValues" dxfId="240" priority="37"/>
    <cfRule type="duplicateValues" dxfId="239" priority="38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4"/>
  <sheetViews>
    <sheetView workbookViewId="0">
      <pane xSplit="2" ySplit="3" topLeftCell="C60" activePane="bottomRight" state="frozen"/>
      <selection pane="topRight" activeCell="C1" sqref="C1"/>
      <selection pane="bottomLeft" activeCell="A4" sqref="A4"/>
      <selection pane="bottomRight" activeCell="I92" sqref="I92"/>
    </sheetView>
  </sheetViews>
  <sheetFormatPr defaultRowHeight="14.4"/>
  <sheetData>
    <row r="1" spans="1:13">
      <c r="A1" t="s">
        <v>22</v>
      </c>
      <c r="B1" t="s">
        <v>11</v>
      </c>
      <c r="C1" t="s">
        <v>315</v>
      </c>
      <c r="G1" t="s">
        <v>316</v>
      </c>
      <c r="K1" t="s">
        <v>317</v>
      </c>
    </row>
    <row r="2" spans="1:13">
      <c r="C2" t="s">
        <v>329</v>
      </c>
      <c r="E2" t="s">
        <v>330</v>
      </c>
      <c r="G2" t="s">
        <v>329</v>
      </c>
      <c r="I2" t="s">
        <v>330</v>
      </c>
      <c r="K2" t="s">
        <v>320</v>
      </c>
      <c r="L2" t="s">
        <v>319</v>
      </c>
      <c r="M2" t="s">
        <v>331</v>
      </c>
    </row>
    <row r="3" spans="1:13">
      <c r="C3" t="s">
        <v>320</v>
      </c>
      <c r="D3" t="s">
        <v>319</v>
      </c>
      <c r="E3" t="s">
        <v>320</v>
      </c>
      <c r="F3" t="s">
        <v>319</v>
      </c>
      <c r="G3" t="s">
        <v>320</v>
      </c>
      <c r="H3" t="s">
        <v>319</v>
      </c>
      <c r="I3" t="s">
        <v>320</v>
      </c>
      <c r="J3" t="s">
        <v>319</v>
      </c>
      <c r="K3" t="s">
        <v>320</v>
      </c>
      <c r="L3" t="s">
        <v>319</v>
      </c>
      <c r="M3" t="s">
        <v>331</v>
      </c>
    </row>
    <row r="4" spans="1:13">
      <c r="A4" t="s">
        <v>114</v>
      </c>
      <c r="B4">
        <v>21</v>
      </c>
      <c r="C4">
        <v>627.38</v>
      </c>
      <c r="D4">
        <v>1628.55</v>
      </c>
      <c r="E4">
        <v>174</v>
      </c>
      <c r="F4">
        <v>174</v>
      </c>
      <c r="G4">
        <v>0</v>
      </c>
      <c r="H4">
        <v>0</v>
      </c>
      <c r="I4">
        <v>0</v>
      </c>
      <c r="J4">
        <v>0</v>
      </c>
      <c r="K4">
        <v>801.38</v>
      </c>
      <c r="L4">
        <v>1802.55</v>
      </c>
      <c r="M4">
        <v>2603.9299999999998</v>
      </c>
    </row>
    <row r="5" spans="1:13">
      <c r="A5" t="s">
        <v>366</v>
      </c>
      <c r="B5">
        <v>21</v>
      </c>
      <c r="C5">
        <v>627.38</v>
      </c>
      <c r="D5">
        <v>1628.55</v>
      </c>
      <c r="E5">
        <v>174</v>
      </c>
      <c r="F5">
        <v>174</v>
      </c>
      <c r="G5">
        <v>0</v>
      </c>
      <c r="H5">
        <v>0</v>
      </c>
      <c r="I5">
        <v>0</v>
      </c>
      <c r="J5">
        <v>0</v>
      </c>
      <c r="K5">
        <v>801.38</v>
      </c>
      <c r="L5">
        <v>1802.55</v>
      </c>
      <c r="M5">
        <v>2603.9299999999998</v>
      </c>
    </row>
    <row r="6" spans="1:13">
      <c r="A6" t="s">
        <v>93</v>
      </c>
      <c r="B6">
        <v>21</v>
      </c>
      <c r="C6">
        <v>627.38</v>
      </c>
      <c r="D6">
        <v>1628.55</v>
      </c>
      <c r="E6">
        <v>174</v>
      </c>
      <c r="F6">
        <v>174</v>
      </c>
      <c r="G6">
        <v>0</v>
      </c>
      <c r="H6">
        <v>0</v>
      </c>
      <c r="I6">
        <v>0</v>
      </c>
      <c r="J6">
        <v>0</v>
      </c>
      <c r="K6">
        <v>801.38</v>
      </c>
      <c r="L6">
        <v>1802.55</v>
      </c>
      <c r="M6">
        <v>2603.9299999999998</v>
      </c>
    </row>
    <row r="7" spans="1:13">
      <c r="A7" t="s">
        <v>194</v>
      </c>
      <c r="B7">
        <v>21</v>
      </c>
      <c r="C7">
        <v>627.38</v>
      </c>
      <c r="D7">
        <v>1628.55</v>
      </c>
      <c r="E7">
        <v>174</v>
      </c>
      <c r="F7">
        <v>174</v>
      </c>
      <c r="G7">
        <v>0</v>
      </c>
      <c r="H7">
        <v>0</v>
      </c>
      <c r="I7">
        <v>0</v>
      </c>
      <c r="J7">
        <v>0</v>
      </c>
      <c r="K7">
        <v>801.38</v>
      </c>
      <c r="L7">
        <v>1802.55</v>
      </c>
      <c r="M7">
        <v>2603.9299999999998</v>
      </c>
    </row>
    <row r="8" spans="1:13">
      <c r="A8" t="s">
        <v>275</v>
      </c>
      <c r="B8">
        <v>21</v>
      </c>
      <c r="C8">
        <v>627.38</v>
      </c>
      <c r="D8">
        <v>1628.55</v>
      </c>
      <c r="E8">
        <v>174</v>
      </c>
      <c r="F8">
        <v>174</v>
      </c>
      <c r="G8">
        <v>0</v>
      </c>
      <c r="H8">
        <v>0</v>
      </c>
      <c r="I8">
        <v>0</v>
      </c>
      <c r="J8">
        <v>0</v>
      </c>
      <c r="K8">
        <v>801.38</v>
      </c>
      <c r="L8">
        <v>1802.55</v>
      </c>
      <c r="M8">
        <v>2603.9299999999998</v>
      </c>
    </row>
    <row r="9" spans="1:13">
      <c r="A9" t="s">
        <v>223</v>
      </c>
      <c r="B9">
        <v>21</v>
      </c>
      <c r="C9">
        <v>627.38</v>
      </c>
      <c r="D9">
        <v>1628.55</v>
      </c>
      <c r="E9">
        <v>174</v>
      </c>
      <c r="F9">
        <v>174</v>
      </c>
      <c r="G9">
        <v>0</v>
      </c>
      <c r="H9">
        <v>0</v>
      </c>
      <c r="I9">
        <v>0</v>
      </c>
      <c r="J9">
        <v>0</v>
      </c>
      <c r="K9">
        <v>801.38</v>
      </c>
      <c r="L9">
        <v>1802.55</v>
      </c>
      <c r="M9">
        <v>2603.9299999999998</v>
      </c>
    </row>
    <row r="10" spans="1:13">
      <c r="A10" t="s">
        <v>171</v>
      </c>
      <c r="B10">
        <v>21</v>
      </c>
      <c r="C10">
        <v>627.38</v>
      </c>
      <c r="D10">
        <v>1628.55</v>
      </c>
      <c r="E10">
        <v>174</v>
      </c>
      <c r="F10">
        <v>174</v>
      </c>
      <c r="G10">
        <v>0</v>
      </c>
      <c r="H10">
        <v>0</v>
      </c>
      <c r="I10">
        <v>0</v>
      </c>
      <c r="J10">
        <v>0</v>
      </c>
      <c r="K10">
        <v>801.38</v>
      </c>
      <c r="L10">
        <v>1802.55</v>
      </c>
      <c r="M10">
        <v>2603.9299999999998</v>
      </c>
    </row>
    <row r="11" spans="1:13">
      <c r="A11" t="s">
        <v>163</v>
      </c>
      <c r="B11">
        <v>21</v>
      </c>
      <c r="C11">
        <v>627.38</v>
      </c>
      <c r="D11">
        <v>1628.55</v>
      </c>
      <c r="E11">
        <v>174</v>
      </c>
      <c r="F11">
        <v>174</v>
      </c>
      <c r="G11">
        <v>0</v>
      </c>
      <c r="H11">
        <v>0</v>
      </c>
      <c r="I11">
        <v>0</v>
      </c>
      <c r="J11">
        <v>0</v>
      </c>
      <c r="K11">
        <v>801.38</v>
      </c>
      <c r="L11">
        <v>1802.55</v>
      </c>
      <c r="M11">
        <v>2603.9299999999998</v>
      </c>
    </row>
    <row r="12" spans="1:13">
      <c r="A12" t="s">
        <v>353</v>
      </c>
      <c r="B12">
        <v>21</v>
      </c>
      <c r="C12">
        <v>627.38</v>
      </c>
      <c r="D12">
        <v>1628.55</v>
      </c>
      <c r="E12">
        <v>174</v>
      </c>
      <c r="F12">
        <v>174</v>
      </c>
      <c r="G12">
        <v>0</v>
      </c>
      <c r="H12">
        <v>0</v>
      </c>
      <c r="I12">
        <v>0</v>
      </c>
      <c r="J12">
        <v>0</v>
      </c>
      <c r="K12">
        <v>801.38</v>
      </c>
      <c r="L12">
        <v>1802.55</v>
      </c>
      <c r="M12">
        <v>2603.9299999999998</v>
      </c>
    </row>
    <row r="13" spans="1:13">
      <c r="A13" t="s">
        <v>383</v>
      </c>
      <c r="B13">
        <v>21</v>
      </c>
      <c r="C13">
        <v>627.38</v>
      </c>
      <c r="D13">
        <v>1628.55</v>
      </c>
      <c r="E13">
        <v>181</v>
      </c>
      <c r="F13">
        <v>181</v>
      </c>
      <c r="G13">
        <v>0</v>
      </c>
      <c r="H13">
        <v>0</v>
      </c>
      <c r="I13">
        <v>0</v>
      </c>
      <c r="J13">
        <v>0</v>
      </c>
      <c r="K13">
        <v>808.38</v>
      </c>
      <c r="L13">
        <v>1809.55</v>
      </c>
      <c r="M13">
        <v>2617.9299999999998</v>
      </c>
    </row>
    <row r="14" spans="1:13">
      <c r="A14" t="s">
        <v>246</v>
      </c>
      <c r="B14">
        <v>21</v>
      </c>
      <c r="C14">
        <v>627.38</v>
      </c>
      <c r="D14">
        <v>1628.55</v>
      </c>
      <c r="E14">
        <v>174</v>
      </c>
      <c r="F14">
        <v>174</v>
      </c>
      <c r="G14">
        <v>0</v>
      </c>
      <c r="H14">
        <v>0</v>
      </c>
      <c r="I14">
        <v>0</v>
      </c>
      <c r="J14">
        <v>0</v>
      </c>
      <c r="K14">
        <v>801.38</v>
      </c>
      <c r="L14">
        <v>1802.55</v>
      </c>
      <c r="M14">
        <v>2603.9299999999998</v>
      </c>
    </row>
    <row r="15" spans="1:13">
      <c r="A15" t="s">
        <v>96</v>
      </c>
      <c r="B15">
        <v>21</v>
      </c>
      <c r="C15">
        <v>627.38</v>
      </c>
      <c r="D15">
        <v>1628.55</v>
      </c>
      <c r="E15">
        <v>174</v>
      </c>
      <c r="F15">
        <v>174</v>
      </c>
      <c r="G15">
        <v>0</v>
      </c>
      <c r="H15">
        <v>0</v>
      </c>
      <c r="I15">
        <v>0</v>
      </c>
      <c r="J15">
        <v>0</v>
      </c>
      <c r="K15">
        <v>801.38</v>
      </c>
      <c r="L15">
        <v>1802.55</v>
      </c>
      <c r="M15">
        <v>2603.9299999999998</v>
      </c>
    </row>
    <row r="16" spans="1:13">
      <c r="A16" t="s">
        <v>135</v>
      </c>
      <c r="B16">
        <v>21</v>
      </c>
      <c r="C16">
        <v>627.38</v>
      </c>
      <c r="D16">
        <v>1628.55</v>
      </c>
      <c r="E16">
        <v>174</v>
      </c>
      <c r="F16">
        <v>174</v>
      </c>
      <c r="G16">
        <v>0</v>
      </c>
      <c r="H16">
        <v>0</v>
      </c>
      <c r="I16">
        <v>0</v>
      </c>
      <c r="J16">
        <v>0</v>
      </c>
      <c r="K16">
        <v>801.38</v>
      </c>
      <c r="L16">
        <v>1802.55</v>
      </c>
      <c r="M16">
        <v>2603.9299999999998</v>
      </c>
    </row>
    <row r="17" spans="1:13">
      <c r="A17" t="s">
        <v>375</v>
      </c>
      <c r="B17">
        <v>21</v>
      </c>
      <c r="C17">
        <v>627.38</v>
      </c>
      <c r="D17">
        <v>1628.55</v>
      </c>
      <c r="E17">
        <v>174</v>
      </c>
      <c r="F17">
        <v>174</v>
      </c>
      <c r="G17">
        <v>0</v>
      </c>
      <c r="H17">
        <v>0</v>
      </c>
      <c r="I17">
        <v>0</v>
      </c>
      <c r="J17">
        <v>0</v>
      </c>
      <c r="K17">
        <v>801.38</v>
      </c>
      <c r="L17">
        <v>1802.55</v>
      </c>
      <c r="M17">
        <v>2603.9299999999998</v>
      </c>
    </row>
    <row r="18" spans="1:13">
      <c r="A18" t="s">
        <v>132</v>
      </c>
      <c r="B18">
        <v>21</v>
      </c>
      <c r="C18">
        <v>627.38</v>
      </c>
      <c r="D18">
        <v>1628.55</v>
      </c>
      <c r="E18">
        <v>174</v>
      </c>
      <c r="F18">
        <v>174</v>
      </c>
      <c r="G18">
        <v>0</v>
      </c>
      <c r="H18">
        <v>0</v>
      </c>
      <c r="I18">
        <v>0</v>
      </c>
      <c r="J18">
        <v>0</v>
      </c>
      <c r="K18">
        <v>801.38</v>
      </c>
      <c r="L18">
        <v>1802.55</v>
      </c>
      <c r="M18">
        <v>2603.9299999999998</v>
      </c>
    </row>
    <row r="19" spans="1:13">
      <c r="A19" t="s">
        <v>152</v>
      </c>
      <c r="B19">
        <v>21</v>
      </c>
      <c r="C19">
        <v>627.38</v>
      </c>
      <c r="D19">
        <v>1628.55</v>
      </c>
      <c r="E19">
        <v>174</v>
      </c>
      <c r="F19">
        <v>174</v>
      </c>
      <c r="G19">
        <v>0</v>
      </c>
      <c r="H19">
        <v>0</v>
      </c>
      <c r="I19">
        <v>0</v>
      </c>
      <c r="J19">
        <v>0</v>
      </c>
      <c r="K19">
        <v>801.38</v>
      </c>
      <c r="L19">
        <v>1802.55</v>
      </c>
      <c r="M19">
        <v>2603.9299999999998</v>
      </c>
    </row>
    <row r="20" spans="1:13">
      <c r="A20" t="s">
        <v>158</v>
      </c>
      <c r="B20">
        <v>21</v>
      </c>
      <c r="C20">
        <v>627.38</v>
      </c>
      <c r="D20">
        <v>1628.55</v>
      </c>
      <c r="E20">
        <v>174</v>
      </c>
      <c r="F20">
        <v>174</v>
      </c>
      <c r="G20">
        <v>0</v>
      </c>
      <c r="H20">
        <v>0</v>
      </c>
      <c r="I20">
        <v>0</v>
      </c>
      <c r="J20">
        <v>0</v>
      </c>
      <c r="K20">
        <v>801.38</v>
      </c>
      <c r="L20">
        <v>1802.55</v>
      </c>
      <c r="M20">
        <v>2603.9299999999998</v>
      </c>
    </row>
    <row r="21" spans="1:13">
      <c r="A21" t="s">
        <v>123</v>
      </c>
      <c r="B21">
        <v>21</v>
      </c>
      <c r="C21">
        <v>627.38</v>
      </c>
      <c r="D21">
        <v>1628.55</v>
      </c>
      <c r="E21">
        <v>174</v>
      </c>
      <c r="F21">
        <v>174</v>
      </c>
      <c r="G21">
        <v>0</v>
      </c>
      <c r="H21">
        <v>0</v>
      </c>
      <c r="I21">
        <v>0</v>
      </c>
      <c r="J21">
        <v>0</v>
      </c>
      <c r="K21">
        <v>801.38</v>
      </c>
      <c r="L21">
        <v>1802.55</v>
      </c>
      <c r="M21">
        <v>2603.9299999999998</v>
      </c>
    </row>
    <row r="22" spans="1:13">
      <c r="A22" t="s">
        <v>166</v>
      </c>
      <c r="B22">
        <v>21</v>
      </c>
      <c r="C22">
        <v>627.38</v>
      </c>
      <c r="D22">
        <v>1628.55</v>
      </c>
      <c r="E22">
        <v>174</v>
      </c>
      <c r="F22">
        <v>174</v>
      </c>
      <c r="G22">
        <v>0</v>
      </c>
      <c r="H22">
        <v>0</v>
      </c>
      <c r="I22">
        <v>0</v>
      </c>
      <c r="J22">
        <v>0</v>
      </c>
      <c r="K22">
        <v>801.38</v>
      </c>
      <c r="L22">
        <v>1802.55</v>
      </c>
      <c r="M22">
        <v>2603.9299999999998</v>
      </c>
    </row>
    <row r="23" spans="1:13">
      <c r="A23" t="s">
        <v>139</v>
      </c>
      <c r="B23">
        <v>21</v>
      </c>
      <c r="C23">
        <v>627.38</v>
      </c>
      <c r="D23">
        <v>1628.55</v>
      </c>
      <c r="E23">
        <v>174</v>
      </c>
      <c r="F23">
        <v>174</v>
      </c>
      <c r="G23">
        <v>0</v>
      </c>
      <c r="H23">
        <v>0</v>
      </c>
      <c r="I23">
        <v>0</v>
      </c>
      <c r="J23">
        <v>0</v>
      </c>
      <c r="K23">
        <v>801.38</v>
      </c>
      <c r="L23">
        <v>1802.55</v>
      </c>
      <c r="M23">
        <v>2603.9299999999998</v>
      </c>
    </row>
    <row r="24" spans="1:13">
      <c r="A24" t="s">
        <v>141</v>
      </c>
      <c r="B24">
        <v>21</v>
      </c>
      <c r="C24">
        <v>627.38</v>
      </c>
      <c r="D24">
        <v>1628.55</v>
      </c>
      <c r="E24">
        <v>174</v>
      </c>
      <c r="F24">
        <v>174</v>
      </c>
      <c r="G24">
        <v>0</v>
      </c>
      <c r="H24">
        <v>0</v>
      </c>
      <c r="I24">
        <v>0</v>
      </c>
      <c r="J24">
        <v>0</v>
      </c>
      <c r="K24">
        <v>801.38</v>
      </c>
      <c r="L24">
        <v>1802.55</v>
      </c>
      <c r="M24">
        <v>2603.9299999999998</v>
      </c>
    </row>
    <row r="25" spans="1:13">
      <c r="A25" t="s">
        <v>218</v>
      </c>
      <c r="B25">
        <v>21</v>
      </c>
      <c r="C25">
        <v>627.38</v>
      </c>
      <c r="D25">
        <v>1628.55</v>
      </c>
      <c r="E25">
        <v>174</v>
      </c>
      <c r="F25">
        <v>174</v>
      </c>
      <c r="G25">
        <v>0</v>
      </c>
      <c r="H25">
        <v>0</v>
      </c>
      <c r="I25">
        <v>0</v>
      </c>
      <c r="J25">
        <v>0</v>
      </c>
      <c r="K25">
        <v>801.38</v>
      </c>
      <c r="L25">
        <v>1802.55</v>
      </c>
      <c r="M25">
        <v>2603.9299999999998</v>
      </c>
    </row>
    <row r="26" spans="1:13">
      <c r="A26" t="s">
        <v>148</v>
      </c>
      <c r="B26">
        <v>21</v>
      </c>
      <c r="C26">
        <v>627.38</v>
      </c>
      <c r="D26">
        <v>1628.55</v>
      </c>
      <c r="E26">
        <v>174</v>
      </c>
      <c r="F26">
        <v>174</v>
      </c>
      <c r="G26">
        <v>0</v>
      </c>
      <c r="H26">
        <v>0</v>
      </c>
      <c r="I26">
        <v>0</v>
      </c>
      <c r="J26">
        <v>0</v>
      </c>
      <c r="K26">
        <v>801.38</v>
      </c>
      <c r="L26">
        <v>1802.55</v>
      </c>
      <c r="M26">
        <v>2603.9299999999998</v>
      </c>
    </row>
    <row r="27" spans="1:13">
      <c r="A27" t="s">
        <v>214</v>
      </c>
      <c r="B27">
        <v>21</v>
      </c>
      <c r="C27">
        <v>627.38</v>
      </c>
      <c r="D27">
        <v>1628.55</v>
      </c>
      <c r="E27">
        <v>174</v>
      </c>
      <c r="F27">
        <v>174</v>
      </c>
      <c r="G27">
        <v>0</v>
      </c>
      <c r="H27">
        <v>0</v>
      </c>
      <c r="I27">
        <v>0</v>
      </c>
      <c r="J27">
        <v>0</v>
      </c>
      <c r="K27">
        <v>801.38</v>
      </c>
      <c r="L27">
        <v>1802.55</v>
      </c>
      <c r="M27">
        <v>2603.9299999999998</v>
      </c>
    </row>
    <row r="28" spans="1:13">
      <c r="A28" t="s">
        <v>100</v>
      </c>
      <c r="B28">
        <v>21</v>
      </c>
      <c r="C28">
        <v>627.38</v>
      </c>
      <c r="D28">
        <v>1628.55</v>
      </c>
      <c r="E28">
        <v>174</v>
      </c>
      <c r="F28">
        <v>174</v>
      </c>
      <c r="G28">
        <v>0</v>
      </c>
      <c r="H28">
        <v>0</v>
      </c>
      <c r="I28">
        <v>0</v>
      </c>
      <c r="J28">
        <v>0</v>
      </c>
      <c r="K28">
        <v>801.38</v>
      </c>
      <c r="L28">
        <v>1802.55</v>
      </c>
      <c r="M28">
        <v>2603.9299999999998</v>
      </c>
    </row>
    <row r="29" spans="1:13">
      <c r="A29" t="s">
        <v>264</v>
      </c>
      <c r="B29">
        <v>21</v>
      </c>
      <c r="C29">
        <v>627.38</v>
      </c>
      <c r="D29">
        <v>1628.55</v>
      </c>
      <c r="E29">
        <v>181</v>
      </c>
      <c r="F29">
        <v>181</v>
      </c>
      <c r="G29">
        <v>0</v>
      </c>
      <c r="H29">
        <v>0</v>
      </c>
      <c r="I29">
        <v>0</v>
      </c>
      <c r="J29">
        <v>0</v>
      </c>
      <c r="K29">
        <v>808.38</v>
      </c>
      <c r="L29">
        <v>1809.55</v>
      </c>
      <c r="M29">
        <v>2617.9299999999998</v>
      </c>
    </row>
    <row r="30" spans="1:13">
      <c r="A30" t="s">
        <v>117</v>
      </c>
      <c r="B30">
        <v>21</v>
      </c>
      <c r="C30">
        <v>627.38</v>
      </c>
      <c r="D30">
        <v>1628.55</v>
      </c>
      <c r="E30">
        <v>174</v>
      </c>
      <c r="F30">
        <v>174</v>
      </c>
      <c r="G30">
        <v>0</v>
      </c>
      <c r="H30">
        <v>0</v>
      </c>
      <c r="I30">
        <v>0</v>
      </c>
      <c r="J30">
        <v>0</v>
      </c>
      <c r="K30">
        <v>801.38</v>
      </c>
      <c r="L30">
        <v>1802.55</v>
      </c>
      <c r="M30">
        <v>2603.9299999999998</v>
      </c>
    </row>
    <row r="31" spans="1:13">
      <c r="A31" t="s">
        <v>126</v>
      </c>
      <c r="B31">
        <v>21</v>
      </c>
      <c r="C31">
        <v>627.38</v>
      </c>
      <c r="D31">
        <v>1628.55</v>
      </c>
      <c r="E31">
        <v>174</v>
      </c>
      <c r="F31">
        <v>174</v>
      </c>
      <c r="G31">
        <v>0</v>
      </c>
      <c r="H31">
        <v>0</v>
      </c>
      <c r="I31">
        <v>0</v>
      </c>
      <c r="J31">
        <v>0</v>
      </c>
      <c r="K31">
        <v>801.38</v>
      </c>
      <c r="L31">
        <v>1802.55</v>
      </c>
      <c r="M31">
        <v>2603.9299999999998</v>
      </c>
    </row>
    <row r="32" spans="1:13">
      <c r="A32" t="s">
        <v>277</v>
      </c>
      <c r="B32">
        <v>21</v>
      </c>
      <c r="C32">
        <v>627.38</v>
      </c>
      <c r="D32">
        <v>1628.55</v>
      </c>
      <c r="E32">
        <v>174</v>
      </c>
      <c r="F32">
        <v>174</v>
      </c>
      <c r="G32">
        <v>0</v>
      </c>
      <c r="H32">
        <v>0</v>
      </c>
      <c r="I32">
        <v>0</v>
      </c>
      <c r="J32">
        <v>0</v>
      </c>
      <c r="K32">
        <v>801.38</v>
      </c>
      <c r="L32">
        <v>1802.55</v>
      </c>
      <c r="M32">
        <v>2603.9299999999998</v>
      </c>
    </row>
    <row r="33" spans="1:13">
      <c r="A33" t="s">
        <v>228</v>
      </c>
      <c r="B33">
        <v>21</v>
      </c>
      <c r="C33">
        <v>627.38</v>
      </c>
      <c r="D33">
        <v>1628.55</v>
      </c>
      <c r="E33">
        <v>174</v>
      </c>
      <c r="F33">
        <v>174</v>
      </c>
      <c r="G33">
        <v>0</v>
      </c>
      <c r="H33">
        <v>0</v>
      </c>
      <c r="I33">
        <v>0</v>
      </c>
      <c r="J33">
        <v>0</v>
      </c>
      <c r="K33">
        <v>801.38</v>
      </c>
      <c r="L33">
        <v>1802.55</v>
      </c>
      <c r="M33">
        <v>2603.9299999999998</v>
      </c>
    </row>
    <row r="34" spans="1:13">
      <c r="A34" t="s">
        <v>243</v>
      </c>
      <c r="B34">
        <v>21</v>
      </c>
      <c r="C34">
        <v>627.38</v>
      </c>
      <c r="D34">
        <v>1628.55</v>
      </c>
      <c r="E34">
        <v>174</v>
      </c>
      <c r="F34">
        <v>174</v>
      </c>
      <c r="G34">
        <v>0</v>
      </c>
      <c r="H34">
        <v>0</v>
      </c>
      <c r="I34">
        <v>0</v>
      </c>
      <c r="J34">
        <v>0</v>
      </c>
      <c r="K34">
        <v>801.38</v>
      </c>
      <c r="L34">
        <v>1802.55</v>
      </c>
      <c r="M34">
        <v>2603.9299999999998</v>
      </c>
    </row>
    <row r="35" spans="1:13">
      <c r="A35" t="s">
        <v>106</v>
      </c>
      <c r="B35">
        <v>21</v>
      </c>
      <c r="C35">
        <v>627.38</v>
      </c>
      <c r="D35">
        <v>1628.55</v>
      </c>
      <c r="E35">
        <v>174</v>
      </c>
      <c r="F35">
        <v>174</v>
      </c>
      <c r="G35">
        <v>0</v>
      </c>
      <c r="H35">
        <v>0</v>
      </c>
      <c r="I35">
        <v>0</v>
      </c>
      <c r="J35">
        <v>0</v>
      </c>
      <c r="K35">
        <v>801.38</v>
      </c>
      <c r="L35">
        <v>1802.55</v>
      </c>
      <c r="M35">
        <v>2603.9299999999998</v>
      </c>
    </row>
    <row r="36" spans="1:13">
      <c r="A36" t="s">
        <v>231</v>
      </c>
      <c r="B36">
        <v>21</v>
      </c>
      <c r="C36">
        <v>627.38</v>
      </c>
      <c r="D36">
        <v>1628.55</v>
      </c>
      <c r="E36">
        <v>174</v>
      </c>
      <c r="F36">
        <v>174</v>
      </c>
      <c r="G36">
        <v>0</v>
      </c>
      <c r="H36">
        <v>0</v>
      </c>
      <c r="I36">
        <v>0</v>
      </c>
      <c r="J36">
        <v>0</v>
      </c>
      <c r="K36">
        <v>801.38</v>
      </c>
      <c r="L36">
        <v>1802.55</v>
      </c>
      <c r="M36">
        <v>2603.9299999999998</v>
      </c>
    </row>
    <row r="37" spans="1:13">
      <c r="A37" t="s">
        <v>265</v>
      </c>
      <c r="B37">
        <v>21</v>
      </c>
      <c r="C37">
        <v>627.38</v>
      </c>
      <c r="D37">
        <v>1628.55</v>
      </c>
      <c r="E37">
        <v>174</v>
      </c>
      <c r="F37">
        <v>174</v>
      </c>
      <c r="G37">
        <v>0</v>
      </c>
      <c r="H37">
        <v>0</v>
      </c>
      <c r="I37">
        <v>0</v>
      </c>
      <c r="J37">
        <v>0</v>
      </c>
      <c r="K37">
        <v>801.38</v>
      </c>
      <c r="L37">
        <v>1802.55</v>
      </c>
      <c r="M37">
        <v>2603.9299999999998</v>
      </c>
    </row>
    <row r="38" spans="1:13">
      <c r="A38" t="s">
        <v>360</v>
      </c>
      <c r="B38">
        <v>21</v>
      </c>
      <c r="C38">
        <v>627.38</v>
      </c>
      <c r="D38">
        <v>1628.55</v>
      </c>
      <c r="E38">
        <v>174</v>
      </c>
      <c r="F38">
        <v>174</v>
      </c>
      <c r="G38">
        <v>0</v>
      </c>
      <c r="H38">
        <v>0</v>
      </c>
      <c r="I38">
        <v>0</v>
      </c>
      <c r="J38">
        <v>0</v>
      </c>
      <c r="K38">
        <v>801.38</v>
      </c>
      <c r="L38">
        <v>1802.55</v>
      </c>
      <c r="M38">
        <v>2603.9299999999998</v>
      </c>
    </row>
    <row r="39" spans="1:13">
      <c r="A39" t="s">
        <v>198</v>
      </c>
      <c r="B39">
        <v>21</v>
      </c>
      <c r="C39">
        <v>627.38</v>
      </c>
      <c r="D39">
        <v>1628.55</v>
      </c>
      <c r="E39">
        <v>174</v>
      </c>
      <c r="F39">
        <v>174</v>
      </c>
      <c r="G39">
        <v>0</v>
      </c>
      <c r="H39">
        <v>0</v>
      </c>
      <c r="I39">
        <v>0</v>
      </c>
      <c r="J39">
        <v>0</v>
      </c>
      <c r="K39">
        <v>801.38</v>
      </c>
      <c r="L39">
        <v>1802.55</v>
      </c>
      <c r="M39">
        <v>2603.9299999999998</v>
      </c>
    </row>
    <row r="40" spans="1:13">
      <c r="A40" t="s">
        <v>129</v>
      </c>
      <c r="B40">
        <v>21</v>
      </c>
      <c r="C40">
        <v>627.38</v>
      </c>
      <c r="D40">
        <v>1628.55</v>
      </c>
      <c r="E40">
        <v>174</v>
      </c>
      <c r="F40">
        <v>174</v>
      </c>
      <c r="G40">
        <v>0</v>
      </c>
      <c r="H40">
        <v>0</v>
      </c>
      <c r="I40">
        <v>0</v>
      </c>
      <c r="J40">
        <v>0</v>
      </c>
      <c r="K40">
        <v>801.38</v>
      </c>
      <c r="L40">
        <v>1802.55</v>
      </c>
      <c r="M40">
        <v>2603.9299999999998</v>
      </c>
    </row>
    <row r="41" spans="1:13">
      <c r="A41" t="s">
        <v>217</v>
      </c>
      <c r="B41">
        <v>21</v>
      </c>
      <c r="C41">
        <v>627.38</v>
      </c>
      <c r="D41">
        <v>1628.55</v>
      </c>
      <c r="E41">
        <v>174</v>
      </c>
      <c r="F41">
        <v>174</v>
      </c>
      <c r="G41">
        <v>0</v>
      </c>
      <c r="H41">
        <v>0</v>
      </c>
      <c r="I41">
        <v>0</v>
      </c>
      <c r="J41">
        <v>0</v>
      </c>
      <c r="K41">
        <v>801.38</v>
      </c>
      <c r="L41">
        <v>1802.55</v>
      </c>
      <c r="M41">
        <v>2603.9299999999998</v>
      </c>
    </row>
    <row r="42" spans="1:13">
      <c r="A42" t="s">
        <v>187</v>
      </c>
      <c r="B42">
        <v>21</v>
      </c>
      <c r="C42">
        <v>627.38</v>
      </c>
      <c r="D42">
        <v>1628.55</v>
      </c>
      <c r="E42">
        <v>174</v>
      </c>
      <c r="F42">
        <v>174</v>
      </c>
      <c r="G42">
        <v>0</v>
      </c>
      <c r="H42">
        <v>0</v>
      </c>
      <c r="I42">
        <v>0</v>
      </c>
      <c r="J42">
        <v>0</v>
      </c>
      <c r="K42">
        <v>801.38</v>
      </c>
      <c r="L42">
        <v>1802.55</v>
      </c>
      <c r="M42">
        <v>2603.9299999999998</v>
      </c>
    </row>
    <row r="43" spans="1:13">
      <c r="A43" t="s">
        <v>282</v>
      </c>
      <c r="B43">
        <v>21</v>
      </c>
      <c r="C43">
        <v>627.38</v>
      </c>
      <c r="D43">
        <v>1628.55</v>
      </c>
      <c r="E43">
        <v>174</v>
      </c>
      <c r="F43">
        <v>174</v>
      </c>
      <c r="G43">
        <v>0</v>
      </c>
      <c r="H43">
        <v>0</v>
      </c>
      <c r="I43">
        <v>0</v>
      </c>
      <c r="J43">
        <v>0</v>
      </c>
      <c r="K43">
        <v>801.38</v>
      </c>
      <c r="L43">
        <v>1802.55</v>
      </c>
      <c r="M43">
        <v>2603.9299999999998</v>
      </c>
    </row>
    <row r="44" spans="1:13">
      <c r="A44" t="s">
        <v>144</v>
      </c>
      <c r="B44">
        <v>21</v>
      </c>
      <c r="C44">
        <v>627.38</v>
      </c>
      <c r="D44">
        <v>1628.55</v>
      </c>
      <c r="E44">
        <v>174</v>
      </c>
      <c r="F44">
        <v>174</v>
      </c>
      <c r="G44">
        <v>0</v>
      </c>
      <c r="H44">
        <v>0</v>
      </c>
      <c r="I44">
        <v>0</v>
      </c>
      <c r="J44">
        <v>0</v>
      </c>
      <c r="K44">
        <v>801.38</v>
      </c>
      <c r="L44">
        <v>1802.55</v>
      </c>
      <c r="M44">
        <v>2603.9299999999998</v>
      </c>
    </row>
    <row r="45" spans="1:13">
      <c r="A45" t="s">
        <v>104</v>
      </c>
      <c r="B45">
        <v>21</v>
      </c>
      <c r="G45">
        <v>0</v>
      </c>
      <c r="H45">
        <v>0</v>
      </c>
      <c r="I45">
        <v>0</v>
      </c>
      <c r="J45">
        <v>0</v>
      </c>
    </row>
    <row r="46" spans="1:13">
      <c r="A46" t="s">
        <v>239</v>
      </c>
      <c r="B46">
        <v>21</v>
      </c>
      <c r="C46">
        <v>627.38</v>
      </c>
      <c r="D46">
        <v>1628.55</v>
      </c>
      <c r="E46">
        <v>174</v>
      </c>
      <c r="F46">
        <v>174</v>
      </c>
      <c r="G46">
        <v>0</v>
      </c>
      <c r="H46">
        <v>0</v>
      </c>
      <c r="I46">
        <v>0</v>
      </c>
      <c r="J46">
        <v>0</v>
      </c>
      <c r="K46">
        <v>801.38</v>
      </c>
      <c r="L46">
        <v>1802.55</v>
      </c>
      <c r="M46">
        <v>2603.9299999999998</v>
      </c>
    </row>
    <row r="47" spans="1:13">
      <c r="A47" t="s">
        <v>120</v>
      </c>
      <c r="B47">
        <v>21</v>
      </c>
      <c r="C47">
        <v>627.38</v>
      </c>
      <c r="D47">
        <v>1628.55</v>
      </c>
      <c r="E47">
        <v>174</v>
      </c>
      <c r="F47">
        <v>174</v>
      </c>
      <c r="G47">
        <v>0</v>
      </c>
      <c r="H47">
        <v>0</v>
      </c>
      <c r="I47">
        <v>0</v>
      </c>
      <c r="J47">
        <v>0</v>
      </c>
      <c r="K47">
        <v>801.38</v>
      </c>
      <c r="L47">
        <v>1802.55</v>
      </c>
      <c r="M47">
        <v>2603.9299999999998</v>
      </c>
    </row>
    <row r="48" spans="1:13">
      <c r="A48" t="s">
        <v>221</v>
      </c>
      <c r="B48">
        <v>21</v>
      </c>
      <c r="C48">
        <v>627.38</v>
      </c>
      <c r="D48">
        <v>1628.55</v>
      </c>
      <c r="E48">
        <v>174</v>
      </c>
      <c r="F48">
        <v>174</v>
      </c>
      <c r="G48">
        <v>0</v>
      </c>
      <c r="H48">
        <v>0</v>
      </c>
      <c r="I48">
        <v>0</v>
      </c>
      <c r="J48">
        <v>0</v>
      </c>
      <c r="K48">
        <v>801.38</v>
      </c>
      <c r="L48">
        <v>1802.55</v>
      </c>
      <c r="M48">
        <v>2603.9299999999998</v>
      </c>
    </row>
    <row r="49" spans="1:13">
      <c r="A49" t="s">
        <v>259</v>
      </c>
      <c r="B49">
        <v>21</v>
      </c>
      <c r="C49">
        <v>627.38</v>
      </c>
      <c r="D49">
        <v>1628.55</v>
      </c>
      <c r="E49">
        <v>174</v>
      </c>
      <c r="F49">
        <v>174</v>
      </c>
      <c r="G49">
        <v>0</v>
      </c>
      <c r="H49">
        <v>0</v>
      </c>
      <c r="I49">
        <v>0</v>
      </c>
      <c r="J49">
        <v>0</v>
      </c>
      <c r="K49">
        <v>801.38</v>
      </c>
      <c r="L49">
        <v>1802.55</v>
      </c>
      <c r="M49">
        <v>2603.9299999999998</v>
      </c>
    </row>
    <row r="50" spans="1:13">
      <c r="A50" t="s">
        <v>155</v>
      </c>
      <c r="B50">
        <v>21</v>
      </c>
      <c r="C50">
        <v>627.38</v>
      </c>
      <c r="D50">
        <v>1628.55</v>
      </c>
      <c r="E50">
        <v>174</v>
      </c>
      <c r="F50">
        <v>174</v>
      </c>
      <c r="G50">
        <v>0</v>
      </c>
      <c r="H50">
        <v>0</v>
      </c>
      <c r="I50">
        <v>0</v>
      </c>
      <c r="J50">
        <v>0</v>
      </c>
      <c r="K50">
        <v>801.38</v>
      </c>
      <c r="L50">
        <v>1802.55</v>
      </c>
      <c r="M50">
        <v>2603.9299999999998</v>
      </c>
    </row>
    <row r="51" spans="1:13">
      <c r="A51" t="s">
        <v>234</v>
      </c>
      <c r="B51">
        <v>21</v>
      </c>
      <c r="C51">
        <v>627.38</v>
      </c>
      <c r="D51">
        <v>1628.55</v>
      </c>
      <c r="E51">
        <v>174</v>
      </c>
      <c r="F51">
        <v>174</v>
      </c>
      <c r="G51">
        <v>0</v>
      </c>
      <c r="H51">
        <v>0</v>
      </c>
      <c r="I51">
        <v>0</v>
      </c>
      <c r="J51">
        <v>0</v>
      </c>
      <c r="K51">
        <v>801.38</v>
      </c>
      <c r="L51">
        <v>1802.55</v>
      </c>
      <c r="M51">
        <v>2603.9299999999998</v>
      </c>
    </row>
    <row r="52" spans="1:13">
      <c r="A52" t="s">
        <v>384</v>
      </c>
      <c r="B52">
        <v>21</v>
      </c>
      <c r="C52">
        <v>627.38</v>
      </c>
      <c r="D52">
        <v>1628.55</v>
      </c>
      <c r="E52">
        <v>181</v>
      </c>
      <c r="F52">
        <v>181</v>
      </c>
      <c r="G52">
        <v>0</v>
      </c>
      <c r="H52">
        <v>0</v>
      </c>
      <c r="I52">
        <v>0</v>
      </c>
      <c r="J52">
        <v>0</v>
      </c>
      <c r="K52">
        <v>808.38</v>
      </c>
      <c r="L52">
        <v>1809.55</v>
      </c>
      <c r="M52">
        <v>2617.9299999999998</v>
      </c>
    </row>
    <row r="53" spans="1:13">
      <c r="A53" t="s">
        <v>190</v>
      </c>
      <c r="B53">
        <v>21</v>
      </c>
      <c r="C53">
        <v>627.38</v>
      </c>
      <c r="D53">
        <v>1628.55</v>
      </c>
      <c r="E53">
        <v>174</v>
      </c>
      <c r="F53">
        <v>174</v>
      </c>
      <c r="G53">
        <v>0</v>
      </c>
      <c r="H53">
        <v>0</v>
      </c>
      <c r="I53">
        <v>0</v>
      </c>
      <c r="J53">
        <v>0</v>
      </c>
      <c r="K53">
        <v>801.38</v>
      </c>
      <c r="L53">
        <v>1802.55</v>
      </c>
      <c r="M53">
        <v>2603.9299999999998</v>
      </c>
    </row>
    <row r="54" spans="1:13">
      <c r="A54" t="s">
        <v>236</v>
      </c>
      <c r="B54">
        <v>21</v>
      </c>
      <c r="C54">
        <v>627.38</v>
      </c>
      <c r="D54">
        <v>1628.55</v>
      </c>
      <c r="E54">
        <v>174</v>
      </c>
      <c r="F54">
        <v>174</v>
      </c>
      <c r="G54">
        <v>0</v>
      </c>
      <c r="H54">
        <v>0</v>
      </c>
      <c r="I54">
        <v>0</v>
      </c>
      <c r="J54">
        <v>0</v>
      </c>
      <c r="K54">
        <v>801.38</v>
      </c>
      <c r="L54">
        <v>1802.55</v>
      </c>
      <c r="M54">
        <v>2603.9299999999998</v>
      </c>
    </row>
    <row r="55" spans="1:13">
      <c r="A55" t="s">
        <v>184</v>
      </c>
      <c r="B55">
        <v>21</v>
      </c>
      <c r="C55">
        <v>627.38</v>
      </c>
      <c r="D55">
        <v>1628.55</v>
      </c>
      <c r="E55">
        <v>174</v>
      </c>
      <c r="F55">
        <v>174</v>
      </c>
      <c r="G55">
        <v>0</v>
      </c>
      <c r="H55">
        <v>0</v>
      </c>
      <c r="I55">
        <v>0</v>
      </c>
      <c r="J55">
        <v>0</v>
      </c>
      <c r="K55">
        <v>801.38</v>
      </c>
      <c r="L55">
        <v>1802.55</v>
      </c>
      <c r="M55">
        <v>2603.9299999999998</v>
      </c>
    </row>
    <row r="56" spans="1:13">
      <c r="A56" t="s">
        <v>368</v>
      </c>
      <c r="B56">
        <v>21</v>
      </c>
      <c r="C56">
        <v>627.38</v>
      </c>
      <c r="D56">
        <v>1628.55</v>
      </c>
      <c r="E56">
        <v>174</v>
      </c>
      <c r="F56">
        <v>174</v>
      </c>
      <c r="G56">
        <v>0</v>
      </c>
      <c r="H56">
        <v>0</v>
      </c>
      <c r="I56">
        <v>0</v>
      </c>
      <c r="J56">
        <v>0</v>
      </c>
      <c r="K56">
        <v>801.38</v>
      </c>
      <c r="L56">
        <v>1802.55</v>
      </c>
      <c r="M56">
        <v>2603.9299999999998</v>
      </c>
    </row>
    <row r="57" spans="1:13">
      <c r="A57" t="s">
        <v>168</v>
      </c>
      <c r="B57">
        <v>21</v>
      </c>
      <c r="C57">
        <v>627.38</v>
      </c>
      <c r="D57">
        <v>1628.55</v>
      </c>
      <c r="E57">
        <v>174</v>
      </c>
      <c r="F57">
        <v>174</v>
      </c>
      <c r="G57">
        <v>0</v>
      </c>
      <c r="H57">
        <v>0</v>
      </c>
      <c r="I57">
        <v>0</v>
      </c>
      <c r="J57">
        <v>0</v>
      </c>
      <c r="K57">
        <v>801.38</v>
      </c>
      <c r="L57">
        <v>1802.55</v>
      </c>
      <c r="M57">
        <v>2603.9299999999998</v>
      </c>
    </row>
    <row r="58" spans="1:13">
      <c r="A58" t="s">
        <v>207</v>
      </c>
      <c r="B58">
        <v>21</v>
      </c>
      <c r="C58">
        <v>627.38</v>
      </c>
      <c r="D58">
        <v>1628.55</v>
      </c>
      <c r="E58">
        <v>174</v>
      </c>
      <c r="F58">
        <v>174</v>
      </c>
      <c r="G58">
        <v>0</v>
      </c>
      <c r="H58">
        <v>0</v>
      </c>
      <c r="I58">
        <v>0</v>
      </c>
      <c r="J58">
        <v>0</v>
      </c>
      <c r="K58">
        <v>801.38</v>
      </c>
      <c r="L58">
        <v>1802.55</v>
      </c>
      <c r="M58">
        <v>2603.9299999999998</v>
      </c>
    </row>
    <row r="59" spans="1:13">
      <c r="A59" t="s">
        <v>256</v>
      </c>
      <c r="B59">
        <v>21</v>
      </c>
      <c r="C59">
        <v>627.38</v>
      </c>
      <c r="D59">
        <v>1628.55</v>
      </c>
      <c r="E59">
        <v>174</v>
      </c>
      <c r="F59">
        <v>174</v>
      </c>
      <c r="G59">
        <v>0</v>
      </c>
      <c r="H59">
        <v>0</v>
      </c>
      <c r="I59">
        <v>0</v>
      </c>
      <c r="J59">
        <v>0</v>
      </c>
      <c r="K59">
        <v>801.38</v>
      </c>
      <c r="L59">
        <v>1802.55</v>
      </c>
      <c r="M59">
        <v>2603.9299999999998</v>
      </c>
    </row>
    <row r="60" spans="1:13">
      <c r="A60" t="s">
        <v>161</v>
      </c>
      <c r="B60">
        <v>21</v>
      </c>
    </row>
    <row r="61" spans="1:13">
      <c r="A61" t="s">
        <v>108</v>
      </c>
      <c r="B61">
        <v>21</v>
      </c>
      <c r="C61">
        <v>627.38</v>
      </c>
      <c r="D61">
        <v>1628.55</v>
      </c>
      <c r="E61">
        <v>174</v>
      </c>
      <c r="F61">
        <v>174</v>
      </c>
      <c r="G61">
        <v>0</v>
      </c>
      <c r="H61">
        <v>0</v>
      </c>
      <c r="I61">
        <v>0</v>
      </c>
      <c r="J61">
        <v>0</v>
      </c>
      <c r="K61">
        <v>801.38</v>
      </c>
      <c r="L61">
        <v>1802.55</v>
      </c>
      <c r="M61">
        <v>2603.9299999999998</v>
      </c>
    </row>
    <row r="62" spans="1:13">
      <c r="A62" t="s">
        <v>110</v>
      </c>
      <c r="B62">
        <v>21</v>
      </c>
      <c r="C62">
        <v>627.38</v>
      </c>
      <c r="D62">
        <v>1628.55</v>
      </c>
      <c r="E62">
        <v>174</v>
      </c>
      <c r="F62">
        <v>174</v>
      </c>
      <c r="G62">
        <v>0</v>
      </c>
      <c r="H62">
        <v>0</v>
      </c>
      <c r="I62">
        <v>0</v>
      </c>
      <c r="J62">
        <v>0</v>
      </c>
      <c r="K62">
        <v>801.38</v>
      </c>
      <c r="L62">
        <v>1802.55</v>
      </c>
      <c r="M62">
        <v>2603.9299999999998</v>
      </c>
    </row>
    <row r="63" spans="1:13">
      <c r="A63" t="s">
        <v>90</v>
      </c>
      <c r="B63">
        <v>21</v>
      </c>
      <c r="C63">
        <v>627.38</v>
      </c>
      <c r="D63">
        <v>1628.55</v>
      </c>
      <c r="E63">
        <v>174</v>
      </c>
      <c r="F63">
        <v>174</v>
      </c>
      <c r="G63">
        <v>0</v>
      </c>
      <c r="H63">
        <v>0</v>
      </c>
      <c r="I63">
        <v>0</v>
      </c>
      <c r="J63">
        <v>0</v>
      </c>
      <c r="K63">
        <v>801.38</v>
      </c>
      <c r="L63">
        <v>1802.55</v>
      </c>
      <c r="M63">
        <v>2603.9299999999998</v>
      </c>
    </row>
    <row r="64" spans="1:13">
      <c r="A64" t="s">
        <v>369</v>
      </c>
      <c r="B64">
        <v>21</v>
      </c>
      <c r="C64">
        <v>627.38</v>
      </c>
      <c r="D64">
        <v>1628.55</v>
      </c>
      <c r="E64">
        <v>174</v>
      </c>
      <c r="F64">
        <v>174</v>
      </c>
      <c r="G64">
        <v>0</v>
      </c>
      <c r="H64">
        <v>0</v>
      </c>
      <c r="I64">
        <v>0</v>
      </c>
      <c r="J64">
        <v>0</v>
      </c>
      <c r="K64">
        <v>801.38</v>
      </c>
      <c r="L64">
        <v>1802.55</v>
      </c>
      <c r="M64">
        <v>2603.9299999999998</v>
      </c>
    </row>
    <row r="65" spans="1:13">
      <c r="A65" t="s">
        <v>355</v>
      </c>
      <c r="B65">
        <v>21</v>
      </c>
      <c r="C65">
        <v>627.38</v>
      </c>
      <c r="D65">
        <v>1628.55</v>
      </c>
      <c r="E65">
        <v>174</v>
      </c>
      <c r="F65">
        <v>174</v>
      </c>
      <c r="G65">
        <v>0</v>
      </c>
      <c r="H65">
        <v>0</v>
      </c>
      <c r="I65">
        <v>0</v>
      </c>
      <c r="J65">
        <v>0</v>
      </c>
      <c r="K65">
        <v>801.38</v>
      </c>
      <c r="L65">
        <v>1802.55</v>
      </c>
      <c r="M65">
        <v>2603.9299999999998</v>
      </c>
    </row>
    <row r="66" spans="1:13">
      <c r="A66" t="s">
        <v>350</v>
      </c>
      <c r="B66">
        <v>21</v>
      </c>
      <c r="C66">
        <v>627.38</v>
      </c>
      <c r="D66">
        <v>1628.55</v>
      </c>
      <c r="E66">
        <v>174</v>
      </c>
      <c r="F66">
        <v>174</v>
      </c>
      <c r="G66">
        <v>0</v>
      </c>
      <c r="H66">
        <v>0</v>
      </c>
      <c r="I66">
        <v>0</v>
      </c>
      <c r="J66">
        <v>0</v>
      </c>
      <c r="K66">
        <v>801.38</v>
      </c>
      <c r="L66">
        <v>1802.55</v>
      </c>
      <c r="M66">
        <v>2603.9299999999998</v>
      </c>
    </row>
    <row r="67" spans="1:13">
      <c r="A67" t="s">
        <v>196</v>
      </c>
      <c r="B67">
        <v>21</v>
      </c>
      <c r="C67">
        <v>627.38</v>
      </c>
      <c r="D67">
        <v>1628.55</v>
      </c>
      <c r="E67">
        <v>174</v>
      </c>
      <c r="F67">
        <v>174</v>
      </c>
      <c r="G67">
        <v>0</v>
      </c>
      <c r="H67">
        <v>0</v>
      </c>
      <c r="I67">
        <v>0</v>
      </c>
      <c r="J67">
        <v>0</v>
      </c>
      <c r="K67">
        <v>801.38</v>
      </c>
      <c r="L67">
        <v>1802.55</v>
      </c>
      <c r="M67">
        <v>2603.9299999999998</v>
      </c>
    </row>
    <row r="68" spans="1:13">
      <c r="A68" t="s">
        <v>210</v>
      </c>
      <c r="B68">
        <v>21</v>
      </c>
      <c r="C68">
        <v>627.38</v>
      </c>
      <c r="D68">
        <v>1628.55</v>
      </c>
      <c r="E68">
        <v>174</v>
      </c>
      <c r="F68">
        <v>174</v>
      </c>
      <c r="G68">
        <v>0</v>
      </c>
      <c r="H68">
        <v>0</v>
      </c>
      <c r="I68">
        <v>0</v>
      </c>
      <c r="J68">
        <v>0</v>
      </c>
      <c r="K68">
        <v>801.38</v>
      </c>
      <c r="L68">
        <v>1802.55</v>
      </c>
      <c r="M68">
        <v>2603.9299999999998</v>
      </c>
    </row>
    <row r="69" spans="1:13">
      <c r="A69" t="s">
        <v>226</v>
      </c>
      <c r="B69">
        <v>21</v>
      </c>
      <c r="C69">
        <v>627.38</v>
      </c>
      <c r="D69">
        <v>1628.55</v>
      </c>
      <c r="E69">
        <v>174</v>
      </c>
      <c r="F69">
        <v>174</v>
      </c>
      <c r="G69">
        <v>0</v>
      </c>
      <c r="H69">
        <v>0</v>
      </c>
      <c r="I69">
        <v>0</v>
      </c>
      <c r="J69">
        <v>0</v>
      </c>
      <c r="K69">
        <v>801.38</v>
      </c>
      <c r="L69">
        <v>1802.55</v>
      </c>
      <c r="M69">
        <v>2603.9299999999998</v>
      </c>
    </row>
    <row r="70" spans="1:13">
      <c r="A70" t="s">
        <v>362</v>
      </c>
      <c r="B70">
        <v>21</v>
      </c>
      <c r="C70">
        <v>627.38</v>
      </c>
      <c r="D70">
        <v>1628.55</v>
      </c>
      <c r="E70">
        <v>174</v>
      </c>
      <c r="F70">
        <v>174</v>
      </c>
      <c r="G70">
        <v>0</v>
      </c>
      <c r="H70">
        <v>0</v>
      </c>
      <c r="I70">
        <v>0</v>
      </c>
      <c r="J70">
        <v>0</v>
      </c>
      <c r="K70">
        <v>801.38</v>
      </c>
      <c r="L70">
        <v>1802.55</v>
      </c>
      <c r="M70">
        <v>2603.9299999999998</v>
      </c>
    </row>
    <row r="71" spans="1:13">
      <c r="A71" t="s">
        <v>179</v>
      </c>
      <c r="B71">
        <v>21</v>
      </c>
      <c r="C71">
        <v>627.38</v>
      </c>
      <c r="D71">
        <v>1628.55</v>
      </c>
      <c r="E71">
        <v>174</v>
      </c>
      <c r="F71">
        <v>174</v>
      </c>
      <c r="G71">
        <v>0</v>
      </c>
      <c r="H71">
        <v>0</v>
      </c>
      <c r="I71">
        <v>0</v>
      </c>
      <c r="J71">
        <v>0</v>
      </c>
      <c r="K71">
        <v>801.38</v>
      </c>
      <c r="L71">
        <v>1802.55</v>
      </c>
      <c r="M71">
        <v>2603.9299999999998</v>
      </c>
    </row>
    <row r="72" spans="1:13">
      <c r="A72" t="s">
        <v>262</v>
      </c>
      <c r="B72">
        <v>21</v>
      </c>
      <c r="C72">
        <v>627.38</v>
      </c>
      <c r="D72">
        <v>1628.55</v>
      </c>
      <c r="E72">
        <v>174</v>
      </c>
      <c r="F72">
        <v>174</v>
      </c>
      <c r="G72">
        <v>0</v>
      </c>
      <c r="H72">
        <v>0</v>
      </c>
      <c r="I72">
        <v>0</v>
      </c>
      <c r="J72">
        <v>0</v>
      </c>
      <c r="K72">
        <v>801.38</v>
      </c>
      <c r="L72">
        <v>1802.55</v>
      </c>
      <c r="M72">
        <v>2603.9299999999998</v>
      </c>
    </row>
    <row r="73" spans="1:13">
      <c r="A73" t="s">
        <v>85</v>
      </c>
      <c r="B73">
        <v>21</v>
      </c>
      <c r="C73">
        <v>627.38</v>
      </c>
      <c r="D73">
        <v>1628.55</v>
      </c>
      <c r="E73">
        <v>174</v>
      </c>
      <c r="F73">
        <v>174</v>
      </c>
      <c r="G73">
        <v>0</v>
      </c>
      <c r="H73">
        <v>0</v>
      </c>
      <c r="I73">
        <v>0</v>
      </c>
      <c r="J73">
        <v>0</v>
      </c>
      <c r="K73">
        <v>801.38</v>
      </c>
      <c r="L73">
        <v>1802.55</v>
      </c>
      <c r="M73">
        <v>2603.9299999999998</v>
      </c>
    </row>
    <row r="74" spans="1:13">
      <c r="A74" t="s">
        <v>253</v>
      </c>
      <c r="B74">
        <v>21</v>
      </c>
      <c r="C74">
        <v>627.38</v>
      </c>
      <c r="D74">
        <v>1628.55</v>
      </c>
      <c r="E74">
        <v>174</v>
      </c>
      <c r="F74">
        <v>174</v>
      </c>
      <c r="G74">
        <v>0</v>
      </c>
      <c r="H74">
        <v>0</v>
      </c>
      <c r="I74">
        <v>0</v>
      </c>
      <c r="J74">
        <v>0</v>
      </c>
      <c r="K74">
        <v>801.38</v>
      </c>
      <c r="L74">
        <v>1802.55</v>
      </c>
      <c r="M74">
        <v>2603.9299999999998</v>
      </c>
    </row>
    <row r="75" spans="1:13">
      <c r="A75" t="s">
        <v>103</v>
      </c>
      <c r="B75">
        <v>21</v>
      </c>
    </row>
    <row r="76" spans="1:13">
      <c r="A76" t="s">
        <v>211</v>
      </c>
      <c r="B76">
        <v>21</v>
      </c>
      <c r="C76">
        <v>627.38</v>
      </c>
      <c r="D76">
        <v>1628.55</v>
      </c>
      <c r="E76">
        <v>174</v>
      </c>
      <c r="F76">
        <v>174</v>
      </c>
      <c r="G76">
        <v>0</v>
      </c>
      <c r="H76">
        <v>0</v>
      </c>
      <c r="I76">
        <v>0</v>
      </c>
      <c r="J76">
        <v>0</v>
      </c>
      <c r="K76">
        <v>801.38</v>
      </c>
      <c r="L76">
        <v>1802.55</v>
      </c>
      <c r="M76">
        <v>2603.9299999999998</v>
      </c>
    </row>
    <row r="77" spans="1:13">
      <c r="A77" t="s">
        <v>272</v>
      </c>
      <c r="B77">
        <v>21</v>
      </c>
      <c r="C77">
        <v>627.38</v>
      </c>
      <c r="D77">
        <v>1628.55</v>
      </c>
      <c r="E77">
        <v>174</v>
      </c>
      <c r="F77">
        <v>174</v>
      </c>
      <c r="G77">
        <v>0</v>
      </c>
      <c r="H77">
        <v>0</v>
      </c>
      <c r="I77">
        <v>0</v>
      </c>
      <c r="J77">
        <v>0</v>
      </c>
      <c r="K77">
        <v>801.38</v>
      </c>
      <c r="L77">
        <v>1802.55</v>
      </c>
      <c r="M77">
        <v>2603.9299999999998</v>
      </c>
    </row>
    <row r="78" spans="1:13">
      <c r="A78" t="s">
        <v>176</v>
      </c>
      <c r="B78">
        <v>21</v>
      </c>
    </row>
    <row r="79" spans="1:13">
      <c r="A79" t="s">
        <v>269</v>
      </c>
      <c r="B79">
        <v>21</v>
      </c>
      <c r="C79">
        <v>627.38</v>
      </c>
      <c r="D79">
        <v>1628.55</v>
      </c>
      <c r="E79">
        <v>174</v>
      </c>
      <c r="F79">
        <v>174</v>
      </c>
      <c r="G79">
        <v>0</v>
      </c>
      <c r="H79">
        <v>0</v>
      </c>
      <c r="I79">
        <v>0</v>
      </c>
      <c r="J79">
        <v>0</v>
      </c>
      <c r="K79">
        <v>801.38</v>
      </c>
      <c r="L79">
        <v>1802.55</v>
      </c>
      <c r="M79">
        <v>2603.9299999999998</v>
      </c>
    </row>
    <row r="80" spans="1:13">
      <c r="A80" t="s">
        <v>173</v>
      </c>
      <c r="B80">
        <v>21</v>
      </c>
      <c r="C80">
        <v>627.38</v>
      </c>
      <c r="D80">
        <v>1628.55</v>
      </c>
      <c r="E80">
        <v>174</v>
      </c>
      <c r="F80">
        <v>174</v>
      </c>
      <c r="G80">
        <v>0</v>
      </c>
      <c r="H80">
        <v>0</v>
      </c>
      <c r="I80">
        <v>0</v>
      </c>
      <c r="J80">
        <v>0</v>
      </c>
      <c r="K80">
        <v>801.38</v>
      </c>
      <c r="L80">
        <v>1802.55</v>
      </c>
      <c r="M80">
        <v>2603.9299999999998</v>
      </c>
    </row>
    <row r="81" spans="1:13">
      <c r="A81" t="s">
        <v>400</v>
      </c>
      <c r="B81">
        <v>21</v>
      </c>
      <c r="C81">
        <v>627.38</v>
      </c>
      <c r="D81">
        <v>1628.55</v>
      </c>
      <c r="E81">
        <v>181</v>
      </c>
      <c r="F81">
        <v>181</v>
      </c>
      <c r="G81">
        <v>0</v>
      </c>
      <c r="H81">
        <v>0</v>
      </c>
      <c r="I81">
        <v>0</v>
      </c>
      <c r="J81">
        <v>0</v>
      </c>
      <c r="K81">
        <v>808.38</v>
      </c>
      <c r="L81">
        <v>1809.55</v>
      </c>
      <c r="M81">
        <v>2617.9299999999998</v>
      </c>
    </row>
    <row r="82" spans="1:13">
      <c r="A82" t="s">
        <v>404</v>
      </c>
      <c r="B82">
        <v>21</v>
      </c>
      <c r="C82">
        <v>627.38</v>
      </c>
      <c r="D82">
        <v>1628.55</v>
      </c>
      <c r="E82">
        <v>181</v>
      </c>
      <c r="F82">
        <v>181</v>
      </c>
      <c r="G82">
        <v>0</v>
      </c>
      <c r="H82">
        <v>0</v>
      </c>
      <c r="I82">
        <v>0</v>
      </c>
      <c r="J82">
        <v>0</v>
      </c>
      <c r="K82">
        <v>808.38</v>
      </c>
      <c r="L82">
        <v>1809.55</v>
      </c>
      <c r="M82">
        <v>2617.9299999999998</v>
      </c>
    </row>
    <row r="83" spans="1:13">
      <c r="A83" t="s">
        <v>406</v>
      </c>
      <c r="B83">
        <v>21</v>
      </c>
      <c r="C83">
        <v>627.38</v>
      </c>
      <c r="D83">
        <v>1628.55</v>
      </c>
      <c r="E83">
        <v>181</v>
      </c>
      <c r="F83">
        <v>181</v>
      </c>
      <c r="G83">
        <v>0</v>
      </c>
      <c r="H83">
        <v>0</v>
      </c>
      <c r="I83">
        <v>0</v>
      </c>
      <c r="J83">
        <v>0</v>
      </c>
      <c r="K83">
        <v>808.38</v>
      </c>
      <c r="L83">
        <v>1809.55</v>
      </c>
      <c r="M83">
        <v>2617.9299999999998</v>
      </c>
    </row>
    <row r="84" spans="1:13">
      <c r="A84" t="s">
        <v>412</v>
      </c>
      <c r="B84">
        <v>21</v>
      </c>
      <c r="C84">
        <v>627.38</v>
      </c>
      <c r="D84">
        <v>1628.55</v>
      </c>
      <c r="E84">
        <v>181</v>
      </c>
      <c r="F84">
        <v>181</v>
      </c>
      <c r="G84">
        <v>0</v>
      </c>
      <c r="H84">
        <v>0</v>
      </c>
      <c r="I84">
        <v>0</v>
      </c>
      <c r="J84">
        <v>0</v>
      </c>
      <c r="K84">
        <v>808.38</v>
      </c>
      <c r="L84">
        <v>1809.55</v>
      </c>
      <c r="M84">
        <v>2617.9299999999998</v>
      </c>
    </row>
    <row r="85" spans="1:13">
      <c r="A85" t="s">
        <v>420</v>
      </c>
      <c r="B85">
        <v>0</v>
      </c>
      <c r="C85">
        <v>627.38</v>
      </c>
      <c r="D85">
        <v>1628.55</v>
      </c>
      <c r="E85">
        <v>181</v>
      </c>
      <c r="F85">
        <v>181</v>
      </c>
      <c r="G85">
        <v>0</v>
      </c>
      <c r="H85">
        <v>0</v>
      </c>
      <c r="I85">
        <v>0</v>
      </c>
      <c r="J85">
        <v>0</v>
      </c>
      <c r="K85">
        <v>808.38</v>
      </c>
      <c r="L85">
        <v>1809.55</v>
      </c>
      <c r="M85">
        <v>2617.9299999999998</v>
      </c>
    </row>
    <row r="86" spans="1:13">
      <c r="A86" t="s">
        <v>422</v>
      </c>
      <c r="B86">
        <v>0</v>
      </c>
      <c r="C86">
        <v>627.38</v>
      </c>
      <c r="D86">
        <v>1628.55</v>
      </c>
      <c r="E86">
        <v>181</v>
      </c>
      <c r="F86">
        <v>181</v>
      </c>
      <c r="G86">
        <v>0</v>
      </c>
      <c r="H86">
        <v>0</v>
      </c>
      <c r="I86">
        <v>0</v>
      </c>
      <c r="J86">
        <v>0</v>
      </c>
      <c r="K86">
        <v>808.38</v>
      </c>
      <c r="L86">
        <v>1809.55</v>
      </c>
      <c r="M86">
        <v>2617.9299999999998</v>
      </c>
    </row>
    <row r="87" spans="1:13">
      <c r="A87" t="s">
        <v>177</v>
      </c>
      <c r="B87">
        <v>21</v>
      </c>
      <c r="C87">
        <v>415.45</v>
      </c>
      <c r="D87">
        <v>1007.02</v>
      </c>
      <c r="E87">
        <v>161</v>
      </c>
      <c r="F87">
        <v>161</v>
      </c>
      <c r="G87">
        <v>0</v>
      </c>
      <c r="H87">
        <v>0</v>
      </c>
      <c r="I87">
        <v>0</v>
      </c>
      <c r="J87">
        <v>0</v>
      </c>
      <c r="K87">
        <v>576.45000000000005</v>
      </c>
      <c r="L87">
        <v>1168.02</v>
      </c>
      <c r="M87">
        <v>1744.47</v>
      </c>
    </row>
    <row r="88" spans="1:13">
      <c r="A88" t="s">
        <v>201</v>
      </c>
      <c r="B88">
        <v>21</v>
      </c>
      <c r="C88">
        <v>415.45</v>
      </c>
      <c r="D88">
        <v>1007.02</v>
      </c>
      <c r="E88">
        <v>161</v>
      </c>
      <c r="F88">
        <v>161</v>
      </c>
      <c r="G88">
        <v>0</v>
      </c>
      <c r="H88">
        <v>0</v>
      </c>
      <c r="I88">
        <v>0</v>
      </c>
      <c r="J88">
        <v>0</v>
      </c>
      <c r="K88">
        <v>576.45000000000005</v>
      </c>
      <c r="L88">
        <v>1168.02</v>
      </c>
      <c r="M88">
        <v>1744.47</v>
      </c>
    </row>
    <row r="89" spans="1:13">
      <c r="A89" t="s">
        <v>402</v>
      </c>
      <c r="B89">
        <v>21</v>
      </c>
      <c r="C89">
        <v>341.35</v>
      </c>
      <c r="D89">
        <v>977.05</v>
      </c>
      <c r="E89">
        <v>317</v>
      </c>
      <c r="F89">
        <v>317</v>
      </c>
      <c r="G89">
        <v>0</v>
      </c>
      <c r="H89">
        <v>39.57</v>
      </c>
      <c r="I89">
        <v>0</v>
      </c>
      <c r="J89">
        <v>0</v>
      </c>
      <c r="K89">
        <v>658.35</v>
      </c>
      <c r="L89">
        <v>1333.62</v>
      </c>
      <c r="M89">
        <v>1991.9699999999998</v>
      </c>
    </row>
    <row r="90" spans="1:13">
      <c r="A90" t="s">
        <v>202</v>
      </c>
      <c r="B90">
        <v>21</v>
      </c>
      <c r="C90">
        <v>415.45</v>
      </c>
      <c r="D90">
        <v>1007.02</v>
      </c>
      <c r="E90">
        <v>161</v>
      </c>
      <c r="F90">
        <v>161</v>
      </c>
      <c r="G90">
        <v>0</v>
      </c>
      <c r="H90">
        <v>0</v>
      </c>
      <c r="I90">
        <v>0</v>
      </c>
      <c r="J90">
        <v>0</v>
      </c>
      <c r="K90">
        <v>576.45000000000005</v>
      </c>
      <c r="L90">
        <v>1168.02</v>
      </c>
      <c r="M90">
        <v>1744.47</v>
      </c>
    </row>
    <row r="91" spans="1:13">
      <c r="A91" t="s">
        <v>204</v>
      </c>
      <c r="B91">
        <v>21</v>
      </c>
      <c r="C91">
        <v>415.45</v>
      </c>
      <c r="D91">
        <v>1007.02</v>
      </c>
      <c r="E91">
        <v>161</v>
      </c>
      <c r="F91">
        <v>161</v>
      </c>
      <c r="G91">
        <v>0</v>
      </c>
      <c r="H91">
        <v>0</v>
      </c>
      <c r="I91">
        <v>0</v>
      </c>
      <c r="J91">
        <v>0</v>
      </c>
      <c r="K91">
        <v>576.45000000000005</v>
      </c>
      <c r="L91">
        <v>1168.02</v>
      </c>
      <c r="M91">
        <v>1744.47</v>
      </c>
    </row>
    <row r="92" spans="1:13">
      <c r="A92" t="s">
        <v>408</v>
      </c>
      <c r="B92">
        <v>21</v>
      </c>
      <c r="C92">
        <v>415.45</v>
      </c>
      <c r="D92">
        <v>1007.02</v>
      </c>
      <c r="E92">
        <v>182</v>
      </c>
      <c r="F92">
        <v>182</v>
      </c>
      <c r="G92">
        <v>0</v>
      </c>
      <c r="H92">
        <v>0</v>
      </c>
      <c r="I92">
        <v>0</v>
      </c>
      <c r="J92">
        <v>0</v>
      </c>
      <c r="K92">
        <v>597.45000000000005</v>
      </c>
      <c r="L92">
        <v>1189.02</v>
      </c>
      <c r="M92">
        <v>1786.47</v>
      </c>
    </row>
    <row r="93" spans="1:13">
      <c r="A93" t="s">
        <v>371</v>
      </c>
      <c r="B93">
        <v>21</v>
      </c>
      <c r="C93">
        <v>446.25</v>
      </c>
      <c r="D93">
        <v>1096.5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446.25</v>
      </c>
      <c r="L93">
        <v>1096.5</v>
      </c>
      <c r="M93">
        <v>1542.75</v>
      </c>
    </row>
    <row r="94" spans="1:13">
      <c r="A94" t="s">
        <v>293</v>
      </c>
      <c r="B94">
        <v>21</v>
      </c>
      <c r="C94">
        <v>451.25</v>
      </c>
      <c r="D94">
        <v>1051.8800000000001</v>
      </c>
      <c r="E94">
        <v>304</v>
      </c>
      <c r="F94">
        <v>304</v>
      </c>
      <c r="G94">
        <v>47.25</v>
      </c>
      <c r="H94">
        <v>111.38</v>
      </c>
      <c r="I94">
        <v>0</v>
      </c>
      <c r="J94">
        <v>0</v>
      </c>
      <c r="K94">
        <v>802.5</v>
      </c>
      <c r="L94">
        <v>1467.2600000000002</v>
      </c>
      <c r="M94">
        <v>2269.7600000000002</v>
      </c>
    </row>
    <row r="95" spans="1:13">
      <c r="A95" t="s">
        <v>373</v>
      </c>
      <c r="B95">
        <v>21</v>
      </c>
      <c r="C95">
        <v>446.25</v>
      </c>
      <c r="D95">
        <v>1096.5</v>
      </c>
      <c r="E95">
        <v>162</v>
      </c>
      <c r="F95">
        <v>162</v>
      </c>
      <c r="G95">
        <v>0</v>
      </c>
      <c r="H95">
        <v>0</v>
      </c>
      <c r="I95">
        <v>0</v>
      </c>
      <c r="J95">
        <v>0</v>
      </c>
      <c r="K95">
        <v>608.25</v>
      </c>
      <c r="L95">
        <v>1258.5</v>
      </c>
      <c r="M95">
        <v>1866.75</v>
      </c>
    </row>
    <row r="96" spans="1:13">
      <c r="A96" t="s">
        <v>289</v>
      </c>
      <c r="B96">
        <v>21</v>
      </c>
      <c r="C96">
        <v>446.25</v>
      </c>
      <c r="D96">
        <v>1096.5</v>
      </c>
      <c r="E96">
        <v>162</v>
      </c>
      <c r="F96">
        <v>162</v>
      </c>
      <c r="G96">
        <v>0</v>
      </c>
      <c r="H96">
        <v>0</v>
      </c>
      <c r="I96">
        <v>0</v>
      </c>
      <c r="J96">
        <v>0</v>
      </c>
      <c r="K96">
        <v>608.25</v>
      </c>
      <c r="L96">
        <v>1258.5</v>
      </c>
      <c r="M96">
        <v>1866.75</v>
      </c>
    </row>
    <row r="97" spans="1:13">
      <c r="A97" t="s">
        <v>381</v>
      </c>
      <c r="B97">
        <v>21</v>
      </c>
      <c r="C97">
        <v>446.25</v>
      </c>
      <c r="D97">
        <v>1096.5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446.25</v>
      </c>
      <c r="L97">
        <v>1096.5</v>
      </c>
      <c r="M97">
        <v>1542.75</v>
      </c>
    </row>
    <row r="98" spans="1:13">
      <c r="A98" t="s">
        <v>298</v>
      </c>
      <c r="B98">
        <v>21</v>
      </c>
      <c r="C98">
        <v>456.25</v>
      </c>
      <c r="D98">
        <v>1134.75</v>
      </c>
      <c r="E98">
        <v>274</v>
      </c>
      <c r="F98">
        <v>274</v>
      </c>
      <c r="G98">
        <v>47.25</v>
      </c>
      <c r="H98">
        <v>120.14999999999999</v>
      </c>
      <c r="I98">
        <v>0</v>
      </c>
      <c r="J98">
        <v>0</v>
      </c>
      <c r="K98">
        <v>777.5</v>
      </c>
      <c r="L98">
        <v>1528.9</v>
      </c>
      <c r="M98">
        <v>2306.4</v>
      </c>
    </row>
    <row r="99" spans="1:13">
      <c r="A99" t="s">
        <v>358</v>
      </c>
      <c r="B99">
        <v>21</v>
      </c>
      <c r="C99">
        <v>456.25</v>
      </c>
      <c r="D99">
        <v>1134.75</v>
      </c>
      <c r="E99">
        <v>0</v>
      </c>
      <c r="F99">
        <v>0</v>
      </c>
      <c r="G99">
        <v>47.25</v>
      </c>
      <c r="H99">
        <v>120.14999999999999</v>
      </c>
      <c r="I99">
        <v>0</v>
      </c>
      <c r="J99">
        <v>0</v>
      </c>
      <c r="K99">
        <v>503.5</v>
      </c>
      <c r="L99">
        <v>1254.9000000000001</v>
      </c>
      <c r="M99">
        <v>1758.4</v>
      </c>
    </row>
    <row r="100" spans="1:13">
      <c r="A100" t="s">
        <v>285</v>
      </c>
      <c r="B100">
        <v>21</v>
      </c>
      <c r="C100">
        <v>446.25</v>
      </c>
      <c r="D100">
        <v>1096.5</v>
      </c>
      <c r="E100">
        <v>162</v>
      </c>
      <c r="F100">
        <v>162</v>
      </c>
      <c r="G100">
        <v>0</v>
      </c>
      <c r="H100">
        <v>0</v>
      </c>
      <c r="I100">
        <v>0</v>
      </c>
      <c r="J100">
        <v>0</v>
      </c>
      <c r="K100">
        <v>608.25</v>
      </c>
      <c r="L100">
        <v>1258.5</v>
      </c>
      <c r="M100">
        <v>1866.75</v>
      </c>
    </row>
    <row r="101" spans="1:13">
      <c r="A101" t="s">
        <v>347</v>
      </c>
      <c r="B101">
        <v>21</v>
      </c>
      <c r="C101">
        <v>451.25</v>
      </c>
      <c r="D101">
        <v>1051.8800000000001</v>
      </c>
      <c r="E101">
        <v>304</v>
      </c>
      <c r="F101">
        <v>304</v>
      </c>
      <c r="G101">
        <v>47.25</v>
      </c>
      <c r="H101">
        <v>111.38</v>
      </c>
      <c r="I101">
        <v>0</v>
      </c>
      <c r="J101">
        <v>0</v>
      </c>
      <c r="K101">
        <v>802.5</v>
      </c>
      <c r="L101">
        <v>1467.2600000000002</v>
      </c>
      <c r="M101">
        <v>2269.7600000000002</v>
      </c>
    </row>
    <row r="102" spans="1:13">
      <c r="A102" t="s">
        <v>296</v>
      </c>
      <c r="B102">
        <v>21</v>
      </c>
      <c r="C102">
        <v>451.25</v>
      </c>
      <c r="D102">
        <v>1051.8800000000001</v>
      </c>
      <c r="E102">
        <v>304</v>
      </c>
      <c r="F102">
        <v>304</v>
      </c>
      <c r="G102">
        <v>47.25</v>
      </c>
      <c r="H102">
        <v>111.38</v>
      </c>
      <c r="I102">
        <v>0</v>
      </c>
      <c r="J102">
        <v>0</v>
      </c>
      <c r="K102">
        <v>802.5</v>
      </c>
      <c r="L102">
        <v>1467.2600000000002</v>
      </c>
      <c r="M102">
        <v>2269.7600000000002</v>
      </c>
    </row>
    <row r="103" spans="1:13">
      <c r="A103" t="s">
        <v>291</v>
      </c>
      <c r="B103">
        <v>21</v>
      </c>
      <c r="C103">
        <v>446.25</v>
      </c>
      <c r="D103">
        <v>1096.5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446.25</v>
      </c>
      <c r="L103">
        <v>1096.5</v>
      </c>
      <c r="M103">
        <v>1542.75</v>
      </c>
    </row>
    <row r="104" spans="1:13">
      <c r="A104" t="s">
        <v>287</v>
      </c>
      <c r="B104">
        <v>900</v>
      </c>
      <c r="C104">
        <v>0</v>
      </c>
      <c r="D104">
        <v>0</v>
      </c>
      <c r="E104">
        <v>0</v>
      </c>
      <c r="F104">
        <v>0</v>
      </c>
      <c r="G104">
        <v>451.25</v>
      </c>
      <c r="H104">
        <v>1051.8800000000001</v>
      </c>
      <c r="I104">
        <v>0</v>
      </c>
      <c r="J104">
        <v>0</v>
      </c>
      <c r="K104">
        <v>451.25</v>
      </c>
      <c r="L104">
        <v>1051.8800000000001</v>
      </c>
      <c r="M104">
        <v>1503.13</v>
      </c>
    </row>
    <row r="105" spans="1:13">
      <c r="B105">
        <f>SUM(B4:B104)</f>
        <v>2958</v>
      </c>
      <c r="C105">
        <f t="shared" ref="C105:M105" si="0">SUM(C4:C104)</f>
        <v>56925.36999999993</v>
      </c>
      <c r="D105">
        <f t="shared" si="0"/>
        <v>146671.74000000014</v>
      </c>
      <c r="E105">
        <f t="shared" si="0"/>
        <v>16624</v>
      </c>
      <c r="F105">
        <f t="shared" si="0"/>
        <v>16624</v>
      </c>
      <c r="G105">
        <f t="shared" si="0"/>
        <v>687.5</v>
      </c>
      <c r="H105">
        <f t="shared" si="0"/>
        <v>1665.89</v>
      </c>
      <c r="I105">
        <f t="shared" si="0"/>
        <v>0</v>
      </c>
      <c r="J105">
        <f t="shared" si="0"/>
        <v>0</v>
      </c>
      <c r="K105">
        <f t="shared" si="0"/>
        <v>74236.869999999893</v>
      </c>
      <c r="L105">
        <f t="shared" si="0"/>
        <v>164961.63000000003</v>
      </c>
      <c r="M105">
        <f t="shared" si="0"/>
        <v>239198.49999999965</v>
      </c>
    </row>
    <row r="108" spans="1:13">
      <c r="C108">
        <f>C105+G105</f>
        <v>57612.86999999993</v>
      </c>
      <c r="D108">
        <f>D105+H105</f>
        <v>148337.63000000015</v>
      </c>
      <c r="E108">
        <f>E105+I105</f>
        <v>16624</v>
      </c>
      <c r="F108">
        <f>F105</f>
        <v>16624</v>
      </c>
    </row>
    <row r="113" spans="2:2">
      <c r="B113">
        <f>21*11</f>
        <v>231</v>
      </c>
    </row>
    <row r="114" spans="2:2">
      <c r="B114">
        <f>B105-B113</f>
        <v>2727</v>
      </c>
    </row>
  </sheetData>
  <phoneticPr fontId="23" type="noConversion"/>
  <conditionalFormatting sqref="A1:A1048576">
    <cfRule type="duplicateValues" dxfId="238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8"/>
  <sheetViews>
    <sheetView topLeftCell="A78" workbookViewId="0">
      <selection activeCell="K4" sqref="K4:L115"/>
    </sheetView>
  </sheetViews>
  <sheetFormatPr defaultRowHeight="14.4"/>
  <cols>
    <col min="1" max="1" width="7.109375" bestFit="1" customWidth="1"/>
    <col min="2" max="2" width="19.44140625" bestFit="1" customWidth="1"/>
    <col min="3" max="3" width="13" bestFit="1" customWidth="1"/>
    <col min="4" max="4" width="9.44140625" bestFit="1" customWidth="1"/>
    <col min="5" max="5" width="11" bestFit="1" customWidth="1"/>
    <col min="6" max="6" width="6.44140625" bestFit="1" customWidth="1"/>
    <col min="8" max="8" width="5.21875" bestFit="1" customWidth="1"/>
    <col min="9" max="9" width="7.109375" bestFit="1" customWidth="1"/>
    <col min="10" max="10" width="5.21875" bestFit="1" customWidth="1"/>
    <col min="11" max="12" width="9.44140625" bestFit="1" customWidth="1"/>
    <col min="13" max="13" width="10.44140625" bestFit="1" customWidth="1"/>
  </cols>
  <sheetData>
    <row r="1" spans="1:13">
      <c r="A1" t="s">
        <v>22</v>
      </c>
      <c r="B1" t="s">
        <v>306</v>
      </c>
      <c r="C1" t="s">
        <v>315</v>
      </c>
      <c r="G1" t="s">
        <v>316</v>
      </c>
      <c r="K1" t="s">
        <v>317</v>
      </c>
    </row>
    <row r="2" spans="1:13">
      <c r="C2" t="s">
        <v>329</v>
      </c>
      <c r="E2" t="s">
        <v>330</v>
      </c>
      <c r="G2" t="s">
        <v>329</v>
      </c>
      <c r="I2" t="s">
        <v>330</v>
      </c>
      <c r="K2" t="s">
        <v>320</v>
      </c>
      <c r="L2" t="s">
        <v>319</v>
      </c>
      <c r="M2" t="s">
        <v>331</v>
      </c>
    </row>
    <row r="3" spans="1:13">
      <c r="C3" t="s">
        <v>320</v>
      </c>
      <c r="D3" t="s">
        <v>319</v>
      </c>
      <c r="E3" t="s">
        <v>320</v>
      </c>
      <c r="F3" t="s">
        <v>319</v>
      </c>
      <c r="G3" t="s">
        <v>320</v>
      </c>
      <c r="H3" t="s">
        <v>319</v>
      </c>
      <c r="I3" t="s">
        <v>320</v>
      </c>
      <c r="J3" t="s">
        <v>319</v>
      </c>
      <c r="K3" t="s">
        <v>320</v>
      </c>
      <c r="L3" t="s">
        <v>319</v>
      </c>
      <c r="M3" t="s">
        <v>331</v>
      </c>
    </row>
    <row r="4" spans="1:13">
      <c r="A4" t="s">
        <v>114</v>
      </c>
      <c r="B4">
        <v>21</v>
      </c>
      <c r="C4">
        <v>627.38</v>
      </c>
      <c r="D4">
        <v>1628.55</v>
      </c>
      <c r="E4">
        <v>174</v>
      </c>
      <c r="F4">
        <v>174</v>
      </c>
      <c r="G4">
        <v>0</v>
      </c>
      <c r="H4">
        <v>0</v>
      </c>
      <c r="I4">
        <v>0</v>
      </c>
      <c r="J4">
        <v>0</v>
      </c>
      <c r="K4">
        <v>801.38</v>
      </c>
      <c r="L4">
        <v>1802.55</v>
      </c>
      <c r="M4">
        <v>2603.9299999999998</v>
      </c>
    </row>
    <row r="5" spans="1:13">
      <c r="A5" t="s">
        <v>366</v>
      </c>
      <c r="B5">
        <v>21</v>
      </c>
      <c r="C5">
        <v>627.38</v>
      </c>
      <c r="D5">
        <v>1628.55</v>
      </c>
      <c r="E5">
        <v>174</v>
      </c>
      <c r="F5">
        <v>174</v>
      </c>
      <c r="G5">
        <v>0</v>
      </c>
      <c r="H5">
        <v>0</v>
      </c>
      <c r="I5">
        <v>0</v>
      </c>
      <c r="J5">
        <v>0</v>
      </c>
      <c r="K5">
        <v>801.38</v>
      </c>
      <c r="L5">
        <v>1802.55</v>
      </c>
      <c r="M5">
        <v>2603.9299999999998</v>
      </c>
    </row>
    <row r="6" spans="1:13">
      <c r="A6" t="s">
        <v>93</v>
      </c>
      <c r="B6">
        <v>21</v>
      </c>
      <c r="C6">
        <v>627.38</v>
      </c>
      <c r="D6">
        <v>1628.55</v>
      </c>
      <c r="E6">
        <v>174</v>
      </c>
      <c r="F6">
        <v>174</v>
      </c>
      <c r="G6">
        <v>0</v>
      </c>
      <c r="H6">
        <v>0</v>
      </c>
      <c r="I6">
        <v>0</v>
      </c>
      <c r="J6">
        <v>0</v>
      </c>
      <c r="K6">
        <v>801.38</v>
      </c>
      <c r="L6">
        <v>1802.55</v>
      </c>
      <c r="M6">
        <v>2603.9299999999998</v>
      </c>
    </row>
    <row r="7" spans="1:13">
      <c r="A7" t="s">
        <v>194</v>
      </c>
      <c r="B7">
        <v>21</v>
      </c>
      <c r="C7">
        <v>627.38</v>
      </c>
      <c r="D7">
        <v>1628.55</v>
      </c>
      <c r="E7">
        <v>174</v>
      </c>
      <c r="F7">
        <v>174</v>
      </c>
      <c r="G7">
        <v>0</v>
      </c>
      <c r="H7">
        <v>0</v>
      </c>
      <c r="I7">
        <v>0</v>
      </c>
      <c r="J7">
        <v>0</v>
      </c>
      <c r="K7">
        <v>801.38</v>
      </c>
      <c r="L7">
        <v>1802.55</v>
      </c>
      <c r="M7">
        <v>2603.9299999999998</v>
      </c>
    </row>
    <row r="8" spans="1:13">
      <c r="A8" t="s">
        <v>275</v>
      </c>
      <c r="B8">
        <v>21</v>
      </c>
      <c r="C8">
        <v>627.38</v>
      </c>
      <c r="D8">
        <v>1628.55</v>
      </c>
      <c r="E8">
        <v>174</v>
      </c>
      <c r="F8">
        <v>174</v>
      </c>
      <c r="G8">
        <v>0</v>
      </c>
      <c r="H8">
        <v>0</v>
      </c>
      <c r="I8">
        <v>0</v>
      </c>
      <c r="J8">
        <v>0</v>
      </c>
      <c r="K8">
        <v>801.38</v>
      </c>
      <c r="L8">
        <v>1802.55</v>
      </c>
      <c r="M8">
        <v>2603.9299999999998</v>
      </c>
    </row>
    <row r="9" spans="1:13">
      <c r="A9" t="s">
        <v>223</v>
      </c>
      <c r="B9">
        <v>21</v>
      </c>
      <c r="C9">
        <v>627.38</v>
      </c>
      <c r="D9">
        <v>1628.55</v>
      </c>
      <c r="E9">
        <v>174</v>
      </c>
      <c r="F9">
        <v>174</v>
      </c>
      <c r="G9">
        <v>0</v>
      </c>
      <c r="H9">
        <v>0</v>
      </c>
      <c r="I9">
        <v>0</v>
      </c>
      <c r="J9">
        <v>0</v>
      </c>
      <c r="K9">
        <v>801.38</v>
      </c>
      <c r="L9">
        <v>1802.55</v>
      </c>
      <c r="M9">
        <v>2603.9299999999998</v>
      </c>
    </row>
    <row r="10" spans="1:13">
      <c r="A10" t="s">
        <v>171</v>
      </c>
      <c r="B10">
        <v>21</v>
      </c>
      <c r="C10">
        <v>627.38</v>
      </c>
      <c r="D10">
        <v>1628.55</v>
      </c>
      <c r="E10">
        <v>174</v>
      </c>
      <c r="F10">
        <v>174</v>
      </c>
      <c r="G10">
        <v>0</v>
      </c>
      <c r="H10">
        <v>0</v>
      </c>
      <c r="I10">
        <v>0</v>
      </c>
      <c r="J10">
        <v>0</v>
      </c>
      <c r="K10">
        <v>801.38</v>
      </c>
      <c r="L10">
        <v>1802.55</v>
      </c>
      <c r="M10">
        <v>2603.9299999999998</v>
      </c>
    </row>
    <row r="11" spans="1:13">
      <c r="A11" t="s">
        <v>163</v>
      </c>
      <c r="B11">
        <v>21</v>
      </c>
      <c r="C11">
        <v>627.38</v>
      </c>
      <c r="D11">
        <v>1628.55</v>
      </c>
      <c r="E11">
        <v>174</v>
      </c>
      <c r="F11">
        <v>174</v>
      </c>
      <c r="G11">
        <v>0</v>
      </c>
      <c r="H11">
        <v>0</v>
      </c>
      <c r="I11">
        <v>0</v>
      </c>
      <c r="J11">
        <v>0</v>
      </c>
      <c r="K11">
        <v>801.38</v>
      </c>
      <c r="L11">
        <v>1802.55</v>
      </c>
      <c r="M11">
        <v>2603.9299999999998</v>
      </c>
    </row>
    <row r="12" spans="1:13">
      <c r="A12" t="s">
        <v>353</v>
      </c>
      <c r="B12">
        <v>21</v>
      </c>
      <c r="C12">
        <v>627.38</v>
      </c>
      <c r="D12">
        <v>1628.55</v>
      </c>
      <c r="E12">
        <v>174</v>
      </c>
      <c r="F12">
        <v>174</v>
      </c>
      <c r="G12">
        <v>0</v>
      </c>
      <c r="H12">
        <v>0</v>
      </c>
      <c r="I12">
        <v>0</v>
      </c>
      <c r="J12">
        <v>0</v>
      </c>
      <c r="K12">
        <v>801.38</v>
      </c>
      <c r="L12">
        <v>1802.55</v>
      </c>
      <c r="M12">
        <v>2603.9299999999998</v>
      </c>
    </row>
    <row r="13" spans="1:13">
      <c r="A13" t="s">
        <v>383</v>
      </c>
      <c r="B13">
        <v>0</v>
      </c>
      <c r="C13">
        <v>627.38</v>
      </c>
      <c r="D13">
        <v>1628.55</v>
      </c>
      <c r="E13">
        <v>181</v>
      </c>
      <c r="F13">
        <v>181</v>
      </c>
      <c r="G13">
        <v>0</v>
      </c>
      <c r="H13">
        <v>0</v>
      </c>
      <c r="I13">
        <v>0</v>
      </c>
      <c r="J13">
        <v>0</v>
      </c>
      <c r="K13">
        <v>808.38</v>
      </c>
      <c r="L13">
        <v>1809.55</v>
      </c>
      <c r="M13">
        <v>2617.9299999999998</v>
      </c>
    </row>
    <row r="14" spans="1:13">
      <c r="A14" t="s">
        <v>246</v>
      </c>
      <c r="B14">
        <v>21</v>
      </c>
      <c r="C14">
        <v>627.38</v>
      </c>
      <c r="D14">
        <v>1628.55</v>
      </c>
      <c r="E14">
        <v>174</v>
      </c>
      <c r="F14">
        <v>174</v>
      </c>
      <c r="G14">
        <v>0</v>
      </c>
      <c r="H14">
        <v>0</v>
      </c>
      <c r="I14">
        <v>0</v>
      </c>
      <c r="J14">
        <v>0</v>
      </c>
      <c r="K14">
        <v>801.38</v>
      </c>
      <c r="L14">
        <v>1802.55</v>
      </c>
      <c r="M14">
        <v>2603.9299999999998</v>
      </c>
    </row>
    <row r="15" spans="1:13">
      <c r="A15" t="s">
        <v>96</v>
      </c>
      <c r="B15">
        <v>21</v>
      </c>
      <c r="C15">
        <v>627.38</v>
      </c>
      <c r="D15">
        <v>1628.55</v>
      </c>
      <c r="E15">
        <v>174</v>
      </c>
      <c r="F15">
        <v>174</v>
      </c>
      <c r="G15">
        <v>0</v>
      </c>
      <c r="H15">
        <v>0</v>
      </c>
      <c r="I15">
        <v>0</v>
      </c>
      <c r="J15">
        <v>0</v>
      </c>
      <c r="K15">
        <v>801.38</v>
      </c>
      <c r="L15">
        <v>1802.55</v>
      </c>
      <c r="M15">
        <v>2603.9299999999998</v>
      </c>
    </row>
    <row r="16" spans="1:13">
      <c r="A16" t="s">
        <v>135</v>
      </c>
      <c r="B16">
        <v>21</v>
      </c>
      <c r="C16">
        <v>627.38</v>
      </c>
      <c r="D16">
        <v>1628.55</v>
      </c>
      <c r="E16">
        <v>174</v>
      </c>
      <c r="F16">
        <v>174</v>
      </c>
      <c r="G16">
        <v>0</v>
      </c>
      <c r="H16">
        <v>0</v>
      </c>
      <c r="I16">
        <v>0</v>
      </c>
      <c r="J16">
        <v>0</v>
      </c>
      <c r="K16">
        <v>801.38</v>
      </c>
      <c r="L16">
        <v>1802.55</v>
      </c>
      <c r="M16">
        <v>2603.9299999999998</v>
      </c>
    </row>
    <row r="17" spans="1:13">
      <c r="A17" t="s">
        <v>375</v>
      </c>
      <c r="B17">
        <v>21</v>
      </c>
      <c r="C17">
        <v>627.38</v>
      </c>
      <c r="D17">
        <v>1628.55</v>
      </c>
      <c r="E17">
        <v>174</v>
      </c>
      <c r="F17">
        <v>174</v>
      </c>
      <c r="G17">
        <v>0</v>
      </c>
      <c r="H17">
        <v>0</v>
      </c>
      <c r="I17">
        <v>0</v>
      </c>
      <c r="J17">
        <v>0</v>
      </c>
      <c r="K17">
        <v>801.38</v>
      </c>
      <c r="L17">
        <v>1802.55</v>
      </c>
      <c r="M17">
        <v>2603.9299999999998</v>
      </c>
    </row>
    <row r="18" spans="1:13">
      <c r="A18" t="s">
        <v>132</v>
      </c>
      <c r="B18">
        <v>21</v>
      </c>
      <c r="C18">
        <v>627.38</v>
      </c>
      <c r="D18">
        <v>1628.55</v>
      </c>
      <c r="E18">
        <v>174</v>
      </c>
      <c r="F18">
        <v>174</v>
      </c>
      <c r="G18">
        <v>0</v>
      </c>
      <c r="H18">
        <v>0</v>
      </c>
      <c r="I18">
        <v>0</v>
      </c>
      <c r="J18">
        <v>0</v>
      </c>
      <c r="K18">
        <v>801.38</v>
      </c>
      <c r="L18">
        <v>1802.55</v>
      </c>
      <c r="M18">
        <v>2603.9299999999998</v>
      </c>
    </row>
    <row r="19" spans="1:13">
      <c r="A19" t="s">
        <v>152</v>
      </c>
      <c r="B19">
        <v>21</v>
      </c>
      <c r="C19">
        <v>627.38</v>
      </c>
      <c r="D19">
        <v>1628.55</v>
      </c>
      <c r="E19">
        <v>174</v>
      </c>
      <c r="F19">
        <v>174</v>
      </c>
      <c r="G19">
        <v>0</v>
      </c>
      <c r="H19">
        <v>0</v>
      </c>
      <c r="I19">
        <v>0</v>
      </c>
      <c r="J19">
        <v>0</v>
      </c>
      <c r="K19">
        <v>801.38</v>
      </c>
      <c r="L19">
        <v>1802.55</v>
      </c>
      <c r="M19">
        <v>2603.9299999999998</v>
      </c>
    </row>
    <row r="20" spans="1:13">
      <c r="A20" t="s">
        <v>146</v>
      </c>
      <c r="B20">
        <v>21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>
      <c r="A21" t="s">
        <v>380</v>
      </c>
      <c r="B21">
        <v>21</v>
      </c>
      <c r="C21">
        <v>627.38</v>
      </c>
      <c r="D21">
        <v>1628.55</v>
      </c>
      <c r="E21">
        <v>181</v>
      </c>
      <c r="F21">
        <v>181</v>
      </c>
      <c r="G21">
        <v>0</v>
      </c>
      <c r="H21">
        <v>0</v>
      </c>
      <c r="I21">
        <v>0</v>
      </c>
      <c r="J21">
        <v>0</v>
      </c>
      <c r="K21">
        <v>808.38</v>
      </c>
      <c r="L21">
        <v>1809.55</v>
      </c>
      <c r="M21">
        <v>2617.9299999999998</v>
      </c>
    </row>
    <row r="22" spans="1:13">
      <c r="A22" t="s">
        <v>158</v>
      </c>
      <c r="B22">
        <v>21</v>
      </c>
      <c r="C22">
        <v>627.38</v>
      </c>
      <c r="D22">
        <v>1628.55</v>
      </c>
      <c r="E22">
        <v>174</v>
      </c>
      <c r="F22">
        <v>174</v>
      </c>
      <c r="G22">
        <v>0</v>
      </c>
      <c r="H22">
        <v>0</v>
      </c>
      <c r="I22">
        <v>0</v>
      </c>
      <c r="J22">
        <v>0</v>
      </c>
      <c r="K22">
        <v>801.38</v>
      </c>
      <c r="L22">
        <v>1802.55</v>
      </c>
      <c r="M22">
        <v>2603.9299999999998</v>
      </c>
    </row>
    <row r="23" spans="1:13">
      <c r="A23" t="s">
        <v>123</v>
      </c>
      <c r="B23">
        <v>21</v>
      </c>
      <c r="C23">
        <v>627.38</v>
      </c>
      <c r="D23">
        <v>1628.55</v>
      </c>
      <c r="E23">
        <v>174</v>
      </c>
      <c r="F23">
        <v>174</v>
      </c>
      <c r="G23">
        <v>0</v>
      </c>
      <c r="H23">
        <v>0</v>
      </c>
      <c r="I23">
        <v>0</v>
      </c>
      <c r="J23">
        <v>0</v>
      </c>
      <c r="K23">
        <v>801.38</v>
      </c>
      <c r="L23">
        <v>1802.55</v>
      </c>
      <c r="M23">
        <v>2603.9299999999998</v>
      </c>
    </row>
    <row r="24" spans="1:13">
      <c r="A24" t="s">
        <v>166</v>
      </c>
      <c r="B24">
        <v>21</v>
      </c>
      <c r="C24">
        <v>627.38</v>
      </c>
      <c r="D24">
        <v>1628.55</v>
      </c>
      <c r="E24">
        <v>174</v>
      </c>
      <c r="F24">
        <v>174</v>
      </c>
      <c r="G24">
        <v>0</v>
      </c>
      <c r="H24">
        <v>0</v>
      </c>
      <c r="I24">
        <v>0</v>
      </c>
      <c r="J24">
        <v>0</v>
      </c>
      <c r="K24">
        <v>801.38</v>
      </c>
      <c r="L24">
        <v>1802.55</v>
      </c>
      <c r="M24">
        <v>2603.9299999999998</v>
      </c>
    </row>
    <row r="25" spans="1:13">
      <c r="A25" t="s">
        <v>139</v>
      </c>
      <c r="B25">
        <v>21</v>
      </c>
      <c r="C25">
        <v>627.38</v>
      </c>
      <c r="D25">
        <v>1628.55</v>
      </c>
      <c r="E25">
        <v>174</v>
      </c>
      <c r="F25">
        <v>174</v>
      </c>
      <c r="G25">
        <v>0</v>
      </c>
      <c r="H25">
        <v>0</v>
      </c>
      <c r="I25">
        <v>0</v>
      </c>
      <c r="J25">
        <v>0</v>
      </c>
      <c r="K25">
        <v>801.38</v>
      </c>
      <c r="L25">
        <v>1802.55</v>
      </c>
      <c r="M25">
        <v>2603.9299999999998</v>
      </c>
    </row>
    <row r="26" spans="1:13">
      <c r="A26" t="s">
        <v>258</v>
      </c>
      <c r="B26">
        <v>21</v>
      </c>
      <c r="C26">
        <v>627.38</v>
      </c>
      <c r="D26">
        <v>1628.55</v>
      </c>
      <c r="E26">
        <v>174</v>
      </c>
      <c r="F26">
        <v>174</v>
      </c>
      <c r="G26">
        <v>0</v>
      </c>
      <c r="H26">
        <v>0</v>
      </c>
      <c r="I26">
        <v>0</v>
      </c>
      <c r="J26">
        <v>0</v>
      </c>
      <c r="K26">
        <v>801.38</v>
      </c>
      <c r="L26">
        <v>1802.55</v>
      </c>
      <c r="M26">
        <v>2603.9299999999998</v>
      </c>
    </row>
    <row r="27" spans="1:13">
      <c r="A27" t="s">
        <v>141</v>
      </c>
      <c r="B27">
        <v>21</v>
      </c>
      <c r="C27">
        <v>627.38</v>
      </c>
      <c r="D27">
        <v>1628.55</v>
      </c>
      <c r="E27">
        <v>174</v>
      </c>
      <c r="F27">
        <v>174</v>
      </c>
      <c r="G27">
        <v>0</v>
      </c>
      <c r="H27">
        <v>0</v>
      </c>
      <c r="I27">
        <v>0</v>
      </c>
      <c r="J27">
        <v>0</v>
      </c>
      <c r="K27">
        <v>801.38</v>
      </c>
      <c r="L27">
        <v>1802.55</v>
      </c>
      <c r="M27">
        <v>2603.9299999999998</v>
      </c>
    </row>
    <row r="28" spans="1:13">
      <c r="A28" t="s">
        <v>218</v>
      </c>
      <c r="B28">
        <v>21</v>
      </c>
      <c r="C28">
        <v>627.38</v>
      </c>
      <c r="D28">
        <v>1628.55</v>
      </c>
      <c r="E28">
        <v>174</v>
      </c>
      <c r="F28">
        <v>174</v>
      </c>
      <c r="G28">
        <v>0</v>
      </c>
      <c r="H28">
        <v>0</v>
      </c>
      <c r="I28">
        <v>0</v>
      </c>
      <c r="J28">
        <v>0</v>
      </c>
      <c r="K28">
        <v>801.38</v>
      </c>
      <c r="L28">
        <v>1802.55</v>
      </c>
      <c r="M28">
        <v>2603.9299999999998</v>
      </c>
    </row>
    <row r="29" spans="1:13">
      <c r="A29" t="s">
        <v>148</v>
      </c>
      <c r="B29">
        <v>21</v>
      </c>
      <c r="C29">
        <v>627.38</v>
      </c>
      <c r="D29">
        <v>1628.55</v>
      </c>
      <c r="E29">
        <v>174</v>
      </c>
      <c r="F29">
        <v>174</v>
      </c>
      <c r="G29">
        <v>0</v>
      </c>
      <c r="H29">
        <v>0</v>
      </c>
      <c r="I29">
        <v>0</v>
      </c>
      <c r="J29">
        <v>0</v>
      </c>
      <c r="K29">
        <v>801.38</v>
      </c>
      <c r="L29">
        <v>1802.55</v>
      </c>
      <c r="M29">
        <v>2603.9299999999998</v>
      </c>
    </row>
    <row r="30" spans="1:13">
      <c r="A30" t="s">
        <v>214</v>
      </c>
      <c r="B30">
        <v>21</v>
      </c>
      <c r="C30">
        <v>627.38</v>
      </c>
      <c r="D30">
        <v>1628.55</v>
      </c>
      <c r="E30">
        <v>174</v>
      </c>
      <c r="F30">
        <v>174</v>
      </c>
      <c r="G30">
        <v>0</v>
      </c>
      <c r="H30">
        <v>0</v>
      </c>
      <c r="I30">
        <v>0</v>
      </c>
      <c r="J30">
        <v>0</v>
      </c>
      <c r="K30">
        <v>801.38</v>
      </c>
      <c r="L30">
        <v>1802.55</v>
      </c>
      <c r="M30">
        <v>2603.9299999999998</v>
      </c>
    </row>
    <row r="31" spans="1:13">
      <c r="A31" t="s">
        <v>100</v>
      </c>
      <c r="B31">
        <v>21</v>
      </c>
      <c r="C31">
        <v>627.38</v>
      </c>
      <c r="D31">
        <v>1628.55</v>
      </c>
      <c r="E31">
        <v>174</v>
      </c>
      <c r="F31">
        <v>174</v>
      </c>
      <c r="G31">
        <v>0</v>
      </c>
      <c r="H31">
        <v>0</v>
      </c>
      <c r="I31">
        <v>0</v>
      </c>
      <c r="J31">
        <v>0</v>
      </c>
      <c r="K31">
        <v>801.38</v>
      </c>
      <c r="L31">
        <v>1802.55</v>
      </c>
      <c r="M31">
        <v>2603.9299999999998</v>
      </c>
    </row>
    <row r="32" spans="1:13">
      <c r="A32" t="s">
        <v>264</v>
      </c>
      <c r="B32">
        <v>21</v>
      </c>
      <c r="C32">
        <v>627.38</v>
      </c>
      <c r="D32">
        <v>1628.55</v>
      </c>
      <c r="E32">
        <v>181</v>
      </c>
      <c r="F32">
        <v>181</v>
      </c>
      <c r="G32">
        <v>0</v>
      </c>
      <c r="H32">
        <v>0</v>
      </c>
      <c r="I32">
        <v>0</v>
      </c>
      <c r="J32">
        <v>0</v>
      </c>
      <c r="K32">
        <v>808.38</v>
      </c>
      <c r="L32">
        <v>1809.55</v>
      </c>
      <c r="M32">
        <v>2617.9299999999998</v>
      </c>
    </row>
    <row r="33" spans="1:13">
      <c r="A33" t="s">
        <v>117</v>
      </c>
      <c r="B33">
        <v>21</v>
      </c>
      <c r="C33">
        <v>627.38</v>
      </c>
      <c r="D33">
        <v>1628.55</v>
      </c>
      <c r="E33">
        <v>174</v>
      </c>
      <c r="F33">
        <v>174</v>
      </c>
      <c r="G33">
        <v>0</v>
      </c>
      <c r="H33">
        <v>0</v>
      </c>
      <c r="I33">
        <v>0</v>
      </c>
      <c r="J33">
        <v>0</v>
      </c>
      <c r="K33">
        <v>801.38</v>
      </c>
      <c r="L33">
        <v>1802.55</v>
      </c>
      <c r="M33">
        <v>2603.9299999999998</v>
      </c>
    </row>
    <row r="34" spans="1:13">
      <c r="A34" t="s">
        <v>377</v>
      </c>
      <c r="B34">
        <v>0</v>
      </c>
      <c r="C34">
        <v>-627.38</v>
      </c>
      <c r="D34">
        <v>-1628.55</v>
      </c>
      <c r="E34">
        <v>-174</v>
      </c>
      <c r="F34">
        <v>-174</v>
      </c>
      <c r="G34">
        <v>0</v>
      </c>
      <c r="H34">
        <v>0</v>
      </c>
      <c r="I34">
        <v>0</v>
      </c>
      <c r="J34">
        <v>0</v>
      </c>
      <c r="K34">
        <v>-801.38</v>
      </c>
      <c r="L34">
        <v>-1802.55</v>
      </c>
      <c r="M34">
        <v>-2603.9299999999998</v>
      </c>
    </row>
    <row r="35" spans="1:13">
      <c r="A35" t="s">
        <v>126</v>
      </c>
      <c r="B35">
        <v>21</v>
      </c>
      <c r="C35">
        <v>627.38</v>
      </c>
      <c r="D35">
        <v>1628.55</v>
      </c>
      <c r="E35">
        <v>174</v>
      </c>
      <c r="F35">
        <v>174</v>
      </c>
      <c r="G35">
        <v>0</v>
      </c>
      <c r="H35">
        <v>0</v>
      </c>
      <c r="I35">
        <v>0</v>
      </c>
      <c r="J35">
        <v>0</v>
      </c>
      <c r="K35">
        <v>801.38</v>
      </c>
      <c r="L35">
        <v>1802.55</v>
      </c>
      <c r="M35">
        <v>2603.9299999999998</v>
      </c>
    </row>
    <row r="36" spans="1:13">
      <c r="A36" t="s">
        <v>277</v>
      </c>
      <c r="B36">
        <v>21</v>
      </c>
      <c r="C36">
        <v>627.38</v>
      </c>
      <c r="D36">
        <v>1628.55</v>
      </c>
      <c r="E36">
        <v>174</v>
      </c>
      <c r="F36">
        <v>174</v>
      </c>
      <c r="G36">
        <v>0</v>
      </c>
      <c r="H36">
        <v>0</v>
      </c>
      <c r="I36">
        <v>0</v>
      </c>
      <c r="J36">
        <v>0</v>
      </c>
      <c r="K36">
        <v>801.38</v>
      </c>
      <c r="L36">
        <v>1802.55</v>
      </c>
      <c r="M36">
        <v>2603.9299999999998</v>
      </c>
    </row>
    <row r="37" spans="1:13">
      <c r="A37" t="s">
        <v>228</v>
      </c>
      <c r="B37">
        <v>21</v>
      </c>
      <c r="C37">
        <v>627.38</v>
      </c>
      <c r="D37">
        <v>1628.55</v>
      </c>
      <c r="E37">
        <v>174</v>
      </c>
      <c r="F37">
        <v>174</v>
      </c>
      <c r="G37">
        <v>0</v>
      </c>
      <c r="H37">
        <v>0</v>
      </c>
      <c r="I37">
        <v>0</v>
      </c>
      <c r="J37">
        <v>0</v>
      </c>
      <c r="K37">
        <v>801.38</v>
      </c>
      <c r="L37">
        <v>1802.55</v>
      </c>
      <c r="M37">
        <v>2603.9299999999998</v>
      </c>
    </row>
    <row r="38" spans="1:13">
      <c r="A38" t="s">
        <v>243</v>
      </c>
      <c r="B38">
        <v>21</v>
      </c>
      <c r="C38">
        <v>627.38</v>
      </c>
      <c r="D38">
        <v>1628.55</v>
      </c>
      <c r="E38">
        <v>174</v>
      </c>
      <c r="F38">
        <v>174</v>
      </c>
      <c r="G38">
        <v>0</v>
      </c>
      <c r="H38">
        <v>0</v>
      </c>
      <c r="I38">
        <v>0</v>
      </c>
      <c r="J38">
        <v>0</v>
      </c>
      <c r="K38">
        <v>801.38</v>
      </c>
      <c r="L38">
        <v>1802.55</v>
      </c>
      <c r="M38">
        <v>2603.9299999999998</v>
      </c>
    </row>
    <row r="39" spans="1:13">
      <c r="A39" t="s">
        <v>106</v>
      </c>
      <c r="B39">
        <v>21</v>
      </c>
      <c r="C39">
        <v>627.38</v>
      </c>
      <c r="D39">
        <v>1628.55</v>
      </c>
      <c r="E39">
        <v>174</v>
      </c>
      <c r="F39">
        <v>174</v>
      </c>
      <c r="G39">
        <v>0</v>
      </c>
      <c r="H39">
        <v>0</v>
      </c>
      <c r="I39">
        <v>0</v>
      </c>
      <c r="J39">
        <v>0</v>
      </c>
      <c r="K39">
        <v>801.38</v>
      </c>
      <c r="L39">
        <v>1802.55</v>
      </c>
      <c r="M39">
        <v>2603.9299999999998</v>
      </c>
    </row>
    <row r="40" spans="1:13">
      <c r="A40" t="s">
        <v>245</v>
      </c>
      <c r="B40">
        <v>21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>
      <c r="A41" t="s">
        <v>231</v>
      </c>
      <c r="B41">
        <v>21</v>
      </c>
      <c r="C41">
        <v>627.38</v>
      </c>
      <c r="D41">
        <v>1628.55</v>
      </c>
      <c r="E41">
        <v>174</v>
      </c>
      <c r="F41">
        <v>174</v>
      </c>
      <c r="G41">
        <v>0</v>
      </c>
      <c r="H41">
        <v>0</v>
      </c>
      <c r="I41">
        <v>0</v>
      </c>
      <c r="J41">
        <v>0</v>
      </c>
      <c r="K41">
        <v>801.38</v>
      </c>
      <c r="L41">
        <v>1802.55</v>
      </c>
      <c r="M41">
        <v>2603.9299999999998</v>
      </c>
    </row>
    <row r="42" spans="1:13">
      <c r="A42" t="s">
        <v>265</v>
      </c>
      <c r="B42">
        <v>21</v>
      </c>
      <c r="C42">
        <v>627.38</v>
      </c>
      <c r="D42">
        <v>1628.55</v>
      </c>
      <c r="E42">
        <v>174</v>
      </c>
      <c r="F42">
        <v>174</v>
      </c>
      <c r="G42">
        <v>0</v>
      </c>
      <c r="H42">
        <v>0</v>
      </c>
      <c r="I42">
        <v>0</v>
      </c>
      <c r="J42">
        <v>0</v>
      </c>
      <c r="K42">
        <v>801.38</v>
      </c>
      <c r="L42">
        <v>1802.55</v>
      </c>
      <c r="M42">
        <v>2603.9299999999998</v>
      </c>
    </row>
    <row r="43" spans="1:13">
      <c r="A43" t="s">
        <v>376</v>
      </c>
      <c r="B43">
        <v>0</v>
      </c>
      <c r="C43">
        <v>-627.38</v>
      </c>
      <c r="D43">
        <v>-1628.55</v>
      </c>
      <c r="E43">
        <v>-174</v>
      </c>
      <c r="F43">
        <v>-174</v>
      </c>
      <c r="G43">
        <v>0</v>
      </c>
      <c r="H43">
        <v>0</v>
      </c>
      <c r="I43">
        <v>0</v>
      </c>
      <c r="J43">
        <v>0</v>
      </c>
      <c r="K43">
        <v>-801.38</v>
      </c>
      <c r="L43">
        <v>-1802.55</v>
      </c>
      <c r="M43">
        <v>-2603.9299999999998</v>
      </c>
    </row>
    <row r="44" spans="1:13">
      <c r="A44" t="s">
        <v>360</v>
      </c>
      <c r="B44">
        <v>21</v>
      </c>
      <c r="C44">
        <v>627.38</v>
      </c>
      <c r="D44">
        <v>1628.55</v>
      </c>
      <c r="E44">
        <v>174</v>
      </c>
      <c r="F44">
        <v>174</v>
      </c>
      <c r="G44">
        <v>0</v>
      </c>
      <c r="H44">
        <v>0</v>
      </c>
      <c r="I44">
        <v>0</v>
      </c>
      <c r="J44">
        <v>0</v>
      </c>
      <c r="K44">
        <v>801.38</v>
      </c>
      <c r="L44">
        <v>1802.55</v>
      </c>
      <c r="M44">
        <v>2603.9299999999998</v>
      </c>
    </row>
    <row r="45" spans="1:13">
      <c r="A45" t="s">
        <v>281</v>
      </c>
      <c r="B45">
        <v>21</v>
      </c>
      <c r="C45">
        <v>627.38</v>
      </c>
      <c r="D45">
        <v>1628.55</v>
      </c>
      <c r="E45">
        <v>174</v>
      </c>
      <c r="F45">
        <v>174</v>
      </c>
      <c r="G45">
        <v>0</v>
      </c>
      <c r="H45">
        <v>0</v>
      </c>
      <c r="I45">
        <v>0</v>
      </c>
      <c r="J45">
        <v>0</v>
      </c>
      <c r="K45">
        <v>801.38</v>
      </c>
      <c r="L45">
        <v>1802.55</v>
      </c>
      <c r="M45">
        <v>2603.9299999999998</v>
      </c>
    </row>
    <row r="46" spans="1:13">
      <c r="A46" t="s">
        <v>242</v>
      </c>
      <c r="B46">
        <v>0</v>
      </c>
      <c r="C46">
        <v>-627.38</v>
      </c>
      <c r="D46">
        <v>-1628.55</v>
      </c>
      <c r="E46">
        <v>-174</v>
      </c>
      <c r="F46">
        <v>-174</v>
      </c>
      <c r="G46">
        <v>0</v>
      </c>
      <c r="H46">
        <v>0</v>
      </c>
      <c r="I46">
        <v>0</v>
      </c>
      <c r="J46">
        <v>0</v>
      </c>
      <c r="K46">
        <v>-801.38</v>
      </c>
      <c r="L46">
        <v>-1802.55</v>
      </c>
      <c r="M46">
        <v>-2603.9299999999998</v>
      </c>
    </row>
    <row r="47" spans="1:13">
      <c r="A47" t="s">
        <v>99</v>
      </c>
      <c r="B47">
        <v>21</v>
      </c>
      <c r="C47">
        <v>627.38</v>
      </c>
      <c r="D47">
        <v>1628.55</v>
      </c>
      <c r="E47">
        <v>174</v>
      </c>
      <c r="F47">
        <v>174</v>
      </c>
      <c r="G47">
        <v>0</v>
      </c>
      <c r="H47">
        <v>0</v>
      </c>
      <c r="I47">
        <v>0</v>
      </c>
      <c r="J47">
        <v>0</v>
      </c>
      <c r="K47">
        <v>801.38</v>
      </c>
      <c r="L47">
        <v>1802.55</v>
      </c>
      <c r="M47">
        <v>2603.9299999999998</v>
      </c>
    </row>
    <row r="48" spans="1:13">
      <c r="A48" t="s">
        <v>198</v>
      </c>
      <c r="B48">
        <v>21</v>
      </c>
      <c r="C48">
        <v>627.38</v>
      </c>
      <c r="D48">
        <v>1628.55</v>
      </c>
      <c r="E48">
        <v>174</v>
      </c>
      <c r="F48">
        <v>174</v>
      </c>
      <c r="G48">
        <v>0</v>
      </c>
      <c r="H48">
        <v>0</v>
      </c>
      <c r="I48">
        <v>0</v>
      </c>
      <c r="J48">
        <v>0</v>
      </c>
      <c r="K48">
        <v>801.38</v>
      </c>
      <c r="L48">
        <v>1802.55</v>
      </c>
      <c r="M48">
        <v>2603.9299999999998</v>
      </c>
    </row>
    <row r="49" spans="1:13">
      <c r="A49" t="s">
        <v>129</v>
      </c>
      <c r="B49">
        <v>21</v>
      </c>
      <c r="C49">
        <v>627.38</v>
      </c>
      <c r="D49">
        <v>1628.55</v>
      </c>
      <c r="E49">
        <v>174</v>
      </c>
      <c r="F49">
        <v>174</v>
      </c>
      <c r="G49">
        <v>0</v>
      </c>
      <c r="H49">
        <v>0</v>
      </c>
      <c r="I49">
        <v>0</v>
      </c>
      <c r="J49">
        <v>0</v>
      </c>
      <c r="K49">
        <v>801.38</v>
      </c>
      <c r="L49">
        <v>1802.55</v>
      </c>
      <c r="M49">
        <v>2603.9299999999998</v>
      </c>
    </row>
    <row r="50" spans="1:13">
      <c r="A50" t="s">
        <v>217</v>
      </c>
      <c r="B50">
        <v>21</v>
      </c>
      <c r="C50">
        <v>627.38</v>
      </c>
      <c r="D50">
        <v>1628.55</v>
      </c>
      <c r="E50">
        <v>174</v>
      </c>
      <c r="F50">
        <v>174</v>
      </c>
      <c r="G50">
        <v>0</v>
      </c>
      <c r="H50">
        <v>0</v>
      </c>
      <c r="I50">
        <v>0</v>
      </c>
      <c r="J50">
        <v>0</v>
      </c>
      <c r="K50">
        <v>801.38</v>
      </c>
      <c r="L50">
        <v>1802.55</v>
      </c>
      <c r="M50">
        <v>2603.9299999999998</v>
      </c>
    </row>
    <row r="51" spans="1:13">
      <c r="A51" t="s">
        <v>187</v>
      </c>
      <c r="B51">
        <v>21</v>
      </c>
      <c r="C51">
        <v>627.38</v>
      </c>
      <c r="D51">
        <v>1628.55</v>
      </c>
      <c r="E51">
        <v>174</v>
      </c>
      <c r="F51">
        <v>174</v>
      </c>
      <c r="G51">
        <v>0</v>
      </c>
      <c r="H51">
        <v>0</v>
      </c>
      <c r="I51">
        <v>0</v>
      </c>
      <c r="J51">
        <v>0</v>
      </c>
      <c r="K51">
        <v>801.38</v>
      </c>
      <c r="L51">
        <v>1802.55</v>
      </c>
      <c r="M51">
        <v>2603.9299999999998</v>
      </c>
    </row>
    <row r="52" spans="1:13">
      <c r="A52" t="s">
        <v>282</v>
      </c>
      <c r="B52">
        <v>21</v>
      </c>
      <c r="C52">
        <v>627.38</v>
      </c>
      <c r="D52">
        <v>1628.55</v>
      </c>
      <c r="E52">
        <v>174</v>
      </c>
      <c r="F52">
        <v>174</v>
      </c>
      <c r="G52">
        <v>0</v>
      </c>
      <c r="H52">
        <v>0</v>
      </c>
      <c r="I52">
        <v>0</v>
      </c>
      <c r="J52">
        <v>0</v>
      </c>
      <c r="K52">
        <v>801.38</v>
      </c>
      <c r="L52">
        <v>1802.55</v>
      </c>
      <c r="M52">
        <v>2603.9299999999998</v>
      </c>
    </row>
    <row r="53" spans="1:13">
      <c r="A53" t="s">
        <v>144</v>
      </c>
      <c r="B53">
        <v>21</v>
      </c>
      <c r="C53">
        <v>627.38</v>
      </c>
      <c r="D53">
        <v>1628.55</v>
      </c>
      <c r="E53">
        <v>174</v>
      </c>
      <c r="F53">
        <v>174</v>
      </c>
      <c r="G53">
        <v>0</v>
      </c>
      <c r="H53">
        <v>0</v>
      </c>
      <c r="I53">
        <v>0</v>
      </c>
      <c r="J53">
        <v>0</v>
      </c>
      <c r="K53">
        <v>801.38</v>
      </c>
      <c r="L53">
        <v>1802.55</v>
      </c>
      <c r="M53">
        <v>2603.9299999999998</v>
      </c>
    </row>
    <row r="54" spans="1:13">
      <c r="A54" t="s">
        <v>104</v>
      </c>
      <c r="B54">
        <v>21</v>
      </c>
      <c r="C54">
        <v>627.38</v>
      </c>
      <c r="D54">
        <v>1628.55</v>
      </c>
      <c r="E54">
        <v>174</v>
      </c>
      <c r="F54">
        <v>174</v>
      </c>
      <c r="G54">
        <v>0</v>
      </c>
      <c r="H54">
        <v>0</v>
      </c>
      <c r="I54">
        <v>0</v>
      </c>
      <c r="J54">
        <v>0</v>
      </c>
      <c r="K54">
        <v>801.38</v>
      </c>
      <c r="L54">
        <v>1802.55</v>
      </c>
      <c r="M54">
        <v>2603.9299999999998</v>
      </c>
    </row>
    <row r="55" spans="1:13">
      <c r="A55" t="s">
        <v>239</v>
      </c>
      <c r="B55">
        <v>21</v>
      </c>
      <c r="C55">
        <v>627.38</v>
      </c>
      <c r="D55">
        <v>1628.55</v>
      </c>
      <c r="E55">
        <v>174</v>
      </c>
      <c r="F55">
        <v>174</v>
      </c>
      <c r="G55">
        <v>0</v>
      </c>
      <c r="H55">
        <v>0</v>
      </c>
      <c r="I55">
        <v>0</v>
      </c>
      <c r="J55">
        <v>0</v>
      </c>
      <c r="K55">
        <v>801.38</v>
      </c>
      <c r="L55">
        <v>1802.55</v>
      </c>
      <c r="M55">
        <v>2603.9299999999998</v>
      </c>
    </row>
    <row r="56" spans="1:13">
      <c r="A56" t="s">
        <v>357</v>
      </c>
      <c r="B56">
        <v>21</v>
      </c>
      <c r="C56">
        <v>627.38</v>
      </c>
      <c r="D56">
        <v>1628.55</v>
      </c>
      <c r="E56">
        <v>174</v>
      </c>
      <c r="F56">
        <v>174</v>
      </c>
      <c r="G56">
        <v>0</v>
      </c>
      <c r="H56">
        <v>0</v>
      </c>
      <c r="I56">
        <v>0</v>
      </c>
      <c r="J56">
        <v>0</v>
      </c>
      <c r="K56">
        <v>801.38</v>
      </c>
      <c r="L56">
        <v>1802.55</v>
      </c>
      <c r="M56">
        <v>2603.9299999999998</v>
      </c>
    </row>
    <row r="57" spans="1:13">
      <c r="A57" t="s">
        <v>120</v>
      </c>
      <c r="B57">
        <v>21</v>
      </c>
      <c r="C57">
        <v>627.38</v>
      </c>
      <c r="D57">
        <v>1628.55</v>
      </c>
      <c r="E57">
        <v>174</v>
      </c>
      <c r="F57">
        <v>174</v>
      </c>
      <c r="G57">
        <v>0</v>
      </c>
      <c r="H57">
        <v>0</v>
      </c>
      <c r="I57">
        <v>0</v>
      </c>
      <c r="J57">
        <v>0</v>
      </c>
      <c r="K57">
        <v>801.38</v>
      </c>
      <c r="L57">
        <v>1802.55</v>
      </c>
      <c r="M57">
        <v>2603.9299999999998</v>
      </c>
    </row>
    <row r="58" spans="1:13">
      <c r="A58" t="s">
        <v>221</v>
      </c>
      <c r="B58">
        <v>21</v>
      </c>
      <c r="C58">
        <v>627.38</v>
      </c>
      <c r="D58">
        <v>1628.55</v>
      </c>
      <c r="E58">
        <v>174</v>
      </c>
      <c r="F58">
        <v>174</v>
      </c>
      <c r="G58">
        <v>0</v>
      </c>
      <c r="H58">
        <v>0</v>
      </c>
      <c r="I58">
        <v>0</v>
      </c>
      <c r="J58">
        <v>0</v>
      </c>
      <c r="K58">
        <v>801.38</v>
      </c>
      <c r="L58">
        <v>1802.55</v>
      </c>
      <c r="M58">
        <v>2603.9299999999998</v>
      </c>
    </row>
    <row r="59" spans="1:13">
      <c r="A59" t="s">
        <v>259</v>
      </c>
      <c r="B59">
        <v>21</v>
      </c>
      <c r="C59">
        <v>627.38</v>
      </c>
      <c r="D59">
        <v>1628.55</v>
      </c>
      <c r="E59">
        <v>174</v>
      </c>
      <c r="F59">
        <v>174</v>
      </c>
      <c r="G59">
        <v>0</v>
      </c>
      <c r="H59">
        <v>0</v>
      </c>
      <c r="I59">
        <v>0</v>
      </c>
      <c r="J59">
        <v>0</v>
      </c>
      <c r="K59">
        <v>801.38</v>
      </c>
      <c r="L59">
        <v>1802.55</v>
      </c>
      <c r="M59">
        <v>2603.9299999999998</v>
      </c>
    </row>
    <row r="60" spans="1:13">
      <c r="A60" t="s">
        <v>155</v>
      </c>
      <c r="B60">
        <v>21</v>
      </c>
      <c r="C60">
        <v>627.38</v>
      </c>
      <c r="D60">
        <v>1628.55</v>
      </c>
      <c r="E60">
        <v>174</v>
      </c>
      <c r="F60">
        <v>174</v>
      </c>
      <c r="G60">
        <v>0</v>
      </c>
      <c r="H60">
        <v>0</v>
      </c>
      <c r="I60">
        <v>0</v>
      </c>
      <c r="J60">
        <v>0</v>
      </c>
      <c r="K60">
        <v>801.38</v>
      </c>
      <c r="L60">
        <v>1802.55</v>
      </c>
      <c r="M60">
        <v>2603.9299999999998</v>
      </c>
    </row>
    <row r="61" spans="1:13">
      <c r="A61" t="s">
        <v>234</v>
      </c>
      <c r="B61">
        <v>21</v>
      </c>
      <c r="C61">
        <v>627.38</v>
      </c>
      <c r="D61">
        <v>1628.55</v>
      </c>
      <c r="E61">
        <v>174</v>
      </c>
      <c r="F61">
        <v>174</v>
      </c>
      <c r="G61">
        <v>0</v>
      </c>
      <c r="H61">
        <v>0</v>
      </c>
      <c r="I61">
        <v>0</v>
      </c>
      <c r="J61">
        <v>0</v>
      </c>
      <c r="K61">
        <v>801.38</v>
      </c>
      <c r="L61">
        <v>1802.55</v>
      </c>
      <c r="M61">
        <v>2603.9299999999998</v>
      </c>
    </row>
    <row r="62" spans="1:13">
      <c r="A62" t="s">
        <v>384</v>
      </c>
      <c r="B62">
        <v>0</v>
      </c>
      <c r="C62">
        <v>627.38</v>
      </c>
      <c r="D62">
        <v>1628.55</v>
      </c>
      <c r="E62">
        <v>181</v>
      </c>
      <c r="F62">
        <v>181</v>
      </c>
      <c r="G62">
        <v>0</v>
      </c>
      <c r="H62">
        <v>0</v>
      </c>
      <c r="I62">
        <v>0</v>
      </c>
      <c r="J62">
        <v>0</v>
      </c>
      <c r="K62">
        <v>808.38</v>
      </c>
      <c r="L62">
        <v>1809.55</v>
      </c>
      <c r="M62">
        <v>2617.9299999999998</v>
      </c>
    </row>
    <row r="63" spans="1:13">
      <c r="A63" t="s">
        <v>250</v>
      </c>
      <c r="B63">
        <v>21</v>
      </c>
      <c r="C63">
        <v>627.38</v>
      </c>
      <c r="D63">
        <v>1628.55</v>
      </c>
      <c r="E63">
        <v>174</v>
      </c>
      <c r="F63">
        <v>174</v>
      </c>
      <c r="G63">
        <v>0</v>
      </c>
      <c r="H63">
        <v>0</v>
      </c>
      <c r="I63">
        <v>0</v>
      </c>
      <c r="J63">
        <v>0</v>
      </c>
      <c r="K63">
        <v>801.38</v>
      </c>
      <c r="L63">
        <v>1802.55</v>
      </c>
      <c r="M63">
        <v>2603.9299999999998</v>
      </c>
    </row>
    <row r="64" spans="1:13">
      <c r="A64" t="s">
        <v>190</v>
      </c>
      <c r="B64">
        <v>21</v>
      </c>
      <c r="C64">
        <v>627.38</v>
      </c>
      <c r="D64">
        <v>1628.55</v>
      </c>
      <c r="E64">
        <v>174</v>
      </c>
      <c r="F64">
        <v>174</v>
      </c>
      <c r="G64">
        <v>0</v>
      </c>
      <c r="H64">
        <v>0</v>
      </c>
      <c r="I64">
        <v>0</v>
      </c>
      <c r="J64">
        <v>0</v>
      </c>
      <c r="K64">
        <v>801.38</v>
      </c>
      <c r="L64">
        <v>1802.55</v>
      </c>
      <c r="M64">
        <v>2603.9299999999998</v>
      </c>
    </row>
    <row r="65" spans="1:13">
      <c r="A65" t="s">
        <v>162</v>
      </c>
      <c r="B65">
        <v>21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>
      <c r="A66" t="s">
        <v>236</v>
      </c>
      <c r="B66">
        <v>21</v>
      </c>
      <c r="C66">
        <v>627.38</v>
      </c>
      <c r="D66">
        <v>1628.55</v>
      </c>
      <c r="E66">
        <v>174</v>
      </c>
      <c r="F66">
        <v>174</v>
      </c>
      <c r="G66">
        <v>0</v>
      </c>
      <c r="H66">
        <v>0</v>
      </c>
      <c r="I66">
        <v>0</v>
      </c>
      <c r="J66">
        <v>0</v>
      </c>
      <c r="K66">
        <v>801.38</v>
      </c>
      <c r="L66">
        <v>1802.55</v>
      </c>
      <c r="M66">
        <v>2603.9299999999998</v>
      </c>
    </row>
    <row r="67" spans="1:13">
      <c r="A67" t="s">
        <v>184</v>
      </c>
      <c r="B67">
        <v>21</v>
      </c>
      <c r="C67">
        <v>627.38</v>
      </c>
      <c r="D67">
        <v>1628.55</v>
      </c>
      <c r="E67">
        <v>174</v>
      </c>
      <c r="F67">
        <v>174</v>
      </c>
      <c r="G67">
        <v>0</v>
      </c>
      <c r="H67">
        <v>0</v>
      </c>
      <c r="I67">
        <v>0</v>
      </c>
      <c r="J67">
        <v>0</v>
      </c>
      <c r="K67">
        <v>801.38</v>
      </c>
      <c r="L67">
        <v>1802.55</v>
      </c>
      <c r="M67">
        <v>2603.9299999999998</v>
      </c>
    </row>
    <row r="68" spans="1:13">
      <c r="A68" t="s">
        <v>368</v>
      </c>
      <c r="B68">
        <v>21</v>
      </c>
      <c r="C68">
        <v>627.38</v>
      </c>
      <c r="D68">
        <v>1628.55</v>
      </c>
      <c r="E68">
        <v>174</v>
      </c>
      <c r="F68">
        <v>174</v>
      </c>
      <c r="G68">
        <v>0</v>
      </c>
      <c r="H68">
        <v>0</v>
      </c>
      <c r="I68">
        <v>0</v>
      </c>
      <c r="J68">
        <v>0</v>
      </c>
      <c r="K68">
        <v>801.38</v>
      </c>
      <c r="L68">
        <v>1802.55</v>
      </c>
      <c r="M68">
        <v>2603.9299999999998</v>
      </c>
    </row>
    <row r="69" spans="1:13">
      <c r="A69" t="s">
        <v>168</v>
      </c>
      <c r="B69">
        <v>21</v>
      </c>
      <c r="C69">
        <v>627.38</v>
      </c>
      <c r="D69">
        <v>1628.55</v>
      </c>
      <c r="E69">
        <v>174</v>
      </c>
      <c r="F69">
        <v>174</v>
      </c>
      <c r="G69">
        <v>0</v>
      </c>
      <c r="H69">
        <v>0</v>
      </c>
      <c r="I69">
        <v>0</v>
      </c>
      <c r="J69">
        <v>0</v>
      </c>
      <c r="K69">
        <v>801.38</v>
      </c>
      <c r="L69">
        <v>1802.55</v>
      </c>
      <c r="M69">
        <v>2603.9299999999998</v>
      </c>
    </row>
    <row r="70" spans="1:13">
      <c r="A70" t="s">
        <v>207</v>
      </c>
      <c r="B70">
        <v>21</v>
      </c>
      <c r="C70">
        <v>627.38</v>
      </c>
      <c r="D70">
        <v>1628.55</v>
      </c>
      <c r="E70">
        <v>174</v>
      </c>
      <c r="F70">
        <v>174</v>
      </c>
      <c r="G70">
        <v>0</v>
      </c>
      <c r="H70">
        <v>0</v>
      </c>
      <c r="I70">
        <v>0</v>
      </c>
      <c r="J70">
        <v>0</v>
      </c>
      <c r="K70">
        <v>801.38</v>
      </c>
      <c r="L70">
        <v>1802.55</v>
      </c>
      <c r="M70">
        <v>2603.9299999999998</v>
      </c>
    </row>
    <row r="71" spans="1:13">
      <c r="A71" t="s">
        <v>248</v>
      </c>
      <c r="B71">
        <v>21</v>
      </c>
      <c r="C71">
        <v>627.38</v>
      </c>
      <c r="D71">
        <v>1628.55</v>
      </c>
      <c r="E71">
        <v>174</v>
      </c>
      <c r="F71">
        <v>174</v>
      </c>
      <c r="G71">
        <v>0</v>
      </c>
      <c r="H71">
        <v>0</v>
      </c>
      <c r="I71">
        <v>0</v>
      </c>
      <c r="J71">
        <v>0</v>
      </c>
      <c r="K71">
        <v>801.38</v>
      </c>
      <c r="L71">
        <v>1802.55</v>
      </c>
      <c r="M71">
        <v>2603.9299999999998</v>
      </c>
    </row>
    <row r="72" spans="1:13">
      <c r="A72" t="s">
        <v>256</v>
      </c>
      <c r="B72">
        <v>21</v>
      </c>
      <c r="C72">
        <v>627.38</v>
      </c>
      <c r="D72">
        <v>1628.55</v>
      </c>
      <c r="E72">
        <v>174</v>
      </c>
      <c r="F72">
        <v>174</v>
      </c>
      <c r="G72">
        <v>0</v>
      </c>
      <c r="H72">
        <v>0</v>
      </c>
      <c r="I72">
        <v>0</v>
      </c>
      <c r="J72">
        <v>0</v>
      </c>
      <c r="K72">
        <v>801.38</v>
      </c>
      <c r="L72">
        <v>1802.55</v>
      </c>
      <c r="M72">
        <v>2603.9299999999998</v>
      </c>
    </row>
    <row r="73" spans="1:13">
      <c r="A73" t="s">
        <v>183</v>
      </c>
      <c r="B73">
        <v>21</v>
      </c>
      <c r="C73">
        <v>627.38</v>
      </c>
      <c r="D73">
        <v>1628.55</v>
      </c>
      <c r="E73">
        <v>174</v>
      </c>
      <c r="F73">
        <v>174</v>
      </c>
      <c r="G73">
        <v>0</v>
      </c>
      <c r="H73">
        <v>0</v>
      </c>
      <c r="I73">
        <v>0</v>
      </c>
      <c r="J73">
        <v>0</v>
      </c>
      <c r="K73">
        <v>801.38</v>
      </c>
      <c r="L73">
        <v>1802.55</v>
      </c>
      <c r="M73">
        <v>2603.9299999999998</v>
      </c>
    </row>
    <row r="74" spans="1:13">
      <c r="A74" t="s">
        <v>161</v>
      </c>
      <c r="B74">
        <v>21</v>
      </c>
      <c r="C74">
        <v>627.38</v>
      </c>
      <c r="D74">
        <v>1628.55</v>
      </c>
      <c r="E74">
        <v>174</v>
      </c>
      <c r="F74">
        <v>174</v>
      </c>
      <c r="G74">
        <v>0</v>
      </c>
      <c r="H74">
        <v>0</v>
      </c>
      <c r="I74">
        <v>0</v>
      </c>
      <c r="J74">
        <v>0</v>
      </c>
      <c r="K74">
        <v>801.38</v>
      </c>
      <c r="L74">
        <v>1802.55</v>
      </c>
      <c r="M74">
        <v>2603.9299999999998</v>
      </c>
    </row>
    <row r="75" spans="1:13">
      <c r="A75" t="s">
        <v>108</v>
      </c>
      <c r="B75">
        <v>21</v>
      </c>
      <c r="C75">
        <v>627.38</v>
      </c>
      <c r="D75">
        <v>1628.55</v>
      </c>
      <c r="E75">
        <v>174</v>
      </c>
      <c r="F75">
        <v>174</v>
      </c>
      <c r="G75">
        <v>0</v>
      </c>
      <c r="H75">
        <v>0</v>
      </c>
      <c r="I75">
        <v>0</v>
      </c>
      <c r="J75">
        <v>0</v>
      </c>
      <c r="K75">
        <v>801.38</v>
      </c>
      <c r="L75">
        <v>1802.55</v>
      </c>
      <c r="M75">
        <v>2603.9299999999998</v>
      </c>
    </row>
    <row r="76" spans="1:13">
      <c r="A76" t="s">
        <v>110</v>
      </c>
      <c r="B76">
        <v>21</v>
      </c>
      <c r="C76">
        <v>627.38</v>
      </c>
      <c r="D76">
        <v>1628.55</v>
      </c>
      <c r="E76">
        <v>174</v>
      </c>
      <c r="F76">
        <v>174</v>
      </c>
      <c r="G76">
        <v>0</v>
      </c>
      <c r="H76">
        <v>0</v>
      </c>
      <c r="I76">
        <v>0</v>
      </c>
      <c r="J76">
        <v>0</v>
      </c>
      <c r="K76">
        <v>801.38</v>
      </c>
      <c r="L76">
        <v>1802.55</v>
      </c>
      <c r="M76">
        <v>2603.9299999999998</v>
      </c>
    </row>
    <row r="77" spans="1:13">
      <c r="A77" t="s">
        <v>90</v>
      </c>
      <c r="B77">
        <v>21</v>
      </c>
      <c r="C77">
        <v>627.38</v>
      </c>
      <c r="D77">
        <v>1628.55</v>
      </c>
      <c r="E77">
        <v>174</v>
      </c>
      <c r="F77">
        <v>174</v>
      </c>
      <c r="G77">
        <v>0</v>
      </c>
      <c r="H77">
        <v>0</v>
      </c>
      <c r="I77">
        <v>0</v>
      </c>
      <c r="J77">
        <v>0</v>
      </c>
      <c r="K77">
        <v>801.38</v>
      </c>
      <c r="L77">
        <v>1802.55</v>
      </c>
      <c r="M77">
        <v>2603.9299999999998</v>
      </c>
    </row>
    <row r="78" spans="1:13">
      <c r="A78" t="s">
        <v>369</v>
      </c>
      <c r="B78">
        <v>21</v>
      </c>
      <c r="C78">
        <v>627.38</v>
      </c>
      <c r="D78">
        <v>1628.55</v>
      </c>
      <c r="E78">
        <v>174</v>
      </c>
      <c r="F78">
        <v>174</v>
      </c>
      <c r="G78">
        <v>0</v>
      </c>
      <c r="H78">
        <v>0</v>
      </c>
      <c r="I78">
        <v>0</v>
      </c>
      <c r="J78">
        <v>0</v>
      </c>
      <c r="K78">
        <v>801.38</v>
      </c>
      <c r="L78">
        <v>1802.55</v>
      </c>
      <c r="M78">
        <v>2603.9299999999998</v>
      </c>
    </row>
    <row r="79" spans="1:13">
      <c r="A79" t="s">
        <v>355</v>
      </c>
      <c r="B79">
        <v>21</v>
      </c>
      <c r="C79">
        <v>627.38</v>
      </c>
      <c r="D79">
        <v>1628.55</v>
      </c>
      <c r="E79">
        <v>174</v>
      </c>
      <c r="F79">
        <v>174</v>
      </c>
      <c r="G79">
        <v>0</v>
      </c>
      <c r="H79">
        <v>0</v>
      </c>
      <c r="I79">
        <v>0</v>
      </c>
      <c r="J79">
        <v>0</v>
      </c>
      <c r="K79">
        <v>801.38</v>
      </c>
      <c r="L79">
        <v>1802.55</v>
      </c>
      <c r="M79">
        <v>2603.9299999999998</v>
      </c>
    </row>
    <row r="80" spans="1:13">
      <c r="A80" t="s">
        <v>350</v>
      </c>
      <c r="B80">
        <v>21</v>
      </c>
      <c r="C80">
        <v>627.38</v>
      </c>
      <c r="D80">
        <v>1628.55</v>
      </c>
      <c r="E80">
        <v>174</v>
      </c>
      <c r="F80">
        <v>174</v>
      </c>
      <c r="G80">
        <v>0</v>
      </c>
      <c r="H80">
        <v>0</v>
      </c>
      <c r="I80">
        <v>0</v>
      </c>
      <c r="J80">
        <v>0</v>
      </c>
      <c r="K80">
        <v>801.38</v>
      </c>
      <c r="L80">
        <v>1802.55</v>
      </c>
      <c r="M80">
        <v>2603.9299999999998</v>
      </c>
    </row>
    <row r="81" spans="1:13">
      <c r="A81" t="s">
        <v>196</v>
      </c>
      <c r="B81">
        <v>21</v>
      </c>
      <c r="C81">
        <v>627.38</v>
      </c>
      <c r="D81">
        <v>1628.55</v>
      </c>
      <c r="E81">
        <v>174</v>
      </c>
      <c r="F81">
        <v>174</v>
      </c>
      <c r="G81">
        <v>0</v>
      </c>
      <c r="H81">
        <v>0</v>
      </c>
      <c r="I81">
        <v>0</v>
      </c>
      <c r="J81">
        <v>0</v>
      </c>
      <c r="K81">
        <v>801.38</v>
      </c>
      <c r="L81">
        <v>1802.55</v>
      </c>
      <c r="M81">
        <v>2603.9299999999998</v>
      </c>
    </row>
    <row r="82" spans="1:13">
      <c r="A82" t="s">
        <v>210</v>
      </c>
      <c r="B82">
        <v>21</v>
      </c>
      <c r="C82">
        <v>627.38</v>
      </c>
      <c r="D82">
        <v>1628.55</v>
      </c>
      <c r="E82">
        <v>174</v>
      </c>
      <c r="F82">
        <v>174</v>
      </c>
      <c r="G82">
        <v>0</v>
      </c>
      <c r="H82">
        <v>0</v>
      </c>
      <c r="I82">
        <v>0</v>
      </c>
      <c r="J82">
        <v>0</v>
      </c>
      <c r="K82">
        <v>801.38</v>
      </c>
      <c r="L82">
        <v>1802.55</v>
      </c>
      <c r="M82">
        <v>2603.9299999999998</v>
      </c>
    </row>
    <row r="83" spans="1:13">
      <c r="A83" t="s">
        <v>226</v>
      </c>
      <c r="B83">
        <v>21</v>
      </c>
      <c r="C83">
        <v>627.38</v>
      </c>
      <c r="D83">
        <v>1628.55</v>
      </c>
      <c r="E83">
        <v>174</v>
      </c>
      <c r="F83">
        <v>174</v>
      </c>
      <c r="G83">
        <v>0</v>
      </c>
      <c r="H83">
        <v>0</v>
      </c>
      <c r="I83">
        <v>0</v>
      </c>
      <c r="J83">
        <v>0</v>
      </c>
      <c r="K83">
        <v>801.38</v>
      </c>
      <c r="L83">
        <v>1802.55</v>
      </c>
      <c r="M83">
        <v>2603.9299999999998</v>
      </c>
    </row>
    <row r="84" spans="1:13">
      <c r="A84" t="s">
        <v>362</v>
      </c>
      <c r="B84">
        <v>21</v>
      </c>
      <c r="C84">
        <v>627.38</v>
      </c>
      <c r="D84">
        <v>1628.55</v>
      </c>
      <c r="E84">
        <v>174</v>
      </c>
      <c r="F84">
        <v>174</v>
      </c>
      <c r="G84">
        <v>0</v>
      </c>
      <c r="H84">
        <v>0</v>
      </c>
      <c r="I84">
        <v>0</v>
      </c>
      <c r="J84">
        <v>0</v>
      </c>
      <c r="K84">
        <v>801.38</v>
      </c>
      <c r="L84">
        <v>1802.55</v>
      </c>
      <c r="M84">
        <v>2603.9299999999998</v>
      </c>
    </row>
    <row r="85" spans="1:13">
      <c r="A85" t="s">
        <v>179</v>
      </c>
      <c r="B85">
        <v>21</v>
      </c>
      <c r="C85">
        <v>627.38</v>
      </c>
      <c r="D85">
        <v>1628.55</v>
      </c>
      <c r="E85">
        <v>174</v>
      </c>
      <c r="F85">
        <v>174</v>
      </c>
      <c r="G85">
        <v>0</v>
      </c>
      <c r="H85">
        <v>0</v>
      </c>
      <c r="I85">
        <v>0</v>
      </c>
      <c r="J85">
        <v>0</v>
      </c>
      <c r="K85">
        <v>801.38</v>
      </c>
      <c r="L85">
        <v>1802.55</v>
      </c>
      <c r="M85">
        <v>2603.9299999999998</v>
      </c>
    </row>
    <row r="86" spans="1:13">
      <c r="A86" t="s">
        <v>149</v>
      </c>
      <c r="B86">
        <v>21</v>
      </c>
      <c r="C86">
        <v>627.38</v>
      </c>
      <c r="D86">
        <v>1628.55</v>
      </c>
      <c r="E86">
        <v>174</v>
      </c>
      <c r="F86">
        <v>174</v>
      </c>
      <c r="G86">
        <v>0</v>
      </c>
      <c r="H86">
        <v>0</v>
      </c>
      <c r="I86">
        <v>0</v>
      </c>
      <c r="J86">
        <v>0</v>
      </c>
      <c r="K86">
        <v>801.38</v>
      </c>
      <c r="L86">
        <v>1802.55</v>
      </c>
      <c r="M86">
        <v>2603.9299999999998</v>
      </c>
    </row>
    <row r="87" spans="1:13">
      <c r="A87" t="s">
        <v>262</v>
      </c>
      <c r="B87">
        <v>21</v>
      </c>
      <c r="C87">
        <v>627.38</v>
      </c>
      <c r="D87">
        <v>1628.55</v>
      </c>
      <c r="E87">
        <v>174</v>
      </c>
      <c r="F87">
        <v>174</v>
      </c>
      <c r="G87">
        <v>0</v>
      </c>
      <c r="H87">
        <v>0</v>
      </c>
      <c r="I87">
        <v>0</v>
      </c>
      <c r="J87">
        <v>0</v>
      </c>
      <c r="K87">
        <v>801.38</v>
      </c>
      <c r="L87">
        <v>1802.55</v>
      </c>
      <c r="M87">
        <v>2603.9299999999998</v>
      </c>
    </row>
    <row r="88" spans="1:13">
      <c r="A88" t="s">
        <v>85</v>
      </c>
      <c r="B88">
        <v>21</v>
      </c>
      <c r="C88">
        <v>627.38</v>
      </c>
      <c r="D88">
        <v>1628.55</v>
      </c>
      <c r="E88">
        <v>174</v>
      </c>
      <c r="F88">
        <v>174</v>
      </c>
      <c r="G88">
        <v>0</v>
      </c>
      <c r="H88">
        <v>0</v>
      </c>
      <c r="I88">
        <v>0</v>
      </c>
      <c r="J88">
        <v>0</v>
      </c>
      <c r="K88">
        <v>801.38</v>
      </c>
      <c r="L88">
        <v>1802.55</v>
      </c>
      <c r="M88">
        <v>2603.9299999999998</v>
      </c>
    </row>
    <row r="89" spans="1:13">
      <c r="A89" t="s">
        <v>253</v>
      </c>
      <c r="B89">
        <v>21</v>
      </c>
      <c r="C89">
        <v>627.38</v>
      </c>
      <c r="D89">
        <v>1628.55</v>
      </c>
      <c r="E89">
        <v>174</v>
      </c>
      <c r="F89">
        <v>174</v>
      </c>
      <c r="G89">
        <v>0</v>
      </c>
      <c r="H89">
        <v>0</v>
      </c>
      <c r="I89">
        <v>0</v>
      </c>
      <c r="J89">
        <v>0</v>
      </c>
      <c r="K89">
        <v>801.38</v>
      </c>
      <c r="L89">
        <v>1802.55</v>
      </c>
      <c r="M89">
        <v>2603.9299999999998</v>
      </c>
    </row>
    <row r="90" spans="1:13">
      <c r="A90" t="s">
        <v>103</v>
      </c>
      <c r="B90">
        <v>21</v>
      </c>
      <c r="C90">
        <v>627.38</v>
      </c>
      <c r="D90">
        <v>1628.55</v>
      </c>
      <c r="E90">
        <v>174</v>
      </c>
      <c r="F90">
        <v>174</v>
      </c>
      <c r="G90">
        <v>0</v>
      </c>
      <c r="H90">
        <v>0</v>
      </c>
      <c r="I90">
        <v>0</v>
      </c>
      <c r="J90">
        <v>0</v>
      </c>
      <c r="K90">
        <v>801.38</v>
      </c>
      <c r="L90">
        <v>1802.55</v>
      </c>
      <c r="M90">
        <v>2603.9299999999998</v>
      </c>
    </row>
    <row r="91" spans="1:13">
      <c r="A91" t="s">
        <v>211</v>
      </c>
      <c r="B91">
        <v>21</v>
      </c>
      <c r="C91">
        <v>627.38</v>
      </c>
      <c r="D91">
        <v>1628.55</v>
      </c>
      <c r="E91">
        <v>174</v>
      </c>
      <c r="F91">
        <v>174</v>
      </c>
      <c r="G91">
        <v>0</v>
      </c>
      <c r="H91">
        <v>0</v>
      </c>
      <c r="I91">
        <v>0</v>
      </c>
      <c r="J91">
        <v>0</v>
      </c>
      <c r="K91">
        <v>801.38</v>
      </c>
      <c r="L91">
        <v>1802.55</v>
      </c>
      <c r="M91">
        <v>2603.9299999999998</v>
      </c>
    </row>
    <row r="92" spans="1:13">
      <c r="A92" t="s">
        <v>272</v>
      </c>
      <c r="B92">
        <v>21</v>
      </c>
      <c r="C92">
        <v>627.38</v>
      </c>
      <c r="D92">
        <v>1628.55</v>
      </c>
      <c r="E92">
        <v>174</v>
      </c>
      <c r="F92">
        <v>174</v>
      </c>
      <c r="G92">
        <v>0</v>
      </c>
      <c r="H92">
        <v>0</v>
      </c>
      <c r="I92">
        <v>0</v>
      </c>
      <c r="J92">
        <v>0</v>
      </c>
      <c r="K92">
        <v>801.38</v>
      </c>
      <c r="L92">
        <v>1802.55</v>
      </c>
      <c r="M92">
        <v>2603.9299999999998</v>
      </c>
    </row>
    <row r="93" spans="1:13">
      <c r="A93" t="s">
        <v>176</v>
      </c>
      <c r="B93">
        <v>21</v>
      </c>
      <c r="C93">
        <v>627.38</v>
      </c>
      <c r="D93">
        <v>1628.55</v>
      </c>
      <c r="E93">
        <v>174</v>
      </c>
      <c r="F93">
        <v>174</v>
      </c>
      <c r="G93">
        <v>0</v>
      </c>
      <c r="H93">
        <v>0</v>
      </c>
      <c r="I93">
        <v>0</v>
      </c>
      <c r="J93">
        <v>0</v>
      </c>
      <c r="K93">
        <v>801.38</v>
      </c>
      <c r="L93">
        <v>1802.55</v>
      </c>
      <c r="M93">
        <v>2603.9299999999998</v>
      </c>
    </row>
    <row r="94" spans="1:13">
      <c r="A94" t="s">
        <v>280</v>
      </c>
      <c r="B94">
        <v>21</v>
      </c>
      <c r="C94">
        <v>627.38</v>
      </c>
      <c r="D94">
        <v>1628.55</v>
      </c>
      <c r="E94">
        <v>174</v>
      </c>
      <c r="F94">
        <v>174</v>
      </c>
      <c r="G94">
        <v>0</v>
      </c>
      <c r="H94">
        <v>0</v>
      </c>
      <c r="I94">
        <v>0</v>
      </c>
      <c r="J94">
        <v>0</v>
      </c>
      <c r="K94">
        <v>801.38</v>
      </c>
      <c r="L94">
        <v>1802.55</v>
      </c>
      <c r="M94">
        <v>2603.9299999999998</v>
      </c>
    </row>
    <row r="95" spans="1:13">
      <c r="A95" t="s">
        <v>349</v>
      </c>
      <c r="B95">
        <v>0</v>
      </c>
      <c r="C95">
        <v>-627.38</v>
      </c>
      <c r="D95">
        <v>-1628.55</v>
      </c>
      <c r="E95">
        <v>-174</v>
      </c>
      <c r="F95">
        <v>-174</v>
      </c>
      <c r="G95">
        <v>0</v>
      </c>
      <c r="H95">
        <v>0</v>
      </c>
      <c r="I95">
        <v>0</v>
      </c>
      <c r="J95">
        <v>0</v>
      </c>
      <c r="K95">
        <v>-801.38</v>
      </c>
      <c r="L95">
        <v>-1802.55</v>
      </c>
      <c r="M95">
        <v>-2603.9299999999998</v>
      </c>
    </row>
    <row r="96" spans="1:13">
      <c r="A96" t="s">
        <v>269</v>
      </c>
      <c r="B96">
        <v>21</v>
      </c>
      <c r="C96">
        <v>627.38</v>
      </c>
      <c r="D96">
        <v>1628.55</v>
      </c>
      <c r="E96">
        <v>174</v>
      </c>
      <c r="F96">
        <v>174</v>
      </c>
      <c r="G96">
        <v>0</v>
      </c>
      <c r="H96">
        <v>0</v>
      </c>
      <c r="I96">
        <v>0</v>
      </c>
      <c r="J96">
        <v>0</v>
      </c>
      <c r="K96">
        <v>801.38</v>
      </c>
      <c r="L96">
        <v>1802.55</v>
      </c>
      <c r="M96">
        <v>2603.9299999999998</v>
      </c>
    </row>
    <row r="97" spans="1:13">
      <c r="A97" t="s">
        <v>173</v>
      </c>
      <c r="B97">
        <v>21</v>
      </c>
      <c r="C97">
        <v>627.38</v>
      </c>
      <c r="D97">
        <v>1628.55</v>
      </c>
      <c r="E97">
        <v>174</v>
      </c>
      <c r="F97">
        <v>174</v>
      </c>
      <c r="G97">
        <v>0</v>
      </c>
      <c r="H97">
        <v>0</v>
      </c>
      <c r="I97">
        <v>0</v>
      </c>
      <c r="J97">
        <v>0</v>
      </c>
      <c r="K97">
        <v>801.38</v>
      </c>
      <c r="L97">
        <v>1802.55</v>
      </c>
      <c r="M97">
        <v>2603.9299999999998</v>
      </c>
    </row>
    <row r="98" spans="1:13">
      <c r="A98" t="s">
        <v>400</v>
      </c>
      <c r="B98">
        <v>0</v>
      </c>
      <c r="C98">
        <v>627.38</v>
      </c>
      <c r="D98">
        <v>1628.55</v>
      </c>
      <c r="E98">
        <v>181</v>
      </c>
      <c r="F98">
        <v>181</v>
      </c>
      <c r="G98">
        <v>0</v>
      </c>
      <c r="H98">
        <v>0</v>
      </c>
      <c r="I98">
        <v>0</v>
      </c>
      <c r="J98">
        <v>0</v>
      </c>
      <c r="K98">
        <v>808.38</v>
      </c>
      <c r="L98">
        <v>1809.55</v>
      </c>
      <c r="M98">
        <v>2617.9299999999998</v>
      </c>
    </row>
    <row r="99" spans="1:13">
      <c r="A99" t="s">
        <v>177</v>
      </c>
      <c r="B99">
        <v>21</v>
      </c>
      <c r="C99">
        <v>377.12</v>
      </c>
      <c r="D99">
        <v>899.19</v>
      </c>
      <c r="E99">
        <v>161</v>
      </c>
      <c r="F99">
        <v>161</v>
      </c>
      <c r="G99">
        <v>0</v>
      </c>
      <c r="H99">
        <v>0</v>
      </c>
      <c r="I99">
        <v>0</v>
      </c>
      <c r="J99">
        <v>0</v>
      </c>
      <c r="K99">
        <v>538.12</v>
      </c>
      <c r="L99">
        <v>1060.19</v>
      </c>
      <c r="M99">
        <v>1598.31</v>
      </c>
    </row>
    <row r="100" spans="1:13">
      <c r="A100" t="s">
        <v>206</v>
      </c>
      <c r="B100">
        <v>21</v>
      </c>
      <c r="C100">
        <v>377.12</v>
      </c>
      <c r="D100">
        <v>899.19</v>
      </c>
      <c r="E100">
        <v>161</v>
      </c>
      <c r="F100">
        <v>161</v>
      </c>
      <c r="G100">
        <v>0</v>
      </c>
      <c r="H100">
        <v>0</v>
      </c>
      <c r="I100">
        <v>0</v>
      </c>
      <c r="J100">
        <v>0</v>
      </c>
      <c r="K100">
        <v>538.12</v>
      </c>
      <c r="L100">
        <v>1060.19</v>
      </c>
      <c r="M100">
        <v>1598.31</v>
      </c>
    </row>
    <row r="101" spans="1:13">
      <c r="A101" t="s">
        <v>201</v>
      </c>
      <c r="B101">
        <v>21</v>
      </c>
      <c r="C101">
        <v>377.12</v>
      </c>
      <c r="D101">
        <v>899.19</v>
      </c>
      <c r="E101">
        <v>161</v>
      </c>
      <c r="F101">
        <v>161</v>
      </c>
      <c r="G101">
        <v>0</v>
      </c>
      <c r="H101">
        <v>0</v>
      </c>
      <c r="I101">
        <v>0</v>
      </c>
      <c r="J101">
        <v>0</v>
      </c>
      <c r="K101">
        <v>538.12</v>
      </c>
      <c r="L101">
        <v>1060.19</v>
      </c>
      <c r="M101">
        <v>1598.31</v>
      </c>
    </row>
    <row r="102" spans="1:13">
      <c r="A102" t="s">
        <v>202</v>
      </c>
      <c r="B102">
        <v>21</v>
      </c>
      <c r="C102">
        <v>377.12</v>
      </c>
      <c r="D102">
        <v>899.19</v>
      </c>
      <c r="E102">
        <v>161</v>
      </c>
      <c r="F102">
        <v>161</v>
      </c>
      <c r="G102">
        <v>0</v>
      </c>
      <c r="H102">
        <v>0</v>
      </c>
      <c r="I102">
        <v>0</v>
      </c>
      <c r="J102">
        <v>0</v>
      </c>
      <c r="K102">
        <v>538.12</v>
      </c>
      <c r="L102">
        <v>1060.19</v>
      </c>
      <c r="M102">
        <v>1598.31</v>
      </c>
    </row>
    <row r="103" spans="1:13">
      <c r="A103" t="s">
        <v>204</v>
      </c>
      <c r="B103">
        <v>21</v>
      </c>
      <c r="C103">
        <v>377.12</v>
      </c>
      <c r="D103">
        <v>899.19</v>
      </c>
      <c r="E103">
        <v>161</v>
      </c>
      <c r="F103">
        <v>161</v>
      </c>
      <c r="G103">
        <v>0</v>
      </c>
      <c r="H103">
        <v>0</v>
      </c>
      <c r="I103">
        <v>0</v>
      </c>
      <c r="J103">
        <v>0</v>
      </c>
      <c r="K103">
        <v>538.12</v>
      </c>
      <c r="L103">
        <v>1060.19</v>
      </c>
      <c r="M103">
        <v>1598.31</v>
      </c>
    </row>
    <row r="104" spans="1:13">
      <c r="A104" t="s">
        <v>371</v>
      </c>
      <c r="B104">
        <v>21</v>
      </c>
      <c r="C104">
        <v>399</v>
      </c>
      <c r="D104">
        <v>980.4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399</v>
      </c>
      <c r="L104">
        <v>980.4</v>
      </c>
      <c r="M104">
        <v>1379.4</v>
      </c>
    </row>
    <row r="105" spans="1:13">
      <c r="A105" t="s">
        <v>293</v>
      </c>
      <c r="B105">
        <v>21</v>
      </c>
      <c r="C105">
        <v>404</v>
      </c>
      <c r="D105">
        <v>940.5</v>
      </c>
      <c r="E105">
        <v>304</v>
      </c>
      <c r="F105">
        <v>304</v>
      </c>
      <c r="G105">
        <v>0</v>
      </c>
      <c r="H105">
        <v>0</v>
      </c>
      <c r="I105">
        <v>0</v>
      </c>
      <c r="J105">
        <v>0</v>
      </c>
      <c r="K105">
        <v>708</v>
      </c>
      <c r="L105">
        <v>1244.5</v>
      </c>
      <c r="M105">
        <v>1952.5</v>
      </c>
    </row>
    <row r="106" spans="1:13">
      <c r="A106" t="s">
        <v>295</v>
      </c>
      <c r="B106">
        <v>21</v>
      </c>
      <c r="C106">
        <v>404</v>
      </c>
      <c r="D106">
        <v>940.5</v>
      </c>
      <c r="E106">
        <v>304</v>
      </c>
      <c r="F106">
        <v>304</v>
      </c>
      <c r="G106">
        <v>0</v>
      </c>
      <c r="H106">
        <v>0</v>
      </c>
      <c r="I106">
        <v>0</v>
      </c>
      <c r="J106">
        <v>0</v>
      </c>
      <c r="K106">
        <v>708</v>
      </c>
      <c r="L106">
        <v>1244.5</v>
      </c>
      <c r="M106">
        <v>1952.5</v>
      </c>
    </row>
    <row r="107" spans="1:13">
      <c r="A107" t="s">
        <v>373</v>
      </c>
      <c r="B107">
        <v>21</v>
      </c>
      <c r="C107">
        <v>399</v>
      </c>
      <c r="D107">
        <v>980.4</v>
      </c>
      <c r="E107">
        <v>162</v>
      </c>
      <c r="F107">
        <v>162</v>
      </c>
      <c r="G107">
        <v>0</v>
      </c>
      <c r="H107">
        <v>0</v>
      </c>
      <c r="I107">
        <v>0</v>
      </c>
      <c r="J107">
        <v>0</v>
      </c>
      <c r="K107">
        <v>561</v>
      </c>
      <c r="L107">
        <v>1142.4000000000001</v>
      </c>
      <c r="M107">
        <v>1703.4</v>
      </c>
    </row>
    <row r="108" spans="1:13">
      <c r="A108" t="s">
        <v>289</v>
      </c>
      <c r="B108">
        <v>21</v>
      </c>
      <c r="C108">
        <v>399</v>
      </c>
      <c r="D108">
        <v>980.4</v>
      </c>
      <c r="E108">
        <v>162</v>
      </c>
      <c r="F108">
        <v>162</v>
      </c>
      <c r="G108">
        <v>0</v>
      </c>
      <c r="H108">
        <v>0</v>
      </c>
      <c r="I108">
        <v>0</v>
      </c>
      <c r="J108">
        <v>0</v>
      </c>
      <c r="K108">
        <v>561</v>
      </c>
      <c r="L108">
        <v>1142.4000000000001</v>
      </c>
      <c r="M108">
        <v>1703.4</v>
      </c>
    </row>
    <row r="109" spans="1:13">
      <c r="A109" t="s">
        <v>381</v>
      </c>
      <c r="B109">
        <v>21</v>
      </c>
      <c r="C109">
        <v>399</v>
      </c>
      <c r="D109">
        <v>980.4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399</v>
      </c>
      <c r="L109">
        <v>980.4</v>
      </c>
      <c r="M109">
        <v>1379.4</v>
      </c>
    </row>
    <row r="110" spans="1:13">
      <c r="A110" t="s">
        <v>298</v>
      </c>
      <c r="B110">
        <v>21</v>
      </c>
      <c r="C110">
        <v>409</v>
      </c>
      <c r="D110">
        <v>973.56</v>
      </c>
      <c r="E110">
        <v>274</v>
      </c>
      <c r="F110">
        <v>274</v>
      </c>
      <c r="G110">
        <v>0</v>
      </c>
      <c r="H110">
        <v>0</v>
      </c>
      <c r="I110">
        <v>0</v>
      </c>
      <c r="J110">
        <v>0</v>
      </c>
      <c r="K110">
        <v>683</v>
      </c>
      <c r="L110">
        <v>1247.56</v>
      </c>
      <c r="M110">
        <v>1930.56</v>
      </c>
    </row>
    <row r="111" spans="1:13">
      <c r="A111" t="s">
        <v>358</v>
      </c>
      <c r="B111">
        <v>21</v>
      </c>
      <c r="C111">
        <v>409</v>
      </c>
      <c r="D111">
        <v>973.56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409</v>
      </c>
      <c r="L111">
        <v>973.56</v>
      </c>
      <c r="M111">
        <v>1382.56</v>
      </c>
    </row>
    <row r="112" spans="1:13">
      <c r="A112" t="s">
        <v>285</v>
      </c>
      <c r="B112">
        <v>21</v>
      </c>
      <c r="C112">
        <v>399</v>
      </c>
      <c r="D112">
        <v>980.4</v>
      </c>
      <c r="E112">
        <v>162</v>
      </c>
      <c r="F112">
        <v>162</v>
      </c>
      <c r="G112">
        <v>0</v>
      </c>
      <c r="H112">
        <v>0</v>
      </c>
      <c r="I112">
        <v>0</v>
      </c>
      <c r="J112">
        <v>0</v>
      </c>
      <c r="K112">
        <v>561</v>
      </c>
      <c r="L112">
        <v>1142.4000000000001</v>
      </c>
      <c r="M112">
        <v>1703.4</v>
      </c>
    </row>
    <row r="113" spans="1:13">
      <c r="A113" t="s">
        <v>347</v>
      </c>
      <c r="B113">
        <v>21</v>
      </c>
      <c r="C113">
        <v>404</v>
      </c>
      <c r="D113">
        <v>940.5</v>
      </c>
      <c r="E113">
        <v>304</v>
      </c>
      <c r="F113">
        <v>304</v>
      </c>
      <c r="G113">
        <v>0</v>
      </c>
      <c r="H113">
        <v>0</v>
      </c>
      <c r="I113">
        <v>0</v>
      </c>
      <c r="J113">
        <v>0</v>
      </c>
      <c r="K113">
        <v>708</v>
      </c>
      <c r="L113">
        <v>1244.5</v>
      </c>
      <c r="M113">
        <v>1952.5</v>
      </c>
    </row>
    <row r="114" spans="1:13">
      <c r="A114" t="s">
        <v>296</v>
      </c>
      <c r="B114">
        <v>21</v>
      </c>
      <c r="C114">
        <v>404</v>
      </c>
      <c r="D114">
        <v>940.5</v>
      </c>
      <c r="E114">
        <v>304</v>
      </c>
      <c r="F114">
        <v>304</v>
      </c>
      <c r="G114">
        <v>0</v>
      </c>
      <c r="H114">
        <v>0</v>
      </c>
      <c r="I114">
        <v>0</v>
      </c>
      <c r="J114">
        <v>0</v>
      </c>
      <c r="K114">
        <v>708</v>
      </c>
      <c r="L114">
        <v>1244.5</v>
      </c>
      <c r="M114">
        <v>1952.5</v>
      </c>
    </row>
    <row r="115" spans="1:13">
      <c r="A115" t="s">
        <v>291</v>
      </c>
      <c r="B115">
        <v>21</v>
      </c>
      <c r="C115">
        <v>399</v>
      </c>
      <c r="D115">
        <v>980.4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399</v>
      </c>
      <c r="L115">
        <v>980.4</v>
      </c>
      <c r="M115">
        <v>1379.4</v>
      </c>
    </row>
    <row r="116" spans="1:13">
      <c r="B116">
        <f>SUM(B4:B115)</f>
        <v>2205</v>
      </c>
      <c r="C116">
        <f t="shared" ref="C116:L116" si="0">SUM(C4:C115)</f>
        <v>59413.519999999946</v>
      </c>
      <c r="D116">
        <f t="shared" si="0"/>
        <v>152885.6700000001</v>
      </c>
      <c r="E116">
        <f t="shared" si="0"/>
        <v>17432</v>
      </c>
      <c r="F116">
        <f t="shared" si="0"/>
        <v>17432</v>
      </c>
      <c r="G116">
        <f t="shared" si="0"/>
        <v>0</v>
      </c>
      <c r="H116">
        <f t="shared" si="0"/>
        <v>0</v>
      </c>
      <c r="I116">
        <f t="shared" si="0"/>
        <v>0</v>
      </c>
      <c r="J116">
        <f t="shared" si="0"/>
        <v>0</v>
      </c>
      <c r="K116">
        <f t="shared" si="0"/>
        <v>76845.519999999888</v>
      </c>
      <c r="L116">
        <f t="shared" si="0"/>
        <v>170317.66999999998</v>
      </c>
      <c r="M116">
        <f>SUM(M4:M115)</f>
        <v>247163.18999999954</v>
      </c>
    </row>
    <row r="118" spans="1:13">
      <c r="K118">
        <f>K116+L116</f>
        <v>247163.18999999989</v>
      </c>
      <c r="L118">
        <v>244545.26</v>
      </c>
      <c r="M118">
        <f>K118-L118</f>
        <v>2617.9299999998766</v>
      </c>
    </row>
  </sheetData>
  <autoFilter ref="A3:M116"/>
  <phoneticPr fontId="23" type="noConversion"/>
  <conditionalFormatting sqref="A1:A1048576">
    <cfRule type="duplicateValues" dxfId="237" priority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3"/>
  <sheetViews>
    <sheetView workbookViewId="0">
      <pane xSplit="1" ySplit="3" topLeftCell="B97" activePane="bottomRight" state="frozen"/>
      <selection pane="topRight" activeCell="B1" sqref="B1"/>
      <selection pane="bottomLeft" activeCell="A4" sqref="A4"/>
      <selection pane="bottomRight" activeCell="G126" sqref="G126"/>
    </sheetView>
  </sheetViews>
  <sheetFormatPr defaultRowHeight="14.4"/>
  <cols>
    <col min="14" max="14" width="10.6640625" customWidth="1"/>
  </cols>
  <sheetData>
    <row r="1" spans="1:16">
      <c r="A1" t="s">
        <v>22</v>
      </c>
      <c r="D1" t="s">
        <v>11</v>
      </c>
      <c r="E1" t="s">
        <v>315</v>
      </c>
      <c r="I1" t="s">
        <v>316</v>
      </c>
      <c r="M1" t="s">
        <v>317</v>
      </c>
    </row>
    <row r="2" spans="1:16">
      <c r="E2" t="s">
        <v>329</v>
      </c>
      <c r="G2" t="s">
        <v>330</v>
      </c>
      <c r="I2" t="s">
        <v>329</v>
      </c>
      <c r="K2" t="s">
        <v>330</v>
      </c>
      <c r="M2" t="s">
        <v>320</v>
      </c>
      <c r="N2" t="s">
        <v>319</v>
      </c>
      <c r="O2" t="s">
        <v>331</v>
      </c>
    </row>
    <row r="3" spans="1:16">
      <c r="E3" t="s">
        <v>320</v>
      </c>
      <c r="F3" t="s">
        <v>319</v>
      </c>
      <c r="G3" t="s">
        <v>320</v>
      </c>
      <c r="H3" t="s">
        <v>319</v>
      </c>
      <c r="I3" t="s">
        <v>320</v>
      </c>
      <c r="J3" t="s">
        <v>319</v>
      </c>
      <c r="K3" t="s">
        <v>320</v>
      </c>
      <c r="L3" t="s">
        <v>319</v>
      </c>
      <c r="M3" t="s">
        <v>320</v>
      </c>
      <c r="N3" t="s">
        <v>319</v>
      </c>
      <c r="O3" t="s">
        <v>331</v>
      </c>
    </row>
    <row r="4" spans="1:16">
      <c r="A4" t="s">
        <v>114</v>
      </c>
      <c r="B4" t="s">
        <v>7</v>
      </c>
      <c r="D4">
        <v>21</v>
      </c>
      <c r="E4">
        <v>517.34</v>
      </c>
      <c r="F4">
        <v>1342.9</v>
      </c>
      <c r="G4">
        <v>174</v>
      </c>
      <c r="H4">
        <v>174</v>
      </c>
      <c r="I4">
        <v>0</v>
      </c>
      <c r="J4">
        <v>0</v>
      </c>
      <c r="K4">
        <v>0</v>
      </c>
      <c r="L4">
        <v>0</v>
      </c>
      <c r="M4">
        <v>691.34</v>
      </c>
      <c r="N4">
        <v>1516.9</v>
      </c>
      <c r="O4">
        <v>2208.2400000000002</v>
      </c>
      <c r="P4">
        <f>N4+D4</f>
        <v>1537.9</v>
      </c>
    </row>
    <row r="5" spans="1:16">
      <c r="A5" t="s">
        <v>93</v>
      </c>
      <c r="B5" t="s">
        <v>7</v>
      </c>
      <c r="D5">
        <v>21</v>
      </c>
      <c r="E5">
        <v>517.34</v>
      </c>
      <c r="F5">
        <v>1342.9</v>
      </c>
      <c r="G5">
        <v>174</v>
      </c>
      <c r="H5">
        <v>174</v>
      </c>
      <c r="I5">
        <v>0</v>
      </c>
      <c r="J5">
        <v>0</v>
      </c>
      <c r="K5">
        <v>0</v>
      </c>
      <c r="L5">
        <v>0</v>
      </c>
      <c r="M5">
        <v>691.34</v>
      </c>
      <c r="N5">
        <v>1516.9</v>
      </c>
      <c r="O5">
        <v>2208.2400000000002</v>
      </c>
      <c r="P5">
        <f t="shared" ref="P5:P68" si="0">N5+D5</f>
        <v>1537.9</v>
      </c>
    </row>
    <row r="6" spans="1:16">
      <c r="A6" t="s">
        <v>194</v>
      </c>
      <c r="B6" t="s">
        <v>7</v>
      </c>
      <c r="D6">
        <v>21</v>
      </c>
      <c r="E6">
        <v>517.34</v>
      </c>
      <c r="F6">
        <v>1342.9</v>
      </c>
      <c r="G6">
        <v>174</v>
      </c>
      <c r="H6">
        <v>174</v>
      </c>
      <c r="I6">
        <v>0</v>
      </c>
      <c r="J6">
        <v>0</v>
      </c>
      <c r="K6">
        <v>0</v>
      </c>
      <c r="L6">
        <v>0</v>
      </c>
      <c r="M6">
        <v>691.34</v>
      </c>
      <c r="N6">
        <v>1516.9</v>
      </c>
      <c r="O6">
        <v>2208.2400000000002</v>
      </c>
      <c r="P6">
        <f t="shared" si="0"/>
        <v>1537.9</v>
      </c>
    </row>
    <row r="7" spans="1:16">
      <c r="A7" t="s">
        <v>275</v>
      </c>
      <c r="B7" t="s">
        <v>9</v>
      </c>
      <c r="D7">
        <v>21</v>
      </c>
      <c r="E7">
        <v>517.34</v>
      </c>
      <c r="F7">
        <v>1342.9</v>
      </c>
      <c r="G7">
        <v>174</v>
      </c>
      <c r="H7">
        <v>174</v>
      </c>
      <c r="I7">
        <v>0</v>
      </c>
      <c r="J7">
        <v>0</v>
      </c>
      <c r="K7">
        <v>0</v>
      </c>
      <c r="L7">
        <v>0</v>
      </c>
      <c r="M7">
        <v>691.34</v>
      </c>
      <c r="N7">
        <v>1516.9</v>
      </c>
      <c r="O7">
        <v>2208.2400000000002</v>
      </c>
      <c r="P7">
        <f t="shared" si="0"/>
        <v>1537.9</v>
      </c>
    </row>
    <row r="8" spans="1:16">
      <c r="A8" t="s">
        <v>223</v>
      </c>
      <c r="B8" t="s">
        <v>7</v>
      </c>
      <c r="D8">
        <v>21</v>
      </c>
      <c r="E8">
        <v>517.34</v>
      </c>
      <c r="F8">
        <v>1342.9</v>
      </c>
      <c r="G8">
        <v>174</v>
      </c>
      <c r="H8">
        <v>174</v>
      </c>
      <c r="I8">
        <v>0</v>
      </c>
      <c r="J8">
        <v>0</v>
      </c>
      <c r="K8">
        <v>0</v>
      </c>
      <c r="L8">
        <v>0</v>
      </c>
      <c r="M8">
        <v>691.34</v>
      </c>
      <c r="N8">
        <v>1516.9</v>
      </c>
      <c r="O8">
        <v>2208.2400000000002</v>
      </c>
      <c r="P8">
        <f t="shared" si="0"/>
        <v>1537.9</v>
      </c>
    </row>
    <row r="9" spans="1:16">
      <c r="A9" t="s">
        <v>171</v>
      </c>
      <c r="B9" t="s">
        <v>7</v>
      </c>
      <c r="D9">
        <v>21</v>
      </c>
      <c r="E9">
        <v>517.34</v>
      </c>
      <c r="F9">
        <v>1342.9</v>
      </c>
      <c r="G9">
        <v>174</v>
      </c>
      <c r="H9">
        <v>174</v>
      </c>
      <c r="I9">
        <v>0</v>
      </c>
      <c r="J9">
        <v>0</v>
      </c>
      <c r="K9">
        <v>0</v>
      </c>
      <c r="L9">
        <v>0</v>
      </c>
      <c r="M9">
        <v>691.34</v>
      </c>
      <c r="N9">
        <v>1516.9</v>
      </c>
      <c r="O9">
        <v>2208.2400000000002</v>
      </c>
      <c r="P9">
        <f t="shared" si="0"/>
        <v>1537.9</v>
      </c>
    </row>
    <row r="10" spans="1:16">
      <c r="A10" t="s">
        <v>163</v>
      </c>
      <c r="B10" t="s">
        <v>7</v>
      </c>
      <c r="D10">
        <v>21</v>
      </c>
      <c r="E10">
        <v>517.34</v>
      </c>
      <c r="F10">
        <v>1342.9</v>
      </c>
      <c r="G10">
        <v>174</v>
      </c>
      <c r="H10">
        <v>174</v>
      </c>
      <c r="I10">
        <v>0</v>
      </c>
      <c r="J10">
        <v>0</v>
      </c>
      <c r="K10">
        <v>0</v>
      </c>
      <c r="L10">
        <v>0</v>
      </c>
      <c r="M10">
        <v>691.34</v>
      </c>
      <c r="N10">
        <v>1516.9</v>
      </c>
      <c r="O10">
        <v>2208.2400000000002</v>
      </c>
      <c r="P10">
        <f t="shared" si="0"/>
        <v>1537.9</v>
      </c>
    </row>
    <row r="11" spans="1:16">
      <c r="A11" t="s">
        <v>246</v>
      </c>
      <c r="B11" t="s">
        <v>8</v>
      </c>
      <c r="D11">
        <v>21</v>
      </c>
      <c r="E11">
        <v>517.34</v>
      </c>
      <c r="F11">
        <v>1342.9</v>
      </c>
      <c r="G11">
        <v>174</v>
      </c>
      <c r="H11">
        <v>174</v>
      </c>
      <c r="I11">
        <v>0</v>
      </c>
      <c r="J11">
        <v>0</v>
      </c>
      <c r="K11">
        <v>0</v>
      </c>
      <c r="L11">
        <v>0</v>
      </c>
      <c r="M11">
        <v>691.34</v>
      </c>
      <c r="N11">
        <v>1516.9</v>
      </c>
      <c r="O11">
        <v>2208.2400000000002</v>
      </c>
      <c r="P11">
        <f t="shared" si="0"/>
        <v>1537.9</v>
      </c>
    </row>
    <row r="12" spans="1:16">
      <c r="A12" t="s">
        <v>96</v>
      </c>
      <c r="B12" t="s">
        <v>7</v>
      </c>
      <c r="D12">
        <v>21</v>
      </c>
      <c r="E12">
        <v>517.34</v>
      </c>
      <c r="F12">
        <v>1342.9</v>
      </c>
      <c r="G12">
        <v>174</v>
      </c>
      <c r="H12">
        <v>174</v>
      </c>
      <c r="I12">
        <v>0</v>
      </c>
      <c r="J12">
        <v>0</v>
      </c>
      <c r="K12">
        <v>0</v>
      </c>
      <c r="L12">
        <v>0</v>
      </c>
      <c r="M12">
        <v>691.34</v>
      </c>
      <c r="N12">
        <v>1516.9</v>
      </c>
      <c r="O12">
        <v>2208.2400000000002</v>
      </c>
      <c r="P12">
        <f t="shared" si="0"/>
        <v>1537.9</v>
      </c>
    </row>
    <row r="13" spans="1:16">
      <c r="A13" t="s">
        <v>135</v>
      </c>
      <c r="B13" t="s">
        <v>7</v>
      </c>
      <c r="D13">
        <v>21</v>
      </c>
      <c r="E13">
        <v>517.34</v>
      </c>
      <c r="F13">
        <v>1342.9</v>
      </c>
      <c r="G13">
        <v>174</v>
      </c>
      <c r="H13">
        <v>174</v>
      </c>
      <c r="I13">
        <v>0</v>
      </c>
      <c r="J13">
        <v>0</v>
      </c>
      <c r="K13">
        <v>0</v>
      </c>
      <c r="L13">
        <v>0</v>
      </c>
      <c r="M13">
        <v>691.34</v>
      </c>
      <c r="N13">
        <v>1516.9</v>
      </c>
      <c r="O13">
        <v>2208.2400000000002</v>
      </c>
      <c r="P13">
        <f t="shared" si="0"/>
        <v>1537.9</v>
      </c>
    </row>
    <row r="14" spans="1:16">
      <c r="A14" t="s">
        <v>132</v>
      </c>
      <c r="B14" t="s">
        <v>92</v>
      </c>
      <c r="D14">
        <v>21</v>
      </c>
      <c r="E14">
        <v>517.34</v>
      </c>
      <c r="F14">
        <v>1342.9</v>
      </c>
      <c r="G14">
        <v>174</v>
      </c>
      <c r="H14">
        <v>174</v>
      </c>
      <c r="I14">
        <v>0</v>
      </c>
      <c r="J14">
        <v>0</v>
      </c>
      <c r="K14">
        <v>0</v>
      </c>
      <c r="L14">
        <v>0</v>
      </c>
      <c r="M14">
        <v>691.34</v>
      </c>
      <c r="N14">
        <v>1516.9</v>
      </c>
      <c r="O14">
        <v>2208.2400000000002</v>
      </c>
      <c r="P14">
        <f t="shared" si="0"/>
        <v>1537.9</v>
      </c>
    </row>
    <row r="15" spans="1:16">
      <c r="A15" t="s">
        <v>152</v>
      </c>
      <c r="B15" t="s">
        <v>7</v>
      </c>
      <c r="D15">
        <v>21</v>
      </c>
      <c r="E15">
        <v>517.34</v>
      </c>
      <c r="F15">
        <v>1342.9</v>
      </c>
      <c r="G15">
        <v>174</v>
      </c>
      <c r="H15">
        <v>174</v>
      </c>
      <c r="I15">
        <v>0</v>
      </c>
      <c r="J15">
        <v>0</v>
      </c>
      <c r="K15">
        <v>0</v>
      </c>
      <c r="L15">
        <v>0</v>
      </c>
      <c r="M15">
        <v>691.34</v>
      </c>
      <c r="N15">
        <v>1516.9</v>
      </c>
      <c r="O15">
        <v>2208.2400000000002</v>
      </c>
      <c r="P15">
        <f t="shared" si="0"/>
        <v>1537.9</v>
      </c>
    </row>
    <row r="16" spans="1:16">
      <c r="A16" t="s">
        <v>146</v>
      </c>
      <c r="B16" t="s">
        <v>7</v>
      </c>
      <c r="D16">
        <v>21</v>
      </c>
      <c r="E16">
        <v>517.34</v>
      </c>
      <c r="F16">
        <v>1342.9</v>
      </c>
      <c r="G16">
        <v>174</v>
      </c>
      <c r="H16">
        <v>174</v>
      </c>
      <c r="I16">
        <v>0</v>
      </c>
      <c r="J16">
        <v>0</v>
      </c>
      <c r="K16">
        <v>0</v>
      </c>
      <c r="L16">
        <v>0</v>
      </c>
      <c r="M16">
        <v>691.34</v>
      </c>
      <c r="N16">
        <v>1516.9</v>
      </c>
      <c r="O16">
        <v>2208.2400000000002</v>
      </c>
      <c r="P16">
        <f t="shared" si="0"/>
        <v>1537.9</v>
      </c>
    </row>
    <row r="17" spans="1:16">
      <c r="A17" t="s">
        <v>158</v>
      </c>
      <c r="B17" t="s">
        <v>7</v>
      </c>
      <c r="D17">
        <v>21</v>
      </c>
      <c r="E17">
        <v>517.34</v>
      </c>
      <c r="F17">
        <v>1342.9</v>
      </c>
      <c r="G17">
        <v>174</v>
      </c>
      <c r="H17">
        <v>174</v>
      </c>
      <c r="I17">
        <v>0</v>
      </c>
      <c r="J17">
        <v>0</v>
      </c>
      <c r="K17">
        <v>0</v>
      </c>
      <c r="L17">
        <v>0</v>
      </c>
      <c r="M17">
        <v>691.34</v>
      </c>
      <c r="N17">
        <v>1516.9</v>
      </c>
      <c r="O17">
        <v>2208.2400000000002</v>
      </c>
      <c r="P17">
        <f t="shared" si="0"/>
        <v>1537.9</v>
      </c>
    </row>
    <row r="18" spans="1:16">
      <c r="A18" t="s">
        <v>123</v>
      </c>
      <c r="B18" t="s">
        <v>7</v>
      </c>
      <c r="D18">
        <v>21</v>
      </c>
      <c r="E18">
        <v>517.34</v>
      </c>
      <c r="F18">
        <v>1342.9</v>
      </c>
      <c r="G18">
        <v>174</v>
      </c>
      <c r="H18">
        <v>174</v>
      </c>
      <c r="I18">
        <v>0</v>
      </c>
      <c r="J18">
        <v>0</v>
      </c>
      <c r="K18">
        <v>0</v>
      </c>
      <c r="L18">
        <v>0</v>
      </c>
      <c r="M18">
        <v>691.34</v>
      </c>
      <c r="N18">
        <v>1516.9</v>
      </c>
      <c r="O18">
        <v>2208.2400000000002</v>
      </c>
      <c r="P18">
        <f t="shared" si="0"/>
        <v>1537.9</v>
      </c>
    </row>
    <row r="19" spans="1:16">
      <c r="A19" t="s">
        <v>166</v>
      </c>
      <c r="B19" t="s">
        <v>7</v>
      </c>
      <c r="D19">
        <v>21</v>
      </c>
      <c r="E19">
        <v>517.34</v>
      </c>
      <c r="F19">
        <v>1342.9</v>
      </c>
      <c r="G19">
        <v>174</v>
      </c>
      <c r="H19">
        <v>174</v>
      </c>
      <c r="I19">
        <v>0</v>
      </c>
      <c r="J19">
        <v>0</v>
      </c>
      <c r="K19">
        <v>0</v>
      </c>
      <c r="L19">
        <v>0</v>
      </c>
      <c r="M19">
        <v>691.34</v>
      </c>
      <c r="N19">
        <v>1516.9</v>
      </c>
      <c r="O19">
        <v>2208.2400000000002</v>
      </c>
      <c r="P19">
        <f t="shared" si="0"/>
        <v>1537.9</v>
      </c>
    </row>
    <row r="20" spans="1:16">
      <c r="A20" t="s">
        <v>139</v>
      </c>
      <c r="B20" t="s">
        <v>92</v>
      </c>
      <c r="D20">
        <v>21</v>
      </c>
      <c r="E20">
        <v>517.34</v>
      </c>
      <c r="F20">
        <v>1342.9</v>
      </c>
      <c r="G20">
        <v>174</v>
      </c>
      <c r="H20">
        <v>174</v>
      </c>
      <c r="I20">
        <v>0</v>
      </c>
      <c r="J20">
        <v>0</v>
      </c>
      <c r="K20">
        <v>0</v>
      </c>
      <c r="L20">
        <v>0</v>
      </c>
      <c r="M20">
        <v>691.34</v>
      </c>
      <c r="N20">
        <v>1516.9</v>
      </c>
      <c r="O20">
        <v>2208.2400000000002</v>
      </c>
      <c r="P20">
        <f t="shared" si="0"/>
        <v>1537.9</v>
      </c>
    </row>
    <row r="21" spans="1:16">
      <c r="A21" t="s">
        <v>258</v>
      </c>
      <c r="B21" t="s">
        <v>9</v>
      </c>
      <c r="D21">
        <v>21</v>
      </c>
      <c r="E21">
        <v>517.34</v>
      </c>
      <c r="F21">
        <v>1342.9</v>
      </c>
      <c r="G21">
        <v>174</v>
      </c>
      <c r="H21">
        <v>174</v>
      </c>
      <c r="I21">
        <v>0</v>
      </c>
      <c r="J21">
        <v>0</v>
      </c>
      <c r="K21">
        <v>0</v>
      </c>
      <c r="L21">
        <v>0</v>
      </c>
      <c r="M21">
        <v>691.34</v>
      </c>
      <c r="N21">
        <v>1516.9</v>
      </c>
      <c r="O21">
        <v>2208.2400000000002</v>
      </c>
      <c r="P21">
        <f t="shared" si="0"/>
        <v>1537.9</v>
      </c>
    </row>
    <row r="22" spans="1:16">
      <c r="A22" t="s">
        <v>193</v>
      </c>
      <c r="B22" t="s">
        <v>7</v>
      </c>
      <c r="D22">
        <v>21</v>
      </c>
      <c r="E22">
        <v>517.34</v>
      </c>
      <c r="F22">
        <v>1342.9</v>
      </c>
      <c r="G22">
        <v>174</v>
      </c>
      <c r="H22">
        <v>174</v>
      </c>
      <c r="I22">
        <v>0</v>
      </c>
      <c r="J22">
        <v>0</v>
      </c>
      <c r="K22">
        <v>0</v>
      </c>
      <c r="L22">
        <v>0</v>
      </c>
      <c r="M22">
        <v>691.34</v>
      </c>
      <c r="N22">
        <v>1516.9</v>
      </c>
      <c r="O22">
        <v>2208.2400000000002</v>
      </c>
      <c r="P22">
        <f t="shared" si="0"/>
        <v>1537.9</v>
      </c>
    </row>
    <row r="23" spans="1:16">
      <c r="A23" t="s">
        <v>141</v>
      </c>
      <c r="B23" t="s">
        <v>7</v>
      </c>
      <c r="D23">
        <v>21</v>
      </c>
      <c r="E23">
        <v>517.34</v>
      </c>
      <c r="F23">
        <v>1342.9</v>
      </c>
      <c r="G23">
        <v>174</v>
      </c>
      <c r="H23">
        <v>174</v>
      </c>
      <c r="I23">
        <v>0</v>
      </c>
      <c r="J23">
        <v>0</v>
      </c>
      <c r="K23">
        <v>0</v>
      </c>
      <c r="L23">
        <v>0</v>
      </c>
      <c r="M23">
        <v>691.34</v>
      </c>
      <c r="N23">
        <v>1516.9</v>
      </c>
      <c r="O23">
        <v>2208.2400000000002</v>
      </c>
      <c r="P23">
        <f t="shared" si="0"/>
        <v>1537.9</v>
      </c>
    </row>
    <row r="24" spans="1:16">
      <c r="A24" t="s">
        <v>218</v>
      </c>
      <c r="B24" t="s">
        <v>7</v>
      </c>
      <c r="D24">
        <v>21</v>
      </c>
      <c r="E24">
        <v>517.34</v>
      </c>
      <c r="F24">
        <v>1342.9</v>
      </c>
      <c r="G24">
        <v>174</v>
      </c>
      <c r="H24">
        <v>174</v>
      </c>
      <c r="I24">
        <v>0</v>
      </c>
      <c r="J24">
        <v>0</v>
      </c>
      <c r="K24">
        <v>0</v>
      </c>
      <c r="L24">
        <v>0</v>
      </c>
      <c r="M24">
        <v>691.34</v>
      </c>
      <c r="N24">
        <v>1516.9</v>
      </c>
      <c r="O24">
        <v>2208.2400000000002</v>
      </c>
      <c r="P24">
        <f t="shared" si="0"/>
        <v>1537.9</v>
      </c>
    </row>
    <row r="25" spans="1:16">
      <c r="A25" t="s">
        <v>148</v>
      </c>
      <c r="B25" t="s">
        <v>7</v>
      </c>
      <c r="D25">
        <v>21</v>
      </c>
      <c r="E25">
        <v>517.34</v>
      </c>
      <c r="F25">
        <v>1342.9</v>
      </c>
      <c r="G25">
        <v>174</v>
      </c>
      <c r="H25">
        <v>174</v>
      </c>
      <c r="I25">
        <v>0</v>
      </c>
      <c r="J25">
        <v>0</v>
      </c>
      <c r="K25">
        <v>0</v>
      </c>
      <c r="L25">
        <v>0</v>
      </c>
      <c r="M25">
        <v>691.34</v>
      </c>
      <c r="N25">
        <v>1516.9</v>
      </c>
      <c r="O25">
        <v>2208.2400000000002</v>
      </c>
      <c r="P25">
        <f t="shared" si="0"/>
        <v>1537.9</v>
      </c>
    </row>
    <row r="26" spans="1:16">
      <c r="A26" t="s">
        <v>252</v>
      </c>
      <c r="B26" t="s">
        <v>8</v>
      </c>
      <c r="D26">
        <v>21</v>
      </c>
      <c r="E26">
        <v>517.34</v>
      </c>
      <c r="F26">
        <v>1342.9</v>
      </c>
      <c r="G26">
        <v>174</v>
      </c>
      <c r="H26">
        <v>174</v>
      </c>
      <c r="I26">
        <v>0</v>
      </c>
      <c r="J26">
        <v>0</v>
      </c>
      <c r="K26">
        <v>0</v>
      </c>
      <c r="L26">
        <v>0</v>
      </c>
      <c r="M26">
        <v>691.34</v>
      </c>
      <c r="N26">
        <v>1516.9</v>
      </c>
      <c r="O26">
        <v>2208.2400000000002</v>
      </c>
      <c r="P26">
        <f t="shared" si="0"/>
        <v>1537.9</v>
      </c>
    </row>
    <row r="27" spans="1:16">
      <c r="A27" t="s">
        <v>214</v>
      </c>
      <c r="B27" t="s">
        <v>7</v>
      </c>
      <c r="D27">
        <v>21</v>
      </c>
      <c r="E27">
        <v>517.34</v>
      </c>
      <c r="F27">
        <v>1342.9</v>
      </c>
      <c r="G27">
        <v>174</v>
      </c>
      <c r="H27">
        <v>174</v>
      </c>
      <c r="I27">
        <v>0</v>
      </c>
      <c r="J27">
        <v>0</v>
      </c>
      <c r="K27">
        <v>0</v>
      </c>
      <c r="L27">
        <v>0</v>
      </c>
      <c r="M27">
        <v>691.34</v>
      </c>
      <c r="N27">
        <v>1516.9</v>
      </c>
      <c r="O27">
        <v>2208.2400000000002</v>
      </c>
      <c r="P27">
        <f t="shared" si="0"/>
        <v>1537.9</v>
      </c>
    </row>
    <row r="28" spans="1:16">
      <c r="A28" t="s">
        <v>100</v>
      </c>
      <c r="B28" t="s">
        <v>7</v>
      </c>
      <c r="D28">
        <v>21</v>
      </c>
      <c r="E28">
        <v>517.34</v>
      </c>
      <c r="F28">
        <v>1342.9</v>
      </c>
      <c r="G28">
        <v>174</v>
      </c>
      <c r="H28">
        <v>174</v>
      </c>
      <c r="I28">
        <v>0</v>
      </c>
      <c r="J28">
        <v>0</v>
      </c>
      <c r="K28">
        <v>0</v>
      </c>
      <c r="L28">
        <v>0</v>
      </c>
      <c r="M28">
        <v>691.34</v>
      </c>
      <c r="N28">
        <v>1516.9</v>
      </c>
      <c r="O28">
        <v>2208.2400000000002</v>
      </c>
      <c r="P28">
        <f t="shared" si="0"/>
        <v>1537.9</v>
      </c>
    </row>
    <row r="29" spans="1:16">
      <c r="A29" t="s">
        <v>264</v>
      </c>
      <c r="B29" t="s">
        <v>9</v>
      </c>
      <c r="D29">
        <v>21</v>
      </c>
      <c r="E29">
        <v>517.34</v>
      </c>
      <c r="F29">
        <v>1342.9</v>
      </c>
      <c r="G29">
        <v>174</v>
      </c>
      <c r="H29">
        <v>174</v>
      </c>
      <c r="I29">
        <v>0</v>
      </c>
      <c r="J29">
        <v>0</v>
      </c>
      <c r="K29">
        <v>0</v>
      </c>
      <c r="L29">
        <v>0</v>
      </c>
      <c r="M29">
        <v>691.34</v>
      </c>
      <c r="N29">
        <v>1516.9</v>
      </c>
      <c r="O29">
        <v>2208.2400000000002</v>
      </c>
      <c r="P29">
        <f t="shared" si="0"/>
        <v>1537.9</v>
      </c>
    </row>
    <row r="30" spans="1:16">
      <c r="A30" t="s">
        <v>117</v>
      </c>
      <c r="B30" t="s">
        <v>7</v>
      </c>
      <c r="D30">
        <v>21</v>
      </c>
      <c r="E30">
        <v>517.34</v>
      </c>
      <c r="F30">
        <v>1342.9</v>
      </c>
      <c r="G30">
        <v>174</v>
      </c>
      <c r="H30">
        <v>174</v>
      </c>
      <c r="I30">
        <v>0</v>
      </c>
      <c r="J30">
        <v>0</v>
      </c>
      <c r="K30">
        <v>0</v>
      </c>
      <c r="L30">
        <v>0</v>
      </c>
      <c r="M30">
        <v>691.34</v>
      </c>
      <c r="N30">
        <v>1516.9</v>
      </c>
      <c r="O30">
        <v>2208.2400000000002</v>
      </c>
      <c r="P30">
        <f t="shared" si="0"/>
        <v>1537.9</v>
      </c>
    </row>
    <row r="31" spans="1:16">
      <c r="A31" t="s">
        <v>167</v>
      </c>
      <c r="B31" t="s">
        <v>7</v>
      </c>
      <c r="D31">
        <v>21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f t="shared" si="0"/>
        <v>21</v>
      </c>
    </row>
    <row r="32" spans="1:16">
      <c r="A32" t="s">
        <v>126</v>
      </c>
      <c r="B32" t="s">
        <v>7</v>
      </c>
      <c r="D32">
        <v>21</v>
      </c>
      <c r="E32">
        <v>517.34</v>
      </c>
      <c r="F32">
        <v>1342.9</v>
      </c>
      <c r="G32">
        <v>174</v>
      </c>
      <c r="H32">
        <v>174</v>
      </c>
      <c r="I32">
        <v>0</v>
      </c>
      <c r="J32">
        <v>0</v>
      </c>
      <c r="K32">
        <v>0</v>
      </c>
      <c r="L32">
        <v>0</v>
      </c>
      <c r="M32">
        <v>691.34</v>
      </c>
      <c r="N32">
        <v>1516.9</v>
      </c>
      <c r="O32">
        <v>2208.2400000000002</v>
      </c>
      <c r="P32">
        <f t="shared" si="0"/>
        <v>1537.9</v>
      </c>
    </row>
    <row r="33" spans="1:16">
      <c r="A33" t="s">
        <v>277</v>
      </c>
      <c r="B33" t="s">
        <v>9</v>
      </c>
      <c r="D33">
        <v>21</v>
      </c>
      <c r="E33">
        <v>517.34</v>
      </c>
      <c r="F33">
        <v>1342.9</v>
      </c>
      <c r="G33">
        <v>174</v>
      </c>
      <c r="H33">
        <v>174</v>
      </c>
      <c r="I33">
        <v>0</v>
      </c>
      <c r="J33">
        <v>0</v>
      </c>
      <c r="K33">
        <v>0</v>
      </c>
      <c r="L33">
        <v>0</v>
      </c>
      <c r="M33">
        <v>691.34</v>
      </c>
      <c r="N33">
        <v>1516.9</v>
      </c>
      <c r="O33">
        <v>2208.2400000000002</v>
      </c>
      <c r="P33">
        <f t="shared" si="0"/>
        <v>1537.9</v>
      </c>
    </row>
    <row r="34" spans="1:16">
      <c r="A34" t="s">
        <v>228</v>
      </c>
      <c r="B34" t="s">
        <v>7</v>
      </c>
      <c r="D34">
        <v>21</v>
      </c>
      <c r="E34">
        <v>517.34</v>
      </c>
      <c r="F34">
        <v>1342.9</v>
      </c>
      <c r="G34">
        <v>174</v>
      </c>
      <c r="H34">
        <v>174</v>
      </c>
      <c r="I34">
        <v>0</v>
      </c>
      <c r="J34">
        <v>0</v>
      </c>
      <c r="K34">
        <v>0</v>
      </c>
      <c r="L34">
        <v>0</v>
      </c>
      <c r="M34">
        <v>691.34</v>
      </c>
      <c r="N34">
        <v>1516.9</v>
      </c>
      <c r="O34">
        <v>2208.2400000000002</v>
      </c>
      <c r="P34">
        <f t="shared" si="0"/>
        <v>1537.9</v>
      </c>
    </row>
    <row r="35" spans="1:16">
      <c r="A35" t="s">
        <v>243</v>
      </c>
      <c r="B35" t="s">
        <v>7</v>
      </c>
      <c r="D35">
        <v>21</v>
      </c>
      <c r="E35">
        <v>517.34</v>
      </c>
      <c r="F35">
        <v>1342.9</v>
      </c>
      <c r="G35">
        <v>174</v>
      </c>
      <c r="H35">
        <v>174</v>
      </c>
      <c r="I35">
        <v>0</v>
      </c>
      <c r="J35">
        <v>0</v>
      </c>
      <c r="K35">
        <v>0</v>
      </c>
      <c r="L35">
        <v>0</v>
      </c>
      <c r="M35">
        <v>691.34</v>
      </c>
      <c r="N35">
        <v>1516.9</v>
      </c>
      <c r="O35">
        <v>2208.2400000000002</v>
      </c>
      <c r="P35">
        <f t="shared" si="0"/>
        <v>1537.9</v>
      </c>
    </row>
    <row r="36" spans="1:16">
      <c r="A36" t="s">
        <v>106</v>
      </c>
      <c r="B36" t="s">
        <v>92</v>
      </c>
      <c r="D36">
        <v>21</v>
      </c>
      <c r="E36">
        <v>517.34</v>
      </c>
      <c r="F36">
        <v>1342.9</v>
      </c>
      <c r="G36">
        <v>174</v>
      </c>
      <c r="H36">
        <v>174</v>
      </c>
      <c r="I36">
        <v>0</v>
      </c>
      <c r="J36">
        <v>0</v>
      </c>
      <c r="K36">
        <v>0</v>
      </c>
      <c r="L36">
        <v>0</v>
      </c>
      <c r="M36">
        <v>691.34</v>
      </c>
      <c r="N36">
        <v>1516.9</v>
      </c>
      <c r="O36">
        <v>2208.2400000000002</v>
      </c>
      <c r="P36">
        <f t="shared" si="0"/>
        <v>1537.9</v>
      </c>
    </row>
    <row r="37" spans="1:16">
      <c r="A37" t="s">
        <v>245</v>
      </c>
      <c r="B37" t="s">
        <v>7</v>
      </c>
      <c r="D37">
        <v>21</v>
      </c>
      <c r="E37">
        <v>517.34</v>
      </c>
      <c r="F37">
        <v>1342.9</v>
      </c>
      <c r="G37">
        <v>174</v>
      </c>
      <c r="H37">
        <v>174</v>
      </c>
      <c r="I37">
        <v>0</v>
      </c>
      <c r="J37">
        <v>0</v>
      </c>
      <c r="K37">
        <v>0</v>
      </c>
      <c r="L37">
        <v>0</v>
      </c>
      <c r="M37">
        <v>691.34</v>
      </c>
      <c r="N37">
        <v>1516.9</v>
      </c>
      <c r="O37">
        <v>2208.2400000000002</v>
      </c>
      <c r="P37">
        <f t="shared" si="0"/>
        <v>1537.9</v>
      </c>
    </row>
    <row r="38" spans="1:16">
      <c r="A38" t="s">
        <v>231</v>
      </c>
      <c r="B38" t="s">
        <v>92</v>
      </c>
      <c r="D38">
        <v>21</v>
      </c>
      <c r="E38">
        <v>517.34</v>
      </c>
      <c r="F38">
        <v>1342.9</v>
      </c>
      <c r="G38">
        <v>174</v>
      </c>
      <c r="H38">
        <v>174</v>
      </c>
      <c r="I38">
        <v>0</v>
      </c>
      <c r="J38">
        <v>0</v>
      </c>
      <c r="K38">
        <v>0</v>
      </c>
      <c r="L38">
        <v>0</v>
      </c>
      <c r="M38">
        <v>691.34</v>
      </c>
      <c r="N38">
        <v>1516.9</v>
      </c>
      <c r="O38">
        <v>2208.2400000000002</v>
      </c>
      <c r="P38">
        <f t="shared" si="0"/>
        <v>1537.9</v>
      </c>
    </row>
    <row r="39" spans="1:16">
      <c r="A39" t="s">
        <v>265</v>
      </c>
      <c r="B39" t="s">
        <v>9</v>
      </c>
      <c r="D39">
        <v>21</v>
      </c>
      <c r="E39">
        <v>517.34</v>
      </c>
      <c r="F39">
        <v>1342.9</v>
      </c>
      <c r="G39">
        <v>174</v>
      </c>
      <c r="H39">
        <v>174</v>
      </c>
      <c r="I39">
        <v>0</v>
      </c>
      <c r="J39">
        <v>0</v>
      </c>
      <c r="K39">
        <v>0</v>
      </c>
      <c r="L39">
        <v>0</v>
      </c>
      <c r="M39">
        <v>691.34</v>
      </c>
      <c r="N39">
        <v>1516.9</v>
      </c>
      <c r="O39">
        <v>2208.2400000000002</v>
      </c>
      <c r="P39">
        <f t="shared" si="0"/>
        <v>1537.9</v>
      </c>
    </row>
    <row r="40" spans="1:16">
      <c r="A40" t="s">
        <v>281</v>
      </c>
      <c r="B40" t="s">
        <v>9</v>
      </c>
      <c r="D40">
        <v>21</v>
      </c>
      <c r="E40">
        <v>517.34</v>
      </c>
      <c r="F40">
        <v>1342.9</v>
      </c>
      <c r="G40">
        <v>174</v>
      </c>
      <c r="H40">
        <v>174</v>
      </c>
      <c r="I40">
        <v>0</v>
      </c>
      <c r="J40">
        <v>0</v>
      </c>
      <c r="K40">
        <v>0</v>
      </c>
      <c r="L40">
        <v>0</v>
      </c>
      <c r="M40">
        <v>691.34</v>
      </c>
      <c r="N40">
        <v>1516.9</v>
      </c>
      <c r="O40">
        <v>2208.2400000000002</v>
      </c>
      <c r="P40">
        <f t="shared" si="0"/>
        <v>1537.9</v>
      </c>
    </row>
    <row r="41" spans="1:16">
      <c r="A41" t="s">
        <v>182</v>
      </c>
      <c r="B41" t="s">
        <v>7</v>
      </c>
      <c r="D41">
        <v>21</v>
      </c>
      <c r="E41">
        <v>517.34</v>
      </c>
      <c r="F41">
        <v>1342.9</v>
      </c>
      <c r="G41">
        <v>174</v>
      </c>
      <c r="H41">
        <v>174</v>
      </c>
      <c r="I41">
        <v>0</v>
      </c>
      <c r="J41">
        <v>0</v>
      </c>
      <c r="K41">
        <v>0</v>
      </c>
      <c r="L41">
        <v>0</v>
      </c>
      <c r="M41">
        <v>691.34</v>
      </c>
      <c r="N41">
        <v>1516.9</v>
      </c>
      <c r="O41">
        <v>2208.2400000000002</v>
      </c>
      <c r="P41">
        <f t="shared" si="0"/>
        <v>1537.9</v>
      </c>
    </row>
    <row r="42" spans="1:16">
      <c r="A42" t="s">
        <v>242</v>
      </c>
      <c r="B42" t="s">
        <v>7</v>
      </c>
      <c r="D42">
        <v>21</v>
      </c>
      <c r="E42">
        <v>517.34</v>
      </c>
      <c r="F42">
        <v>1342.9</v>
      </c>
      <c r="G42">
        <v>174</v>
      </c>
      <c r="H42">
        <v>174</v>
      </c>
      <c r="I42">
        <v>0</v>
      </c>
      <c r="J42">
        <v>0</v>
      </c>
      <c r="K42">
        <v>0</v>
      </c>
      <c r="L42">
        <v>0</v>
      </c>
      <c r="M42">
        <v>691.34</v>
      </c>
      <c r="N42">
        <v>1516.9</v>
      </c>
      <c r="O42">
        <v>2208.2400000000002</v>
      </c>
      <c r="P42">
        <f t="shared" si="0"/>
        <v>1537.9</v>
      </c>
    </row>
    <row r="43" spans="1:16">
      <c r="A43" t="s">
        <v>99</v>
      </c>
      <c r="B43" t="s">
        <v>92</v>
      </c>
      <c r="D43">
        <v>21</v>
      </c>
      <c r="E43">
        <v>517.34</v>
      </c>
      <c r="F43">
        <v>1342.9</v>
      </c>
      <c r="G43">
        <v>174</v>
      </c>
      <c r="H43">
        <v>174</v>
      </c>
      <c r="I43">
        <v>0</v>
      </c>
      <c r="J43">
        <v>0</v>
      </c>
      <c r="K43">
        <v>0</v>
      </c>
      <c r="L43">
        <v>0</v>
      </c>
      <c r="M43">
        <v>691.34</v>
      </c>
      <c r="N43">
        <v>1516.9</v>
      </c>
      <c r="O43">
        <v>2208.2400000000002</v>
      </c>
      <c r="P43">
        <f t="shared" si="0"/>
        <v>1537.9</v>
      </c>
    </row>
    <row r="44" spans="1:16">
      <c r="A44" t="s">
        <v>198</v>
      </c>
      <c r="B44" t="s">
        <v>7</v>
      </c>
      <c r="D44">
        <v>21</v>
      </c>
      <c r="E44">
        <v>517.34</v>
      </c>
      <c r="F44">
        <v>1342.9</v>
      </c>
      <c r="G44">
        <v>174</v>
      </c>
      <c r="H44">
        <v>174</v>
      </c>
      <c r="I44">
        <v>0</v>
      </c>
      <c r="J44">
        <v>0</v>
      </c>
      <c r="K44">
        <v>0</v>
      </c>
      <c r="L44">
        <v>0</v>
      </c>
      <c r="M44">
        <v>691.34</v>
      </c>
      <c r="N44">
        <v>1516.9</v>
      </c>
      <c r="O44">
        <v>2208.2400000000002</v>
      </c>
      <c r="P44">
        <f t="shared" si="0"/>
        <v>1537.9</v>
      </c>
    </row>
    <row r="45" spans="1:16">
      <c r="A45" t="s">
        <v>129</v>
      </c>
      <c r="B45" t="s">
        <v>7</v>
      </c>
      <c r="D45">
        <v>21</v>
      </c>
      <c r="E45">
        <v>517.34</v>
      </c>
      <c r="F45">
        <v>1342.9</v>
      </c>
      <c r="G45">
        <v>174</v>
      </c>
      <c r="H45">
        <v>174</v>
      </c>
      <c r="I45">
        <v>0</v>
      </c>
      <c r="J45">
        <v>0</v>
      </c>
      <c r="K45">
        <v>0</v>
      </c>
      <c r="L45">
        <v>0</v>
      </c>
      <c r="M45">
        <v>691.34</v>
      </c>
      <c r="N45">
        <v>1516.9</v>
      </c>
      <c r="O45">
        <v>2208.2400000000002</v>
      </c>
      <c r="P45">
        <f t="shared" si="0"/>
        <v>1537.9</v>
      </c>
    </row>
    <row r="46" spans="1:16">
      <c r="A46" t="s">
        <v>217</v>
      </c>
      <c r="B46" t="s">
        <v>92</v>
      </c>
      <c r="D46">
        <v>21</v>
      </c>
      <c r="E46">
        <v>517.34</v>
      </c>
      <c r="F46">
        <v>1342.9</v>
      </c>
      <c r="G46">
        <v>174</v>
      </c>
      <c r="H46">
        <v>174</v>
      </c>
      <c r="I46">
        <v>0</v>
      </c>
      <c r="J46">
        <v>0</v>
      </c>
      <c r="K46">
        <v>0</v>
      </c>
      <c r="L46">
        <v>0</v>
      </c>
      <c r="M46">
        <v>691.34</v>
      </c>
      <c r="N46">
        <v>1516.9</v>
      </c>
      <c r="O46">
        <v>2208.2400000000002</v>
      </c>
      <c r="P46">
        <f t="shared" si="0"/>
        <v>1537.9</v>
      </c>
    </row>
    <row r="47" spans="1:16">
      <c r="A47" t="s">
        <v>187</v>
      </c>
      <c r="B47" t="s">
        <v>7</v>
      </c>
      <c r="D47">
        <v>21</v>
      </c>
      <c r="E47">
        <v>517.34</v>
      </c>
      <c r="F47">
        <v>1342.9</v>
      </c>
      <c r="G47">
        <v>174</v>
      </c>
      <c r="H47">
        <v>174</v>
      </c>
      <c r="I47">
        <v>0</v>
      </c>
      <c r="J47">
        <v>0</v>
      </c>
      <c r="K47">
        <v>0</v>
      </c>
      <c r="L47">
        <v>0</v>
      </c>
      <c r="M47">
        <v>691.34</v>
      </c>
      <c r="N47">
        <v>1516.9</v>
      </c>
      <c r="O47">
        <v>2208.2400000000002</v>
      </c>
      <c r="P47">
        <f t="shared" si="0"/>
        <v>1537.9</v>
      </c>
    </row>
    <row r="48" spans="1:16">
      <c r="A48" t="s">
        <v>282</v>
      </c>
      <c r="B48" t="s">
        <v>9</v>
      </c>
      <c r="D48">
        <v>21</v>
      </c>
      <c r="E48">
        <v>517.34</v>
      </c>
      <c r="F48">
        <v>1342.9</v>
      </c>
      <c r="G48">
        <v>174</v>
      </c>
      <c r="H48">
        <v>174</v>
      </c>
      <c r="I48">
        <v>0</v>
      </c>
      <c r="J48">
        <v>0</v>
      </c>
      <c r="K48">
        <v>0</v>
      </c>
      <c r="L48">
        <v>0</v>
      </c>
      <c r="M48">
        <v>691.34</v>
      </c>
      <c r="N48">
        <v>1516.9</v>
      </c>
      <c r="O48">
        <v>2208.2400000000002</v>
      </c>
      <c r="P48">
        <f t="shared" si="0"/>
        <v>1537.9</v>
      </c>
    </row>
    <row r="49" spans="1:16">
      <c r="A49" t="s">
        <v>144</v>
      </c>
      <c r="B49" t="s">
        <v>92</v>
      </c>
      <c r="D49">
        <v>21</v>
      </c>
      <c r="E49">
        <v>517.34</v>
      </c>
      <c r="F49">
        <v>1342.9</v>
      </c>
      <c r="G49">
        <v>174</v>
      </c>
      <c r="H49">
        <v>174</v>
      </c>
      <c r="I49">
        <v>0</v>
      </c>
      <c r="J49">
        <v>0</v>
      </c>
      <c r="K49">
        <v>0</v>
      </c>
      <c r="L49">
        <v>0</v>
      </c>
      <c r="M49">
        <v>691.34</v>
      </c>
      <c r="N49">
        <v>1516.9</v>
      </c>
      <c r="O49">
        <v>2208.2400000000002</v>
      </c>
      <c r="P49">
        <f t="shared" si="0"/>
        <v>1537.9</v>
      </c>
    </row>
    <row r="50" spans="1:16">
      <c r="A50" t="s">
        <v>251</v>
      </c>
      <c r="B50" t="s">
        <v>8</v>
      </c>
      <c r="D50">
        <v>21</v>
      </c>
      <c r="E50">
        <v>517.34</v>
      </c>
      <c r="F50">
        <v>1342.9</v>
      </c>
      <c r="G50">
        <v>174</v>
      </c>
      <c r="H50">
        <v>174</v>
      </c>
      <c r="I50">
        <v>0</v>
      </c>
      <c r="J50">
        <v>0</v>
      </c>
      <c r="K50">
        <v>0</v>
      </c>
      <c r="L50">
        <v>0</v>
      </c>
      <c r="M50">
        <v>691.34</v>
      </c>
      <c r="N50">
        <v>1516.9</v>
      </c>
      <c r="O50">
        <v>2208.2400000000002</v>
      </c>
      <c r="P50">
        <f t="shared" si="0"/>
        <v>1537.9</v>
      </c>
    </row>
    <row r="51" spans="1:16">
      <c r="A51" t="s">
        <v>104</v>
      </c>
      <c r="B51" t="s">
        <v>7</v>
      </c>
      <c r="D51">
        <v>21</v>
      </c>
      <c r="E51">
        <v>517.34</v>
      </c>
      <c r="F51">
        <v>1342.9</v>
      </c>
      <c r="G51">
        <v>174</v>
      </c>
      <c r="H51">
        <v>174</v>
      </c>
      <c r="I51">
        <v>0</v>
      </c>
      <c r="J51">
        <v>0</v>
      </c>
      <c r="K51">
        <v>0</v>
      </c>
      <c r="L51">
        <v>0</v>
      </c>
      <c r="M51">
        <v>691.34</v>
      </c>
      <c r="N51">
        <v>1516.9</v>
      </c>
      <c r="O51">
        <v>2208.2400000000002</v>
      </c>
      <c r="P51">
        <f t="shared" si="0"/>
        <v>1537.9</v>
      </c>
    </row>
    <row r="52" spans="1:16">
      <c r="A52" t="s">
        <v>239</v>
      </c>
      <c r="B52" t="s">
        <v>7</v>
      </c>
      <c r="D52">
        <v>21</v>
      </c>
      <c r="E52">
        <v>517.34</v>
      </c>
      <c r="F52">
        <v>1342.9</v>
      </c>
      <c r="G52">
        <v>174</v>
      </c>
      <c r="H52">
        <v>174</v>
      </c>
      <c r="I52">
        <v>0</v>
      </c>
      <c r="J52">
        <v>0</v>
      </c>
      <c r="K52">
        <v>0</v>
      </c>
      <c r="L52">
        <v>0</v>
      </c>
      <c r="M52">
        <v>691.34</v>
      </c>
      <c r="N52">
        <v>1516.9</v>
      </c>
      <c r="O52">
        <v>2208.2400000000002</v>
      </c>
      <c r="P52">
        <f t="shared" si="0"/>
        <v>1537.9</v>
      </c>
    </row>
    <row r="53" spans="1:16">
      <c r="A53" t="s">
        <v>120</v>
      </c>
      <c r="B53" t="s">
        <v>7</v>
      </c>
      <c r="D53">
        <v>21</v>
      </c>
      <c r="E53">
        <v>517.34</v>
      </c>
      <c r="F53">
        <v>1342.9</v>
      </c>
      <c r="G53">
        <v>174</v>
      </c>
      <c r="H53">
        <v>174</v>
      </c>
      <c r="I53">
        <v>0</v>
      </c>
      <c r="J53">
        <v>0</v>
      </c>
      <c r="K53">
        <v>0</v>
      </c>
      <c r="L53">
        <v>0</v>
      </c>
      <c r="M53">
        <v>691.34</v>
      </c>
      <c r="N53">
        <v>1516.9</v>
      </c>
      <c r="O53">
        <v>2208.2400000000002</v>
      </c>
      <c r="P53">
        <f t="shared" si="0"/>
        <v>1537.9</v>
      </c>
    </row>
    <row r="54" spans="1:16">
      <c r="A54" t="s">
        <v>221</v>
      </c>
      <c r="B54" t="s">
        <v>92</v>
      </c>
      <c r="D54">
        <v>21</v>
      </c>
      <c r="E54">
        <v>517.34</v>
      </c>
      <c r="F54">
        <v>1342.9</v>
      </c>
      <c r="G54">
        <v>174</v>
      </c>
      <c r="H54">
        <v>174</v>
      </c>
      <c r="I54">
        <v>0</v>
      </c>
      <c r="J54">
        <v>0</v>
      </c>
      <c r="K54">
        <v>0</v>
      </c>
      <c r="L54">
        <v>0</v>
      </c>
      <c r="M54">
        <v>691.34</v>
      </c>
      <c r="N54">
        <v>1516.9</v>
      </c>
      <c r="O54">
        <v>2208.2400000000002</v>
      </c>
      <c r="P54">
        <f t="shared" si="0"/>
        <v>1537.9</v>
      </c>
    </row>
    <row r="55" spans="1:16">
      <c r="A55" t="s">
        <v>259</v>
      </c>
      <c r="B55" t="s">
        <v>9</v>
      </c>
      <c r="D55">
        <v>21</v>
      </c>
      <c r="E55">
        <v>517.34</v>
      </c>
      <c r="F55">
        <v>1342.9</v>
      </c>
      <c r="G55">
        <v>174</v>
      </c>
      <c r="H55">
        <v>174</v>
      </c>
      <c r="I55">
        <v>0</v>
      </c>
      <c r="J55">
        <v>0</v>
      </c>
      <c r="K55">
        <v>0</v>
      </c>
      <c r="L55">
        <v>0</v>
      </c>
      <c r="M55">
        <v>691.34</v>
      </c>
      <c r="N55">
        <v>1516.9</v>
      </c>
      <c r="O55">
        <v>2208.2400000000002</v>
      </c>
      <c r="P55">
        <f t="shared" si="0"/>
        <v>1537.9</v>
      </c>
    </row>
    <row r="56" spans="1:16">
      <c r="A56" t="s">
        <v>155</v>
      </c>
      <c r="B56" t="s">
        <v>7</v>
      </c>
      <c r="D56">
        <v>21</v>
      </c>
      <c r="E56">
        <v>517.34</v>
      </c>
      <c r="F56">
        <v>1342.9</v>
      </c>
      <c r="G56">
        <v>174</v>
      </c>
      <c r="H56">
        <v>174</v>
      </c>
      <c r="I56">
        <v>0</v>
      </c>
      <c r="J56">
        <v>0</v>
      </c>
      <c r="K56">
        <v>0</v>
      </c>
      <c r="L56">
        <v>0</v>
      </c>
      <c r="M56">
        <v>691.34</v>
      </c>
      <c r="N56">
        <v>1516.9</v>
      </c>
      <c r="O56">
        <v>2208.2400000000002</v>
      </c>
      <c r="P56">
        <f t="shared" si="0"/>
        <v>1537.9</v>
      </c>
    </row>
    <row r="57" spans="1:16">
      <c r="A57" t="s">
        <v>234</v>
      </c>
      <c r="B57" t="s">
        <v>7</v>
      </c>
      <c r="D57">
        <v>21</v>
      </c>
      <c r="E57">
        <v>517.34</v>
      </c>
      <c r="F57">
        <v>1342.9</v>
      </c>
      <c r="G57">
        <v>174</v>
      </c>
      <c r="H57">
        <v>174</v>
      </c>
      <c r="I57">
        <v>0</v>
      </c>
      <c r="J57">
        <v>0</v>
      </c>
      <c r="K57">
        <v>0</v>
      </c>
      <c r="L57">
        <v>0</v>
      </c>
      <c r="M57">
        <v>691.34</v>
      </c>
      <c r="N57">
        <v>1516.9</v>
      </c>
      <c r="O57">
        <v>2208.2400000000002</v>
      </c>
      <c r="P57">
        <f t="shared" si="0"/>
        <v>1537.9</v>
      </c>
    </row>
    <row r="58" spans="1:16">
      <c r="A58" t="s">
        <v>250</v>
      </c>
      <c r="B58" t="s">
        <v>8</v>
      </c>
      <c r="D58">
        <v>21</v>
      </c>
      <c r="E58">
        <v>517.34</v>
      </c>
      <c r="F58">
        <v>1342.9</v>
      </c>
      <c r="G58">
        <v>174</v>
      </c>
      <c r="H58">
        <v>174</v>
      </c>
      <c r="I58">
        <v>0</v>
      </c>
      <c r="J58">
        <v>0</v>
      </c>
      <c r="K58">
        <v>0</v>
      </c>
      <c r="L58">
        <v>0</v>
      </c>
      <c r="M58">
        <v>691.34</v>
      </c>
      <c r="N58">
        <v>1516.9</v>
      </c>
      <c r="O58">
        <v>2208.2400000000002</v>
      </c>
      <c r="P58">
        <f t="shared" si="0"/>
        <v>1537.9</v>
      </c>
    </row>
    <row r="59" spans="1:16">
      <c r="A59" t="s">
        <v>190</v>
      </c>
      <c r="B59" t="s">
        <v>7</v>
      </c>
      <c r="D59">
        <v>21</v>
      </c>
      <c r="E59">
        <v>517.34</v>
      </c>
      <c r="F59">
        <v>1342.9</v>
      </c>
      <c r="G59">
        <v>174</v>
      </c>
      <c r="H59">
        <v>174</v>
      </c>
      <c r="I59">
        <v>0</v>
      </c>
      <c r="J59">
        <v>0</v>
      </c>
      <c r="K59">
        <v>0</v>
      </c>
      <c r="L59">
        <v>0</v>
      </c>
      <c r="M59">
        <v>691.34</v>
      </c>
      <c r="N59">
        <v>1516.9</v>
      </c>
      <c r="O59">
        <v>2208.2400000000002</v>
      </c>
      <c r="P59">
        <f t="shared" si="0"/>
        <v>1537.9</v>
      </c>
    </row>
    <row r="60" spans="1:16">
      <c r="A60" t="s">
        <v>162</v>
      </c>
      <c r="B60" t="s">
        <v>7</v>
      </c>
      <c r="D60">
        <v>21</v>
      </c>
      <c r="E60">
        <v>517.34</v>
      </c>
      <c r="F60">
        <v>1342.9</v>
      </c>
      <c r="G60">
        <v>174</v>
      </c>
      <c r="H60">
        <v>174</v>
      </c>
      <c r="I60">
        <v>0</v>
      </c>
      <c r="J60">
        <v>0</v>
      </c>
      <c r="K60">
        <v>0</v>
      </c>
      <c r="L60">
        <v>0</v>
      </c>
      <c r="M60">
        <v>691.34</v>
      </c>
      <c r="N60">
        <v>1516.9</v>
      </c>
      <c r="O60">
        <v>2208.2400000000002</v>
      </c>
      <c r="P60">
        <f t="shared" si="0"/>
        <v>1537.9</v>
      </c>
    </row>
    <row r="61" spans="1:16">
      <c r="A61" t="s">
        <v>236</v>
      </c>
      <c r="B61" t="s">
        <v>7</v>
      </c>
      <c r="D61">
        <v>21</v>
      </c>
      <c r="E61">
        <v>517.34</v>
      </c>
      <c r="F61">
        <v>1342.9</v>
      </c>
      <c r="G61">
        <v>174</v>
      </c>
      <c r="H61">
        <v>174</v>
      </c>
      <c r="I61">
        <v>0</v>
      </c>
      <c r="J61">
        <v>0</v>
      </c>
      <c r="K61">
        <v>0</v>
      </c>
      <c r="L61">
        <v>0</v>
      </c>
      <c r="M61">
        <v>691.34</v>
      </c>
      <c r="N61">
        <v>1516.9</v>
      </c>
      <c r="O61">
        <v>2208.2400000000002</v>
      </c>
      <c r="P61">
        <f t="shared" si="0"/>
        <v>1537.9</v>
      </c>
    </row>
    <row r="62" spans="1:16">
      <c r="A62" t="s">
        <v>184</v>
      </c>
      <c r="B62" t="s">
        <v>7</v>
      </c>
      <c r="D62">
        <v>21</v>
      </c>
      <c r="E62">
        <v>517.34</v>
      </c>
      <c r="F62">
        <v>1342.9</v>
      </c>
      <c r="G62">
        <v>174</v>
      </c>
      <c r="H62">
        <v>174</v>
      </c>
      <c r="I62">
        <v>0</v>
      </c>
      <c r="J62">
        <v>0</v>
      </c>
      <c r="K62">
        <v>0</v>
      </c>
      <c r="L62">
        <v>0</v>
      </c>
      <c r="M62">
        <v>691.34</v>
      </c>
      <c r="N62">
        <v>1516.9</v>
      </c>
      <c r="O62">
        <v>2208.2400000000002</v>
      </c>
      <c r="P62">
        <f t="shared" si="0"/>
        <v>1537.9</v>
      </c>
    </row>
    <row r="63" spans="1:16">
      <c r="A63" t="s">
        <v>168</v>
      </c>
      <c r="B63" t="s">
        <v>7</v>
      </c>
      <c r="D63">
        <v>21</v>
      </c>
      <c r="E63">
        <v>517.34</v>
      </c>
      <c r="F63">
        <v>1342.9</v>
      </c>
      <c r="G63">
        <v>174</v>
      </c>
      <c r="H63">
        <v>174</v>
      </c>
      <c r="I63">
        <v>0</v>
      </c>
      <c r="J63">
        <v>0</v>
      </c>
      <c r="K63">
        <v>0</v>
      </c>
      <c r="L63">
        <v>0</v>
      </c>
      <c r="M63">
        <v>691.34</v>
      </c>
      <c r="N63">
        <v>1516.9</v>
      </c>
      <c r="O63">
        <v>2208.2400000000002</v>
      </c>
      <c r="P63">
        <f t="shared" si="0"/>
        <v>1537.9</v>
      </c>
    </row>
    <row r="64" spans="1:16">
      <c r="A64" t="s">
        <v>207</v>
      </c>
      <c r="B64" t="s">
        <v>7</v>
      </c>
      <c r="D64">
        <v>21</v>
      </c>
      <c r="E64">
        <v>517.34</v>
      </c>
      <c r="F64">
        <v>1342.9</v>
      </c>
      <c r="G64">
        <v>174</v>
      </c>
      <c r="H64">
        <v>174</v>
      </c>
      <c r="I64">
        <v>0</v>
      </c>
      <c r="J64">
        <v>0</v>
      </c>
      <c r="K64">
        <v>0</v>
      </c>
      <c r="L64">
        <v>0</v>
      </c>
      <c r="M64">
        <v>691.34</v>
      </c>
      <c r="N64">
        <v>1516.9</v>
      </c>
      <c r="O64">
        <v>2208.2400000000002</v>
      </c>
      <c r="P64">
        <f t="shared" si="0"/>
        <v>1537.9</v>
      </c>
    </row>
    <row r="65" spans="1:16">
      <c r="A65" t="s">
        <v>248</v>
      </c>
      <c r="B65" t="s">
        <v>8</v>
      </c>
      <c r="D65">
        <v>21</v>
      </c>
      <c r="E65">
        <v>517.34</v>
      </c>
      <c r="F65">
        <v>1342.9</v>
      </c>
      <c r="G65">
        <v>174</v>
      </c>
      <c r="H65">
        <v>174</v>
      </c>
      <c r="I65">
        <v>0</v>
      </c>
      <c r="J65">
        <v>0</v>
      </c>
      <c r="K65">
        <v>0</v>
      </c>
      <c r="L65">
        <v>0</v>
      </c>
      <c r="M65">
        <v>691.34</v>
      </c>
      <c r="N65">
        <v>1516.9</v>
      </c>
      <c r="O65">
        <v>2208.2400000000002</v>
      </c>
      <c r="P65">
        <f t="shared" si="0"/>
        <v>1537.9</v>
      </c>
    </row>
    <row r="66" spans="1:16">
      <c r="A66" t="s">
        <v>256</v>
      </c>
      <c r="B66" t="s">
        <v>8</v>
      </c>
      <c r="D66">
        <v>21</v>
      </c>
      <c r="E66">
        <v>517.34</v>
      </c>
      <c r="F66">
        <v>1342.9</v>
      </c>
      <c r="G66">
        <v>174</v>
      </c>
      <c r="H66">
        <v>174</v>
      </c>
      <c r="I66">
        <v>0</v>
      </c>
      <c r="J66">
        <v>0</v>
      </c>
      <c r="K66">
        <v>0</v>
      </c>
      <c r="L66">
        <v>0</v>
      </c>
      <c r="M66">
        <v>691.34</v>
      </c>
      <c r="N66">
        <v>1516.9</v>
      </c>
      <c r="O66">
        <v>2208.2400000000002</v>
      </c>
      <c r="P66">
        <f t="shared" si="0"/>
        <v>1537.9</v>
      </c>
    </row>
    <row r="67" spans="1:16">
      <c r="A67" t="s">
        <v>183</v>
      </c>
      <c r="B67" t="s">
        <v>7</v>
      </c>
      <c r="D67">
        <v>21</v>
      </c>
      <c r="E67">
        <v>517.34</v>
      </c>
      <c r="F67">
        <v>1342.9</v>
      </c>
      <c r="G67">
        <v>174</v>
      </c>
      <c r="H67">
        <v>174</v>
      </c>
      <c r="I67">
        <v>0</v>
      </c>
      <c r="J67">
        <v>0</v>
      </c>
      <c r="K67">
        <v>0</v>
      </c>
      <c r="L67">
        <v>0</v>
      </c>
      <c r="M67">
        <v>691.34</v>
      </c>
      <c r="N67">
        <v>1516.9</v>
      </c>
      <c r="O67">
        <v>2208.2400000000002</v>
      </c>
      <c r="P67">
        <f t="shared" si="0"/>
        <v>1537.9</v>
      </c>
    </row>
    <row r="68" spans="1:16">
      <c r="A68" t="s">
        <v>161</v>
      </c>
      <c r="B68" t="s">
        <v>7</v>
      </c>
      <c r="D68">
        <v>21</v>
      </c>
      <c r="E68">
        <v>517.34</v>
      </c>
      <c r="F68">
        <v>1342.9</v>
      </c>
      <c r="G68">
        <v>174</v>
      </c>
      <c r="H68">
        <v>174</v>
      </c>
      <c r="I68">
        <v>0</v>
      </c>
      <c r="J68">
        <v>0</v>
      </c>
      <c r="K68">
        <v>0</v>
      </c>
      <c r="L68">
        <v>0</v>
      </c>
      <c r="M68">
        <v>691.34</v>
      </c>
      <c r="N68">
        <v>1516.9</v>
      </c>
      <c r="O68">
        <v>2208.2400000000002</v>
      </c>
      <c r="P68">
        <f t="shared" si="0"/>
        <v>1537.9</v>
      </c>
    </row>
    <row r="69" spans="1:16">
      <c r="A69" t="s">
        <v>108</v>
      </c>
      <c r="B69" t="s">
        <v>7</v>
      </c>
      <c r="D69">
        <v>21</v>
      </c>
      <c r="E69">
        <v>517.34</v>
      </c>
      <c r="F69">
        <v>1342.9</v>
      </c>
      <c r="G69">
        <v>174</v>
      </c>
      <c r="H69">
        <v>174</v>
      </c>
      <c r="I69">
        <v>0</v>
      </c>
      <c r="J69">
        <v>0</v>
      </c>
      <c r="K69">
        <v>0</v>
      </c>
      <c r="L69">
        <v>0</v>
      </c>
      <c r="M69">
        <v>691.34</v>
      </c>
      <c r="N69">
        <v>1516.9</v>
      </c>
      <c r="O69">
        <v>2208.2400000000002</v>
      </c>
      <c r="P69">
        <f t="shared" ref="P69:P123" si="1">N69+D69</f>
        <v>1537.9</v>
      </c>
    </row>
    <row r="70" spans="1:16">
      <c r="A70" t="s">
        <v>110</v>
      </c>
      <c r="B70" t="s">
        <v>7</v>
      </c>
      <c r="D70">
        <v>21</v>
      </c>
      <c r="E70">
        <v>517.34</v>
      </c>
      <c r="F70">
        <v>1342.9</v>
      </c>
      <c r="G70">
        <v>174</v>
      </c>
      <c r="H70">
        <v>174</v>
      </c>
      <c r="I70">
        <v>0</v>
      </c>
      <c r="J70">
        <v>0</v>
      </c>
      <c r="K70">
        <v>0</v>
      </c>
      <c r="L70">
        <v>0</v>
      </c>
      <c r="M70">
        <v>691.34</v>
      </c>
      <c r="N70">
        <v>1516.9</v>
      </c>
      <c r="O70">
        <v>2208.2400000000002</v>
      </c>
      <c r="P70">
        <f t="shared" si="1"/>
        <v>1537.9</v>
      </c>
    </row>
    <row r="71" spans="1:16">
      <c r="A71" t="s">
        <v>249</v>
      </c>
      <c r="B71" t="s">
        <v>8</v>
      </c>
      <c r="D71">
        <v>21</v>
      </c>
      <c r="E71">
        <v>517.34</v>
      </c>
      <c r="F71">
        <v>1342.9</v>
      </c>
      <c r="G71">
        <v>174</v>
      </c>
      <c r="H71">
        <v>174</v>
      </c>
      <c r="I71">
        <v>0</v>
      </c>
      <c r="J71">
        <v>0</v>
      </c>
      <c r="K71">
        <v>0</v>
      </c>
      <c r="L71">
        <v>0</v>
      </c>
      <c r="M71">
        <v>691.34</v>
      </c>
      <c r="N71">
        <v>1516.9</v>
      </c>
      <c r="O71">
        <v>2208.2400000000002</v>
      </c>
      <c r="P71">
        <f t="shared" si="1"/>
        <v>1537.9</v>
      </c>
    </row>
    <row r="72" spans="1:16">
      <c r="A72" t="s">
        <v>90</v>
      </c>
      <c r="B72" t="s">
        <v>92</v>
      </c>
      <c r="D72">
        <v>21</v>
      </c>
      <c r="E72">
        <v>517.34</v>
      </c>
      <c r="F72">
        <v>1342.9</v>
      </c>
      <c r="G72">
        <v>174</v>
      </c>
      <c r="H72">
        <v>174</v>
      </c>
      <c r="I72">
        <v>0</v>
      </c>
      <c r="J72">
        <v>0</v>
      </c>
      <c r="K72">
        <v>0</v>
      </c>
      <c r="L72">
        <v>0</v>
      </c>
      <c r="M72">
        <v>691.34</v>
      </c>
      <c r="N72">
        <v>1516.9</v>
      </c>
      <c r="O72">
        <v>2208.2400000000002</v>
      </c>
      <c r="P72">
        <f t="shared" si="1"/>
        <v>1537.9</v>
      </c>
    </row>
    <row r="73" spans="1:16">
      <c r="A73" t="s">
        <v>196</v>
      </c>
      <c r="B73" t="s">
        <v>7</v>
      </c>
      <c r="D73">
        <v>21</v>
      </c>
      <c r="E73">
        <v>517.34</v>
      </c>
      <c r="F73">
        <v>1342.9</v>
      </c>
      <c r="G73">
        <v>174</v>
      </c>
      <c r="H73">
        <v>174</v>
      </c>
      <c r="I73">
        <v>0</v>
      </c>
      <c r="J73">
        <v>0</v>
      </c>
      <c r="K73">
        <v>0</v>
      </c>
      <c r="L73">
        <v>0</v>
      </c>
      <c r="M73">
        <v>691.34</v>
      </c>
      <c r="N73">
        <v>1516.9</v>
      </c>
      <c r="O73">
        <v>2208.2400000000002</v>
      </c>
      <c r="P73">
        <f t="shared" si="1"/>
        <v>1537.9</v>
      </c>
    </row>
    <row r="74" spans="1:16">
      <c r="A74" t="s">
        <v>210</v>
      </c>
      <c r="B74" t="s">
        <v>7</v>
      </c>
      <c r="D74">
        <v>21</v>
      </c>
      <c r="E74">
        <v>517.34</v>
      </c>
      <c r="F74">
        <v>1342.9</v>
      </c>
      <c r="G74">
        <v>174</v>
      </c>
      <c r="H74">
        <v>174</v>
      </c>
      <c r="I74">
        <v>0</v>
      </c>
      <c r="J74">
        <v>0</v>
      </c>
      <c r="K74">
        <v>0</v>
      </c>
      <c r="L74">
        <v>0</v>
      </c>
      <c r="M74">
        <v>691.34</v>
      </c>
      <c r="N74">
        <v>1516.9</v>
      </c>
      <c r="O74">
        <v>2208.2400000000002</v>
      </c>
      <c r="P74">
        <f t="shared" si="1"/>
        <v>1537.9</v>
      </c>
    </row>
    <row r="75" spans="1:16">
      <c r="A75" t="s">
        <v>226</v>
      </c>
      <c r="B75" t="s">
        <v>92</v>
      </c>
      <c r="D75">
        <v>21</v>
      </c>
      <c r="E75">
        <v>517.34</v>
      </c>
      <c r="F75">
        <v>1342.9</v>
      </c>
      <c r="G75">
        <v>174</v>
      </c>
      <c r="H75">
        <v>174</v>
      </c>
      <c r="I75">
        <v>0</v>
      </c>
      <c r="J75">
        <v>0</v>
      </c>
      <c r="K75">
        <v>0</v>
      </c>
      <c r="L75">
        <v>0</v>
      </c>
      <c r="M75">
        <v>691.34</v>
      </c>
      <c r="N75">
        <v>1516.9</v>
      </c>
      <c r="O75">
        <v>2208.2400000000002</v>
      </c>
      <c r="P75">
        <f t="shared" si="1"/>
        <v>1537.9</v>
      </c>
    </row>
    <row r="76" spans="1:16">
      <c r="A76" t="s">
        <v>179</v>
      </c>
      <c r="B76" t="s">
        <v>7</v>
      </c>
      <c r="D76">
        <v>21</v>
      </c>
      <c r="E76">
        <v>517.34</v>
      </c>
      <c r="F76">
        <v>1342.9</v>
      </c>
      <c r="G76">
        <v>174</v>
      </c>
      <c r="H76">
        <v>174</v>
      </c>
      <c r="I76">
        <v>0</v>
      </c>
      <c r="J76">
        <v>0</v>
      </c>
      <c r="K76">
        <v>0</v>
      </c>
      <c r="L76">
        <v>0</v>
      </c>
      <c r="M76">
        <v>691.34</v>
      </c>
      <c r="N76">
        <v>1516.9</v>
      </c>
      <c r="O76">
        <v>2208.2400000000002</v>
      </c>
      <c r="P76">
        <f t="shared" si="1"/>
        <v>1537.9</v>
      </c>
    </row>
    <row r="77" spans="1:16">
      <c r="A77" t="s">
        <v>149</v>
      </c>
      <c r="B77" t="s">
        <v>7</v>
      </c>
      <c r="D77">
        <v>21</v>
      </c>
      <c r="E77">
        <v>517.34</v>
      </c>
      <c r="F77">
        <v>1342.9</v>
      </c>
      <c r="G77">
        <v>174</v>
      </c>
      <c r="H77">
        <v>174</v>
      </c>
      <c r="I77">
        <v>0</v>
      </c>
      <c r="J77">
        <v>0</v>
      </c>
      <c r="K77">
        <v>0</v>
      </c>
      <c r="L77">
        <v>0</v>
      </c>
      <c r="M77">
        <v>691.34</v>
      </c>
      <c r="N77">
        <v>1516.9</v>
      </c>
      <c r="O77">
        <v>2208.2400000000002</v>
      </c>
      <c r="P77">
        <f t="shared" si="1"/>
        <v>1537.9</v>
      </c>
    </row>
    <row r="78" spans="1:16">
      <c r="A78" t="s">
        <v>262</v>
      </c>
      <c r="B78" t="s">
        <v>9</v>
      </c>
      <c r="D78">
        <v>21</v>
      </c>
      <c r="E78">
        <v>517.34</v>
      </c>
      <c r="F78">
        <v>1342.9</v>
      </c>
      <c r="G78">
        <v>174</v>
      </c>
      <c r="H78">
        <v>174</v>
      </c>
      <c r="I78">
        <v>0</v>
      </c>
      <c r="J78">
        <v>0</v>
      </c>
      <c r="K78">
        <v>0</v>
      </c>
      <c r="L78">
        <v>0</v>
      </c>
      <c r="M78">
        <v>691.34</v>
      </c>
      <c r="N78">
        <v>1516.9</v>
      </c>
      <c r="O78">
        <v>2208.2400000000002</v>
      </c>
      <c r="P78">
        <f t="shared" si="1"/>
        <v>1537.9</v>
      </c>
    </row>
    <row r="79" spans="1:16">
      <c r="A79" t="s">
        <v>85</v>
      </c>
      <c r="B79" t="s">
        <v>7</v>
      </c>
      <c r="D79">
        <v>21</v>
      </c>
      <c r="E79">
        <v>517.34</v>
      </c>
      <c r="F79">
        <v>1342.9</v>
      </c>
      <c r="G79">
        <v>174</v>
      </c>
      <c r="H79">
        <v>174</v>
      </c>
      <c r="I79">
        <v>0</v>
      </c>
      <c r="J79">
        <v>0</v>
      </c>
      <c r="K79">
        <v>0</v>
      </c>
      <c r="L79">
        <v>0</v>
      </c>
      <c r="M79">
        <v>691.34</v>
      </c>
      <c r="N79">
        <v>1516.9</v>
      </c>
      <c r="O79">
        <v>2208.2400000000002</v>
      </c>
      <c r="P79">
        <f t="shared" si="1"/>
        <v>1537.9</v>
      </c>
    </row>
    <row r="80" spans="1:16">
      <c r="A80" t="s">
        <v>253</v>
      </c>
      <c r="B80" t="s">
        <v>8</v>
      </c>
      <c r="D80">
        <v>21</v>
      </c>
      <c r="E80">
        <v>517.34</v>
      </c>
      <c r="F80">
        <v>1342.9</v>
      </c>
      <c r="G80">
        <v>174</v>
      </c>
      <c r="H80">
        <v>174</v>
      </c>
      <c r="I80">
        <v>0</v>
      </c>
      <c r="J80">
        <v>0</v>
      </c>
      <c r="K80">
        <v>0</v>
      </c>
      <c r="L80">
        <v>0</v>
      </c>
      <c r="M80">
        <v>691.34</v>
      </c>
      <c r="N80">
        <v>1516.9</v>
      </c>
      <c r="O80">
        <v>2208.2400000000002</v>
      </c>
      <c r="P80">
        <f t="shared" si="1"/>
        <v>1537.9</v>
      </c>
    </row>
    <row r="81" spans="1:16">
      <c r="A81" t="s">
        <v>103</v>
      </c>
      <c r="B81" t="s">
        <v>92</v>
      </c>
      <c r="D81">
        <v>21</v>
      </c>
      <c r="E81">
        <v>517.34</v>
      </c>
      <c r="F81">
        <v>1342.9</v>
      </c>
      <c r="G81">
        <v>174</v>
      </c>
      <c r="H81">
        <v>174</v>
      </c>
      <c r="I81">
        <v>0</v>
      </c>
      <c r="J81">
        <v>0</v>
      </c>
      <c r="K81">
        <v>0</v>
      </c>
      <c r="L81">
        <v>0</v>
      </c>
      <c r="M81">
        <v>691.34</v>
      </c>
      <c r="N81">
        <v>1516.9</v>
      </c>
      <c r="O81">
        <v>2208.2400000000002</v>
      </c>
      <c r="P81">
        <f t="shared" si="1"/>
        <v>1537.9</v>
      </c>
    </row>
    <row r="82" spans="1:16">
      <c r="A82" t="s">
        <v>211</v>
      </c>
      <c r="B82" t="s">
        <v>7</v>
      </c>
      <c r="D82">
        <v>21</v>
      </c>
      <c r="E82">
        <v>517.34</v>
      </c>
      <c r="F82">
        <v>1342.9</v>
      </c>
      <c r="G82">
        <v>174</v>
      </c>
      <c r="H82">
        <v>174</v>
      </c>
      <c r="I82">
        <v>0</v>
      </c>
      <c r="J82">
        <v>0</v>
      </c>
      <c r="K82">
        <v>0</v>
      </c>
      <c r="L82">
        <v>0</v>
      </c>
      <c r="M82">
        <v>691.34</v>
      </c>
      <c r="N82">
        <v>1516.9</v>
      </c>
      <c r="O82">
        <v>2208.2400000000002</v>
      </c>
      <c r="P82">
        <f t="shared" si="1"/>
        <v>1537.9</v>
      </c>
    </row>
    <row r="83" spans="1:16">
      <c r="A83" t="s">
        <v>272</v>
      </c>
      <c r="B83" t="s">
        <v>9</v>
      </c>
      <c r="D83">
        <v>21</v>
      </c>
      <c r="E83">
        <v>517.34</v>
      </c>
      <c r="F83">
        <v>1342.9</v>
      </c>
      <c r="G83">
        <v>174</v>
      </c>
      <c r="H83">
        <v>174</v>
      </c>
      <c r="I83">
        <v>0</v>
      </c>
      <c r="J83">
        <v>0</v>
      </c>
      <c r="K83">
        <v>0</v>
      </c>
      <c r="L83">
        <v>0</v>
      </c>
      <c r="M83">
        <v>691.34</v>
      </c>
      <c r="N83">
        <v>1516.9</v>
      </c>
      <c r="O83">
        <v>2208.2400000000002</v>
      </c>
      <c r="P83">
        <f t="shared" si="1"/>
        <v>1537.9</v>
      </c>
    </row>
    <row r="84" spans="1:16">
      <c r="A84" t="s">
        <v>176</v>
      </c>
      <c r="B84" t="s">
        <v>7</v>
      </c>
      <c r="D84">
        <v>21</v>
      </c>
      <c r="E84">
        <v>517.34</v>
      </c>
      <c r="F84">
        <v>1342.9</v>
      </c>
      <c r="G84">
        <v>174</v>
      </c>
      <c r="H84">
        <v>174</v>
      </c>
      <c r="I84">
        <v>0</v>
      </c>
      <c r="J84">
        <v>0</v>
      </c>
      <c r="K84">
        <v>0</v>
      </c>
      <c r="L84">
        <v>0</v>
      </c>
      <c r="M84">
        <v>691.34</v>
      </c>
      <c r="N84">
        <v>1516.9</v>
      </c>
      <c r="O84">
        <v>2208.2400000000002</v>
      </c>
      <c r="P84">
        <f t="shared" si="1"/>
        <v>1537.9</v>
      </c>
    </row>
    <row r="85" spans="1:16">
      <c r="A85" t="s">
        <v>280</v>
      </c>
      <c r="B85" t="s">
        <v>9</v>
      </c>
      <c r="D85">
        <v>21</v>
      </c>
      <c r="E85">
        <v>517.34</v>
      </c>
      <c r="F85">
        <v>1342.9</v>
      </c>
      <c r="G85">
        <v>174</v>
      </c>
      <c r="H85">
        <v>174</v>
      </c>
      <c r="I85">
        <v>0</v>
      </c>
      <c r="J85">
        <v>0</v>
      </c>
      <c r="K85">
        <v>0</v>
      </c>
      <c r="L85">
        <v>0</v>
      </c>
      <c r="M85">
        <v>691.34</v>
      </c>
      <c r="N85">
        <v>1516.9</v>
      </c>
      <c r="O85">
        <v>2208.2400000000002</v>
      </c>
      <c r="P85">
        <f t="shared" si="1"/>
        <v>1537.9</v>
      </c>
    </row>
    <row r="86" spans="1:16">
      <c r="A86" t="s">
        <v>269</v>
      </c>
      <c r="B86" t="s">
        <v>9</v>
      </c>
      <c r="D86">
        <v>21</v>
      </c>
      <c r="E86">
        <v>517.34</v>
      </c>
      <c r="F86">
        <v>1342.9</v>
      </c>
      <c r="G86">
        <v>174</v>
      </c>
      <c r="H86">
        <v>174</v>
      </c>
      <c r="I86">
        <v>0</v>
      </c>
      <c r="J86">
        <v>0</v>
      </c>
      <c r="K86">
        <v>0</v>
      </c>
      <c r="L86">
        <v>0</v>
      </c>
      <c r="M86">
        <v>691.34</v>
      </c>
      <c r="N86">
        <v>1516.9</v>
      </c>
      <c r="O86">
        <v>2208.2400000000002</v>
      </c>
      <c r="P86">
        <f t="shared" si="1"/>
        <v>1537.9</v>
      </c>
    </row>
    <row r="87" spans="1:16">
      <c r="A87" t="s">
        <v>173</v>
      </c>
      <c r="B87" t="s">
        <v>7</v>
      </c>
      <c r="D87">
        <v>21</v>
      </c>
      <c r="E87">
        <v>517.34</v>
      </c>
      <c r="F87">
        <v>1342.9</v>
      </c>
      <c r="G87">
        <v>174</v>
      </c>
      <c r="H87">
        <v>174</v>
      </c>
      <c r="I87">
        <v>0</v>
      </c>
      <c r="J87">
        <v>0</v>
      </c>
      <c r="K87">
        <v>0</v>
      </c>
      <c r="L87">
        <v>0</v>
      </c>
      <c r="M87">
        <v>691.34</v>
      </c>
      <c r="N87">
        <v>1516.9</v>
      </c>
      <c r="O87">
        <v>2208.2400000000002</v>
      </c>
      <c r="P87">
        <f t="shared" si="1"/>
        <v>1537.9</v>
      </c>
    </row>
    <row r="88" spans="1:16">
      <c r="A88" t="s">
        <v>113</v>
      </c>
      <c r="B88" t="s">
        <v>92</v>
      </c>
      <c r="D88">
        <v>21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f t="shared" si="1"/>
        <v>21</v>
      </c>
    </row>
    <row r="89" spans="1:16">
      <c r="A89" t="s">
        <v>349</v>
      </c>
      <c r="B89" t="s">
        <v>92</v>
      </c>
      <c r="D89">
        <v>21</v>
      </c>
      <c r="E89">
        <v>517.34</v>
      </c>
      <c r="F89">
        <v>1342.9</v>
      </c>
      <c r="G89">
        <v>174</v>
      </c>
      <c r="H89">
        <v>174</v>
      </c>
      <c r="I89">
        <v>0</v>
      </c>
      <c r="J89">
        <v>0</v>
      </c>
      <c r="K89">
        <v>0</v>
      </c>
      <c r="L89">
        <v>0</v>
      </c>
      <c r="M89">
        <v>691.34</v>
      </c>
      <c r="N89">
        <v>1516.9</v>
      </c>
      <c r="O89">
        <v>2208.2400000000002</v>
      </c>
      <c r="P89">
        <f t="shared" si="1"/>
        <v>1537.9</v>
      </c>
    </row>
    <row r="90" spans="1:16">
      <c r="A90" t="s">
        <v>350</v>
      </c>
      <c r="B90" t="s">
        <v>92</v>
      </c>
      <c r="D90">
        <v>21</v>
      </c>
      <c r="E90">
        <v>517.34</v>
      </c>
      <c r="F90">
        <v>1342.9</v>
      </c>
      <c r="G90">
        <v>174</v>
      </c>
      <c r="H90">
        <v>174</v>
      </c>
      <c r="I90">
        <v>0</v>
      </c>
      <c r="J90">
        <v>0</v>
      </c>
      <c r="K90">
        <v>0</v>
      </c>
      <c r="L90">
        <v>0</v>
      </c>
      <c r="M90">
        <v>691.34</v>
      </c>
      <c r="N90">
        <v>1516.9</v>
      </c>
      <c r="O90">
        <v>2208.2400000000002</v>
      </c>
      <c r="P90">
        <f t="shared" si="1"/>
        <v>1537.9</v>
      </c>
    </row>
    <row r="91" spans="1:16">
      <c r="A91" t="s">
        <v>353</v>
      </c>
      <c r="B91" t="s">
        <v>92</v>
      </c>
      <c r="D91">
        <v>21</v>
      </c>
      <c r="E91">
        <v>517.34</v>
      </c>
      <c r="F91">
        <v>1342.9</v>
      </c>
      <c r="G91">
        <v>174</v>
      </c>
      <c r="H91">
        <v>174</v>
      </c>
      <c r="I91">
        <v>0</v>
      </c>
      <c r="J91">
        <v>0</v>
      </c>
      <c r="K91">
        <v>0</v>
      </c>
      <c r="L91">
        <v>0</v>
      </c>
      <c r="M91">
        <v>691.34</v>
      </c>
      <c r="N91">
        <v>1516.9</v>
      </c>
      <c r="O91">
        <v>2208.2400000000002</v>
      </c>
      <c r="P91">
        <f t="shared" si="1"/>
        <v>1537.9</v>
      </c>
    </row>
    <row r="92" spans="1:16">
      <c r="A92" t="s">
        <v>355</v>
      </c>
      <c r="B92" t="s">
        <v>9</v>
      </c>
      <c r="D92">
        <v>21</v>
      </c>
      <c r="E92">
        <v>517.34</v>
      </c>
      <c r="F92">
        <v>1342.9</v>
      </c>
      <c r="G92">
        <v>174</v>
      </c>
      <c r="H92">
        <v>174</v>
      </c>
      <c r="I92">
        <v>0</v>
      </c>
      <c r="J92">
        <v>0</v>
      </c>
      <c r="K92">
        <v>0</v>
      </c>
      <c r="L92">
        <v>0</v>
      </c>
      <c r="M92">
        <v>691.34</v>
      </c>
      <c r="N92">
        <v>1516.9</v>
      </c>
      <c r="O92">
        <v>2208.2400000000002</v>
      </c>
      <c r="P92">
        <f t="shared" si="1"/>
        <v>1537.9</v>
      </c>
    </row>
    <row r="93" spans="1:16">
      <c r="A93" t="s">
        <v>357</v>
      </c>
      <c r="B93" t="s">
        <v>9</v>
      </c>
      <c r="D93">
        <v>21</v>
      </c>
      <c r="E93">
        <v>517.34</v>
      </c>
      <c r="F93">
        <v>1342.9</v>
      </c>
      <c r="G93">
        <v>174</v>
      </c>
      <c r="H93">
        <v>174</v>
      </c>
      <c r="I93">
        <v>0</v>
      </c>
      <c r="J93">
        <v>0</v>
      </c>
      <c r="K93">
        <v>0</v>
      </c>
      <c r="L93">
        <v>0</v>
      </c>
      <c r="M93">
        <v>691.34</v>
      </c>
      <c r="N93">
        <v>1516.9</v>
      </c>
      <c r="O93">
        <v>2208.2400000000002</v>
      </c>
      <c r="P93">
        <f t="shared" si="1"/>
        <v>1537.9</v>
      </c>
    </row>
    <row r="94" spans="1:16">
      <c r="A94" t="s">
        <v>362</v>
      </c>
      <c r="B94" t="s">
        <v>92</v>
      </c>
      <c r="D94">
        <v>21</v>
      </c>
      <c r="E94">
        <v>517.34</v>
      </c>
      <c r="F94">
        <v>1342.9</v>
      </c>
      <c r="G94">
        <v>174</v>
      </c>
      <c r="H94">
        <v>174</v>
      </c>
      <c r="I94">
        <v>0</v>
      </c>
      <c r="J94">
        <v>0</v>
      </c>
      <c r="K94">
        <v>0</v>
      </c>
      <c r="L94">
        <v>0</v>
      </c>
      <c r="M94">
        <v>691.34</v>
      </c>
      <c r="N94">
        <v>1516.9</v>
      </c>
      <c r="O94">
        <v>2208.2400000000002</v>
      </c>
      <c r="P94">
        <f t="shared" si="1"/>
        <v>1537.9</v>
      </c>
    </row>
    <row r="95" spans="1:16">
      <c r="A95" t="s">
        <v>360</v>
      </c>
      <c r="B95" t="s">
        <v>92</v>
      </c>
      <c r="D95">
        <v>21</v>
      </c>
      <c r="E95">
        <v>517.34</v>
      </c>
      <c r="F95">
        <v>1342.9</v>
      </c>
      <c r="G95">
        <v>174</v>
      </c>
      <c r="H95">
        <v>174</v>
      </c>
      <c r="I95">
        <v>0</v>
      </c>
      <c r="J95">
        <v>0</v>
      </c>
      <c r="K95">
        <v>0</v>
      </c>
      <c r="L95">
        <v>0</v>
      </c>
      <c r="M95">
        <v>691.34</v>
      </c>
      <c r="N95">
        <v>1516.9</v>
      </c>
      <c r="O95">
        <v>2208.2400000000002</v>
      </c>
      <c r="P95">
        <f t="shared" si="1"/>
        <v>1537.9</v>
      </c>
    </row>
    <row r="96" spans="1:16">
      <c r="A96" t="s">
        <v>366</v>
      </c>
      <c r="B96" t="s">
        <v>7</v>
      </c>
      <c r="D96">
        <v>21</v>
      </c>
      <c r="E96">
        <v>517.34</v>
      </c>
      <c r="F96">
        <v>1342.9</v>
      </c>
      <c r="G96">
        <v>174</v>
      </c>
      <c r="H96">
        <v>174</v>
      </c>
      <c r="I96">
        <v>0</v>
      </c>
      <c r="J96">
        <v>0</v>
      </c>
      <c r="K96">
        <v>0</v>
      </c>
      <c r="L96">
        <v>0</v>
      </c>
      <c r="M96">
        <v>691.34</v>
      </c>
      <c r="N96">
        <v>1516.9</v>
      </c>
      <c r="O96">
        <v>2208.2400000000002</v>
      </c>
      <c r="P96">
        <f t="shared" si="1"/>
        <v>1537.9</v>
      </c>
    </row>
    <row r="97" spans="1:16">
      <c r="A97" t="s">
        <v>368</v>
      </c>
      <c r="B97" t="s">
        <v>92</v>
      </c>
      <c r="D97">
        <v>21</v>
      </c>
      <c r="E97">
        <v>517.34</v>
      </c>
      <c r="F97">
        <v>1342.9</v>
      </c>
      <c r="G97">
        <v>174</v>
      </c>
      <c r="H97">
        <v>174</v>
      </c>
      <c r="I97">
        <v>0</v>
      </c>
      <c r="J97">
        <v>0</v>
      </c>
      <c r="K97">
        <v>0</v>
      </c>
      <c r="L97">
        <v>0</v>
      </c>
      <c r="M97">
        <v>691.34</v>
      </c>
      <c r="N97">
        <v>1516.9</v>
      </c>
      <c r="O97">
        <v>2208.2400000000002</v>
      </c>
      <c r="P97">
        <f t="shared" si="1"/>
        <v>1537.9</v>
      </c>
    </row>
    <row r="98" spans="1:16">
      <c r="A98" t="s">
        <v>369</v>
      </c>
      <c r="B98" t="s">
        <v>92</v>
      </c>
      <c r="D98">
        <v>21</v>
      </c>
      <c r="E98">
        <v>1034.68</v>
      </c>
      <c r="F98">
        <v>2685.8</v>
      </c>
      <c r="G98">
        <v>348</v>
      </c>
      <c r="H98">
        <v>348</v>
      </c>
      <c r="I98">
        <v>0</v>
      </c>
      <c r="J98">
        <v>0</v>
      </c>
      <c r="K98">
        <v>0</v>
      </c>
      <c r="L98">
        <v>0</v>
      </c>
      <c r="M98">
        <v>1382.68</v>
      </c>
      <c r="N98">
        <v>3033.8</v>
      </c>
      <c r="O98">
        <v>4416.4800000000005</v>
      </c>
      <c r="P98">
        <f t="shared" si="1"/>
        <v>3054.8</v>
      </c>
    </row>
    <row r="99" spans="1:16">
      <c r="A99" t="s">
        <v>375</v>
      </c>
      <c r="B99" t="s">
        <v>92</v>
      </c>
      <c r="D99">
        <v>0</v>
      </c>
      <c r="E99">
        <v>517.34</v>
      </c>
      <c r="F99">
        <v>1342.9</v>
      </c>
      <c r="G99">
        <v>174</v>
      </c>
      <c r="H99">
        <v>174</v>
      </c>
      <c r="I99">
        <v>0</v>
      </c>
      <c r="J99">
        <v>0</v>
      </c>
      <c r="K99">
        <v>0</v>
      </c>
      <c r="L99">
        <v>0</v>
      </c>
      <c r="M99">
        <v>691.34</v>
      </c>
      <c r="N99">
        <v>1516.9</v>
      </c>
      <c r="O99">
        <v>2208.2400000000002</v>
      </c>
      <c r="P99">
        <f t="shared" si="1"/>
        <v>1516.9</v>
      </c>
    </row>
    <row r="100" spans="1:16">
      <c r="A100" t="s">
        <v>376</v>
      </c>
      <c r="B100" t="s">
        <v>92</v>
      </c>
      <c r="D100">
        <v>0</v>
      </c>
      <c r="E100">
        <v>517.34</v>
      </c>
      <c r="F100">
        <v>1342.9</v>
      </c>
      <c r="G100">
        <v>174</v>
      </c>
      <c r="H100">
        <v>174</v>
      </c>
      <c r="I100">
        <v>0</v>
      </c>
      <c r="J100">
        <v>0</v>
      </c>
      <c r="K100">
        <v>0</v>
      </c>
      <c r="L100">
        <v>0</v>
      </c>
      <c r="M100">
        <v>691.34</v>
      </c>
      <c r="N100">
        <v>1516.9</v>
      </c>
      <c r="O100">
        <v>2208.2400000000002</v>
      </c>
      <c r="P100">
        <f t="shared" si="1"/>
        <v>1516.9</v>
      </c>
    </row>
    <row r="101" spans="1:16">
      <c r="A101" t="s">
        <v>377</v>
      </c>
      <c r="B101" t="s">
        <v>7</v>
      </c>
      <c r="D101">
        <v>0</v>
      </c>
      <c r="E101">
        <v>517.34</v>
      </c>
      <c r="F101">
        <v>1342.9</v>
      </c>
      <c r="G101">
        <v>174</v>
      </c>
      <c r="H101">
        <v>174</v>
      </c>
      <c r="I101">
        <v>0</v>
      </c>
      <c r="J101">
        <v>0</v>
      </c>
      <c r="K101">
        <v>0</v>
      </c>
      <c r="L101">
        <v>0</v>
      </c>
      <c r="M101">
        <v>691.34</v>
      </c>
      <c r="N101">
        <v>1516.9</v>
      </c>
      <c r="O101">
        <v>2208.2400000000002</v>
      </c>
      <c r="P101">
        <f t="shared" si="1"/>
        <v>1516.9</v>
      </c>
    </row>
    <row r="102" spans="1:16">
      <c r="A102" t="s">
        <v>177</v>
      </c>
      <c r="B102" t="s">
        <v>7</v>
      </c>
      <c r="D102">
        <v>21</v>
      </c>
      <c r="E102">
        <v>377.12</v>
      </c>
      <c r="F102">
        <v>899.19</v>
      </c>
      <c r="G102">
        <v>161</v>
      </c>
      <c r="H102">
        <v>161</v>
      </c>
      <c r="I102">
        <v>0</v>
      </c>
      <c r="J102">
        <v>0</v>
      </c>
      <c r="K102">
        <v>0</v>
      </c>
      <c r="L102">
        <v>0</v>
      </c>
      <c r="M102">
        <v>538.12</v>
      </c>
      <c r="N102">
        <v>1060.19</v>
      </c>
      <c r="O102">
        <v>1598.31</v>
      </c>
      <c r="P102">
        <f t="shared" si="1"/>
        <v>1081.19</v>
      </c>
    </row>
    <row r="103" spans="1:16">
      <c r="A103" t="s">
        <v>206</v>
      </c>
      <c r="B103" t="s">
        <v>7</v>
      </c>
      <c r="D103">
        <v>21</v>
      </c>
      <c r="E103">
        <v>377.12</v>
      </c>
      <c r="F103">
        <v>899.19</v>
      </c>
      <c r="G103">
        <v>161</v>
      </c>
      <c r="H103">
        <v>161</v>
      </c>
      <c r="I103">
        <v>0</v>
      </c>
      <c r="J103">
        <v>0</v>
      </c>
      <c r="K103">
        <v>0</v>
      </c>
      <c r="L103">
        <v>0</v>
      </c>
      <c r="M103">
        <v>538.12</v>
      </c>
      <c r="N103">
        <v>1060.19</v>
      </c>
      <c r="O103">
        <v>1598.31</v>
      </c>
      <c r="P103">
        <f t="shared" si="1"/>
        <v>1081.19</v>
      </c>
    </row>
    <row r="104" spans="1:16">
      <c r="A104" t="s">
        <v>201</v>
      </c>
      <c r="B104" t="s">
        <v>7</v>
      </c>
      <c r="D104">
        <v>21</v>
      </c>
      <c r="E104">
        <v>377.12</v>
      </c>
      <c r="F104">
        <v>899.19</v>
      </c>
      <c r="G104">
        <v>161</v>
      </c>
      <c r="H104">
        <v>161</v>
      </c>
      <c r="I104">
        <v>0</v>
      </c>
      <c r="J104">
        <v>0</v>
      </c>
      <c r="K104">
        <v>0</v>
      </c>
      <c r="L104">
        <v>0</v>
      </c>
      <c r="M104">
        <v>538.12</v>
      </c>
      <c r="N104">
        <v>1060.19</v>
      </c>
      <c r="O104">
        <v>1598.31</v>
      </c>
      <c r="P104">
        <f t="shared" si="1"/>
        <v>1081.19</v>
      </c>
    </row>
    <row r="105" spans="1:16">
      <c r="A105" t="s">
        <v>202</v>
      </c>
      <c r="B105" t="s">
        <v>7</v>
      </c>
      <c r="D105">
        <v>21</v>
      </c>
      <c r="E105">
        <v>377.12</v>
      </c>
      <c r="F105">
        <v>899.19</v>
      </c>
      <c r="G105">
        <v>161</v>
      </c>
      <c r="H105">
        <v>161</v>
      </c>
      <c r="I105">
        <v>0</v>
      </c>
      <c r="J105">
        <v>0</v>
      </c>
      <c r="K105">
        <v>0</v>
      </c>
      <c r="L105">
        <v>0</v>
      </c>
      <c r="M105">
        <v>538.12</v>
      </c>
      <c r="N105">
        <v>1060.19</v>
      </c>
      <c r="O105">
        <v>1598.31</v>
      </c>
      <c r="P105">
        <f t="shared" si="1"/>
        <v>1081.19</v>
      </c>
    </row>
    <row r="106" spans="1:16">
      <c r="A106" t="s">
        <v>204</v>
      </c>
      <c r="B106" t="s">
        <v>7</v>
      </c>
      <c r="D106">
        <v>21</v>
      </c>
      <c r="E106">
        <v>377.12</v>
      </c>
      <c r="F106">
        <v>899.19</v>
      </c>
      <c r="G106">
        <v>161</v>
      </c>
      <c r="H106">
        <v>161</v>
      </c>
      <c r="I106">
        <v>0</v>
      </c>
      <c r="J106">
        <v>0</v>
      </c>
      <c r="K106">
        <v>0</v>
      </c>
      <c r="L106">
        <v>0</v>
      </c>
      <c r="M106">
        <v>538.12</v>
      </c>
      <c r="N106">
        <v>1060.19</v>
      </c>
      <c r="O106">
        <v>1598.31</v>
      </c>
      <c r="P106">
        <f t="shared" si="1"/>
        <v>1081.19</v>
      </c>
    </row>
    <row r="107" spans="1:16">
      <c r="A107" t="s">
        <v>203</v>
      </c>
      <c r="B107" t="s">
        <v>7</v>
      </c>
      <c r="D107">
        <v>21</v>
      </c>
      <c r="E107">
        <v>287.37</v>
      </c>
      <c r="F107">
        <v>809.93</v>
      </c>
      <c r="G107">
        <v>266</v>
      </c>
      <c r="H107">
        <v>266</v>
      </c>
      <c r="I107">
        <v>0</v>
      </c>
      <c r="J107">
        <v>0</v>
      </c>
      <c r="K107">
        <v>0</v>
      </c>
      <c r="L107">
        <v>0</v>
      </c>
      <c r="M107">
        <v>553.37</v>
      </c>
      <c r="N107">
        <v>1075.9299999999998</v>
      </c>
      <c r="O107">
        <v>1629.2999999999997</v>
      </c>
      <c r="P107">
        <f t="shared" si="1"/>
        <v>1096.9299999999998</v>
      </c>
    </row>
    <row r="108" spans="1:16">
      <c r="A108" t="s">
        <v>293</v>
      </c>
      <c r="B108" t="s">
        <v>7</v>
      </c>
      <c r="D108">
        <v>21</v>
      </c>
      <c r="E108">
        <v>358.64</v>
      </c>
      <c r="F108">
        <v>833.58</v>
      </c>
      <c r="G108">
        <v>270</v>
      </c>
      <c r="H108">
        <v>270</v>
      </c>
      <c r="I108">
        <v>0</v>
      </c>
      <c r="J108">
        <v>0</v>
      </c>
      <c r="K108">
        <v>0</v>
      </c>
      <c r="L108">
        <v>0</v>
      </c>
      <c r="M108">
        <v>628.64</v>
      </c>
      <c r="N108">
        <v>1103.58</v>
      </c>
      <c r="O108">
        <v>1732.2199999999998</v>
      </c>
      <c r="P108">
        <f t="shared" si="1"/>
        <v>1124.58</v>
      </c>
    </row>
    <row r="109" spans="1:16">
      <c r="A109" t="s">
        <v>301</v>
      </c>
      <c r="B109" t="s">
        <v>7</v>
      </c>
      <c r="D109">
        <v>21</v>
      </c>
      <c r="E109">
        <v>358.64</v>
      </c>
      <c r="F109">
        <v>855.47</v>
      </c>
      <c r="G109">
        <v>270</v>
      </c>
      <c r="H109">
        <v>270</v>
      </c>
      <c r="I109">
        <v>0</v>
      </c>
      <c r="J109">
        <v>0</v>
      </c>
      <c r="K109">
        <v>0</v>
      </c>
      <c r="L109">
        <v>0</v>
      </c>
      <c r="M109">
        <v>628.64</v>
      </c>
      <c r="N109">
        <v>1125.47</v>
      </c>
      <c r="O109">
        <v>1754.1100000000001</v>
      </c>
      <c r="P109">
        <f t="shared" si="1"/>
        <v>1146.47</v>
      </c>
    </row>
    <row r="110" spans="1:16">
      <c r="A110" t="s">
        <v>288</v>
      </c>
      <c r="B110" t="s">
        <v>7</v>
      </c>
      <c r="D110">
        <v>21</v>
      </c>
      <c r="E110">
        <v>353.64</v>
      </c>
      <c r="F110">
        <v>868.94</v>
      </c>
      <c r="G110">
        <v>162</v>
      </c>
      <c r="H110">
        <v>162</v>
      </c>
      <c r="I110">
        <v>0</v>
      </c>
      <c r="J110">
        <v>0</v>
      </c>
      <c r="K110">
        <v>0</v>
      </c>
      <c r="L110">
        <v>0</v>
      </c>
      <c r="M110">
        <v>515.64</v>
      </c>
      <c r="N110">
        <v>1030.94</v>
      </c>
      <c r="O110">
        <v>1546.58</v>
      </c>
      <c r="P110">
        <f t="shared" si="1"/>
        <v>1051.94</v>
      </c>
    </row>
    <row r="111" spans="1:16">
      <c r="A111" t="s">
        <v>300</v>
      </c>
      <c r="B111" t="s">
        <v>7</v>
      </c>
      <c r="D111">
        <v>21</v>
      </c>
      <c r="E111">
        <v>358.64</v>
      </c>
      <c r="F111">
        <v>833.58</v>
      </c>
      <c r="G111">
        <v>270</v>
      </c>
      <c r="H111">
        <v>270</v>
      </c>
      <c r="I111">
        <v>0</v>
      </c>
      <c r="J111">
        <v>0</v>
      </c>
      <c r="K111">
        <v>0</v>
      </c>
      <c r="L111">
        <v>0</v>
      </c>
      <c r="M111">
        <v>628.64</v>
      </c>
      <c r="N111">
        <v>1103.58</v>
      </c>
      <c r="O111">
        <v>1732.2199999999998</v>
      </c>
      <c r="P111">
        <f t="shared" si="1"/>
        <v>1124.58</v>
      </c>
    </row>
    <row r="112" spans="1:16">
      <c r="A112" t="s">
        <v>295</v>
      </c>
      <c r="B112" t="s">
        <v>7</v>
      </c>
      <c r="D112">
        <v>21</v>
      </c>
      <c r="E112">
        <v>358.64</v>
      </c>
      <c r="F112">
        <v>833.58</v>
      </c>
      <c r="G112">
        <v>270</v>
      </c>
      <c r="H112">
        <v>270</v>
      </c>
      <c r="I112">
        <v>0</v>
      </c>
      <c r="J112">
        <v>0</v>
      </c>
      <c r="K112">
        <v>0</v>
      </c>
      <c r="L112">
        <v>0</v>
      </c>
      <c r="M112">
        <v>628.64</v>
      </c>
      <c r="N112">
        <v>1103.58</v>
      </c>
      <c r="O112">
        <v>1732.2199999999998</v>
      </c>
      <c r="P112">
        <f t="shared" si="1"/>
        <v>1124.58</v>
      </c>
    </row>
    <row r="113" spans="1:16">
      <c r="A113" t="s">
        <v>289</v>
      </c>
      <c r="B113" t="s">
        <v>7</v>
      </c>
      <c r="D113">
        <v>21</v>
      </c>
      <c r="E113">
        <v>353.64</v>
      </c>
      <c r="F113">
        <v>868.94</v>
      </c>
      <c r="G113">
        <v>162</v>
      </c>
      <c r="H113">
        <v>162</v>
      </c>
      <c r="I113">
        <v>0</v>
      </c>
      <c r="J113">
        <v>0</v>
      </c>
      <c r="K113">
        <v>0</v>
      </c>
      <c r="L113">
        <v>0</v>
      </c>
      <c r="M113">
        <v>515.64</v>
      </c>
      <c r="N113">
        <v>1030.94</v>
      </c>
      <c r="O113">
        <v>1546.58</v>
      </c>
      <c r="P113">
        <f t="shared" si="1"/>
        <v>1051.94</v>
      </c>
    </row>
    <row r="114" spans="1:16">
      <c r="A114" t="s">
        <v>298</v>
      </c>
      <c r="B114" t="s">
        <v>7</v>
      </c>
      <c r="D114">
        <v>21</v>
      </c>
      <c r="E114">
        <v>363.64</v>
      </c>
      <c r="F114">
        <v>899.25000000000011</v>
      </c>
      <c r="G114">
        <v>242</v>
      </c>
      <c r="H114">
        <v>242</v>
      </c>
      <c r="I114">
        <v>0</v>
      </c>
      <c r="J114">
        <v>0</v>
      </c>
      <c r="K114">
        <v>0</v>
      </c>
      <c r="L114">
        <v>0</v>
      </c>
      <c r="M114">
        <v>605.64</v>
      </c>
      <c r="N114">
        <v>1141.25</v>
      </c>
      <c r="O114">
        <v>1746.8899999999999</v>
      </c>
      <c r="P114">
        <f t="shared" si="1"/>
        <v>1162.25</v>
      </c>
    </row>
    <row r="115" spans="1:16">
      <c r="A115" t="s">
        <v>358</v>
      </c>
      <c r="B115" t="s">
        <v>7</v>
      </c>
      <c r="D115">
        <v>21</v>
      </c>
      <c r="E115">
        <v>363.64</v>
      </c>
      <c r="F115">
        <v>899.25000000000011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363.64</v>
      </c>
      <c r="N115">
        <v>899.25000000000011</v>
      </c>
      <c r="O115">
        <v>1262.8900000000001</v>
      </c>
      <c r="P115">
        <f t="shared" si="1"/>
        <v>920.25000000000011</v>
      </c>
    </row>
    <row r="116" spans="1:16">
      <c r="A116" t="s">
        <v>285</v>
      </c>
      <c r="B116" t="s">
        <v>7</v>
      </c>
      <c r="D116">
        <v>21</v>
      </c>
      <c r="E116">
        <v>353.64</v>
      </c>
      <c r="F116">
        <v>868.94</v>
      </c>
      <c r="G116">
        <v>162</v>
      </c>
      <c r="H116">
        <v>162</v>
      </c>
      <c r="I116">
        <v>0</v>
      </c>
      <c r="J116">
        <v>0</v>
      </c>
      <c r="K116">
        <v>0</v>
      </c>
      <c r="L116">
        <v>0</v>
      </c>
      <c r="M116">
        <v>515.64</v>
      </c>
      <c r="N116">
        <v>1030.94</v>
      </c>
      <c r="O116">
        <v>1546.58</v>
      </c>
      <c r="P116">
        <f t="shared" si="1"/>
        <v>1051.94</v>
      </c>
    </row>
    <row r="117" spans="1:16">
      <c r="A117" t="s">
        <v>347</v>
      </c>
      <c r="B117" t="s">
        <v>7</v>
      </c>
      <c r="D117">
        <v>21</v>
      </c>
      <c r="E117">
        <v>358.64</v>
      </c>
      <c r="F117">
        <v>833.58</v>
      </c>
      <c r="G117">
        <v>270</v>
      </c>
      <c r="H117">
        <v>270</v>
      </c>
      <c r="I117">
        <v>0</v>
      </c>
      <c r="J117">
        <v>0</v>
      </c>
      <c r="K117">
        <v>0</v>
      </c>
      <c r="L117">
        <v>0</v>
      </c>
      <c r="M117">
        <v>628.64</v>
      </c>
      <c r="N117">
        <v>1103.58</v>
      </c>
      <c r="O117">
        <v>1732.2199999999998</v>
      </c>
      <c r="P117">
        <f t="shared" si="1"/>
        <v>1124.58</v>
      </c>
    </row>
    <row r="118" spans="1:16">
      <c r="A118" t="s">
        <v>296</v>
      </c>
      <c r="B118" t="s">
        <v>7</v>
      </c>
      <c r="D118">
        <v>21</v>
      </c>
      <c r="E118">
        <v>358.64</v>
      </c>
      <c r="F118">
        <v>833.58</v>
      </c>
      <c r="G118">
        <v>270</v>
      </c>
      <c r="H118">
        <v>270</v>
      </c>
      <c r="I118">
        <v>0</v>
      </c>
      <c r="J118">
        <v>0</v>
      </c>
      <c r="K118">
        <v>0</v>
      </c>
      <c r="L118">
        <v>0</v>
      </c>
      <c r="M118">
        <v>628.64</v>
      </c>
      <c r="N118">
        <v>1103.58</v>
      </c>
      <c r="O118">
        <v>1732.2199999999998</v>
      </c>
      <c r="P118">
        <f t="shared" si="1"/>
        <v>1124.58</v>
      </c>
    </row>
    <row r="119" spans="1:16">
      <c r="A119" t="s">
        <v>291</v>
      </c>
      <c r="B119" t="s">
        <v>7</v>
      </c>
      <c r="D119">
        <v>21</v>
      </c>
      <c r="E119">
        <v>353.64</v>
      </c>
      <c r="F119">
        <v>868.94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353.64</v>
      </c>
      <c r="N119">
        <v>868.94</v>
      </c>
      <c r="O119">
        <v>1222.58</v>
      </c>
      <c r="P119">
        <f t="shared" si="1"/>
        <v>889.94</v>
      </c>
    </row>
    <row r="120" spans="1:16">
      <c r="A120" t="s">
        <v>371</v>
      </c>
      <c r="B120" t="s">
        <v>7</v>
      </c>
      <c r="D120">
        <v>21</v>
      </c>
      <c r="E120">
        <v>707.28</v>
      </c>
      <c r="F120">
        <v>1737.88</v>
      </c>
      <c r="G120">
        <v>0</v>
      </c>
      <c r="H120">
        <v>0</v>
      </c>
      <c r="I120">
        <v>-67.36</v>
      </c>
      <c r="J120">
        <v>-20.21</v>
      </c>
      <c r="K120">
        <v>0</v>
      </c>
      <c r="L120">
        <v>0</v>
      </c>
      <c r="M120">
        <v>639.91999999999996</v>
      </c>
      <c r="N120">
        <v>1717.67</v>
      </c>
      <c r="O120">
        <v>2357.59</v>
      </c>
      <c r="P120">
        <f t="shared" si="1"/>
        <v>1738.67</v>
      </c>
    </row>
    <row r="121" spans="1:16">
      <c r="A121" t="s">
        <v>373</v>
      </c>
      <c r="B121" t="s">
        <v>92</v>
      </c>
      <c r="D121">
        <v>21</v>
      </c>
      <c r="E121">
        <v>353.64</v>
      </c>
      <c r="F121">
        <v>868.94</v>
      </c>
      <c r="G121">
        <v>162</v>
      </c>
      <c r="H121">
        <v>162</v>
      </c>
      <c r="I121">
        <v>0</v>
      </c>
      <c r="J121">
        <v>0</v>
      </c>
      <c r="K121">
        <v>0</v>
      </c>
      <c r="L121">
        <v>0</v>
      </c>
      <c r="M121">
        <v>515.64</v>
      </c>
      <c r="N121">
        <v>1030.94</v>
      </c>
      <c r="O121">
        <v>1546.58</v>
      </c>
      <c r="P121">
        <f t="shared" si="1"/>
        <v>1051.94</v>
      </c>
    </row>
    <row r="122" spans="1:16">
      <c r="D122">
        <f>SUM(D4:D121)</f>
        <v>2415</v>
      </c>
      <c r="E122">
        <f t="shared" ref="E122:O122" si="2">SUM(E4:E121)</f>
        <v>57709.549999999901</v>
      </c>
      <c r="F122">
        <f t="shared" si="2"/>
        <v>148471.62999999974</v>
      </c>
      <c r="G122">
        <f t="shared" si="2"/>
        <v>20459</v>
      </c>
      <c r="H122">
        <f t="shared" si="2"/>
        <v>20459</v>
      </c>
      <c r="I122">
        <f t="shared" si="2"/>
        <v>-67.36</v>
      </c>
      <c r="J122">
        <f t="shared" si="2"/>
        <v>-20.21</v>
      </c>
      <c r="K122">
        <f t="shared" si="2"/>
        <v>0</v>
      </c>
      <c r="L122">
        <f t="shared" si="2"/>
        <v>0</v>
      </c>
      <c r="M122">
        <f t="shared" si="2"/>
        <v>78101.189999999799</v>
      </c>
      <c r="N122">
        <f t="shared" si="2"/>
        <v>168910.41999999969</v>
      </c>
      <c r="O122">
        <f t="shared" si="2"/>
        <v>247011.60999999975</v>
      </c>
      <c r="P122">
        <f t="shared" si="1"/>
        <v>171325.41999999969</v>
      </c>
    </row>
    <row r="123" spans="1:16">
      <c r="O123">
        <v>244803</v>
      </c>
      <c r="P123">
        <f t="shared" si="1"/>
        <v>0</v>
      </c>
    </row>
  </sheetData>
  <autoFilter ref="A3:O121"/>
  <phoneticPr fontId="2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N7"/>
  <sheetViews>
    <sheetView workbookViewId="0">
      <selection activeCell="K12" sqref="K12"/>
    </sheetView>
  </sheetViews>
  <sheetFormatPr defaultColWidth="9" defaultRowHeight="14.4"/>
  <cols>
    <col min="8" max="8" width="17.109375" customWidth="1"/>
    <col min="9" max="9" width="9.77734375" customWidth="1"/>
    <col min="12" max="12" width="12.6640625" customWidth="1"/>
    <col min="13" max="13" width="11.44140625" customWidth="1"/>
    <col min="14" max="14" width="9.44140625" customWidth="1"/>
  </cols>
  <sheetData>
    <row r="1" spans="1:14">
      <c r="A1" s="237" t="s">
        <v>340</v>
      </c>
      <c r="B1" s="237" t="s">
        <v>17</v>
      </c>
      <c r="C1" s="237" t="s">
        <v>18</v>
      </c>
      <c r="D1" s="238" t="s">
        <v>19</v>
      </c>
      <c r="E1" s="237" t="s">
        <v>20</v>
      </c>
      <c r="F1" s="238" t="s">
        <v>341</v>
      </c>
      <c r="G1" s="237" t="s">
        <v>22</v>
      </c>
      <c r="H1" s="238" t="s">
        <v>23</v>
      </c>
      <c r="I1" s="237" t="s">
        <v>342</v>
      </c>
      <c r="J1" s="238" t="s">
        <v>25</v>
      </c>
      <c r="K1" s="237" t="s">
        <v>26</v>
      </c>
      <c r="L1" s="237" t="s">
        <v>29</v>
      </c>
      <c r="M1" s="241" t="s">
        <v>343</v>
      </c>
      <c r="N1" s="241" t="s">
        <v>344</v>
      </c>
    </row>
    <row r="2" spans="1:14" ht="46.5" customHeight="1">
      <c r="A2" s="237"/>
      <c r="B2" s="237"/>
      <c r="C2" s="237"/>
      <c r="D2" s="239"/>
      <c r="E2" s="240"/>
      <c r="F2" s="239"/>
      <c r="G2" s="240"/>
      <c r="H2" s="239"/>
      <c r="I2" s="237"/>
      <c r="J2" s="239"/>
      <c r="K2" s="237"/>
      <c r="L2" s="240"/>
      <c r="M2" s="241"/>
      <c r="N2" s="241"/>
    </row>
    <row r="3" spans="1:14" ht="24.9" customHeight="1">
      <c r="A3" s="2">
        <v>201812</v>
      </c>
      <c r="B3" s="3" t="s">
        <v>82</v>
      </c>
      <c r="C3" s="3" t="s">
        <v>83</v>
      </c>
      <c r="D3" s="3" t="s">
        <v>84</v>
      </c>
      <c r="E3" s="3" t="s">
        <v>84</v>
      </c>
      <c r="F3" s="3" t="s">
        <v>345</v>
      </c>
      <c r="G3" s="3" t="s">
        <v>149</v>
      </c>
      <c r="H3" s="3" t="s">
        <v>150</v>
      </c>
      <c r="I3" s="3" t="s">
        <v>346</v>
      </c>
      <c r="J3" s="3" t="s">
        <v>7</v>
      </c>
      <c r="K3" s="3" t="s">
        <v>87</v>
      </c>
      <c r="L3" s="3" t="s">
        <v>172</v>
      </c>
      <c r="M3" s="3" t="s">
        <v>137</v>
      </c>
      <c r="N3" s="3">
        <v>610.4</v>
      </c>
    </row>
    <row r="4" spans="1:14" ht="24.9" customHeight="1">
      <c r="A4" s="2">
        <v>201901</v>
      </c>
      <c r="B4" s="3" t="s">
        <v>82</v>
      </c>
      <c r="C4" s="3" t="s">
        <v>83</v>
      </c>
      <c r="D4" s="3" t="s">
        <v>84</v>
      </c>
      <c r="E4" s="3" t="s">
        <v>84</v>
      </c>
      <c r="F4" s="3" t="s">
        <v>345</v>
      </c>
      <c r="G4" s="3" t="s">
        <v>149</v>
      </c>
      <c r="H4" s="3" t="s">
        <v>150</v>
      </c>
      <c r="I4" s="3" t="s">
        <v>346</v>
      </c>
      <c r="J4" s="3" t="s">
        <v>7</v>
      </c>
      <c r="K4" s="3" t="s">
        <v>87</v>
      </c>
      <c r="L4" s="3" t="s">
        <v>172</v>
      </c>
      <c r="M4" s="3" t="s">
        <v>137</v>
      </c>
      <c r="N4" s="3">
        <v>610.4</v>
      </c>
    </row>
    <row r="5" spans="1:14" ht="24.9" customHeight="1">
      <c r="A5" s="2">
        <v>201902</v>
      </c>
      <c r="B5" s="3" t="s">
        <v>82</v>
      </c>
      <c r="C5" s="3" t="s">
        <v>83</v>
      </c>
      <c r="D5" s="3" t="s">
        <v>84</v>
      </c>
      <c r="E5" s="3" t="s">
        <v>84</v>
      </c>
      <c r="F5" s="3" t="s">
        <v>345</v>
      </c>
      <c r="G5" s="3" t="s">
        <v>149</v>
      </c>
      <c r="H5" s="3" t="s">
        <v>150</v>
      </c>
      <c r="I5" s="3" t="s">
        <v>346</v>
      </c>
      <c r="J5" s="3" t="s">
        <v>7</v>
      </c>
      <c r="K5" s="3" t="s">
        <v>87</v>
      </c>
      <c r="L5" s="3" t="s">
        <v>172</v>
      </c>
      <c r="M5" s="3" t="s">
        <v>137</v>
      </c>
      <c r="N5" s="3">
        <v>610.4</v>
      </c>
    </row>
    <row r="6" spans="1:14" ht="24.9" customHeight="1">
      <c r="A6" s="2">
        <v>201903</v>
      </c>
      <c r="B6" s="3" t="s">
        <v>82</v>
      </c>
      <c r="C6" s="3" t="s">
        <v>83</v>
      </c>
      <c r="D6" s="3" t="s">
        <v>84</v>
      </c>
      <c r="E6" s="3" t="s">
        <v>84</v>
      </c>
      <c r="F6" s="3" t="s">
        <v>345</v>
      </c>
      <c r="G6" s="3" t="s">
        <v>149</v>
      </c>
      <c r="H6" s="3" t="s">
        <v>150</v>
      </c>
      <c r="I6" s="3" t="s">
        <v>346</v>
      </c>
      <c r="J6" s="3" t="s">
        <v>7</v>
      </c>
      <c r="K6" s="3" t="s">
        <v>87</v>
      </c>
      <c r="L6" s="3" t="s">
        <v>172</v>
      </c>
      <c r="M6" s="3" t="s">
        <v>137</v>
      </c>
      <c r="N6" s="3">
        <v>610.4</v>
      </c>
    </row>
    <row r="7" spans="1:14" ht="20.25" customHeight="1">
      <c r="A7" s="2" t="s">
        <v>302</v>
      </c>
      <c r="N7" s="3">
        <f>SUM(N3:N6)</f>
        <v>2441.6</v>
      </c>
    </row>
  </sheetData>
  <mergeCells count="14">
    <mergeCell ref="K1:K2"/>
    <mergeCell ref="L1:L2"/>
    <mergeCell ref="M1:M2"/>
    <mergeCell ref="N1:N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honeticPr fontId="23" type="noConversion"/>
  <conditionalFormatting sqref="A3:A7">
    <cfRule type="cellIs" dxfId="236" priority="3" stopIfTrue="1" operator="between">
      <formula>-1</formula>
      <formula>-10000</formula>
    </cfRule>
  </conditionalFormatting>
  <conditionalFormatting sqref="B3:K3">
    <cfRule type="cellIs" dxfId="235" priority="21" stopIfTrue="1" operator="between">
      <formula>-1</formula>
      <formula>-10000</formula>
    </cfRule>
  </conditionalFormatting>
  <conditionalFormatting sqref="B4:K4">
    <cfRule type="cellIs" dxfId="234" priority="14" stopIfTrue="1" operator="between">
      <formula>-1</formula>
      <formula>-10000</formula>
    </cfRule>
  </conditionalFormatting>
  <conditionalFormatting sqref="B5:K5">
    <cfRule type="cellIs" dxfId="233" priority="11" stopIfTrue="1" operator="between">
      <formula>-1</formula>
      <formula>-10000</formula>
    </cfRule>
  </conditionalFormatting>
  <conditionalFormatting sqref="B6:K6 M3:M6">
    <cfRule type="cellIs" dxfId="232" priority="8" stopIfTrue="1" operator="between">
      <formula>-1</formula>
      <formula>-10000</formula>
    </cfRule>
  </conditionalFormatting>
  <conditionalFormatting sqref="G1:G2">
    <cfRule type="duplicateValues" dxfId="231" priority="23"/>
  </conditionalFormatting>
  <conditionalFormatting sqref="G3">
    <cfRule type="duplicateValues" dxfId="230" priority="20"/>
  </conditionalFormatting>
  <conditionalFormatting sqref="G4">
    <cfRule type="duplicateValues" dxfId="229" priority="13"/>
  </conditionalFormatting>
  <conditionalFormatting sqref="G5">
    <cfRule type="duplicateValues" dxfId="228" priority="10"/>
  </conditionalFormatting>
  <conditionalFormatting sqref="G6">
    <cfRule type="duplicateValues" dxfId="227" priority="7"/>
  </conditionalFormatting>
  <conditionalFormatting sqref="N3:N7">
    <cfRule type="cellIs" dxfId="226" priority="1" stopIfTrue="1" operator="between">
      <formula>-1</formula>
      <formula>-10000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E7"/>
  <sheetViews>
    <sheetView workbookViewId="0">
      <selection activeCell="D30" sqref="D30"/>
    </sheetView>
  </sheetViews>
  <sheetFormatPr defaultColWidth="9" defaultRowHeight="14.4"/>
  <cols>
    <col min="3" max="3" width="22.109375" customWidth="1"/>
    <col min="4" max="4" width="12.33203125" style="97" customWidth="1"/>
    <col min="5" max="5" width="36" customWidth="1"/>
  </cols>
  <sheetData>
    <row r="1" spans="1:5">
      <c r="A1" s="228" t="s">
        <v>16</v>
      </c>
      <c r="B1" s="228" t="s">
        <v>22</v>
      </c>
      <c r="C1" s="228" t="s">
        <v>304</v>
      </c>
      <c r="D1" s="242" t="s">
        <v>305</v>
      </c>
      <c r="E1" s="228" t="s">
        <v>328</v>
      </c>
    </row>
    <row r="2" spans="1:5">
      <c r="A2" s="229"/>
      <c r="B2" s="229"/>
      <c r="C2" s="229"/>
      <c r="D2" s="243"/>
      <c r="E2" s="229"/>
    </row>
    <row r="3" spans="1:5">
      <c r="A3" s="229"/>
      <c r="B3" s="229"/>
      <c r="C3" s="229"/>
      <c r="D3" s="243"/>
      <c r="E3" s="229"/>
    </row>
    <row r="4" spans="1:5">
      <c r="A4" s="1">
        <v>1</v>
      </c>
      <c r="B4" t="s">
        <v>562</v>
      </c>
      <c r="C4" t="s">
        <v>563</v>
      </c>
      <c r="D4" s="99">
        <v>46113</v>
      </c>
      <c r="E4" s="61" t="s">
        <v>513</v>
      </c>
    </row>
    <row r="5" spans="1:5">
      <c r="A5" s="1">
        <v>2</v>
      </c>
      <c r="D5" s="99"/>
      <c r="E5" s="61"/>
    </row>
    <row r="6" spans="1:5">
      <c r="A6" s="1">
        <v>3</v>
      </c>
      <c r="D6" s="99"/>
      <c r="E6" s="61"/>
    </row>
    <row r="7" spans="1:5">
      <c r="A7" s="1">
        <v>4</v>
      </c>
      <c r="D7" s="99"/>
      <c r="E7" s="61"/>
    </row>
  </sheetData>
  <mergeCells count="5">
    <mergeCell ref="E1:E3"/>
    <mergeCell ref="A1:A3"/>
    <mergeCell ref="B1:B3"/>
    <mergeCell ref="C1:C3"/>
    <mergeCell ref="D1:D3"/>
  </mergeCells>
  <phoneticPr fontId="23" type="noConversion"/>
  <conditionalFormatting sqref="B4:C4">
    <cfRule type="duplicateValues" dxfId="225" priority="19"/>
    <cfRule type="cellIs" dxfId="224" priority="20" stopIfTrue="1" operator="between">
      <formula>-1</formula>
      <formula>-10000</formula>
    </cfRule>
    <cfRule type="duplicateValues" dxfId="223" priority="21"/>
    <cfRule type="duplicateValues" dxfId="222" priority="22"/>
  </conditionalFormatting>
  <conditionalFormatting sqref="B6:C7">
    <cfRule type="duplicateValues" dxfId="221" priority="5"/>
    <cfRule type="cellIs" dxfId="220" priority="6" stopIfTrue="1" operator="between">
      <formula>-1</formula>
      <formula>-10000</formula>
    </cfRule>
    <cfRule type="duplicateValues" dxfId="219" priority="7"/>
    <cfRule type="duplicateValues" dxfId="218" priority="8"/>
  </conditionalFormatting>
  <conditionalFormatting sqref="B5:C5">
    <cfRule type="duplicateValues" dxfId="217" priority="1"/>
    <cfRule type="cellIs" dxfId="216" priority="2" stopIfTrue="1" operator="between">
      <formula>-1</formula>
      <formula>-10000</formula>
    </cfRule>
    <cfRule type="duplicateValues" dxfId="215" priority="3"/>
    <cfRule type="duplicateValues" dxfId="214" priority="4"/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26"/>
  <sheetViews>
    <sheetView topLeftCell="A2" workbookViewId="0">
      <selection activeCell="R13" activeCellId="1" sqref="P13 R13"/>
    </sheetView>
  </sheetViews>
  <sheetFormatPr defaultColWidth="8.88671875" defaultRowHeight="14.4"/>
  <cols>
    <col min="1" max="1" width="10.33203125" style="141" customWidth="1"/>
    <col min="2" max="2" width="10.77734375" style="141" customWidth="1"/>
    <col min="3" max="3" width="10.88671875" style="141" customWidth="1"/>
    <col min="4" max="4" width="12.6640625" style="141" customWidth="1"/>
    <col min="5" max="5" width="15.109375" style="141" customWidth="1"/>
    <col min="6" max="6" width="12.77734375" style="141" customWidth="1"/>
    <col min="7" max="7" width="11.44140625" style="141" hidden="1" customWidth="1"/>
    <col min="8" max="8" width="12.44140625" style="141" hidden="1" customWidth="1"/>
    <col min="9" max="11" width="0" style="141" hidden="1" customWidth="1"/>
    <col min="12" max="12" width="14.88671875" style="141" customWidth="1"/>
    <col min="13" max="13" width="12.109375" style="141" customWidth="1"/>
    <col min="14" max="14" width="8.88671875" style="141"/>
    <col min="15" max="15" width="11.33203125" style="141" customWidth="1"/>
    <col min="16" max="16" width="10.88671875" style="141" customWidth="1"/>
    <col min="17" max="17" width="11" style="141" customWidth="1"/>
    <col min="18" max="18" width="11.44140625" style="141" customWidth="1"/>
    <col min="19" max="20" width="12.44140625" style="141" customWidth="1"/>
    <col min="21" max="16384" width="8.88671875" style="141"/>
  </cols>
  <sheetData>
    <row r="1" spans="1:22" ht="22.2">
      <c r="A1" s="244" t="s">
        <v>515</v>
      </c>
      <c r="B1" s="244"/>
      <c r="C1" s="244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140"/>
      <c r="O1" s="140"/>
      <c r="P1" s="140"/>
      <c r="Q1" s="140"/>
      <c r="R1" s="140"/>
      <c r="S1" s="140"/>
      <c r="T1" s="140"/>
    </row>
    <row r="2" spans="1:22">
      <c r="A2" s="140"/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</row>
    <row r="3" spans="1:22" ht="22.2">
      <c r="A3" s="246"/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140"/>
      <c r="O3" s="140"/>
      <c r="P3" s="140"/>
      <c r="Q3" s="140"/>
      <c r="R3" s="140"/>
      <c r="S3" s="140"/>
      <c r="T3" s="140"/>
    </row>
    <row r="4" spans="1:22" ht="22.2">
      <c r="A4" s="142" t="s">
        <v>516</v>
      </c>
      <c r="B4" s="142"/>
      <c r="C4" s="142"/>
      <c r="D4" s="142"/>
      <c r="E4" s="143"/>
      <c r="F4" s="143"/>
      <c r="G4" s="143"/>
      <c r="H4" s="143"/>
      <c r="I4" s="143"/>
      <c r="J4" s="143"/>
      <c r="K4" s="143"/>
      <c r="L4" s="143"/>
      <c r="M4" s="143"/>
      <c r="N4" s="140"/>
      <c r="O4" s="140"/>
      <c r="P4" s="140"/>
      <c r="Q4" s="140"/>
      <c r="R4" s="140"/>
      <c r="S4" s="140"/>
      <c r="T4" s="140"/>
    </row>
    <row r="5" spans="1:22" ht="22.2">
      <c r="A5" s="142" t="s">
        <v>517</v>
      </c>
      <c r="B5" s="142"/>
      <c r="C5" s="142"/>
      <c r="D5" s="142"/>
      <c r="E5" s="144"/>
      <c r="F5" s="144"/>
      <c r="G5" s="143"/>
      <c r="H5" s="143"/>
      <c r="I5" s="143"/>
      <c r="J5" s="143"/>
      <c r="K5" s="145" t="s">
        <v>518</v>
      </c>
      <c r="L5" s="143"/>
      <c r="M5" s="143"/>
      <c r="N5" s="140"/>
      <c r="O5" s="140"/>
      <c r="P5" s="140"/>
      <c r="Q5" s="140"/>
      <c r="R5" s="140"/>
      <c r="S5" s="140"/>
      <c r="T5" s="140"/>
    </row>
    <row r="6" spans="1:22" ht="22.2">
      <c r="A6" s="142" t="s">
        <v>519</v>
      </c>
      <c r="B6" s="142"/>
      <c r="C6" s="142"/>
      <c r="D6" s="142"/>
      <c r="E6" s="144"/>
      <c r="F6" s="144"/>
      <c r="G6" s="143"/>
      <c r="H6" s="143"/>
      <c r="I6" s="143"/>
      <c r="J6" s="143"/>
      <c r="K6" s="143"/>
      <c r="L6" s="143"/>
      <c r="M6" s="143"/>
      <c r="N6" s="140"/>
      <c r="O6" s="140"/>
      <c r="P6" s="140"/>
      <c r="Q6" s="140"/>
      <c r="R6" s="140"/>
      <c r="S6" s="140"/>
      <c r="T6" s="140"/>
    </row>
    <row r="7" spans="1:22" ht="22.2">
      <c r="A7" s="142" t="s">
        <v>520</v>
      </c>
      <c r="B7" s="142"/>
      <c r="C7" s="142"/>
      <c r="D7" s="142"/>
      <c r="E7" s="144"/>
      <c r="F7" s="144"/>
      <c r="G7" s="143"/>
      <c r="H7" s="143"/>
      <c r="I7" s="143"/>
      <c r="J7" s="143"/>
      <c r="K7" s="143"/>
      <c r="L7" s="143"/>
      <c r="M7" s="143"/>
      <c r="N7" s="140"/>
      <c r="O7" s="140"/>
      <c r="P7" s="140"/>
      <c r="Q7" s="140"/>
      <c r="R7" s="140"/>
      <c r="S7" s="140"/>
      <c r="T7" s="140"/>
    </row>
    <row r="8" spans="1:22" ht="15.6">
      <c r="A8" s="142" t="s">
        <v>521</v>
      </c>
      <c r="B8" s="142"/>
      <c r="C8" s="142"/>
      <c r="D8" s="142"/>
      <c r="E8" s="144"/>
      <c r="F8" s="144"/>
      <c r="G8" s="146"/>
      <c r="H8" s="146"/>
      <c r="I8" s="146"/>
      <c r="J8" s="146"/>
      <c r="K8" s="146"/>
      <c r="L8" s="146"/>
      <c r="M8" s="146"/>
      <c r="N8" s="140"/>
      <c r="O8" s="140"/>
      <c r="P8" s="140"/>
      <c r="Q8" s="140"/>
      <c r="R8" s="140"/>
      <c r="S8" s="140"/>
      <c r="T8" s="140"/>
    </row>
    <row r="9" spans="1:22" ht="15.6">
      <c r="A9" s="142" t="s">
        <v>522</v>
      </c>
      <c r="B9" s="142"/>
      <c r="C9" s="142"/>
      <c r="D9" s="142"/>
      <c r="E9" s="144"/>
      <c r="F9" s="144"/>
      <c r="G9" s="146"/>
      <c r="H9" s="146"/>
      <c r="I9" s="146"/>
      <c r="J9" s="146"/>
      <c r="K9" s="146"/>
      <c r="L9" s="146"/>
      <c r="M9" s="146"/>
      <c r="N9" s="140"/>
      <c r="O9" s="140"/>
      <c r="P9" s="140"/>
      <c r="Q9" s="140"/>
      <c r="R9" s="140"/>
      <c r="S9" s="140"/>
      <c r="T9" s="140"/>
    </row>
    <row r="10" spans="1:22" ht="15.6">
      <c r="A10" s="142" t="s">
        <v>523</v>
      </c>
      <c r="B10" s="142"/>
      <c r="C10" s="142"/>
      <c r="D10" s="142"/>
      <c r="E10" s="144"/>
      <c r="F10" s="144"/>
      <c r="G10" s="146"/>
      <c r="H10" s="146"/>
      <c r="I10" s="146"/>
      <c r="J10" s="146"/>
      <c r="K10" s="146"/>
      <c r="L10" s="146"/>
      <c r="M10" s="146"/>
      <c r="N10" s="140"/>
      <c r="O10" s="140"/>
      <c r="P10" s="140"/>
      <c r="Q10" s="140"/>
      <c r="R10" s="140"/>
      <c r="S10" s="140"/>
      <c r="T10" s="140"/>
    </row>
    <row r="11" spans="1:22" ht="15" thickBot="1">
      <c r="A11" s="147"/>
      <c r="B11" s="147"/>
      <c r="C11" s="147"/>
      <c r="D11" s="147"/>
      <c r="E11" s="148"/>
      <c r="F11" s="148"/>
      <c r="G11" s="148"/>
      <c r="H11" s="148"/>
      <c r="I11" s="148"/>
      <c r="J11" s="148"/>
      <c r="K11" s="148"/>
      <c r="L11" s="148"/>
      <c r="M11" s="148"/>
      <c r="N11" s="140"/>
      <c r="O11" s="140"/>
      <c r="P11" s="140"/>
      <c r="Q11" s="140"/>
      <c r="R11" s="140"/>
      <c r="S11" s="140"/>
      <c r="T11" s="140"/>
    </row>
    <row r="12" spans="1:22" ht="24.6" thickBot="1">
      <c r="A12" s="149" t="s">
        <v>524</v>
      </c>
      <c r="B12" s="149" t="s">
        <v>525</v>
      </c>
      <c r="C12" s="149" t="s">
        <v>526</v>
      </c>
      <c r="D12" s="150" t="s">
        <v>527</v>
      </c>
      <c r="E12" s="150" t="s">
        <v>528</v>
      </c>
      <c r="F12" s="150" t="s">
        <v>529</v>
      </c>
      <c r="G12" s="150" t="s">
        <v>530</v>
      </c>
      <c r="H12" s="150" t="s">
        <v>531</v>
      </c>
      <c r="I12" s="150" t="s">
        <v>532</v>
      </c>
      <c r="J12" s="150" t="s">
        <v>533</v>
      </c>
      <c r="K12" s="150" t="s">
        <v>534</v>
      </c>
      <c r="L12" s="150" t="s">
        <v>535</v>
      </c>
      <c r="M12" s="150" t="s">
        <v>536</v>
      </c>
      <c r="N12" s="150" t="s">
        <v>537</v>
      </c>
      <c r="O12" s="150" t="s">
        <v>331</v>
      </c>
      <c r="P12" s="150" t="s">
        <v>538</v>
      </c>
      <c r="Q12" s="150" t="s">
        <v>539</v>
      </c>
      <c r="R12" s="150" t="s">
        <v>540</v>
      </c>
      <c r="S12" s="150" t="s">
        <v>541</v>
      </c>
      <c r="T12" s="151" t="s">
        <v>328</v>
      </c>
    </row>
    <row r="13" spans="1:22" ht="15.6" thickBot="1">
      <c r="A13" s="149" t="s">
        <v>542</v>
      </c>
      <c r="B13" s="149" t="s">
        <v>543</v>
      </c>
      <c r="C13" s="149" t="s">
        <v>544</v>
      </c>
      <c r="D13" s="152">
        <f>付款通知书!D13</f>
        <v>114589.63</v>
      </c>
      <c r="E13" s="153">
        <f>付款通知书!D14</f>
        <v>92121.979999999938</v>
      </c>
      <c r="F13" s="153">
        <f>付款通知书!D15</f>
        <v>12808</v>
      </c>
      <c r="G13" s="152"/>
      <c r="H13" s="152"/>
      <c r="I13" s="154"/>
      <c r="J13" s="154"/>
      <c r="K13" s="154"/>
      <c r="L13" s="154">
        <f>付款通知书!D16</f>
        <v>4390.3900000000003</v>
      </c>
      <c r="M13" s="154">
        <v>0</v>
      </c>
      <c r="N13" s="154">
        <f>付款通知书!D17</f>
        <v>649.11</v>
      </c>
      <c r="O13" s="155">
        <f>ROUND(SUM(D13:N13),2)</f>
        <v>224559.11</v>
      </c>
      <c r="P13" s="156">
        <f>ROUND(Q13-O13,2)</f>
        <v>1652.42</v>
      </c>
      <c r="Q13" s="155">
        <f>ROUND(S13/(1+6%),2)</f>
        <v>226211.53</v>
      </c>
      <c r="R13" s="157">
        <f>ROUND(Q13*6%,2)</f>
        <v>13572.69</v>
      </c>
      <c r="S13" s="155">
        <f>ROUND(O13*(1+6.78%),2)</f>
        <v>239784.22</v>
      </c>
      <c r="T13" s="158" t="s">
        <v>556</v>
      </c>
      <c r="U13" s="159">
        <f>R13+Q13-S13</f>
        <v>0</v>
      </c>
      <c r="V13" s="160">
        <f>O13+P13-Q13</f>
        <v>0</v>
      </c>
    </row>
    <row r="14" spans="1:22" ht="15">
      <c r="A14" s="149"/>
      <c r="B14" s="162"/>
      <c r="C14" s="162"/>
      <c r="D14" s="152"/>
      <c r="E14" s="153"/>
      <c r="F14" s="153"/>
      <c r="G14" s="152"/>
      <c r="H14" s="152"/>
      <c r="I14" s="154"/>
      <c r="J14" s="154"/>
      <c r="K14" s="154"/>
      <c r="L14" s="154"/>
      <c r="M14" s="154"/>
      <c r="N14" s="154"/>
      <c r="O14" s="155"/>
      <c r="P14" s="156"/>
      <c r="Q14" s="155"/>
      <c r="R14" s="157"/>
      <c r="S14" s="155"/>
      <c r="T14" s="161"/>
      <c r="U14" s="159"/>
      <c r="V14" s="160"/>
    </row>
    <row r="15" spans="1:22" ht="22.95" customHeight="1">
      <c r="A15" s="163" t="s">
        <v>302</v>
      </c>
      <c r="B15" s="164"/>
      <c r="C15" s="164"/>
      <c r="D15" s="152">
        <f t="shared" ref="D15:S15" si="0">SUM(D13:D13)</f>
        <v>114589.63</v>
      </c>
      <c r="E15" s="152">
        <f t="shared" si="0"/>
        <v>92121.979999999938</v>
      </c>
      <c r="F15" s="152">
        <f t="shared" si="0"/>
        <v>12808</v>
      </c>
      <c r="G15" s="152">
        <f t="shared" si="0"/>
        <v>0</v>
      </c>
      <c r="H15" s="152">
        <f t="shared" si="0"/>
        <v>0</v>
      </c>
      <c r="I15" s="152">
        <f t="shared" si="0"/>
        <v>0</v>
      </c>
      <c r="J15" s="152">
        <f t="shared" si="0"/>
        <v>0</v>
      </c>
      <c r="K15" s="152">
        <f t="shared" si="0"/>
        <v>0</v>
      </c>
      <c r="L15" s="152">
        <f t="shared" si="0"/>
        <v>4390.3900000000003</v>
      </c>
      <c r="M15" s="152">
        <f t="shared" si="0"/>
        <v>0</v>
      </c>
      <c r="N15" s="152">
        <f t="shared" si="0"/>
        <v>649.11</v>
      </c>
      <c r="O15" s="152">
        <f t="shared" si="0"/>
        <v>224559.11</v>
      </c>
      <c r="P15" s="152">
        <f t="shared" si="0"/>
        <v>1652.42</v>
      </c>
      <c r="Q15" s="152">
        <f t="shared" si="0"/>
        <v>226211.53</v>
      </c>
      <c r="R15" s="152">
        <f t="shared" si="0"/>
        <v>13572.69</v>
      </c>
      <c r="S15" s="152">
        <f t="shared" si="0"/>
        <v>239784.22</v>
      </c>
      <c r="T15" s="165"/>
    </row>
    <row r="16" spans="1:22">
      <c r="A16" s="166"/>
      <c r="B16" s="166"/>
      <c r="C16" s="166"/>
      <c r="D16" s="166"/>
      <c r="E16" s="166"/>
      <c r="F16" s="166"/>
      <c r="G16" s="166"/>
      <c r="H16" s="166"/>
      <c r="I16" s="166"/>
      <c r="J16" s="166"/>
      <c r="K16" s="166"/>
      <c r="L16" s="166"/>
      <c r="M16" s="166"/>
      <c r="N16" s="140"/>
      <c r="O16" s="140"/>
      <c r="P16" s="140"/>
      <c r="Q16" s="140"/>
      <c r="R16" s="140"/>
      <c r="S16" s="140"/>
      <c r="T16" s="140"/>
    </row>
    <row r="17" spans="1:20">
      <c r="A17" s="167"/>
      <c r="B17" s="167"/>
      <c r="C17" s="167"/>
      <c r="D17" s="140"/>
      <c r="E17" s="168"/>
      <c r="F17" s="168"/>
      <c r="G17" s="140"/>
      <c r="H17" s="140"/>
      <c r="I17" s="140"/>
      <c r="J17" s="140"/>
      <c r="K17" s="140"/>
      <c r="L17" s="140"/>
      <c r="M17" s="140"/>
      <c r="N17" s="140"/>
      <c r="O17" s="140"/>
      <c r="P17" s="140"/>
      <c r="Q17" s="140"/>
      <c r="R17" s="140"/>
      <c r="S17" s="140"/>
      <c r="T17" s="140"/>
    </row>
    <row r="18" spans="1:20">
      <c r="A18" s="167"/>
      <c r="B18" s="167"/>
      <c r="C18" s="167"/>
      <c r="D18" s="140"/>
      <c r="E18" s="140"/>
      <c r="F18" s="140"/>
      <c r="G18" s="140"/>
      <c r="H18" s="140"/>
      <c r="I18" s="140"/>
      <c r="J18" s="140"/>
      <c r="K18" s="168"/>
      <c r="L18" s="140"/>
      <c r="M18" s="140"/>
      <c r="N18" s="140"/>
      <c r="O18" s="140"/>
      <c r="P18" s="140"/>
      <c r="Q18" s="140"/>
      <c r="R18" s="140"/>
      <c r="S18" s="140"/>
      <c r="T18" s="140"/>
    </row>
    <row r="19" spans="1:20">
      <c r="A19" s="167"/>
      <c r="B19" s="167"/>
      <c r="C19" s="167"/>
      <c r="D19" s="140"/>
      <c r="E19" s="140"/>
      <c r="F19" s="140"/>
      <c r="G19" s="140"/>
      <c r="H19" s="140"/>
      <c r="I19" s="140"/>
      <c r="J19" s="140"/>
      <c r="K19" s="140"/>
      <c r="L19" s="140"/>
      <c r="M19" s="140"/>
      <c r="N19" s="140"/>
      <c r="O19" s="140"/>
      <c r="P19" s="140"/>
      <c r="Q19" s="140"/>
      <c r="R19" s="140"/>
      <c r="S19" s="169"/>
      <c r="T19" s="169"/>
    </row>
    <row r="20" spans="1:20">
      <c r="A20" s="140"/>
      <c r="B20" s="140"/>
      <c r="C20" s="140"/>
      <c r="D20" s="140"/>
      <c r="E20" s="140"/>
      <c r="F20" s="140"/>
      <c r="G20" s="140"/>
      <c r="H20" s="140"/>
      <c r="I20" s="140"/>
      <c r="J20" s="140"/>
      <c r="K20" s="140"/>
      <c r="L20" s="140"/>
      <c r="M20" s="140"/>
      <c r="N20" s="140"/>
      <c r="O20" s="140"/>
      <c r="P20" s="140"/>
      <c r="Q20" s="140"/>
      <c r="R20" s="140"/>
      <c r="S20" s="140"/>
      <c r="T20" s="140"/>
    </row>
    <row r="21" spans="1:20" ht="16.2">
      <c r="A21" s="170" t="s">
        <v>545</v>
      </c>
      <c r="B21" s="170"/>
      <c r="C21" s="170"/>
      <c r="D21" s="171"/>
      <c r="E21" s="140"/>
      <c r="F21" s="140"/>
      <c r="G21" s="140"/>
      <c r="H21" s="140"/>
      <c r="I21" s="140"/>
      <c r="J21" s="140"/>
      <c r="K21" s="140"/>
      <c r="L21" s="172" t="s">
        <v>546</v>
      </c>
      <c r="M21" s="173" t="s">
        <v>547</v>
      </c>
      <c r="N21" s="173"/>
      <c r="O21" s="173"/>
      <c r="P21" s="173"/>
      <c r="Q21" s="140"/>
      <c r="R21" s="140"/>
      <c r="S21" s="140"/>
      <c r="T21" s="140"/>
    </row>
    <row r="22" spans="1:20" ht="16.2">
      <c r="A22" s="171"/>
      <c r="B22" s="171"/>
      <c r="C22" s="171"/>
      <c r="D22" s="171"/>
      <c r="E22" s="140"/>
      <c r="F22" s="140"/>
      <c r="G22" s="140"/>
      <c r="H22" s="174"/>
      <c r="I22" s="140"/>
      <c r="J22" s="140"/>
      <c r="K22" s="140"/>
      <c r="L22" s="172" t="s">
        <v>548</v>
      </c>
      <c r="M22" s="175" t="s">
        <v>549</v>
      </c>
      <c r="N22" s="175"/>
      <c r="O22" s="175"/>
      <c r="P22" s="175"/>
      <c r="Q22" s="140"/>
      <c r="R22" s="140"/>
      <c r="S22" s="140"/>
      <c r="T22" s="140"/>
    </row>
    <row r="23" spans="1:20" ht="24">
      <c r="A23" s="176" t="s">
        <v>550</v>
      </c>
      <c r="B23" s="176"/>
      <c r="C23" s="176"/>
      <c r="D23" s="177"/>
      <c r="E23" s="140"/>
      <c r="F23" s="140"/>
      <c r="G23" s="140"/>
      <c r="H23" s="178"/>
      <c r="I23" s="140"/>
      <c r="J23" s="140"/>
      <c r="K23" s="140"/>
      <c r="L23" s="172" t="s">
        <v>551</v>
      </c>
      <c r="M23" s="179">
        <f ca="1">TODAY()</f>
        <v>46132</v>
      </c>
      <c r="N23" s="179"/>
      <c r="O23" s="179"/>
      <c r="P23" s="179"/>
      <c r="Q23" s="140"/>
      <c r="R23" s="140"/>
      <c r="S23" s="140"/>
      <c r="T23" s="140"/>
    </row>
    <row r="24" spans="1:20" ht="24">
      <c r="A24" s="176" t="s">
        <v>552</v>
      </c>
      <c r="B24" s="176"/>
      <c r="C24" s="176"/>
      <c r="D24" s="177"/>
      <c r="E24" s="140"/>
      <c r="F24" s="140"/>
      <c r="G24" s="140"/>
      <c r="H24" s="140"/>
      <c r="I24" s="140"/>
      <c r="J24" s="140"/>
      <c r="K24" s="140"/>
      <c r="L24" s="172" t="s">
        <v>553</v>
      </c>
      <c r="M24" s="180"/>
      <c r="N24" s="180"/>
      <c r="O24" s="180"/>
      <c r="P24" s="180"/>
      <c r="Q24" s="140"/>
      <c r="R24" s="140"/>
      <c r="S24" s="140"/>
      <c r="T24" s="140"/>
    </row>
    <row r="25" spans="1:20" ht="16.2">
      <c r="A25" s="176" t="s">
        <v>554</v>
      </c>
      <c r="B25" s="176"/>
      <c r="C25" s="176"/>
      <c r="D25" s="177">
        <v>0</v>
      </c>
      <c r="E25" s="140"/>
      <c r="F25" s="140"/>
      <c r="G25" s="140"/>
      <c r="H25" s="140"/>
      <c r="I25" s="140"/>
      <c r="J25" s="140"/>
      <c r="K25" s="140"/>
      <c r="L25" s="172"/>
      <c r="M25" s="172"/>
      <c r="N25" s="172"/>
      <c r="O25" s="172"/>
      <c r="P25" s="172"/>
      <c r="Q25" s="140"/>
      <c r="R25" s="140"/>
      <c r="S25" s="140"/>
      <c r="T25" s="140"/>
    </row>
    <row r="26" spans="1:20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</row>
  </sheetData>
  <mergeCells count="2">
    <mergeCell ref="A1:M1"/>
    <mergeCell ref="A3:M3"/>
  </mergeCells>
  <phoneticPr fontId="23" type="noConversion"/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7"/>
  <sheetViews>
    <sheetView topLeftCell="A9" workbookViewId="0">
      <selection activeCell="I41" sqref="I41"/>
    </sheetView>
  </sheetViews>
  <sheetFormatPr defaultRowHeight="14.4"/>
  <cols>
    <col min="1" max="1" width="9" style="5"/>
  </cols>
  <sheetData>
    <row r="1" spans="1:5">
      <c r="A1" s="230" t="s">
        <v>22</v>
      </c>
      <c r="B1" t="s">
        <v>11</v>
      </c>
      <c r="C1" t="s">
        <v>317</v>
      </c>
    </row>
    <row r="2" spans="1:5">
      <c r="A2" s="231"/>
      <c r="C2" t="s">
        <v>320</v>
      </c>
      <c r="D2" t="s">
        <v>319</v>
      </c>
      <c r="E2" t="s">
        <v>331</v>
      </c>
    </row>
    <row r="3" spans="1:5">
      <c r="A3" s="231"/>
      <c r="C3" t="s">
        <v>320</v>
      </c>
      <c r="D3" t="s">
        <v>319</v>
      </c>
      <c r="E3" t="s">
        <v>331</v>
      </c>
    </row>
    <row r="4" spans="1:5">
      <c r="A4" s="8" t="s">
        <v>114</v>
      </c>
      <c r="B4">
        <v>21</v>
      </c>
      <c r="C4">
        <v>801.38</v>
      </c>
      <c r="D4">
        <v>1802.55</v>
      </c>
      <c r="E4">
        <v>2603.9299999999998</v>
      </c>
    </row>
    <row r="5" spans="1:5">
      <c r="A5" s="8" t="s">
        <v>366</v>
      </c>
      <c r="B5">
        <v>21</v>
      </c>
      <c r="C5">
        <v>801.38</v>
      </c>
      <c r="D5">
        <v>1802.55</v>
      </c>
      <c r="E5">
        <v>2603.9299999999998</v>
      </c>
    </row>
    <row r="6" spans="1:5">
      <c r="A6" s="8" t="s">
        <v>93</v>
      </c>
      <c r="B6">
        <v>21</v>
      </c>
      <c r="C6">
        <v>801.38</v>
      </c>
      <c r="D6">
        <v>1802.55</v>
      </c>
      <c r="E6">
        <v>2603.9299999999998</v>
      </c>
    </row>
    <row r="7" spans="1:5">
      <c r="A7" s="8" t="s">
        <v>194</v>
      </c>
      <c r="B7">
        <v>21</v>
      </c>
      <c r="C7">
        <v>801.38</v>
      </c>
      <c r="D7">
        <v>1802.55</v>
      </c>
      <c r="E7">
        <v>2603.9299999999998</v>
      </c>
    </row>
    <row r="8" spans="1:5">
      <c r="A8" s="8" t="s">
        <v>275</v>
      </c>
      <c r="B8">
        <v>21</v>
      </c>
      <c r="C8">
        <v>801.38</v>
      </c>
      <c r="D8">
        <v>1802.55</v>
      </c>
      <c r="E8">
        <v>2603.9299999999998</v>
      </c>
    </row>
    <row r="9" spans="1:5">
      <c r="A9" s="8" t="s">
        <v>223</v>
      </c>
      <c r="B9">
        <v>21</v>
      </c>
      <c r="C9">
        <v>801.38</v>
      </c>
      <c r="D9">
        <v>1802.55</v>
      </c>
      <c r="E9">
        <v>2603.9299999999998</v>
      </c>
    </row>
    <row r="10" spans="1:5">
      <c r="A10" s="8" t="s">
        <v>171</v>
      </c>
      <c r="B10">
        <v>21</v>
      </c>
      <c r="C10">
        <v>801.38</v>
      </c>
      <c r="D10">
        <v>1802.55</v>
      </c>
      <c r="E10">
        <v>2603.9299999999998</v>
      </c>
    </row>
    <row r="11" spans="1:5">
      <c r="A11" s="8" t="s">
        <v>163</v>
      </c>
      <c r="B11">
        <v>21</v>
      </c>
      <c r="C11">
        <v>801.38</v>
      </c>
      <c r="D11">
        <v>1802.55</v>
      </c>
      <c r="E11">
        <v>2603.9299999999998</v>
      </c>
    </row>
    <row r="12" spans="1:5">
      <c r="A12" s="8" t="s">
        <v>353</v>
      </c>
      <c r="B12">
        <v>21</v>
      </c>
      <c r="C12">
        <v>801.38</v>
      </c>
      <c r="D12">
        <v>1802.55</v>
      </c>
      <c r="E12">
        <v>2603.9299999999998</v>
      </c>
    </row>
    <row r="13" spans="1:5">
      <c r="A13" s="8" t="s">
        <v>383</v>
      </c>
      <c r="B13">
        <v>0</v>
      </c>
      <c r="C13">
        <v>808.38</v>
      </c>
      <c r="D13">
        <v>1809.55</v>
      </c>
      <c r="E13">
        <v>2617.9299999999998</v>
      </c>
    </row>
    <row r="14" spans="1:5">
      <c r="A14" s="8" t="s">
        <v>246</v>
      </c>
      <c r="B14">
        <v>21</v>
      </c>
      <c r="C14">
        <v>801.38</v>
      </c>
      <c r="D14">
        <v>1802.55</v>
      </c>
      <c r="E14">
        <v>2603.9299999999998</v>
      </c>
    </row>
    <row r="15" spans="1:5">
      <c r="A15" s="8" t="s">
        <v>96</v>
      </c>
      <c r="B15">
        <v>21</v>
      </c>
      <c r="C15">
        <v>801.38</v>
      </c>
      <c r="D15">
        <v>1802.55</v>
      </c>
      <c r="E15">
        <v>2603.9299999999998</v>
      </c>
    </row>
    <row r="16" spans="1:5">
      <c r="A16" s="8" t="s">
        <v>135</v>
      </c>
      <c r="B16">
        <v>21</v>
      </c>
      <c r="C16">
        <v>801.38</v>
      </c>
      <c r="D16">
        <v>1802.55</v>
      </c>
      <c r="E16">
        <v>2603.9299999999998</v>
      </c>
    </row>
    <row r="17" spans="1:5">
      <c r="A17" s="8" t="s">
        <v>375</v>
      </c>
      <c r="B17">
        <v>21</v>
      </c>
      <c r="C17">
        <v>801.38</v>
      </c>
      <c r="D17">
        <v>1802.55</v>
      </c>
      <c r="E17">
        <v>2603.9299999999998</v>
      </c>
    </row>
    <row r="18" spans="1:5">
      <c r="A18" s="8" t="s">
        <v>132</v>
      </c>
      <c r="B18">
        <v>21</v>
      </c>
      <c r="C18">
        <v>801.38</v>
      </c>
      <c r="D18">
        <v>1802.55</v>
      </c>
      <c r="E18">
        <v>2603.9299999999998</v>
      </c>
    </row>
    <row r="19" spans="1:5">
      <c r="A19" s="8" t="s">
        <v>152</v>
      </c>
      <c r="B19">
        <v>21</v>
      </c>
      <c r="C19">
        <v>801.38</v>
      </c>
      <c r="D19">
        <v>1802.55</v>
      </c>
      <c r="E19">
        <v>2603.9299999999998</v>
      </c>
    </row>
    <row r="20" spans="1:5">
      <c r="A20" s="8" t="s">
        <v>146</v>
      </c>
      <c r="B20">
        <v>21</v>
      </c>
      <c r="C20">
        <v>801.38</v>
      </c>
      <c r="D20">
        <v>1802.55</v>
      </c>
      <c r="E20">
        <v>2603.9299999999998</v>
      </c>
    </row>
    <row r="21" spans="1:5">
      <c r="A21" s="8" t="s">
        <v>380</v>
      </c>
      <c r="B21">
        <v>21</v>
      </c>
      <c r="C21">
        <v>1616.76</v>
      </c>
      <c r="D21">
        <v>3619.1</v>
      </c>
      <c r="E21">
        <v>5235.8599999999997</v>
      </c>
    </row>
    <row r="22" spans="1:5">
      <c r="A22" s="8" t="s">
        <v>158</v>
      </c>
      <c r="B22">
        <v>21</v>
      </c>
      <c r="C22">
        <v>801.38</v>
      </c>
      <c r="D22">
        <v>1802.55</v>
      </c>
      <c r="E22">
        <v>2603.9299999999998</v>
      </c>
    </row>
    <row r="23" spans="1:5">
      <c r="A23" s="8" t="s">
        <v>123</v>
      </c>
      <c r="B23">
        <v>21</v>
      </c>
      <c r="C23">
        <v>801.38</v>
      </c>
      <c r="D23">
        <v>1802.55</v>
      </c>
      <c r="E23">
        <v>2603.9299999999998</v>
      </c>
    </row>
    <row r="24" spans="1:5">
      <c r="A24" s="8" t="s">
        <v>166</v>
      </c>
      <c r="B24">
        <v>21</v>
      </c>
      <c r="C24">
        <v>801.38</v>
      </c>
      <c r="D24">
        <v>1802.55</v>
      </c>
      <c r="E24">
        <v>2603.9299999999998</v>
      </c>
    </row>
    <row r="25" spans="1:5">
      <c r="A25" s="8" t="s">
        <v>139</v>
      </c>
      <c r="B25">
        <v>21</v>
      </c>
      <c r="C25">
        <v>801.38</v>
      </c>
      <c r="D25">
        <v>1802.55</v>
      </c>
      <c r="E25">
        <v>2603.9299999999998</v>
      </c>
    </row>
    <row r="26" spans="1:5">
      <c r="A26" s="8" t="s">
        <v>258</v>
      </c>
      <c r="B26">
        <v>21</v>
      </c>
      <c r="C26">
        <v>801.38</v>
      </c>
      <c r="D26">
        <v>1802.55</v>
      </c>
      <c r="E26">
        <v>2603.9299999999998</v>
      </c>
    </row>
    <row r="27" spans="1:5">
      <c r="A27" s="8" t="s">
        <v>141</v>
      </c>
      <c r="B27">
        <v>21</v>
      </c>
      <c r="C27">
        <v>801.38</v>
      </c>
      <c r="D27">
        <v>1802.55</v>
      </c>
      <c r="E27">
        <v>2603.9299999999998</v>
      </c>
    </row>
    <row r="28" spans="1:5">
      <c r="A28" s="8" t="s">
        <v>218</v>
      </c>
      <c r="B28">
        <v>21</v>
      </c>
      <c r="C28">
        <v>801.38</v>
      </c>
      <c r="D28">
        <v>1802.55</v>
      </c>
      <c r="E28">
        <v>2603.9299999999998</v>
      </c>
    </row>
    <row r="29" spans="1:5">
      <c r="A29" s="8" t="s">
        <v>148</v>
      </c>
      <c r="B29">
        <v>21</v>
      </c>
      <c r="C29">
        <v>801.38</v>
      </c>
      <c r="D29">
        <v>1802.55</v>
      </c>
      <c r="E29">
        <v>2603.9299999999998</v>
      </c>
    </row>
    <row r="30" spans="1:5">
      <c r="A30" s="8" t="s">
        <v>214</v>
      </c>
      <c r="B30">
        <v>21</v>
      </c>
      <c r="C30">
        <v>801.38</v>
      </c>
      <c r="D30">
        <v>1802.55</v>
      </c>
      <c r="E30">
        <v>2603.9299999999998</v>
      </c>
    </row>
    <row r="31" spans="1:5">
      <c r="A31" s="8" t="s">
        <v>100</v>
      </c>
      <c r="B31">
        <v>21</v>
      </c>
      <c r="C31">
        <v>801.38</v>
      </c>
      <c r="D31">
        <v>1802.55</v>
      </c>
      <c r="E31">
        <v>2603.9299999999998</v>
      </c>
    </row>
    <row r="32" spans="1:5">
      <c r="A32" s="8" t="s">
        <v>264</v>
      </c>
      <c r="B32">
        <v>21</v>
      </c>
      <c r="C32">
        <v>808.38</v>
      </c>
      <c r="D32">
        <v>1809.55</v>
      </c>
      <c r="E32">
        <v>2617.9299999999998</v>
      </c>
    </row>
    <row r="33" spans="1:5">
      <c r="A33" s="8" t="s">
        <v>117</v>
      </c>
      <c r="B33">
        <v>21</v>
      </c>
      <c r="C33">
        <v>801.38</v>
      </c>
      <c r="D33">
        <v>1802.55</v>
      </c>
      <c r="E33">
        <v>2603.9299999999998</v>
      </c>
    </row>
    <row r="34" spans="1:5">
      <c r="A34" s="8" t="s">
        <v>377</v>
      </c>
      <c r="B34">
        <v>21</v>
      </c>
      <c r="C34">
        <v>801.38</v>
      </c>
      <c r="D34">
        <v>1802.55</v>
      </c>
      <c r="E34">
        <v>2603.9299999999998</v>
      </c>
    </row>
    <row r="35" spans="1:5">
      <c r="A35" s="8" t="s">
        <v>126</v>
      </c>
      <c r="B35">
        <v>21</v>
      </c>
      <c r="C35">
        <v>801.38</v>
      </c>
      <c r="D35">
        <v>1802.55</v>
      </c>
      <c r="E35">
        <v>2603.9299999999998</v>
      </c>
    </row>
    <row r="36" spans="1:5">
      <c r="A36" s="8" t="s">
        <v>277</v>
      </c>
      <c r="B36">
        <v>21</v>
      </c>
      <c r="C36">
        <v>801.38</v>
      </c>
      <c r="D36">
        <v>1802.55</v>
      </c>
      <c r="E36">
        <v>2603.9299999999998</v>
      </c>
    </row>
    <row r="37" spans="1:5">
      <c r="A37" s="8" t="s">
        <v>228</v>
      </c>
      <c r="B37">
        <v>21</v>
      </c>
      <c r="C37">
        <v>801.38</v>
      </c>
      <c r="D37">
        <v>1802.55</v>
      </c>
      <c r="E37">
        <v>2603.9299999999998</v>
      </c>
    </row>
    <row r="38" spans="1:5">
      <c r="A38" s="8" t="s">
        <v>243</v>
      </c>
      <c r="B38">
        <v>21</v>
      </c>
      <c r="C38">
        <v>801.38</v>
      </c>
      <c r="D38">
        <v>1802.55</v>
      </c>
      <c r="E38">
        <v>2603.9299999999998</v>
      </c>
    </row>
    <row r="39" spans="1:5">
      <c r="A39" s="8" t="s">
        <v>106</v>
      </c>
      <c r="B39">
        <v>21</v>
      </c>
      <c r="C39">
        <v>801.38</v>
      </c>
      <c r="D39">
        <v>1802.55</v>
      </c>
      <c r="E39">
        <v>2603.9299999999998</v>
      </c>
    </row>
    <row r="40" spans="1:5">
      <c r="A40" s="8" t="s">
        <v>245</v>
      </c>
      <c r="B40">
        <v>21</v>
      </c>
      <c r="C40">
        <v>801.38</v>
      </c>
      <c r="D40">
        <v>1802.55</v>
      </c>
      <c r="E40">
        <v>2603.9299999999998</v>
      </c>
    </row>
    <row r="41" spans="1:5">
      <c r="A41" s="8" t="s">
        <v>231</v>
      </c>
      <c r="B41">
        <v>21</v>
      </c>
      <c r="C41">
        <v>801.38</v>
      </c>
      <c r="D41">
        <v>1802.55</v>
      </c>
      <c r="E41">
        <v>2603.9299999999998</v>
      </c>
    </row>
    <row r="42" spans="1:5">
      <c r="A42" s="8" t="s">
        <v>265</v>
      </c>
      <c r="B42">
        <v>21</v>
      </c>
      <c r="C42">
        <v>801.38</v>
      </c>
      <c r="D42">
        <v>1802.55</v>
      </c>
      <c r="E42">
        <v>2603.9299999999998</v>
      </c>
    </row>
    <row r="43" spans="1:5">
      <c r="A43" s="8" t="s">
        <v>376</v>
      </c>
      <c r="B43">
        <v>21</v>
      </c>
      <c r="C43">
        <v>801.38</v>
      </c>
      <c r="D43">
        <v>1802.55</v>
      </c>
      <c r="E43">
        <v>2603.9299999999998</v>
      </c>
    </row>
    <row r="44" spans="1:5">
      <c r="A44" s="8" t="s">
        <v>360</v>
      </c>
      <c r="B44">
        <v>21</v>
      </c>
      <c r="C44">
        <v>801.38</v>
      </c>
      <c r="D44">
        <v>1802.55</v>
      </c>
      <c r="E44">
        <v>2603.9299999999998</v>
      </c>
    </row>
    <row r="45" spans="1:5">
      <c r="A45" s="8" t="s">
        <v>281</v>
      </c>
      <c r="B45">
        <v>21</v>
      </c>
      <c r="C45">
        <v>801.38</v>
      </c>
      <c r="D45">
        <v>1802.55</v>
      </c>
      <c r="E45">
        <v>2603.9299999999998</v>
      </c>
    </row>
    <row r="46" spans="1:5">
      <c r="A46" s="8" t="s">
        <v>242</v>
      </c>
      <c r="B46">
        <v>21</v>
      </c>
      <c r="C46">
        <v>801.38</v>
      </c>
      <c r="D46">
        <v>1802.55</v>
      </c>
      <c r="E46">
        <v>2603.9299999999998</v>
      </c>
    </row>
    <row r="47" spans="1:5">
      <c r="A47" s="8" t="s">
        <v>99</v>
      </c>
      <c r="B47">
        <v>21</v>
      </c>
      <c r="C47">
        <v>801.38</v>
      </c>
      <c r="D47">
        <v>1802.55</v>
      </c>
      <c r="E47">
        <v>2603.9299999999998</v>
      </c>
    </row>
    <row r="48" spans="1:5">
      <c r="A48" s="8" t="s">
        <v>198</v>
      </c>
      <c r="B48">
        <v>21</v>
      </c>
      <c r="C48">
        <v>801.38</v>
      </c>
      <c r="D48">
        <v>1802.55</v>
      </c>
      <c r="E48">
        <v>2603.9299999999998</v>
      </c>
    </row>
    <row r="49" spans="1:5">
      <c r="A49" s="8" t="s">
        <v>129</v>
      </c>
      <c r="B49">
        <v>21</v>
      </c>
      <c r="C49">
        <v>801.38</v>
      </c>
      <c r="D49">
        <v>1802.55</v>
      </c>
      <c r="E49">
        <v>2603.9299999999998</v>
      </c>
    </row>
    <row r="50" spans="1:5">
      <c r="A50" s="8" t="s">
        <v>217</v>
      </c>
      <c r="B50">
        <v>21</v>
      </c>
      <c r="C50">
        <v>801.38</v>
      </c>
      <c r="D50">
        <v>1802.55</v>
      </c>
      <c r="E50">
        <v>2603.9299999999998</v>
      </c>
    </row>
    <row r="51" spans="1:5">
      <c r="A51" s="8" t="s">
        <v>187</v>
      </c>
      <c r="B51">
        <v>21</v>
      </c>
      <c r="C51">
        <v>801.38</v>
      </c>
      <c r="D51">
        <v>1802.55</v>
      </c>
      <c r="E51">
        <v>2603.9299999999998</v>
      </c>
    </row>
    <row r="52" spans="1:5">
      <c r="A52" s="8" t="s">
        <v>282</v>
      </c>
      <c r="B52">
        <v>21</v>
      </c>
      <c r="C52">
        <v>801.38</v>
      </c>
      <c r="D52">
        <v>1802.55</v>
      </c>
      <c r="E52">
        <v>2603.9299999999998</v>
      </c>
    </row>
    <row r="53" spans="1:5">
      <c r="A53" s="8" t="s">
        <v>144</v>
      </c>
      <c r="B53">
        <v>21</v>
      </c>
      <c r="C53">
        <v>801.38</v>
      </c>
      <c r="D53">
        <v>1802.55</v>
      </c>
      <c r="E53">
        <v>2603.9299999999998</v>
      </c>
    </row>
    <row r="54" spans="1:5">
      <c r="A54" s="8" t="s">
        <v>251</v>
      </c>
      <c r="B54">
        <v>21</v>
      </c>
      <c r="C54">
        <v>801.38</v>
      </c>
      <c r="D54">
        <v>1802.55</v>
      </c>
      <c r="E54">
        <v>2603.9299999999998</v>
      </c>
    </row>
    <row r="55" spans="1:5">
      <c r="A55" s="8" t="s">
        <v>104</v>
      </c>
      <c r="B55">
        <v>21</v>
      </c>
      <c r="C55">
        <v>801.38</v>
      </c>
      <c r="D55">
        <v>1802.55</v>
      </c>
      <c r="E55">
        <v>2603.9299999999998</v>
      </c>
    </row>
    <row r="56" spans="1:5">
      <c r="A56" s="37" t="s">
        <v>239</v>
      </c>
      <c r="B56">
        <v>21</v>
      </c>
      <c r="C56">
        <v>801.38</v>
      </c>
      <c r="D56">
        <v>1802.55</v>
      </c>
      <c r="E56">
        <v>2603.9299999999998</v>
      </c>
    </row>
    <row r="57" spans="1:5">
      <c r="A57" s="37" t="s">
        <v>357</v>
      </c>
      <c r="B57">
        <v>21</v>
      </c>
      <c r="C57">
        <v>801.38</v>
      </c>
      <c r="D57">
        <v>1802.55</v>
      </c>
      <c r="E57">
        <v>2603.9299999999998</v>
      </c>
    </row>
    <row r="58" spans="1:5">
      <c r="A58" s="37" t="s">
        <v>120</v>
      </c>
      <c r="B58">
        <v>21</v>
      </c>
      <c r="C58">
        <v>801.38</v>
      </c>
      <c r="D58">
        <v>1802.55</v>
      </c>
      <c r="E58">
        <v>2603.9299999999998</v>
      </c>
    </row>
    <row r="59" spans="1:5">
      <c r="A59" s="37" t="s">
        <v>221</v>
      </c>
      <c r="B59">
        <v>21</v>
      </c>
      <c r="C59">
        <v>801.38</v>
      </c>
      <c r="D59">
        <v>1802.55</v>
      </c>
      <c r="E59">
        <v>2603.9299999999998</v>
      </c>
    </row>
    <row r="60" spans="1:5">
      <c r="A60" s="37" t="s">
        <v>259</v>
      </c>
      <c r="B60">
        <v>21</v>
      </c>
      <c r="C60">
        <v>801.38</v>
      </c>
      <c r="D60">
        <v>1802.55</v>
      </c>
      <c r="E60">
        <v>2603.9299999999998</v>
      </c>
    </row>
    <row r="61" spans="1:5">
      <c r="A61" s="37" t="s">
        <v>155</v>
      </c>
      <c r="B61">
        <v>21</v>
      </c>
      <c r="C61">
        <v>801.38</v>
      </c>
      <c r="D61">
        <v>1802.55</v>
      </c>
      <c r="E61">
        <v>2603.9299999999998</v>
      </c>
    </row>
    <row r="62" spans="1:5">
      <c r="A62" s="37" t="s">
        <v>234</v>
      </c>
      <c r="B62">
        <v>21</v>
      </c>
      <c r="C62">
        <v>801.38</v>
      </c>
      <c r="D62">
        <v>1802.55</v>
      </c>
      <c r="E62">
        <v>2603.9299999999998</v>
      </c>
    </row>
    <row r="63" spans="1:5">
      <c r="A63" s="37" t="s">
        <v>384</v>
      </c>
      <c r="B63">
        <v>0</v>
      </c>
      <c r="C63">
        <v>808.38</v>
      </c>
      <c r="D63">
        <v>1809.55</v>
      </c>
      <c r="E63">
        <v>2617.9299999999998</v>
      </c>
    </row>
    <row r="64" spans="1:5">
      <c r="A64" s="37" t="s">
        <v>250</v>
      </c>
      <c r="B64">
        <v>21</v>
      </c>
      <c r="C64">
        <v>801.38</v>
      </c>
      <c r="D64">
        <v>1802.55</v>
      </c>
      <c r="E64">
        <v>2603.9299999999998</v>
      </c>
    </row>
    <row r="65" spans="1:5">
      <c r="A65" s="37" t="s">
        <v>190</v>
      </c>
      <c r="B65">
        <v>21</v>
      </c>
      <c r="C65">
        <v>801.38</v>
      </c>
      <c r="D65">
        <v>1802.55</v>
      </c>
      <c r="E65">
        <v>2603.9299999999998</v>
      </c>
    </row>
    <row r="66" spans="1:5">
      <c r="A66" s="37" t="s">
        <v>162</v>
      </c>
      <c r="B66">
        <v>21</v>
      </c>
      <c r="C66">
        <v>801.38</v>
      </c>
      <c r="D66">
        <v>1802.55</v>
      </c>
      <c r="E66">
        <v>2603.9299999999998</v>
      </c>
    </row>
    <row r="67" spans="1:5">
      <c r="A67" s="37" t="s">
        <v>236</v>
      </c>
      <c r="B67">
        <v>21</v>
      </c>
      <c r="C67">
        <v>801.38</v>
      </c>
      <c r="D67">
        <v>1802.55</v>
      </c>
      <c r="E67">
        <v>2603.9299999999998</v>
      </c>
    </row>
    <row r="68" spans="1:5">
      <c r="A68" s="37" t="s">
        <v>184</v>
      </c>
      <c r="B68">
        <v>21</v>
      </c>
      <c r="C68">
        <v>801.38</v>
      </c>
      <c r="D68">
        <v>1802.55</v>
      </c>
      <c r="E68">
        <v>2603.9299999999998</v>
      </c>
    </row>
    <row r="69" spans="1:5">
      <c r="A69" s="37" t="s">
        <v>368</v>
      </c>
      <c r="B69">
        <v>21</v>
      </c>
      <c r="C69">
        <v>801.38</v>
      </c>
      <c r="D69">
        <v>1802.55</v>
      </c>
      <c r="E69">
        <v>2603.9299999999998</v>
      </c>
    </row>
    <row r="70" spans="1:5">
      <c r="A70" s="37" t="s">
        <v>168</v>
      </c>
      <c r="B70">
        <v>21</v>
      </c>
      <c r="C70">
        <v>801.38</v>
      </c>
      <c r="D70">
        <v>1802.55</v>
      </c>
      <c r="E70">
        <v>2603.9299999999998</v>
      </c>
    </row>
    <row r="71" spans="1:5">
      <c r="A71" s="37" t="s">
        <v>207</v>
      </c>
      <c r="B71">
        <v>21</v>
      </c>
      <c r="C71">
        <v>801.38</v>
      </c>
      <c r="D71">
        <v>1802.55</v>
      </c>
      <c r="E71">
        <v>2603.9299999999998</v>
      </c>
    </row>
    <row r="72" spans="1:5">
      <c r="A72" s="37" t="s">
        <v>248</v>
      </c>
      <c r="B72">
        <v>21</v>
      </c>
      <c r="C72">
        <v>801.38</v>
      </c>
      <c r="D72">
        <v>1802.55</v>
      </c>
      <c r="E72">
        <v>2603.9299999999998</v>
      </c>
    </row>
    <row r="73" spans="1:5">
      <c r="A73" s="37" t="s">
        <v>256</v>
      </c>
      <c r="B73">
        <v>21</v>
      </c>
      <c r="C73">
        <v>801.38</v>
      </c>
      <c r="D73">
        <v>1802.55</v>
      </c>
      <c r="E73">
        <v>2603.9299999999998</v>
      </c>
    </row>
    <row r="74" spans="1:5">
      <c r="A74" s="37" t="s">
        <v>183</v>
      </c>
      <c r="B74">
        <v>21</v>
      </c>
      <c r="C74">
        <v>801.38</v>
      </c>
      <c r="D74">
        <v>1802.55</v>
      </c>
      <c r="E74">
        <v>2603.9299999999998</v>
      </c>
    </row>
    <row r="75" spans="1:5">
      <c r="A75" s="37" t="s">
        <v>161</v>
      </c>
      <c r="B75">
        <v>21</v>
      </c>
      <c r="C75">
        <v>801.38</v>
      </c>
      <c r="D75">
        <v>1802.55</v>
      </c>
      <c r="E75">
        <v>2603.9299999999998</v>
      </c>
    </row>
    <row r="76" spans="1:5">
      <c r="A76" s="37" t="s">
        <v>108</v>
      </c>
      <c r="B76">
        <v>21</v>
      </c>
      <c r="C76">
        <v>801.38</v>
      </c>
      <c r="D76">
        <v>1802.55</v>
      </c>
      <c r="E76">
        <v>2603.9299999999998</v>
      </c>
    </row>
    <row r="77" spans="1:5">
      <c r="A77" s="37" t="s">
        <v>110</v>
      </c>
      <c r="B77">
        <v>21</v>
      </c>
      <c r="C77">
        <v>801.38</v>
      </c>
      <c r="D77">
        <v>1802.55</v>
      </c>
      <c r="E77">
        <v>2603.9299999999998</v>
      </c>
    </row>
    <row r="78" spans="1:5">
      <c r="A78" s="37" t="s">
        <v>90</v>
      </c>
      <c r="B78">
        <v>21</v>
      </c>
      <c r="C78">
        <v>801.38</v>
      </c>
      <c r="D78">
        <v>1802.55</v>
      </c>
      <c r="E78">
        <v>2603.9299999999998</v>
      </c>
    </row>
    <row r="79" spans="1:5">
      <c r="A79" s="37" t="s">
        <v>369</v>
      </c>
      <c r="B79">
        <v>21</v>
      </c>
      <c r="C79">
        <v>801.38</v>
      </c>
      <c r="D79">
        <v>1802.55</v>
      </c>
      <c r="E79">
        <v>2603.9299999999998</v>
      </c>
    </row>
    <row r="80" spans="1:5">
      <c r="A80" s="37" t="s">
        <v>355</v>
      </c>
      <c r="B80">
        <v>21</v>
      </c>
      <c r="C80">
        <v>801.38</v>
      </c>
      <c r="D80">
        <v>1802.55</v>
      </c>
      <c r="E80">
        <v>2603.9299999999998</v>
      </c>
    </row>
    <row r="81" spans="1:5">
      <c r="A81" s="37" t="s">
        <v>350</v>
      </c>
      <c r="B81">
        <v>21</v>
      </c>
      <c r="C81">
        <v>801.38</v>
      </c>
      <c r="D81">
        <v>1802.55</v>
      </c>
      <c r="E81">
        <v>2603.9299999999998</v>
      </c>
    </row>
    <row r="82" spans="1:5">
      <c r="A82" s="37" t="s">
        <v>196</v>
      </c>
      <c r="B82">
        <v>21</v>
      </c>
      <c r="C82">
        <v>801.38</v>
      </c>
      <c r="D82">
        <v>1802.55</v>
      </c>
      <c r="E82">
        <v>2603.9299999999998</v>
      </c>
    </row>
    <row r="83" spans="1:5">
      <c r="A83" s="37" t="s">
        <v>210</v>
      </c>
      <c r="B83">
        <v>21</v>
      </c>
      <c r="C83">
        <v>801.38</v>
      </c>
      <c r="D83">
        <v>1802.55</v>
      </c>
      <c r="E83">
        <v>2603.9299999999998</v>
      </c>
    </row>
    <row r="84" spans="1:5">
      <c r="A84" s="37" t="s">
        <v>226</v>
      </c>
      <c r="B84">
        <v>21</v>
      </c>
      <c r="C84">
        <v>801.38</v>
      </c>
      <c r="D84">
        <v>1802.55</v>
      </c>
      <c r="E84">
        <v>2603.9299999999998</v>
      </c>
    </row>
    <row r="85" spans="1:5">
      <c r="A85" s="37" t="s">
        <v>362</v>
      </c>
      <c r="B85">
        <v>21</v>
      </c>
      <c r="C85">
        <v>801.38</v>
      </c>
      <c r="D85">
        <v>1802.55</v>
      </c>
      <c r="E85">
        <v>2603.9299999999998</v>
      </c>
    </row>
    <row r="86" spans="1:5">
      <c r="A86" s="37" t="s">
        <v>179</v>
      </c>
      <c r="B86">
        <v>21</v>
      </c>
      <c r="C86">
        <v>801.38</v>
      </c>
      <c r="D86">
        <v>1802.55</v>
      </c>
      <c r="E86">
        <v>2603.9299999999998</v>
      </c>
    </row>
    <row r="87" spans="1:5">
      <c r="A87" s="37" t="s">
        <v>149</v>
      </c>
      <c r="B87">
        <v>21</v>
      </c>
      <c r="C87">
        <v>801.38</v>
      </c>
      <c r="D87">
        <v>1802.55</v>
      </c>
      <c r="E87">
        <v>2603.9299999999998</v>
      </c>
    </row>
    <row r="88" spans="1:5">
      <c r="A88" s="37" t="s">
        <v>262</v>
      </c>
      <c r="B88">
        <v>21</v>
      </c>
      <c r="C88">
        <v>801.38</v>
      </c>
      <c r="D88">
        <v>1802.55</v>
      </c>
      <c r="E88">
        <v>2603.9299999999998</v>
      </c>
    </row>
    <row r="89" spans="1:5">
      <c r="A89" s="37" t="s">
        <v>85</v>
      </c>
      <c r="B89">
        <v>21</v>
      </c>
      <c r="C89">
        <v>801.38</v>
      </c>
      <c r="D89">
        <v>1802.55</v>
      </c>
      <c r="E89">
        <v>2603.9299999999998</v>
      </c>
    </row>
    <row r="90" spans="1:5">
      <c r="A90" s="37" t="s">
        <v>253</v>
      </c>
      <c r="B90">
        <v>21</v>
      </c>
      <c r="C90">
        <v>801.38</v>
      </c>
      <c r="D90">
        <v>1802.55</v>
      </c>
      <c r="E90">
        <v>2603.9299999999998</v>
      </c>
    </row>
    <row r="91" spans="1:5">
      <c r="A91" s="37" t="s">
        <v>103</v>
      </c>
      <c r="B91">
        <v>21</v>
      </c>
      <c r="C91">
        <v>801.38</v>
      </c>
      <c r="D91">
        <v>1802.55</v>
      </c>
      <c r="E91">
        <v>2603.9299999999998</v>
      </c>
    </row>
    <row r="92" spans="1:5">
      <c r="A92" s="37" t="s">
        <v>211</v>
      </c>
      <c r="B92">
        <v>21</v>
      </c>
      <c r="C92">
        <v>801.38</v>
      </c>
      <c r="D92">
        <v>1802.55</v>
      </c>
      <c r="E92">
        <v>2603.9299999999998</v>
      </c>
    </row>
    <row r="93" spans="1:5">
      <c r="A93" s="37" t="s">
        <v>272</v>
      </c>
      <c r="B93">
        <v>21</v>
      </c>
      <c r="C93">
        <v>801.38</v>
      </c>
      <c r="D93">
        <v>1802.55</v>
      </c>
      <c r="E93">
        <v>2603.9299999999998</v>
      </c>
    </row>
    <row r="94" spans="1:5">
      <c r="A94" s="37" t="s">
        <v>176</v>
      </c>
      <c r="B94">
        <v>21</v>
      </c>
      <c r="C94">
        <v>801.38</v>
      </c>
      <c r="D94">
        <v>1802.55</v>
      </c>
      <c r="E94">
        <v>2603.9299999999998</v>
      </c>
    </row>
    <row r="95" spans="1:5">
      <c r="A95" s="37" t="s">
        <v>280</v>
      </c>
      <c r="B95">
        <v>21</v>
      </c>
      <c r="C95">
        <v>801.38</v>
      </c>
      <c r="D95">
        <v>1802.55</v>
      </c>
      <c r="E95">
        <v>2603.9299999999998</v>
      </c>
    </row>
    <row r="96" spans="1:5">
      <c r="A96" s="37" t="s">
        <v>349</v>
      </c>
      <c r="B96">
        <v>21</v>
      </c>
      <c r="C96">
        <v>801.38</v>
      </c>
      <c r="D96">
        <v>1802.55</v>
      </c>
      <c r="E96">
        <v>2603.9299999999998</v>
      </c>
    </row>
    <row r="97" spans="1:5">
      <c r="A97" s="37" t="s">
        <v>269</v>
      </c>
      <c r="B97">
        <v>21</v>
      </c>
      <c r="C97">
        <v>801.38</v>
      </c>
      <c r="D97">
        <v>1802.55</v>
      </c>
      <c r="E97">
        <v>2603.9299999999998</v>
      </c>
    </row>
    <row r="98" spans="1:5">
      <c r="A98" s="37" t="s">
        <v>173</v>
      </c>
      <c r="B98">
        <v>21</v>
      </c>
      <c r="C98">
        <v>801.38</v>
      </c>
      <c r="D98">
        <v>1802.55</v>
      </c>
      <c r="E98">
        <v>2603.9299999999998</v>
      </c>
    </row>
    <row r="99" spans="1:5">
      <c r="A99" s="37" t="s">
        <v>177</v>
      </c>
      <c r="B99">
        <v>21</v>
      </c>
      <c r="C99">
        <v>538.12</v>
      </c>
      <c r="D99">
        <v>1060.19</v>
      </c>
      <c r="E99">
        <v>1598.31</v>
      </c>
    </row>
    <row r="100" spans="1:5">
      <c r="A100" s="5" t="s">
        <v>206</v>
      </c>
      <c r="B100">
        <v>21</v>
      </c>
      <c r="C100">
        <v>538.12</v>
      </c>
      <c r="D100">
        <v>1060.19</v>
      </c>
      <c r="E100">
        <v>1598.31</v>
      </c>
    </row>
    <row r="101" spans="1:5">
      <c r="A101" s="5" t="s">
        <v>201</v>
      </c>
      <c r="B101">
        <v>21</v>
      </c>
      <c r="C101">
        <v>538.12</v>
      </c>
      <c r="D101">
        <v>1060.19</v>
      </c>
      <c r="E101">
        <v>1598.31</v>
      </c>
    </row>
    <row r="102" spans="1:5">
      <c r="A102" s="5" t="s">
        <v>202</v>
      </c>
      <c r="B102">
        <v>21</v>
      </c>
      <c r="C102">
        <v>538.12</v>
      </c>
      <c r="D102">
        <v>1060.19</v>
      </c>
      <c r="E102">
        <v>1598.31</v>
      </c>
    </row>
    <row r="103" spans="1:5">
      <c r="A103" s="5" t="s">
        <v>204</v>
      </c>
      <c r="B103">
        <v>21</v>
      </c>
      <c r="C103">
        <v>538.12</v>
      </c>
      <c r="D103">
        <v>1060.19</v>
      </c>
      <c r="E103">
        <v>1598.31</v>
      </c>
    </row>
    <row r="104" spans="1:5">
      <c r="A104" s="5" t="s">
        <v>371</v>
      </c>
      <c r="B104">
        <v>21</v>
      </c>
      <c r="C104">
        <v>399</v>
      </c>
      <c r="D104">
        <v>980.4</v>
      </c>
      <c r="E104">
        <v>1379.4</v>
      </c>
    </row>
    <row r="105" spans="1:5">
      <c r="A105" s="5" t="s">
        <v>293</v>
      </c>
      <c r="B105">
        <v>21</v>
      </c>
      <c r="C105">
        <v>787.36</v>
      </c>
      <c r="D105">
        <v>1385.42</v>
      </c>
      <c r="E105">
        <v>2172.7800000000002</v>
      </c>
    </row>
    <row r="106" spans="1:5">
      <c r="A106" s="5" t="s">
        <v>301</v>
      </c>
      <c r="B106">
        <v>21</v>
      </c>
      <c r="C106">
        <v>742</v>
      </c>
      <c r="D106">
        <v>1303.1999999999998</v>
      </c>
      <c r="E106">
        <v>2045.1999999999998</v>
      </c>
    </row>
    <row r="107" spans="1:5">
      <c r="A107" s="5" t="s">
        <v>300</v>
      </c>
      <c r="B107">
        <v>21</v>
      </c>
      <c r="C107">
        <v>787.36</v>
      </c>
      <c r="D107">
        <v>1385.42</v>
      </c>
      <c r="E107">
        <v>2172.7800000000002</v>
      </c>
    </row>
    <row r="108" spans="1:5">
      <c r="A108" s="5" t="s">
        <v>295</v>
      </c>
      <c r="B108">
        <v>21</v>
      </c>
      <c r="C108">
        <v>787.36</v>
      </c>
      <c r="D108">
        <v>1385.42</v>
      </c>
      <c r="E108">
        <v>2172.7800000000002</v>
      </c>
    </row>
    <row r="109" spans="1:5">
      <c r="A109" s="5" t="s">
        <v>373</v>
      </c>
      <c r="B109">
        <v>21</v>
      </c>
      <c r="C109">
        <v>561</v>
      </c>
      <c r="D109">
        <v>1142.4000000000001</v>
      </c>
      <c r="E109">
        <v>1703.4</v>
      </c>
    </row>
    <row r="110" spans="1:5">
      <c r="A110" s="5" t="s">
        <v>289</v>
      </c>
      <c r="B110">
        <v>21</v>
      </c>
      <c r="C110">
        <v>561</v>
      </c>
      <c r="D110">
        <v>1142.4000000000001</v>
      </c>
      <c r="E110">
        <v>1703.4</v>
      </c>
    </row>
    <row r="111" spans="1:5">
      <c r="A111" s="5" t="s">
        <v>298</v>
      </c>
      <c r="B111">
        <v>21</v>
      </c>
      <c r="C111">
        <v>728.36</v>
      </c>
      <c r="D111">
        <v>1403.9499999999998</v>
      </c>
      <c r="E111">
        <v>2132.31</v>
      </c>
    </row>
    <row r="112" spans="1:5">
      <c r="A112" s="5" t="s">
        <v>358</v>
      </c>
      <c r="B112">
        <v>21</v>
      </c>
      <c r="C112">
        <v>454.36</v>
      </c>
      <c r="D112">
        <v>1129.95</v>
      </c>
      <c r="E112">
        <v>1584.31</v>
      </c>
    </row>
    <row r="113" spans="1:5">
      <c r="A113" s="5" t="s">
        <v>285</v>
      </c>
      <c r="B113">
        <v>21</v>
      </c>
      <c r="C113">
        <v>561</v>
      </c>
      <c r="D113">
        <v>1142.4000000000001</v>
      </c>
      <c r="E113">
        <v>1703.4</v>
      </c>
    </row>
    <row r="114" spans="1:5">
      <c r="A114" s="5" t="s">
        <v>347</v>
      </c>
      <c r="B114">
        <v>21</v>
      </c>
      <c r="C114">
        <v>787.36</v>
      </c>
      <c r="D114">
        <v>1385.42</v>
      </c>
      <c r="E114">
        <v>2172.7800000000002</v>
      </c>
    </row>
    <row r="115" spans="1:5">
      <c r="A115" s="5" t="s">
        <v>296</v>
      </c>
      <c r="B115">
        <v>21</v>
      </c>
      <c r="C115">
        <v>787.36</v>
      </c>
      <c r="D115">
        <v>1385.42</v>
      </c>
      <c r="E115">
        <v>2172.7800000000002</v>
      </c>
    </row>
    <row r="116" spans="1:5">
      <c r="A116" s="5" t="s">
        <v>291</v>
      </c>
      <c r="B116">
        <v>21</v>
      </c>
      <c r="C116">
        <v>399</v>
      </c>
      <c r="D116">
        <v>980.4</v>
      </c>
      <c r="E116">
        <v>1379.4</v>
      </c>
    </row>
    <row r="117" spans="1:5">
      <c r="A117" s="5" t="s">
        <v>381</v>
      </c>
      <c r="B117">
        <v>21</v>
      </c>
      <c r="C117">
        <v>399</v>
      </c>
      <c r="D117">
        <v>980.4</v>
      </c>
      <c r="E117">
        <v>1379.4</v>
      </c>
    </row>
  </sheetData>
  <mergeCells count="1">
    <mergeCell ref="A1:A3"/>
  </mergeCells>
  <phoneticPr fontId="23" type="noConversion"/>
  <conditionalFormatting sqref="A1:A3">
    <cfRule type="duplicateValues" dxfId="213" priority="134"/>
  </conditionalFormatting>
  <conditionalFormatting sqref="A48:A52">
    <cfRule type="duplicateValues" dxfId="212" priority="194"/>
    <cfRule type="duplicateValues" dxfId="211" priority="195"/>
    <cfRule type="duplicateValues" dxfId="210" priority="196"/>
    <cfRule type="duplicateValues" dxfId="209" priority="197"/>
  </conditionalFormatting>
  <conditionalFormatting sqref="A48:A98">
    <cfRule type="cellIs" dxfId="208" priority="131" stopIfTrue="1" operator="between">
      <formula>-1</formula>
      <formula>-10000</formula>
    </cfRule>
  </conditionalFormatting>
  <conditionalFormatting sqref="A49:A52">
    <cfRule type="duplicateValues" dxfId="207" priority="144"/>
    <cfRule type="duplicateValues" dxfId="206" priority="145"/>
    <cfRule type="duplicateValues" dxfId="205" priority="146"/>
    <cfRule type="duplicateValues" dxfId="204" priority="147"/>
    <cfRule type="duplicateValues" dxfId="203" priority="148"/>
    <cfRule type="duplicateValues" dxfId="202" priority="149"/>
    <cfRule type="duplicateValues" dxfId="201" priority="150"/>
    <cfRule type="duplicateValues" dxfId="200" priority="151"/>
    <cfRule type="cellIs" dxfId="199" priority="152" stopIfTrue="1" operator="between">
      <formula>-1</formula>
      <formula>-10000</formula>
    </cfRule>
    <cfRule type="duplicateValues" dxfId="198" priority="172"/>
    <cfRule type="duplicateValues" dxfId="197" priority="173"/>
    <cfRule type="duplicateValues" dxfId="196" priority="174"/>
    <cfRule type="duplicateValues" dxfId="195" priority="175"/>
    <cfRule type="duplicateValues" dxfId="194" priority="176"/>
    <cfRule type="duplicateValues" dxfId="193" priority="177"/>
    <cfRule type="duplicateValues" dxfId="192" priority="189"/>
  </conditionalFormatting>
  <conditionalFormatting sqref="A50">
    <cfRule type="duplicateValues" dxfId="191" priority="114"/>
    <cfRule type="duplicateValues" dxfId="190" priority="115"/>
    <cfRule type="duplicateValues" dxfId="189" priority="136"/>
    <cfRule type="duplicateValues" dxfId="188" priority="137"/>
    <cfRule type="duplicateValues" dxfId="187" priority="138"/>
    <cfRule type="duplicateValues" dxfId="186" priority="139"/>
    <cfRule type="duplicateValues" dxfId="185" priority="140"/>
    <cfRule type="cellIs" dxfId="184" priority="141" stopIfTrue="1" operator="between">
      <formula>-1</formula>
      <formula>-10000</formula>
    </cfRule>
  </conditionalFormatting>
  <conditionalFormatting sqref="A50:A51">
    <cfRule type="duplicateValues" dxfId="183" priority="143"/>
  </conditionalFormatting>
  <conditionalFormatting sqref="A50:A52">
    <cfRule type="duplicateValues" dxfId="182" priority="154"/>
    <cfRule type="duplicateValues" dxfId="181" priority="155"/>
    <cfRule type="duplicateValues" dxfId="180" priority="156"/>
    <cfRule type="duplicateValues" dxfId="179" priority="157"/>
    <cfRule type="duplicateValues" dxfId="178" priority="158"/>
    <cfRule type="duplicateValues" dxfId="177" priority="159"/>
    <cfRule type="cellIs" dxfId="176" priority="160" stopIfTrue="1" operator="between">
      <formula>-1</formula>
      <formula>-10000</formula>
    </cfRule>
    <cfRule type="duplicateValues" dxfId="175" priority="178"/>
    <cfRule type="duplicateValues" dxfId="174" priority="179"/>
    <cfRule type="duplicateValues" dxfId="173" priority="180"/>
    <cfRule type="duplicateValues" dxfId="172" priority="181"/>
    <cfRule type="duplicateValues" dxfId="171" priority="182"/>
  </conditionalFormatting>
  <conditionalFormatting sqref="A51">
    <cfRule type="duplicateValues" dxfId="170" priority="109"/>
    <cfRule type="duplicateValues" dxfId="169" priority="110"/>
    <cfRule type="duplicateValues" dxfId="168" priority="111"/>
    <cfRule type="duplicateValues" dxfId="167" priority="112"/>
    <cfRule type="duplicateValues" dxfId="166" priority="113"/>
    <cfRule type="duplicateValues" dxfId="165" priority="116"/>
    <cfRule type="duplicateValues" dxfId="164" priority="117"/>
    <cfRule type="duplicateValues" dxfId="163" priority="118"/>
    <cfRule type="duplicateValues" dxfId="162" priority="119"/>
  </conditionalFormatting>
  <conditionalFormatting sqref="A52">
    <cfRule type="duplicateValues" dxfId="161" priority="162"/>
    <cfRule type="duplicateValues" dxfId="160" priority="163"/>
    <cfRule type="duplicateValues" dxfId="159" priority="164"/>
    <cfRule type="duplicateValues" dxfId="158" priority="165"/>
    <cfRule type="duplicateValues" dxfId="157" priority="166"/>
    <cfRule type="cellIs" dxfId="156" priority="167" stopIfTrue="1" operator="between">
      <formula>-1</formula>
      <formula>-10000</formula>
    </cfRule>
    <cfRule type="duplicateValues" dxfId="155" priority="169"/>
    <cfRule type="duplicateValues" dxfId="154" priority="170"/>
    <cfRule type="duplicateValues" dxfId="153" priority="171"/>
    <cfRule type="duplicateValues" dxfId="152" priority="183"/>
    <cfRule type="duplicateValues" dxfId="151" priority="184"/>
    <cfRule type="duplicateValues" dxfId="150" priority="185"/>
    <cfRule type="duplicateValues" dxfId="149" priority="186"/>
    <cfRule type="duplicateValues" dxfId="148" priority="187"/>
    <cfRule type="duplicateValues" dxfId="147" priority="188"/>
  </conditionalFormatting>
  <conditionalFormatting sqref="A53">
    <cfRule type="duplicateValues" dxfId="146" priority="121"/>
    <cfRule type="duplicateValues" dxfId="145" priority="122"/>
    <cfRule type="duplicateValues" dxfId="144" priority="123"/>
    <cfRule type="duplicateValues" dxfId="143" priority="124"/>
    <cfRule type="duplicateValues" dxfId="142" priority="125"/>
    <cfRule type="duplicateValues" dxfId="141" priority="126"/>
    <cfRule type="cellIs" dxfId="140" priority="127" stopIfTrue="1" operator="between">
      <formula>-1</formula>
      <formula>-10000</formula>
    </cfRule>
  </conditionalFormatting>
  <conditionalFormatting sqref="A54">
    <cfRule type="duplicateValues" dxfId="139" priority="198"/>
    <cfRule type="duplicateValues" dxfId="138" priority="199"/>
    <cfRule type="duplicateValues" dxfId="137" priority="200"/>
    <cfRule type="duplicateValues" dxfId="136" priority="201"/>
    <cfRule type="duplicateValues" dxfId="135" priority="202"/>
    <cfRule type="cellIs" dxfId="134" priority="203" stopIfTrue="1" operator="between">
      <formula>-1</formula>
      <formula>-10000</formula>
    </cfRule>
    <cfRule type="duplicateValues" dxfId="133" priority="205"/>
  </conditionalFormatting>
  <conditionalFormatting sqref="A55">
    <cfRule type="duplicateValues" dxfId="132" priority="96"/>
    <cfRule type="duplicateValues" dxfId="131" priority="97"/>
    <cfRule type="duplicateValues" dxfId="130" priority="98"/>
    <cfRule type="duplicateValues" dxfId="129" priority="99"/>
    <cfRule type="duplicateValues" dxfId="128" priority="100"/>
    <cfRule type="duplicateValues" dxfId="127" priority="101"/>
    <cfRule type="duplicateValues" dxfId="126" priority="102"/>
    <cfRule type="duplicateValues" dxfId="125" priority="103"/>
    <cfRule type="duplicateValues" dxfId="124" priority="104"/>
    <cfRule type="duplicateValues" dxfId="123" priority="105"/>
    <cfRule type="cellIs" dxfId="122" priority="106" stopIfTrue="1" operator="between">
      <formula>-1</formula>
      <formula>-10000</formula>
    </cfRule>
    <cfRule type="duplicateValues" dxfId="121" priority="108"/>
  </conditionalFormatting>
  <conditionalFormatting sqref="A56:A66">
    <cfRule type="duplicateValues" dxfId="120" priority="190"/>
    <cfRule type="duplicateValues" dxfId="119" priority="191"/>
    <cfRule type="duplicateValues" dxfId="118" priority="192"/>
    <cfRule type="duplicateValues" dxfId="117" priority="193"/>
  </conditionalFormatting>
  <conditionalFormatting sqref="A56:A1048576 A1:A54">
    <cfRule type="duplicateValues" dxfId="116" priority="120"/>
    <cfRule type="duplicateValues" dxfId="115" priority="129"/>
  </conditionalFormatting>
  <conditionalFormatting sqref="A56:A1048576 A40:A54 A1:A3">
    <cfRule type="duplicateValues" dxfId="114" priority="130"/>
    <cfRule type="duplicateValues" dxfId="113" priority="133"/>
    <cfRule type="duplicateValues" dxfId="112" priority="135"/>
  </conditionalFormatting>
  <conditionalFormatting sqref="A62:A66">
    <cfRule type="duplicateValues" dxfId="111" priority="27"/>
    <cfRule type="duplicateValues" dxfId="110" priority="28"/>
    <cfRule type="duplicateValues" dxfId="109" priority="29"/>
    <cfRule type="duplicateValues" dxfId="108" priority="30"/>
  </conditionalFormatting>
  <conditionalFormatting sqref="A64:A66">
    <cfRule type="duplicateValues" dxfId="107" priority="26"/>
  </conditionalFormatting>
  <conditionalFormatting sqref="A66">
    <cfRule type="duplicateValues" dxfId="106" priority="1"/>
    <cfRule type="duplicateValues" dxfId="105" priority="2"/>
    <cfRule type="duplicateValues" dxfId="104" priority="3"/>
    <cfRule type="duplicateValues" dxfId="103" priority="4"/>
    <cfRule type="duplicateValues" dxfId="102" priority="5"/>
    <cfRule type="duplicateValues" dxfId="101" priority="6"/>
    <cfRule type="duplicateValues" dxfId="100" priority="7"/>
    <cfRule type="duplicateValues" dxfId="99" priority="8"/>
    <cfRule type="duplicateValues" dxfId="98" priority="9"/>
    <cfRule type="duplicateValues" dxfId="97" priority="10"/>
    <cfRule type="duplicateValues" dxfId="96" priority="11"/>
    <cfRule type="duplicateValues" dxfId="95" priority="12"/>
    <cfRule type="duplicateValues" dxfId="94" priority="13"/>
    <cfRule type="duplicateValues" dxfId="93" priority="14"/>
    <cfRule type="cellIs" dxfId="92" priority="15" stopIfTrue="1" operator="between">
      <formula>-1</formula>
      <formula>-10000</formula>
    </cfRule>
    <cfRule type="duplicateValues" dxfId="91" priority="17"/>
    <cfRule type="duplicateValues" dxfId="90" priority="18"/>
    <cfRule type="cellIs" dxfId="89" priority="19" stopIfTrue="1" operator="between">
      <formula>-1</formula>
      <formula>-10000</formula>
    </cfRule>
    <cfRule type="duplicateValues" dxfId="88" priority="21"/>
    <cfRule type="duplicateValues" dxfId="87" priority="22"/>
    <cfRule type="duplicateValues" dxfId="86" priority="23"/>
    <cfRule type="duplicateValues" dxfId="85" priority="24"/>
    <cfRule type="duplicateValues" dxfId="84" priority="25"/>
  </conditionalFormatting>
  <conditionalFormatting sqref="A67:A98">
    <cfRule type="duplicateValues" dxfId="83" priority="206"/>
    <cfRule type="duplicateValues" dxfId="82" priority="207"/>
    <cfRule type="duplicateValues" dxfId="81" priority="208"/>
    <cfRule type="duplicateValues" dxfId="80" priority="209"/>
  </conditionalFormatting>
  <conditionalFormatting sqref="A69:A98">
    <cfRule type="duplicateValues" dxfId="79" priority="210"/>
  </conditionalFormatting>
  <conditionalFormatting sqref="A71">
    <cfRule type="duplicateValues" dxfId="78" priority="71"/>
    <cfRule type="duplicateValues" dxfId="77" priority="72"/>
    <cfRule type="duplicateValues" dxfId="76" priority="73"/>
    <cfRule type="duplicateValues" dxfId="75" priority="74"/>
    <cfRule type="duplicateValues" dxfId="74" priority="75"/>
    <cfRule type="duplicateValues" dxfId="73" priority="76"/>
    <cfRule type="duplicateValues" dxfId="72" priority="77"/>
    <cfRule type="duplicateValues" dxfId="71" priority="78"/>
    <cfRule type="duplicateValues" dxfId="70" priority="79"/>
    <cfRule type="duplicateValues" dxfId="69" priority="80"/>
    <cfRule type="duplicateValues" dxfId="68" priority="81"/>
    <cfRule type="duplicateValues" dxfId="67" priority="82"/>
    <cfRule type="duplicateValues" dxfId="66" priority="83"/>
    <cfRule type="duplicateValues" dxfId="65" priority="84"/>
    <cfRule type="cellIs" dxfId="64" priority="85" stopIfTrue="1" operator="between">
      <formula>-1</formula>
      <formula>-10000</formula>
    </cfRule>
    <cfRule type="duplicateValues" dxfId="63" priority="87"/>
    <cfRule type="duplicateValues" dxfId="62" priority="88"/>
    <cfRule type="cellIs" dxfId="61" priority="89" stopIfTrue="1" operator="between">
      <formula>-1</formula>
      <formula>-10000</formula>
    </cfRule>
    <cfRule type="duplicateValues" dxfId="60" priority="91"/>
    <cfRule type="duplicateValues" dxfId="59" priority="92"/>
    <cfRule type="duplicateValues" dxfId="58" priority="93"/>
    <cfRule type="duplicateValues" dxfId="57" priority="94"/>
    <cfRule type="duplicateValues" dxfId="56" priority="95"/>
  </conditionalFormatting>
  <conditionalFormatting sqref="A72:A98">
    <cfRule type="duplicateValues" dxfId="55" priority="211"/>
    <cfRule type="duplicateValues" dxfId="54" priority="212"/>
    <cfRule type="duplicateValues" dxfId="53" priority="213"/>
    <cfRule type="duplicateValues" dxfId="52" priority="214"/>
    <cfRule type="duplicateValues" dxfId="51" priority="215"/>
    <cfRule type="cellIs" dxfId="50" priority="216" stopIfTrue="1" operator="between">
      <formula>-1</formula>
      <formula>-10000</formula>
    </cfRule>
    <cfRule type="duplicateValues" dxfId="49" priority="218"/>
    <cfRule type="duplicateValues" dxfId="48" priority="219"/>
    <cfRule type="duplicateValues" dxfId="47" priority="220"/>
    <cfRule type="duplicateValues" dxfId="46" priority="221"/>
    <cfRule type="duplicateValues" dxfId="45" priority="222"/>
    <cfRule type="duplicateValues" dxfId="44" priority="223"/>
    <cfRule type="duplicateValues" dxfId="43" priority="224"/>
    <cfRule type="duplicateValues" dxfId="42" priority="225"/>
    <cfRule type="duplicateValues" dxfId="41" priority="226"/>
    <cfRule type="cellIs" dxfId="40" priority="227" stopIfTrue="1" operator="between">
      <formula>-1</formula>
      <formula>-10000</formula>
    </cfRule>
    <cfRule type="duplicateValues" dxfId="39" priority="229"/>
    <cfRule type="duplicateValues" dxfId="38" priority="230"/>
    <cfRule type="duplicateValues" dxfId="37" priority="231"/>
    <cfRule type="duplicateValues" dxfId="36" priority="232"/>
  </conditionalFormatting>
  <conditionalFormatting sqref="A99">
    <cfRule type="duplicateValues" dxfId="35" priority="31"/>
    <cfRule type="duplicateValues" dxfId="34" priority="32"/>
    <cfRule type="duplicateValues" dxfId="33" priority="33"/>
    <cfRule type="duplicateValues" dxfId="32" priority="34"/>
    <cfRule type="duplicateValues" dxfId="31" priority="35"/>
    <cfRule type="duplicateValues" dxfId="30" priority="36"/>
    <cfRule type="duplicateValues" dxfId="29" priority="37"/>
    <cfRule type="duplicateValues" dxfId="28" priority="38"/>
    <cfRule type="duplicateValues" dxfId="27" priority="39"/>
    <cfRule type="duplicateValues" dxfId="26" priority="40"/>
    <cfRule type="duplicateValues" dxfId="25" priority="41"/>
    <cfRule type="duplicateValues" dxfId="24" priority="42"/>
    <cfRule type="duplicateValues" dxfId="23" priority="43"/>
    <cfRule type="duplicateValues" dxfId="22" priority="44"/>
    <cfRule type="duplicateValues" dxfId="21" priority="45"/>
    <cfRule type="cellIs" dxfId="20" priority="46" stopIfTrue="1" operator="between">
      <formula>-1</formula>
      <formula>-10000</formula>
    </cfRule>
    <cfRule type="duplicateValues" dxfId="19" priority="48"/>
    <cfRule type="duplicateValues" dxfId="18" priority="49"/>
    <cfRule type="cellIs" dxfId="17" priority="50" stopIfTrue="1" operator="between">
      <formula>-1</formula>
      <formula>-10000</formula>
    </cfRule>
    <cfRule type="duplicateValues" dxfId="16" priority="52"/>
    <cfRule type="duplicateValues" dxfId="15" priority="53"/>
    <cfRule type="duplicateValues" dxfId="14" priority="54"/>
    <cfRule type="duplicateValues" dxfId="13" priority="55"/>
    <cfRule type="duplicateValues" dxfId="12" priority="56"/>
    <cfRule type="duplicateValues" dxfId="11" priority="57"/>
    <cfRule type="duplicateValues" dxfId="10" priority="58"/>
    <cfRule type="duplicateValues" dxfId="9" priority="59"/>
    <cfRule type="duplicateValues" dxfId="8" priority="60"/>
    <cfRule type="duplicateValues" dxfId="7" priority="61"/>
    <cfRule type="cellIs" dxfId="6" priority="62" stopIfTrue="1" operator="between">
      <formula>-1</formula>
      <formula>-10000</formula>
    </cfRule>
    <cfRule type="duplicateValues" dxfId="5" priority="64"/>
    <cfRule type="duplicateValues" dxfId="4" priority="65"/>
    <cfRule type="duplicateValues" dxfId="3" priority="66"/>
    <cfRule type="duplicateValues" dxfId="2" priority="67"/>
    <cfRule type="duplicateValues" dxfId="1" priority="68"/>
    <cfRule type="cellIs" dxfId="0" priority="69" stopIfTrue="1" operator="between">
      <formula>-1</formula>
      <formula>-10000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2"/>
  <sheetViews>
    <sheetView topLeftCell="A76" workbookViewId="0">
      <selection activeCell="C102" sqref="C102"/>
    </sheetView>
  </sheetViews>
  <sheetFormatPr defaultRowHeight="14.4"/>
  <sheetData>
    <row r="1" spans="1:13">
      <c r="A1" t="s">
        <v>22</v>
      </c>
      <c r="B1" t="s">
        <v>11</v>
      </c>
      <c r="C1" t="s">
        <v>315</v>
      </c>
      <c r="G1" t="s">
        <v>316</v>
      </c>
      <c r="K1" t="s">
        <v>317</v>
      </c>
    </row>
    <row r="2" spans="1:13">
      <c r="C2" t="s">
        <v>329</v>
      </c>
      <c r="E2" t="s">
        <v>330</v>
      </c>
      <c r="G2" t="s">
        <v>329</v>
      </c>
      <c r="I2" t="s">
        <v>330</v>
      </c>
      <c r="K2" t="s">
        <v>320</v>
      </c>
      <c r="L2" t="s">
        <v>319</v>
      </c>
      <c r="M2" t="s">
        <v>331</v>
      </c>
    </row>
    <row r="3" spans="1:13">
      <c r="C3" t="s">
        <v>320</v>
      </c>
      <c r="D3" t="s">
        <v>319</v>
      </c>
      <c r="E3" t="s">
        <v>320</v>
      </c>
      <c r="F3" t="s">
        <v>319</v>
      </c>
      <c r="G3" t="s">
        <v>320</v>
      </c>
      <c r="H3" t="s">
        <v>319</v>
      </c>
      <c r="I3" t="s">
        <v>320</v>
      </c>
      <c r="J3" t="s">
        <v>319</v>
      </c>
      <c r="K3" t="s">
        <v>320</v>
      </c>
      <c r="L3" t="s">
        <v>319</v>
      </c>
      <c r="M3" t="s">
        <v>331</v>
      </c>
    </row>
    <row r="4" spans="1:13">
      <c r="A4" t="s">
        <v>114</v>
      </c>
      <c r="B4">
        <v>21</v>
      </c>
      <c r="C4">
        <v>627.38</v>
      </c>
      <c r="D4">
        <v>1628.55</v>
      </c>
      <c r="E4">
        <v>174</v>
      </c>
      <c r="F4">
        <v>174</v>
      </c>
      <c r="G4">
        <v>0</v>
      </c>
      <c r="H4">
        <v>0</v>
      </c>
      <c r="I4">
        <v>0</v>
      </c>
      <c r="J4">
        <v>0</v>
      </c>
      <c r="K4">
        <v>801.38</v>
      </c>
      <c r="L4">
        <v>1802.55</v>
      </c>
      <c r="M4">
        <v>2603.9299999999998</v>
      </c>
    </row>
    <row r="5" spans="1:13">
      <c r="A5" t="s">
        <v>366</v>
      </c>
      <c r="B5">
        <v>21</v>
      </c>
      <c r="C5">
        <v>627.38</v>
      </c>
      <c r="D5">
        <v>1628.55</v>
      </c>
      <c r="E5">
        <v>174</v>
      </c>
      <c r="F5">
        <v>174</v>
      </c>
      <c r="G5">
        <v>0</v>
      </c>
      <c r="H5">
        <v>0</v>
      </c>
      <c r="I5">
        <v>0</v>
      </c>
      <c r="J5">
        <v>0</v>
      </c>
      <c r="K5">
        <v>801.38</v>
      </c>
      <c r="L5">
        <v>1802.55</v>
      </c>
      <c r="M5">
        <v>2603.9299999999998</v>
      </c>
    </row>
    <row r="6" spans="1:13">
      <c r="A6" t="s">
        <v>93</v>
      </c>
      <c r="B6">
        <v>21</v>
      </c>
      <c r="C6">
        <v>627.38</v>
      </c>
      <c r="D6">
        <v>1628.55</v>
      </c>
      <c r="E6">
        <v>174</v>
      </c>
      <c r="F6">
        <v>174</v>
      </c>
      <c r="G6">
        <v>0</v>
      </c>
      <c r="H6">
        <v>0</v>
      </c>
      <c r="I6">
        <v>0</v>
      </c>
      <c r="J6">
        <v>0</v>
      </c>
      <c r="K6">
        <v>801.38</v>
      </c>
      <c r="L6">
        <v>1802.55</v>
      </c>
      <c r="M6">
        <v>2603.9299999999998</v>
      </c>
    </row>
    <row r="7" spans="1:13">
      <c r="A7" t="s">
        <v>194</v>
      </c>
      <c r="B7">
        <v>21</v>
      </c>
      <c r="C7">
        <v>627.38</v>
      </c>
      <c r="D7">
        <v>1628.55</v>
      </c>
      <c r="E7">
        <v>174</v>
      </c>
      <c r="F7">
        <v>174</v>
      </c>
      <c r="G7">
        <v>0</v>
      </c>
      <c r="H7">
        <v>0</v>
      </c>
      <c r="I7">
        <v>0</v>
      </c>
      <c r="J7">
        <v>0</v>
      </c>
      <c r="K7">
        <v>801.38</v>
      </c>
      <c r="L7">
        <v>1802.55</v>
      </c>
      <c r="M7">
        <v>2603.9299999999998</v>
      </c>
    </row>
    <row r="8" spans="1:13">
      <c r="A8" t="s">
        <v>275</v>
      </c>
      <c r="B8">
        <v>21</v>
      </c>
      <c r="C8">
        <v>627.38</v>
      </c>
      <c r="D8">
        <v>1628.55</v>
      </c>
      <c r="E8">
        <v>174</v>
      </c>
      <c r="F8">
        <v>174</v>
      </c>
      <c r="G8">
        <v>0</v>
      </c>
      <c r="H8">
        <v>0</v>
      </c>
      <c r="I8">
        <v>0</v>
      </c>
      <c r="J8">
        <v>0</v>
      </c>
      <c r="K8">
        <v>801.38</v>
      </c>
      <c r="L8">
        <v>1802.55</v>
      </c>
      <c r="M8">
        <v>2603.9299999999998</v>
      </c>
    </row>
    <row r="9" spans="1:13">
      <c r="A9" t="s">
        <v>223</v>
      </c>
      <c r="B9">
        <v>21</v>
      </c>
      <c r="C9">
        <v>627.38</v>
      </c>
      <c r="D9">
        <v>1628.55</v>
      </c>
      <c r="E9">
        <v>174</v>
      </c>
      <c r="F9">
        <v>174</v>
      </c>
      <c r="G9">
        <v>0</v>
      </c>
      <c r="H9">
        <v>0</v>
      </c>
      <c r="I9">
        <v>0</v>
      </c>
      <c r="J9">
        <v>0</v>
      </c>
      <c r="K9">
        <v>801.38</v>
      </c>
      <c r="L9">
        <v>1802.55</v>
      </c>
      <c r="M9">
        <v>2603.9299999999998</v>
      </c>
    </row>
    <row r="10" spans="1:13">
      <c r="A10" t="s">
        <v>171</v>
      </c>
      <c r="B10">
        <v>21</v>
      </c>
      <c r="C10">
        <v>627.38</v>
      </c>
      <c r="D10">
        <v>1628.55</v>
      </c>
      <c r="E10">
        <v>174</v>
      </c>
      <c r="F10">
        <v>174</v>
      </c>
      <c r="G10">
        <v>0</v>
      </c>
      <c r="H10">
        <v>0</v>
      </c>
      <c r="I10">
        <v>0</v>
      </c>
      <c r="J10">
        <v>0</v>
      </c>
      <c r="K10">
        <v>801.38</v>
      </c>
      <c r="L10">
        <v>1802.55</v>
      </c>
      <c r="M10">
        <v>2603.9299999999998</v>
      </c>
    </row>
    <row r="11" spans="1:13">
      <c r="A11" t="s">
        <v>163</v>
      </c>
      <c r="B11">
        <v>21</v>
      </c>
      <c r="C11">
        <v>627.38</v>
      </c>
      <c r="D11">
        <v>1628.55</v>
      </c>
      <c r="E11">
        <v>174</v>
      </c>
      <c r="F11">
        <v>174</v>
      </c>
      <c r="G11">
        <v>0</v>
      </c>
      <c r="H11">
        <v>0</v>
      </c>
      <c r="I11">
        <v>0</v>
      </c>
      <c r="J11">
        <v>0</v>
      </c>
      <c r="K11">
        <v>801.38</v>
      </c>
      <c r="L11">
        <v>1802.55</v>
      </c>
      <c r="M11">
        <v>2603.9299999999998</v>
      </c>
    </row>
    <row r="12" spans="1:13">
      <c r="A12" t="s">
        <v>353</v>
      </c>
      <c r="B12">
        <v>21</v>
      </c>
      <c r="C12">
        <v>627.38</v>
      </c>
      <c r="D12">
        <v>1628.55</v>
      </c>
      <c r="E12">
        <v>174</v>
      </c>
      <c r="F12">
        <v>174</v>
      </c>
      <c r="G12">
        <v>0</v>
      </c>
      <c r="H12">
        <v>0</v>
      </c>
      <c r="I12">
        <v>0</v>
      </c>
      <c r="J12">
        <v>0</v>
      </c>
      <c r="K12">
        <v>801.38</v>
      </c>
      <c r="L12">
        <v>1802.55</v>
      </c>
      <c r="M12">
        <v>2603.9299999999998</v>
      </c>
    </row>
    <row r="13" spans="1:13">
      <c r="A13" t="s">
        <v>383</v>
      </c>
      <c r="B13">
        <v>21</v>
      </c>
      <c r="C13">
        <v>627.38</v>
      </c>
      <c r="D13">
        <v>1628.55</v>
      </c>
      <c r="E13">
        <v>181</v>
      </c>
      <c r="F13">
        <v>181</v>
      </c>
      <c r="G13">
        <v>0</v>
      </c>
      <c r="H13">
        <v>0</v>
      </c>
      <c r="I13">
        <v>0</v>
      </c>
      <c r="J13">
        <v>0</v>
      </c>
      <c r="K13">
        <v>808.38</v>
      </c>
      <c r="L13">
        <v>1809.55</v>
      </c>
      <c r="M13">
        <v>2617.9299999999998</v>
      </c>
    </row>
    <row r="14" spans="1:13">
      <c r="A14" t="s">
        <v>246</v>
      </c>
      <c r="B14">
        <v>21</v>
      </c>
      <c r="C14">
        <v>627.38</v>
      </c>
      <c r="D14">
        <v>1628.55</v>
      </c>
      <c r="E14">
        <v>174</v>
      </c>
      <c r="F14">
        <v>174</v>
      </c>
      <c r="G14">
        <v>0</v>
      </c>
      <c r="H14">
        <v>0</v>
      </c>
      <c r="I14">
        <v>0</v>
      </c>
      <c r="J14">
        <v>0</v>
      </c>
      <c r="K14">
        <v>801.38</v>
      </c>
      <c r="L14">
        <v>1802.55</v>
      </c>
      <c r="M14">
        <v>2603.9299999999998</v>
      </c>
    </row>
    <row r="15" spans="1:13">
      <c r="A15" t="s">
        <v>96</v>
      </c>
      <c r="B15">
        <v>21</v>
      </c>
      <c r="C15">
        <v>627.38</v>
      </c>
      <c r="D15">
        <v>1628.55</v>
      </c>
      <c r="E15">
        <v>174</v>
      </c>
      <c r="F15">
        <v>174</v>
      </c>
      <c r="G15">
        <v>0</v>
      </c>
      <c r="H15">
        <v>0</v>
      </c>
      <c r="I15">
        <v>0</v>
      </c>
      <c r="J15">
        <v>0</v>
      </c>
      <c r="K15">
        <v>801.38</v>
      </c>
      <c r="L15">
        <v>1802.55</v>
      </c>
      <c r="M15">
        <v>2603.9299999999998</v>
      </c>
    </row>
    <row r="16" spans="1:13">
      <c r="A16" t="s">
        <v>135</v>
      </c>
      <c r="B16">
        <v>21</v>
      </c>
      <c r="C16">
        <v>627.38</v>
      </c>
      <c r="D16">
        <v>1628.55</v>
      </c>
      <c r="E16">
        <v>174</v>
      </c>
      <c r="F16">
        <v>174</v>
      </c>
      <c r="G16">
        <v>0</v>
      </c>
      <c r="H16">
        <v>0</v>
      </c>
      <c r="I16">
        <v>0</v>
      </c>
      <c r="J16">
        <v>0</v>
      </c>
      <c r="K16">
        <v>801.38</v>
      </c>
      <c r="L16">
        <v>1802.55</v>
      </c>
      <c r="M16">
        <v>2603.9299999999998</v>
      </c>
    </row>
    <row r="17" spans="1:13">
      <c r="A17" t="s">
        <v>375</v>
      </c>
      <c r="B17">
        <v>21</v>
      </c>
      <c r="C17">
        <v>627.38</v>
      </c>
      <c r="D17">
        <v>1628.55</v>
      </c>
      <c r="E17">
        <v>174</v>
      </c>
      <c r="F17">
        <v>174</v>
      </c>
      <c r="G17">
        <v>0</v>
      </c>
      <c r="H17">
        <v>0</v>
      </c>
      <c r="I17">
        <v>0</v>
      </c>
      <c r="J17">
        <v>0</v>
      </c>
      <c r="K17">
        <v>801.38</v>
      </c>
      <c r="L17">
        <v>1802.55</v>
      </c>
      <c r="M17">
        <v>2603.9299999999998</v>
      </c>
    </row>
    <row r="18" spans="1:13">
      <c r="A18" t="s">
        <v>132</v>
      </c>
      <c r="B18">
        <v>21</v>
      </c>
      <c r="C18">
        <v>627.38</v>
      </c>
      <c r="D18">
        <v>1628.55</v>
      </c>
      <c r="E18">
        <v>174</v>
      </c>
      <c r="F18">
        <v>174</v>
      </c>
      <c r="G18">
        <v>0</v>
      </c>
      <c r="H18">
        <v>0</v>
      </c>
      <c r="I18">
        <v>0</v>
      </c>
      <c r="J18">
        <v>0</v>
      </c>
      <c r="K18">
        <v>801.38</v>
      </c>
      <c r="L18">
        <v>1802.55</v>
      </c>
      <c r="M18">
        <v>2603.9299999999998</v>
      </c>
    </row>
    <row r="19" spans="1:13">
      <c r="A19" t="s">
        <v>152</v>
      </c>
      <c r="B19">
        <v>21</v>
      </c>
      <c r="C19">
        <v>627.38</v>
      </c>
      <c r="D19">
        <v>1628.55</v>
      </c>
      <c r="E19">
        <v>174</v>
      </c>
      <c r="F19">
        <v>174</v>
      </c>
      <c r="G19">
        <v>0</v>
      </c>
      <c r="H19">
        <v>0</v>
      </c>
      <c r="I19">
        <v>0</v>
      </c>
      <c r="J19">
        <v>0</v>
      </c>
      <c r="K19">
        <v>801.38</v>
      </c>
      <c r="L19">
        <v>1802.55</v>
      </c>
      <c r="M19">
        <v>2603.9299999999998</v>
      </c>
    </row>
    <row r="20" spans="1:13">
      <c r="A20" t="s">
        <v>158</v>
      </c>
      <c r="B20">
        <v>21</v>
      </c>
      <c r="C20">
        <v>627.38</v>
      </c>
      <c r="D20">
        <v>1628.55</v>
      </c>
      <c r="E20">
        <v>174</v>
      </c>
      <c r="F20">
        <v>174</v>
      </c>
      <c r="G20">
        <v>0</v>
      </c>
      <c r="H20">
        <v>0</v>
      </c>
      <c r="I20">
        <v>0</v>
      </c>
      <c r="J20">
        <v>0</v>
      </c>
      <c r="K20">
        <v>801.38</v>
      </c>
      <c r="L20">
        <v>1802.55</v>
      </c>
      <c r="M20">
        <v>2603.9299999999998</v>
      </c>
    </row>
    <row r="21" spans="1:13">
      <c r="A21" t="s">
        <v>123</v>
      </c>
      <c r="B21">
        <v>21</v>
      </c>
      <c r="C21">
        <v>627.38</v>
      </c>
      <c r="D21">
        <v>1628.55</v>
      </c>
      <c r="E21">
        <v>174</v>
      </c>
      <c r="F21">
        <v>174</v>
      </c>
      <c r="G21">
        <v>0</v>
      </c>
      <c r="H21">
        <v>0</v>
      </c>
      <c r="I21">
        <v>0</v>
      </c>
      <c r="J21">
        <v>0</v>
      </c>
      <c r="K21">
        <v>801.38</v>
      </c>
      <c r="L21">
        <v>1802.55</v>
      </c>
      <c r="M21">
        <v>2603.9299999999998</v>
      </c>
    </row>
    <row r="22" spans="1:13">
      <c r="A22" t="s">
        <v>166</v>
      </c>
      <c r="B22">
        <v>21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>
      <c r="A23" t="s">
        <v>139</v>
      </c>
      <c r="B23">
        <v>21</v>
      </c>
      <c r="C23">
        <v>627.38</v>
      </c>
      <c r="D23">
        <v>1628.55</v>
      </c>
      <c r="E23">
        <v>174</v>
      </c>
      <c r="F23">
        <v>174</v>
      </c>
      <c r="G23">
        <v>0</v>
      </c>
      <c r="H23">
        <v>0</v>
      </c>
      <c r="I23">
        <v>0</v>
      </c>
      <c r="J23">
        <v>0</v>
      </c>
      <c r="K23">
        <v>801.38</v>
      </c>
      <c r="L23">
        <v>1802.55</v>
      </c>
      <c r="M23">
        <v>2603.9299999999998</v>
      </c>
    </row>
    <row r="24" spans="1:13">
      <c r="A24" t="s">
        <v>141</v>
      </c>
      <c r="B24">
        <v>21</v>
      </c>
      <c r="C24">
        <v>627.38</v>
      </c>
      <c r="D24">
        <v>1628.55</v>
      </c>
      <c r="E24">
        <v>174</v>
      </c>
      <c r="F24">
        <v>174</v>
      </c>
      <c r="G24">
        <v>0</v>
      </c>
      <c r="H24">
        <v>0</v>
      </c>
      <c r="I24">
        <v>0</v>
      </c>
      <c r="J24">
        <v>0</v>
      </c>
      <c r="K24">
        <v>801.38</v>
      </c>
      <c r="L24">
        <v>1802.55</v>
      </c>
      <c r="M24">
        <v>2603.9299999999998</v>
      </c>
    </row>
    <row r="25" spans="1:13">
      <c r="A25" t="s">
        <v>218</v>
      </c>
      <c r="B25">
        <v>21</v>
      </c>
      <c r="C25">
        <v>627.38</v>
      </c>
      <c r="D25">
        <v>1628.55</v>
      </c>
      <c r="E25">
        <v>174</v>
      </c>
      <c r="F25">
        <v>174</v>
      </c>
      <c r="G25">
        <v>0</v>
      </c>
      <c r="H25">
        <v>0</v>
      </c>
      <c r="I25">
        <v>0</v>
      </c>
      <c r="J25">
        <v>0</v>
      </c>
      <c r="K25">
        <v>801.38</v>
      </c>
      <c r="L25">
        <v>1802.55</v>
      </c>
      <c r="M25">
        <v>2603.9299999999998</v>
      </c>
    </row>
    <row r="26" spans="1:13">
      <c r="A26" t="s">
        <v>148</v>
      </c>
      <c r="B26">
        <v>21</v>
      </c>
      <c r="C26">
        <v>627.38</v>
      </c>
      <c r="D26">
        <v>1628.55</v>
      </c>
      <c r="E26">
        <v>174</v>
      </c>
      <c r="F26">
        <v>174</v>
      </c>
      <c r="G26">
        <v>0</v>
      </c>
      <c r="H26">
        <v>0</v>
      </c>
      <c r="I26">
        <v>0</v>
      </c>
      <c r="J26">
        <v>0</v>
      </c>
      <c r="K26">
        <v>801.38</v>
      </c>
      <c r="L26">
        <v>1802.55</v>
      </c>
      <c r="M26">
        <v>2603.9299999999998</v>
      </c>
    </row>
    <row r="27" spans="1:13">
      <c r="A27" t="s">
        <v>214</v>
      </c>
      <c r="B27">
        <v>21</v>
      </c>
      <c r="C27">
        <v>627.38</v>
      </c>
      <c r="D27">
        <v>1628.55</v>
      </c>
      <c r="E27">
        <v>174</v>
      </c>
      <c r="F27">
        <v>174</v>
      </c>
      <c r="G27">
        <v>0</v>
      </c>
      <c r="H27">
        <v>0</v>
      </c>
      <c r="I27">
        <v>0</v>
      </c>
      <c r="J27">
        <v>0</v>
      </c>
      <c r="K27">
        <v>801.38</v>
      </c>
      <c r="L27">
        <v>1802.55</v>
      </c>
      <c r="M27">
        <v>2603.9299999999998</v>
      </c>
    </row>
    <row r="28" spans="1:13">
      <c r="A28" t="s">
        <v>100</v>
      </c>
      <c r="B28">
        <v>21</v>
      </c>
      <c r="C28">
        <v>627.38</v>
      </c>
      <c r="D28">
        <v>1628.55</v>
      </c>
      <c r="E28">
        <v>174</v>
      </c>
      <c r="F28">
        <v>174</v>
      </c>
      <c r="G28">
        <v>0</v>
      </c>
      <c r="H28">
        <v>0</v>
      </c>
      <c r="I28">
        <v>0</v>
      </c>
      <c r="J28">
        <v>0</v>
      </c>
      <c r="K28">
        <v>801.38</v>
      </c>
      <c r="L28">
        <v>1802.55</v>
      </c>
      <c r="M28">
        <v>2603.9299999999998</v>
      </c>
    </row>
    <row r="29" spans="1:13">
      <c r="A29" t="s">
        <v>264</v>
      </c>
      <c r="B29">
        <v>21</v>
      </c>
      <c r="C29">
        <v>627.38</v>
      </c>
      <c r="D29">
        <v>1628.55</v>
      </c>
      <c r="E29">
        <v>181</v>
      </c>
      <c r="F29">
        <v>181</v>
      </c>
      <c r="G29">
        <v>0</v>
      </c>
      <c r="H29">
        <v>0</v>
      </c>
      <c r="I29">
        <v>0</v>
      </c>
      <c r="J29">
        <v>0</v>
      </c>
      <c r="K29">
        <v>808.38</v>
      </c>
      <c r="L29">
        <v>1809.55</v>
      </c>
      <c r="M29">
        <v>2617.9299999999998</v>
      </c>
    </row>
    <row r="30" spans="1:13">
      <c r="A30" t="s">
        <v>117</v>
      </c>
      <c r="B30">
        <v>21</v>
      </c>
      <c r="C30">
        <v>627.38</v>
      </c>
      <c r="D30">
        <v>1628.55</v>
      </c>
      <c r="E30">
        <v>174</v>
      </c>
      <c r="F30">
        <v>174</v>
      </c>
      <c r="G30">
        <v>0</v>
      </c>
      <c r="H30">
        <v>0</v>
      </c>
      <c r="I30">
        <v>0</v>
      </c>
      <c r="J30">
        <v>0</v>
      </c>
      <c r="K30">
        <v>801.38</v>
      </c>
      <c r="L30">
        <v>1802.55</v>
      </c>
      <c r="M30">
        <v>2603.9299999999998</v>
      </c>
    </row>
    <row r="31" spans="1:13">
      <c r="A31" t="s">
        <v>126</v>
      </c>
      <c r="B31">
        <v>21</v>
      </c>
      <c r="C31">
        <v>627.38</v>
      </c>
      <c r="D31">
        <v>1628.55</v>
      </c>
      <c r="E31">
        <v>174</v>
      </c>
      <c r="F31">
        <v>174</v>
      </c>
      <c r="G31">
        <v>0</v>
      </c>
      <c r="H31">
        <v>0</v>
      </c>
      <c r="I31">
        <v>0</v>
      </c>
      <c r="J31">
        <v>0</v>
      </c>
      <c r="K31">
        <v>801.38</v>
      </c>
      <c r="L31">
        <v>1802.55</v>
      </c>
      <c r="M31">
        <v>2603.9299999999998</v>
      </c>
    </row>
    <row r="32" spans="1:13">
      <c r="A32" t="s">
        <v>277</v>
      </c>
      <c r="B32">
        <v>21</v>
      </c>
      <c r="C32">
        <v>627.38</v>
      </c>
      <c r="D32">
        <v>1628.55</v>
      </c>
      <c r="E32">
        <v>174</v>
      </c>
      <c r="F32">
        <v>174</v>
      </c>
      <c r="G32">
        <v>0</v>
      </c>
      <c r="H32">
        <v>0</v>
      </c>
      <c r="I32">
        <v>0</v>
      </c>
      <c r="J32">
        <v>0</v>
      </c>
      <c r="K32">
        <v>801.38</v>
      </c>
      <c r="L32">
        <v>1802.55</v>
      </c>
      <c r="M32">
        <v>2603.9299999999998</v>
      </c>
    </row>
    <row r="33" spans="1:13">
      <c r="A33" t="s">
        <v>228</v>
      </c>
      <c r="B33">
        <v>21</v>
      </c>
      <c r="C33">
        <v>627.38</v>
      </c>
      <c r="D33">
        <v>1628.55</v>
      </c>
      <c r="E33">
        <v>174</v>
      </c>
      <c r="F33">
        <v>174</v>
      </c>
      <c r="G33">
        <v>0</v>
      </c>
      <c r="H33">
        <v>0</v>
      </c>
      <c r="I33">
        <v>0</v>
      </c>
      <c r="J33">
        <v>0</v>
      </c>
      <c r="K33">
        <v>801.38</v>
      </c>
      <c r="L33">
        <v>1802.55</v>
      </c>
      <c r="M33">
        <v>2603.9299999999998</v>
      </c>
    </row>
    <row r="34" spans="1:13">
      <c r="A34" t="s">
        <v>243</v>
      </c>
      <c r="B34">
        <v>21</v>
      </c>
      <c r="C34">
        <v>627.38</v>
      </c>
      <c r="D34">
        <v>1628.55</v>
      </c>
      <c r="E34">
        <v>174</v>
      </c>
      <c r="F34">
        <v>174</v>
      </c>
      <c r="G34">
        <v>0</v>
      </c>
      <c r="H34">
        <v>0</v>
      </c>
      <c r="I34">
        <v>0</v>
      </c>
      <c r="J34">
        <v>0</v>
      </c>
      <c r="K34">
        <v>801.38</v>
      </c>
      <c r="L34">
        <v>1802.55</v>
      </c>
      <c r="M34">
        <v>2603.9299999999998</v>
      </c>
    </row>
    <row r="35" spans="1:13">
      <c r="A35" t="s">
        <v>106</v>
      </c>
      <c r="B35">
        <v>21</v>
      </c>
      <c r="C35">
        <v>627.38</v>
      </c>
      <c r="D35">
        <v>1628.55</v>
      </c>
      <c r="E35">
        <v>174</v>
      </c>
      <c r="F35">
        <v>174</v>
      </c>
      <c r="G35">
        <v>0</v>
      </c>
      <c r="H35">
        <v>0</v>
      </c>
      <c r="I35">
        <v>0</v>
      </c>
      <c r="J35">
        <v>0</v>
      </c>
      <c r="K35">
        <v>801.38</v>
      </c>
      <c r="L35">
        <v>1802.55</v>
      </c>
      <c r="M35">
        <v>2603.9299999999998</v>
      </c>
    </row>
    <row r="36" spans="1:13">
      <c r="A36" t="s">
        <v>231</v>
      </c>
      <c r="B36">
        <v>21</v>
      </c>
      <c r="C36">
        <v>627.38</v>
      </c>
      <c r="D36">
        <v>1628.55</v>
      </c>
      <c r="E36">
        <v>174</v>
      </c>
      <c r="F36">
        <v>174</v>
      </c>
      <c r="G36">
        <v>0</v>
      </c>
      <c r="H36">
        <v>0</v>
      </c>
      <c r="I36">
        <v>0</v>
      </c>
      <c r="J36">
        <v>0</v>
      </c>
      <c r="K36">
        <v>801.38</v>
      </c>
      <c r="L36">
        <v>1802.55</v>
      </c>
      <c r="M36">
        <v>2603.9299999999998</v>
      </c>
    </row>
    <row r="37" spans="1:13">
      <c r="A37" t="s">
        <v>265</v>
      </c>
      <c r="B37">
        <v>21</v>
      </c>
      <c r="C37">
        <v>627.38</v>
      </c>
      <c r="D37">
        <v>1628.55</v>
      </c>
      <c r="E37">
        <v>174</v>
      </c>
      <c r="F37">
        <v>174</v>
      </c>
      <c r="G37">
        <v>0</v>
      </c>
      <c r="H37">
        <v>0</v>
      </c>
      <c r="I37">
        <v>0</v>
      </c>
      <c r="J37">
        <v>0</v>
      </c>
      <c r="K37">
        <v>801.38</v>
      </c>
      <c r="L37">
        <v>1802.55</v>
      </c>
      <c r="M37">
        <v>2603.9299999999998</v>
      </c>
    </row>
    <row r="38" spans="1:13">
      <c r="A38" t="s">
        <v>360</v>
      </c>
      <c r="B38">
        <v>21</v>
      </c>
      <c r="C38">
        <v>627.38</v>
      </c>
      <c r="D38">
        <v>1628.55</v>
      </c>
      <c r="E38">
        <v>174</v>
      </c>
      <c r="F38">
        <v>174</v>
      </c>
      <c r="G38">
        <v>0</v>
      </c>
      <c r="H38">
        <v>0</v>
      </c>
      <c r="I38">
        <v>0</v>
      </c>
      <c r="J38">
        <v>0</v>
      </c>
      <c r="K38">
        <v>801.38</v>
      </c>
      <c r="L38">
        <v>1802.55</v>
      </c>
      <c r="M38">
        <v>2603.9299999999998</v>
      </c>
    </row>
    <row r="39" spans="1:13">
      <c r="A39" t="s">
        <v>198</v>
      </c>
      <c r="B39">
        <v>21</v>
      </c>
      <c r="C39">
        <v>627.38</v>
      </c>
      <c r="D39">
        <v>1628.55</v>
      </c>
      <c r="E39">
        <v>174</v>
      </c>
      <c r="F39">
        <v>174</v>
      </c>
      <c r="G39">
        <v>0</v>
      </c>
      <c r="H39">
        <v>0</v>
      </c>
      <c r="I39">
        <v>0</v>
      </c>
      <c r="J39">
        <v>0</v>
      </c>
      <c r="K39">
        <v>801.38</v>
      </c>
      <c r="L39">
        <v>1802.55</v>
      </c>
      <c r="M39">
        <v>2603.9299999999998</v>
      </c>
    </row>
    <row r="40" spans="1:13">
      <c r="A40" t="s">
        <v>129</v>
      </c>
      <c r="B40">
        <v>21</v>
      </c>
      <c r="C40">
        <v>627.38</v>
      </c>
      <c r="D40">
        <v>1628.55</v>
      </c>
      <c r="E40">
        <v>174</v>
      </c>
      <c r="F40">
        <v>174</v>
      </c>
      <c r="G40">
        <v>0</v>
      </c>
      <c r="H40">
        <v>0</v>
      </c>
      <c r="I40">
        <v>0</v>
      </c>
      <c r="J40">
        <v>0</v>
      </c>
      <c r="K40">
        <v>801.38</v>
      </c>
      <c r="L40">
        <v>1802.55</v>
      </c>
      <c r="M40">
        <v>2603.9299999999998</v>
      </c>
    </row>
    <row r="41" spans="1:13">
      <c r="A41" t="s">
        <v>217</v>
      </c>
      <c r="B41">
        <v>21</v>
      </c>
      <c r="C41">
        <v>627.38</v>
      </c>
      <c r="D41">
        <v>1628.55</v>
      </c>
      <c r="E41">
        <v>174</v>
      </c>
      <c r="F41">
        <v>174</v>
      </c>
      <c r="G41">
        <v>0</v>
      </c>
      <c r="H41">
        <v>0</v>
      </c>
      <c r="I41">
        <v>0</v>
      </c>
      <c r="J41">
        <v>0</v>
      </c>
      <c r="K41">
        <v>801.38</v>
      </c>
      <c r="L41">
        <v>1802.55</v>
      </c>
      <c r="M41">
        <v>2603.9299999999998</v>
      </c>
    </row>
    <row r="42" spans="1:13">
      <c r="A42" t="s">
        <v>187</v>
      </c>
      <c r="B42">
        <v>21</v>
      </c>
      <c r="C42">
        <v>627.38</v>
      </c>
      <c r="D42">
        <v>1628.55</v>
      </c>
      <c r="E42">
        <v>174</v>
      </c>
      <c r="F42">
        <v>174</v>
      </c>
      <c r="G42">
        <v>0</v>
      </c>
      <c r="H42">
        <v>0</v>
      </c>
      <c r="I42">
        <v>0</v>
      </c>
      <c r="J42">
        <v>0</v>
      </c>
      <c r="K42">
        <v>801.38</v>
      </c>
      <c r="L42">
        <v>1802.55</v>
      </c>
      <c r="M42">
        <v>2603.9299999999998</v>
      </c>
    </row>
    <row r="43" spans="1:13">
      <c r="A43" t="s">
        <v>282</v>
      </c>
      <c r="B43">
        <v>21</v>
      </c>
      <c r="C43">
        <v>627.38</v>
      </c>
      <c r="D43">
        <v>1628.55</v>
      </c>
      <c r="E43">
        <v>174</v>
      </c>
      <c r="F43">
        <v>174</v>
      </c>
      <c r="G43">
        <v>0</v>
      </c>
      <c r="H43">
        <v>0</v>
      </c>
      <c r="I43">
        <v>0</v>
      </c>
      <c r="J43">
        <v>0</v>
      </c>
      <c r="K43">
        <v>801.38</v>
      </c>
      <c r="L43">
        <v>1802.55</v>
      </c>
      <c r="M43">
        <v>2603.9299999999998</v>
      </c>
    </row>
    <row r="44" spans="1:13">
      <c r="A44" t="s">
        <v>144</v>
      </c>
      <c r="B44">
        <v>21</v>
      </c>
      <c r="C44">
        <v>627.38</v>
      </c>
      <c r="D44">
        <v>1628.55</v>
      </c>
      <c r="E44">
        <v>174</v>
      </c>
      <c r="F44">
        <v>174</v>
      </c>
      <c r="G44">
        <v>0</v>
      </c>
      <c r="H44">
        <v>0</v>
      </c>
      <c r="I44">
        <v>0</v>
      </c>
      <c r="J44">
        <v>0</v>
      </c>
      <c r="K44">
        <v>801.38</v>
      </c>
      <c r="L44">
        <v>1802.55</v>
      </c>
      <c r="M44">
        <v>2603.9299999999998</v>
      </c>
    </row>
    <row r="45" spans="1:13">
      <c r="A45" t="s">
        <v>239</v>
      </c>
      <c r="B45">
        <v>21</v>
      </c>
      <c r="C45">
        <v>627.38</v>
      </c>
      <c r="D45">
        <v>1628.55</v>
      </c>
      <c r="E45">
        <v>174</v>
      </c>
      <c r="F45">
        <v>174</v>
      </c>
      <c r="G45">
        <v>0</v>
      </c>
      <c r="H45">
        <v>0</v>
      </c>
      <c r="I45">
        <v>0</v>
      </c>
      <c r="J45">
        <v>0</v>
      </c>
      <c r="K45">
        <v>801.38</v>
      </c>
      <c r="L45">
        <v>1802.55</v>
      </c>
      <c r="M45">
        <v>2603.9299999999998</v>
      </c>
    </row>
    <row r="46" spans="1:13">
      <c r="A46" t="s">
        <v>120</v>
      </c>
      <c r="B46">
        <v>21</v>
      </c>
      <c r="C46">
        <v>627.38</v>
      </c>
      <c r="D46">
        <v>1628.55</v>
      </c>
      <c r="E46">
        <v>174</v>
      </c>
      <c r="F46">
        <v>174</v>
      </c>
      <c r="G46">
        <v>0</v>
      </c>
      <c r="H46">
        <v>0</v>
      </c>
      <c r="I46">
        <v>0</v>
      </c>
      <c r="J46">
        <v>0</v>
      </c>
      <c r="K46">
        <v>801.38</v>
      </c>
      <c r="L46">
        <v>1802.55</v>
      </c>
      <c r="M46">
        <v>2603.9299999999998</v>
      </c>
    </row>
    <row r="47" spans="1:13">
      <c r="A47" t="s">
        <v>221</v>
      </c>
      <c r="B47">
        <v>21</v>
      </c>
      <c r="C47">
        <v>627.38</v>
      </c>
      <c r="D47">
        <v>1628.55</v>
      </c>
      <c r="E47">
        <v>174</v>
      </c>
      <c r="F47">
        <v>174</v>
      </c>
      <c r="G47">
        <v>0</v>
      </c>
      <c r="H47">
        <v>0</v>
      </c>
      <c r="I47">
        <v>0</v>
      </c>
      <c r="J47">
        <v>0</v>
      </c>
      <c r="K47">
        <v>801.38</v>
      </c>
      <c r="L47">
        <v>1802.55</v>
      </c>
      <c r="M47">
        <v>2603.9299999999998</v>
      </c>
    </row>
    <row r="48" spans="1:13">
      <c r="A48" t="s">
        <v>259</v>
      </c>
      <c r="B48">
        <v>21</v>
      </c>
      <c r="C48">
        <v>627.38</v>
      </c>
      <c r="D48">
        <v>1628.55</v>
      </c>
      <c r="E48">
        <v>174</v>
      </c>
      <c r="F48">
        <v>174</v>
      </c>
      <c r="G48">
        <v>0</v>
      </c>
      <c r="H48">
        <v>0</v>
      </c>
      <c r="I48">
        <v>0</v>
      </c>
      <c r="J48">
        <v>0</v>
      </c>
      <c r="K48">
        <v>801.38</v>
      </c>
      <c r="L48">
        <v>1802.55</v>
      </c>
      <c r="M48">
        <v>2603.9299999999998</v>
      </c>
    </row>
    <row r="49" spans="1:13">
      <c r="A49" t="s">
        <v>155</v>
      </c>
      <c r="B49">
        <v>21</v>
      </c>
      <c r="C49">
        <v>627.38</v>
      </c>
      <c r="D49">
        <v>1628.55</v>
      </c>
      <c r="E49">
        <v>174</v>
      </c>
      <c r="F49">
        <v>174</v>
      </c>
      <c r="G49">
        <v>0</v>
      </c>
      <c r="H49">
        <v>0</v>
      </c>
      <c r="I49">
        <v>0</v>
      </c>
      <c r="J49">
        <v>0</v>
      </c>
      <c r="K49">
        <v>801.38</v>
      </c>
      <c r="L49">
        <v>1802.55</v>
      </c>
      <c r="M49">
        <v>2603.9299999999998</v>
      </c>
    </row>
    <row r="50" spans="1:13">
      <c r="A50" t="s">
        <v>234</v>
      </c>
      <c r="B50">
        <v>21</v>
      </c>
      <c r="C50">
        <v>627.38</v>
      </c>
      <c r="D50">
        <v>1628.55</v>
      </c>
      <c r="E50">
        <v>174</v>
      </c>
      <c r="F50">
        <v>174</v>
      </c>
      <c r="G50">
        <v>0</v>
      </c>
      <c r="H50">
        <v>0</v>
      </c>
      <c r="I50">
        <v>0</v>
      </c>
      <c r="J50">
        <v>0</v>
      </c>
      <c r="K50">
        <v>801.38</v>
      </c>
      <c r="L50">
        <v>1802.55</v>
      </c>
      <c r="M50">
        <v>2603.9299999999998</v>
      </c>
    </row>
    <row r="51" spans="1:13">
      <c r="A51" t="s">
        <v>384</v>
      </c>
      <c r="B51">
        <v>21</v>
      </c>
      <c r="C51">
        <v>627.38</v>
      </c>
      <c r="D51">
        <v>1628.55</v>
      </c>
      <c r="E51">
        <v>181</v>
      </c>
      <c r="F51">
        <v>181</v>
      </c>
      <c r="G51">
        <v>0</v>
      </c>
      <c r="H51">
        <v>0</v>
      </c>
      <c r="I51">
        <v>0</v>
      </c>
      <c r="J51">
        <v>0</v>
      </c>
      <c r="K51">
        <v>808.38</v>
      </c>
      <c r="L51">
        <v>1809.55</v>
      </c>
      <c r="M51">
        <v>2617.9299999999998</v>
      </c>
    </row>
    <row r="52" spans="1:13">
      <c r="A52" t="s">
        <v>190</v>
      </c>
      <c r="B52">
        <v>21</v>
      </c>
      <c r="C52">
        <v>627.38</v>
      </c>
      <c r="D52">
        <v>1628.55</v>
      </c>
      <c r="E52">
        <v>174</v>
      </c>
      <c r="F52">
        <v>174</v>
      </c>
      <c r="G52">
        <v>0</v>
      </c>
      <c r="H52">
        <v>0</v>
      </c>
      <c r="I52">
        <v>0</v>
      </c>
      <c r="J52">
        <v>0</v>
      </c>
      <c r="K52">
        <v>801.38</v>
      </c>
      <c r="L52">
        <v>1802.55</v>
      </c>
      <c r="M52">
        <v>2603.9299999999998</v>
      </c>
    </row>
    <row r="53" spans="1:13">
      <c r="A53" t="s">
        <v>236</v>
      </c>
      <c r="B53">
        <v>21</v>
      </c>
      <c r="C53">
        <v>627.38</v>
      </c>
      <c r="D53">
        <v>1628.55</v>
      </c>
      <c r="E53">
        <v>174</v>
      </c>
      <c r="F53">
        <v>174</v>
      </c>
      <c r="G53">
        <v>0</v>
      </c>
      <c r="H53">
        <v>0</v>
      </c>
      <c r="I53">
        <v>0</v>
      </c>
      <c r="J53">
        <v>0</v>
      </c>
      <c r="K53">
        <v>801.38</v>
      </c>
      <c r="L53">
        <v>1802.55</v>
      </c>
      <c r="M53">
        <v>2603.9299999999998</v>
      </c>
    </row>
    <row r="54" spans="1:13">
      <c r="A54" t="s">
        <v>184</v>
      </c>
      <c r="B54">
        <v>21</v>
      </c>
      <c r="C54">
        <v>627.38</v>
      </c>
      <c r="D54">
        <v>1628.55</v>
      </c>
      <c r="E54">
        <v>174</v>
      </c>
      <c r="F54">
        <v>174</v>
      </c>
      <c r="G54">
        <v>0</v>
      </c>
      <c r="H54">
        <v>0</v>
      </c>
      <c r="I54">
        <v>0</v>
      </c>
      <c r="J54">
        <v>0</v>
      </c>
      <c r="K54">
        <v>801.38</v>
      </c>
      <c r="L54">
        <v>1802.55</v>
      </c>
      <c r="M54">
        <v>2603.9299999999998</v>
      </c>
    </row>
    <row r="55" spans="1:13">
      <c r="A55" t="s">
        <v>368</v>
      </c>
      <c r="B55">
        <v>21</v>
      </c>
      <c r="C55">
        <v>627.38</v>
      </c>
      <c r="D55">
        <v>1628.55</v>
      </c>
      <c r="E55">
        <v>174</v>
      </c>
      <c r="F55">
        <v>174</v>
      </c>
      <c r="G55">
        <v>0</v>
      </c>
      <c r="H55">
        <v>0</v>
      </c>
      <c r="I55">
        <v>0</v>
      </c>
      <c r="J55">
        <v>0</v>
      </c>
      <c r="K55">
        <v>801.38</v>
      </c>
      <c r="L55">
        <v>1802.55</v>
      </c>
      <c r="M55">
        <v>2603.9299999999998</v>
      </c>
    </row>
    <row r="56" spans="1:13">
      <c r="A56" t="s">
        <v>168</v>
      </c>
      <c r="B56">
        <v>21</v>
      </c>
      <c r="C56">
        <v>627.38</v>
      </c>
      <c r="D56">
        <v>1628.55</v>
      </c>
      <c r="E56">
        <v>174</v>
      </c>
      <c r="F56">
        <v>174</v>
      </c>
      <c r="G56">
        <v>0</v>
      </c>
      <c r="H56">
        <v>0</v>
      </c>
      <c r="I56">
        <v>0</v>
      </c>
      <c r="J56">
        <v>0</v>
      </c>
      <c r="K56">
        <v>801.38</v>
      </c>
      <c r="L56">
        <v>1802.55</v>
      </c>
      <c r="M56">
        <v>2603.9299999999998</v>
      </c>
    </row>
    <row r="57" spans="1:13">
      <c r="A57" t="s">
        <v>207</v>
      </c>
      <c r="B57">
        <v>21</v>
      </c>
      <c r="C57">
        <v>627.38</v>
      </c>
      <c r="D57">
        <v>1628.55</v>
      </c>
      <c r="E57">
        <v>174</v>
      </c>
      <c r="F57">
        <v>174</v>
      </c>
      <c r="G57">
        <v>0</v>
      </c>
      <c r="H57">
        <v>0</v>
      </c>
      <c r="I57">
        <v>0</v>
      </c>
      <c r="J57">
        <v>0</v>
      </c>
      <c r="K57">
        <v>801.38</v>
      </c>
      <c r="L57">
        <v>1802.55</v>
      </c>
      <c r="M57">
        <v>2603.9299999999998</v>
      </c>
    </row>
    <row r="58" spans="1:13">
      <c r="A58" t="s">
        <v>256</v>
      </c>
      <c r="B58">
        <v>21</v>
      </c>
      <c r="C58">
        <v>627.38</v>
      </c>
      <c r="D58">
        <v>1628.55</v>
      </c>
      <c r="E58">
        <v>174</v>
      </c>
      <c r="F58">
        <v>174</v>
      </c>
      <c r="G58">
        <v>0</v>
      </c>
      <c r="H58">
        <v>0</v>
      </c>
      <c r="I58">
        <v>0</v>
      </c>
      <c r="J58">
        <v>0</v>
      </c>
      <c r="K58">
        <v>801.38</v>
      </c>
      <c r="L58">
        <v>1802.55</v>
      </c>
      <c r="M58">
        <v>2603.9299999999998</v>
      </c>
    </row>
    <row r="59" spans="1:13">
      <c r="A59" t="s">
        <v>110</v>
      </c>
      <c r="B59">
        <v>21</v>
      </c>
      <c r="C59">
        <v>627.38</v>
      </c>
      <c r="D59">
        <v>1628.55</v>
      </c>
      <c r="E59">
        <v>174</v>
      </c>
      <c r="F59">
        <v>174</v>
      </c>
      <c r="G59">
        <v>0</v>
      </c>
      <c r="H59">
        <v>0</v>
      </c>
      <c r="I59">
        <v>0</v>
      </c>
      <c r="J59">
        <v>0</v>
      </c>
      <c r="K59">
        <v>801.38</v>
      </c>
      <c r="L59">
        <v>1802.55</v>
      </c>
      <c r="M59">
        <v>2603.9299999999998</v>
      </c>
    </row>
    <row r="60" spans="1:13">
      <c r="A60" t="s">
        <v>90</v>
      </c>
      <c r="B60">
        <v>21</v>
      </c>
      <c r="C60">
        <v>627.38</v>
      </c>
      <c r="D60">
        <v>1628.55</v>
      </c>
      <c r="E60">
        <v>174</v>
      </c>
      <c r="F60">
        <v>174</v>
      </c>
      <c r="G60">
        <v>0</v>
      </c>
      <c r="H60">
        <v>0</v>
      </c>
      <c r="I60">
        <v>0</v>
      </c>
      <c r="J60">
        <v>0</v>
      </c>
      <c r="K60">
        <v>801.38</v>
      </c>
      <c r="L60">
        <v>1802.55</v>
      </c>
      <c r="M60">
        <v>2603.9299999999998</v>
      </c>
    </row>
    <row r="61" spans="1:13">
      <c r="A61" t="s">
        <v>369</v>
      </c>
      <c r="B61">
        <v>21</v>
      </c>
      <c r="C61">
        <v>627.38</v>
      </c>
      <c r="D61">
        <v>1628.55</v>
      </c>
      <c r="E61">
        <v>174</v>
      </c>
      <c r="F61">
        <v>174</v>
      </c>
      <c r="G61">
        <v>0</v>
      </c>
      <c r="H61">
        <v>0</v>
      </c>
      <c r="I61">
        <v>0</v>
      </c>
      <c r="J61">
        <v>0</v>
      </c>
      <c r="K61">
        <v>801.38</v>
      </c>
      <c r="L61">
        <v>1802.55</v>
      </c>
      <c r="M61">
        <v>2603.9299999999998</v>
      </c>
    </row>
    <row r="62" spans="1:13">
      <c r="A62" t="s">
        <v>355</v>
      </c>
      <c r="B62">
        <v>21</v>
      </c>
      <c r="C62">
        <v>627.38</v>
      </c>
      <c r="D62">
        <v>1628.55</v>
      </c>
      <c r="E62">
        <v>174</v>
      </c>
      <c r="F62">
        <v>174</v>
      </c>
      <c r="G62">
        <v>0</v>
      </c>
      <c r="H62">
        <v>0</v>
      </c>
      <c r="I62">
        <v>0</v>
      </c>
      <c r="J62">
        <v>0</v>
      </c>
      <c r="K62">
        <v>801.38</v>
      </c>
      <c r="L62">
        <v>1802.55</v>
      </c>
      <c r="M62">
        <v>2603.9299999999998</v>
      </c>
    </row>
    <row r="63" spans="1:13">
      <c r="A63" t="s">
        <v>350</v>
      </c>
      <c r="B63">
        <v>21</v>
      </c>
      <c r="C63">
        <v>627.38</v>
      </c>
      <c r="D63">
        <v>1628.55</v>
      </c>
      <c r="E63">
        <v>174</v>
      </c>
      <c r="F63">
        <v>174</v>
      </c>
      <c r="G63">
        <v>0</v>
      </c>
      <c r="H63">
        <v>0</v>
      </c>
      <c r="I63">
        <v>0</v>
      </c>
      <c r="J63">
        <v>0</v>
      </c>
      <c r="K63">
        <v>801.38</v>
      </c>
      <c r="L63">
        <v>1802.55</v>
      </c>
      <c r="M63">
        <v>2603.9299999999998</v>
      </c>
    </row>
    <row r="64" spans="1:13">
      <c r="A64" t="s">
        <v>196</v>
      </c>
      <c r="B64">
        <v>21</v>
      </c>
      <c r="C64">
        <v>627.38</v>
      </c>
      <c r="D64">
        <v>1628.55</v>
      </c>
      <c r="E64">
        <v>174</v>
      </c>
      <c r="F64">
        <v>174</v>
      </c>
      <c r="G64">
        <v>0</v>
      </c>
      <c r="H64">
        <v>0</v>
      </c>
      <c r="I64">
        <v>0</v>
      </c>
      <c r="J64">
        <v>0</v>
      </c>
      <c r="K64">
        <v>801.38</v>
      </c>
      <c r="L64">
        <v>1802.55</v>
      </c>
      <c r="M64">
        <v>2603.9299999999998</v>
      </c>
    </row>
    <row r="65" spans="1:13">
      <c r="A65" t="s">
        <v>226</v>
      </c>
      <c r="B65">
        <v>21</v>
      </c>
      <c r="C65">
        <v>627.38</v>
      </c>
      <c r="D65">
        <v>1628.55</v>
      </c>
      <c r="E65">
        <v>174</v>
      </c>
      <c r="F65">
        <v>174</v>
      </c>
      <c r="G65">
        <v>0</v>
      </c>
      <c r="H65">
        <v>0</v>
      </c>
      <c r="I65">
        <v>0</v>
      </c>
      <c r="J65">
        <v>0</v>
      </c>
      <c r="K65">
        <v>801.38</v>
      </c>
      <c r="L65">
        <v>1802.55</v>
      </c>
      <c r="M65">
        <v>2603.9299999999998</v>
      </c>
    </row>
    <row r="66" spans="1:13">
      <c r="A66" t="s">
        <v>362</v>
      </c>
      <c r="B66">
        <v>21</v>
      </c>
      <c r="C66">
        <v>627.38</v>
      </c>
      <c r="D66">
        <v>1628.55</v>
      </c>
      <c r="E66">
        <v>174</v>
      </c>
      <c r="F66">
        <v>174</v>
      </c>
      <c r="G66">
        <v>0</v>
      </c>
      <c r="H66">
        <v>0</v>
      </c>
      <c r="I66">
        <v>0</v>
      </c>
      <c r="J66">
        <v>0</v>
      </c>
      <c r="K66">
        <v>801.38</v>
      </c>
      <c r="L66">
        <v>1802.55</v>
      </c>
      <c r="M66">
        <v>2603.9299999999998</v>
      </c>
    </row>
    <row r="67" spans="1:13">
      <c r="A67" t="s">
        <v>179</v>
      </c>
      <c r="B67">
        <v>21</v>
      </c>
      <c r="C67">
        <v>627.38</v>
      </c>
      <c r="D67">
        <v>1628.55</v>
      </c>
      <c r="E67">
        <v>174</v>
      </c>
      <c r="F67">
        <v>174</v>
      </c>
      <c r="G67">
        <v>0</v>
      </c>
      <c r="H67">
        <v>0</v>
      </c>
      <c r="I67">
        <v>0</v>
      </c>
      <c r="J67">
        <v>0</v>
      </c>
      <c r="K67">
        <v>801.38</v>
      </c>
      <c r="L67">
        <v>1802.55</v>
      </c>
      <c r="M67">
        <v>2603.9299999999998</v>
      </c>
    </row>
    <row r="68" spans="1:13">
      <c r="A68" t="s">
        <v>262</v>
      </c>
      <c r="B68">
        <v>21</v>
      </c>
      <c r="C68">
        <v>627.38</v>
      </c>
      <c r="D68">
        <v>1628.55</v>
      </c>
      <c r="E68">
        <v>174</v>
      </c>
      <c r="F68">
        <v>174</v>
      </c>
      <c r="G68">
        <v>0</v>
      </c>
      <c r="H68">
        <v>0</v>
      </c>
      <c r="I68">
        <v>0</v>
      </c>
      <c r="J68">
        <v>0</v>
      </c>
      <c r="K68">
        <v>801.38</v>
      </c>
      <c r="L68">
        <v>1802.55</v>
      </c>
      <c r="M68">
        <v>2603.9299999999998</v>
      </c>
    </row>
    <row r="69" spans="1:13">
      <c r="A69" t="s">
        <v>85</v>
      </c>
      <c r="B69">
        <v>21</v>
      </c>
      <c r="C69">
        <v>627.38</v>
      </c>
      <c r="D69">
        <v>1628.55</v>
      </c>
      <c r="E69">
        <v>174</v>
      </c>
      <c r="F69">
        <v>174</v>
      </c>
      <c r="G69">
        <v>0</v>
      </c>
      <c r="H69">
        <v>0</v>
      </c>
      <c r="I69">
        <v>0</v>
      </c>
      <c r="J69">
        <v>0</v>
      </c>
      <c r="K69">
        <v>801.38</v>
      </c>
      <c r="L69">
        <v>1802.55</v>
      </c>
      <c r="M69">
        <v>2603.9299999999998</v>
      </c>
    </row>
    <row r="70" spans="1:13">
      <c r="A70" t="s">
        <v>253</v>
      </c>
      <c r="B70">
        <v>21</v>
      </c>
      <c r="C70">
        <v>627.38</v>
      </c>
      <c r="D70">
        <v>1628.55</v>
      </c>
      <c r="E70">
        <v>174</v>
      </c>
      <c r="F70">
        <v>174</v>
      </c>
      <c r="G70">
        <v>0</v>
      </c>
      <c r="H70">
        <v>0</v>
      </c>
      <c r="I70">
        <v>0</v>
      </c>
      <c r="J70">
        <v>0</v>
      </c>
      <c r="K70">
        <v>801.38</v>
      </c>
      <c r="L70">
        <v>1802.55</v>
      </c>
      <c r="M70">
        <v>2603.9299999999998</v>
      </c>
    </row>
    <row r="71" spans="1:13">
      <c r="A71" t="s">
        <v>211</v>
      </c>
      <c r="B71">
        <v>21</v>
      </c>
      <c r="C71">
        <v>627.38</v>
      </c>
      <c r="D71">
        <v>1628.55</v>
      </c>
      <c r="E71">
        <v>174</v>
      </c>
      <c r="F71">
        <v>174</v>
      </c>
      <c r="G71">
        <v>0</v>
      </c>
      <c r="H71">
        <v>0</v>
      </c>
      <c r="I71">
        <v>0</v>
      </c>
      <c r="J71">
        <v>0</v>
      </c>
      <c r="K71">
        <v>801.38</v>
      </c>
      <c r="L71">
        <v>1802.55</v>
      </c>
      <c r="M71">
        <v>2603.9299999999998</v>
      </c>
    </row>
    <row r="72" spans="1:13">
      <c r="A72" t="s">
        <v>272</v>
      </c>
      <c r="B72">
        <v>21</v>
      </c>
      <c r="C72">
        <v>627.38</v>
      </c>
      <c r="D72">
        <v>1628.55</v>
      </c>
      <c r="E72">
        <v>174</v>
      </c>
      <c r="F72">
        <v>174</v>
      </c>
      <c r="G72">
        <v>0</v>
      </c>
      <c r="H72">
        <v>0</v>
      </c>
      <c r="I72">
        <v>0</v>
      </c>
      <c r="J72">
        <v>0</v>
      </c>
      <c r="K72">
        <v>801.38</v>
      </c>
      <c r="L72">
        <v>1802.55</v>
      </c>
      <c r="M72">
        <v>2603.9299999999998</v>
      </c>
    </row>
    <row r="73" spans="1:13">
      <c r="A73" t="s">
        <v>269</v>
      </c>
      <c r="B73">
        <v>21</v>
      </c>
      <c r="C73">
        <v>627.38</v>
      </c>
      <c r="D73">
        <v>1628.55</v>
      </c>
      <c r="E73">
        <v>174</v>
      </c>
      <c r="F73">
        <v>174</v>
      </c>
      <c r="G73">
        <v>0</v>
      </c>
      <c r="H73">
        <v>0</v>
      </c>
      <c r="I73">
        <v>0</v>
      </c>
      <c r="J73">
        <v>0</v>
      </c>
      <c r="K73">
        <v>801.38</v>
      </c>
      <c r="L73">
        <v>1802.55</v>
      </c>
      <c r="M73">
        <v>2603.9299999999998</v>
      </c>
    </row>
    <row r="74" spans="1:13">
      <c r="A74" t="s">
        <v>173</v>
      </c>
      <c r="B74">
        <v>21</v>
      </c>
      <c r="C74">
        <v>627.38</v>
      </c>
      <c r="D74">
        <v>1628.55</v>
      </c>
      <c r="E74">
        <v>174</v>
      </c>
      <c r="F74">
        <v>174</v>
      </c>
      <c r="G74">
        <v>0</v>
      </c>
      <c r="H74">
        <v>0</v>
      </c>
      <c r="I74">
        <v>0</v>
      </c>
      <c r="J74">
        <v>0</v>
      </c>
      <c r="K74">
        <v>801.38</v>
      </c>
      <c r="L74">
        <v>1802.55</v>
      </c>
      <c r="M74">
        <v>2603.9299999999998</v>
      </c>
    </row>
    <row r="75" spans="1:13">
      <c r="A75" t="s">
        <v>400</v>
      </c>
      <c r="B75">
        <v>21</v>
      </c>
      <c r="C75">
        <v>627.38</v>
      </c>
      <c r="D75">
        <v>1628.55</v>
      </c>
      <c r="E75">
        <v>181</v>
      </c>
      <c r="F75">
        <v>181</v>
      </c>
      <c r="G75">
        <v>0</v>
      </c>
      <c r="H75">
        <v>0</v>
      </c>
      <c r="I75">
        <v>0</v>
      </c>
      <c r="J75">
        <v>0</v>
      </c>
      <c r="K75">
        <v>808.38</v>
      </c>
      <c r="L75">
        <v>1809.55</v>
      </c>
      <c r="M75">
        <v>2617.9299999999998</v>
      </c>
    </row>
    <row r="76" spans="1:13">
      <c r="A76" t="s">
        <v>404</v>
      </c>
      <c r="B76">
        <v>21</v>
      </c>
      <c r="C76">
        <v>627.38</v>
      </c>
      <c r="D76">
        <v>1628.55</v>
      </c>
      <c r="E76">
        <v>181</v>
      </c>
      <c r="F76">
        <v>181</v>
      </c>
      <c r="G76">
        <v>0</v>
      </c>
      <c r="H76">
        <v>0</v>
      </c>
      <c r="I76">
        <v>0</v>
      </c>
      <c r="J76">
        <v>0</v>
      </c>
      <c r="K76">
        <v>808.38</v>
      </c>
      <c r="L76">
        <v>1809.55</v>
      </c>
      <c r="M76">
        <v>2617.9299999999998</v>
      </c>
    </row>
    <row r="77" spans="1:13">
      <c r="A77" t="s">
        <v>406</v>
      </c>
      <c r="B77">
        <v>21</v>
      </c>
      <c r="C77">
        <v>627.38</v>
      </c>
      <c r="D77">
        <v>1628.55</v>
      </c>
      <c r="E77">
        <v>181</v>
      </c>
      <c r="F77">
        <v>181</v>
      </c>
      <c r="G77">
        <v>0</v>
      </c>
      <c r="H77">
        <v>0</v>
      </c>
      <c r="I77">
        <v>0</v>
      </c>
      <c r="J77">
        <v>0</v>
      </c>
      <c r="K77">
        <v>808.38</v>
      </c>
      <c r="L77">
        <v>1809.55</v>
      </c>
      <c r="M77">
        <v>2617.9299999999998</v>
      </c>
    </row>
    <row r="78" spans="1:13">
      <c r="A78" t="s">
        <v>412</v>
      </c>
      <c r="B78">
        <v>21</v>
      </c>
      <c r="C78">
        <v>627.38</v>
      </c>
      <c r="D78">
        <v>1628.55</v>
      </c>
      <c r="E78">
        <v>181</v>
      </c>
      <c r="F78">
        <v>181</v>
      </c>
      <c r="G78">
        <v>0</v>
      </c>
      <c r="H78">
        <v>0</v>
      </c>
      <c r="I78">
        <v>0</v>
      </c>
      <c r="J78">
        <v>0</v>
      </c>
      <c r="K78">
        <v>808.38</v>
      </c>
      <c r="L78">
        <v>1809.55</v>
      </c>
      <c r="M78">
        <v>2617.9299999999998</v>
      </c>
    </row>
    <row r="79" spans="1:13">
      <c r="A79" t="s">
        <v>420</v>
      </c>
      <c r="B79">
        <v>21</v>
      </c>
      <c r="C79">
        <v>627.38</v>
      </c>
      <c r="D79">
        <v>1628.55</v>
      </c>
      <c r="E79">
        <v>181</v>
      </c>
      <c r="F79">
        <v>181</v>
      </c>
      <c r="G79">
        <v>0</v>
      </c>
      <c r="H79">
        <v>0</v>
      </c>
      <c r="I79">
        <v>0</v>
      </c>
      <c r="J79">
        <v>0</v>
      </c>
      <c r="K79">
        <v>808.38</v>
      </c>
      <c r="L79">
        <v>1809.55</v>
      </c>
      <c r="M79">
        <v>2617.9299999999998</v>
      </c>
    </row>
    <row r="80" spans="1:13">
      <c r="A80" t="s">
        <v>422</v>
      </c>
      <c r="B80">
        <v>21</v>
      </c>
      <c r="C80">
        <v>627.38</v>
      </c>
      <c r="D80">
        <v>1628.55</v>
      </c>
      <c r="E80">
        <v>181</v>
      </c>
      <c r="F80">
        <v>181</v>
      </c>
      <c r="G80">
        <v>0</v>
      </c>
      <c r="H80">
        <v>0</v>
      </c>
      <c r="I80">
        <v>0</v>
      </c>
      <c r="J80">
        <v>0</v>
      </c>
      <c r="K80">
        <v>808.38</v>
      </c>
      <c r="L80">
        <v>1809.55</v>
      </c>
      <c r="M80">
        <v>2617.9299999999998</v>
      </c>
    </row>
    <row r="81" spans="1:13">
      <c r="A81" t="s">
        <v>425</v>
      </c>
      <c r="B81">
        <v>0</v>
      </c>
      <c r="C81">
        <v>627.38</v>
      </c>
      <c r="D81">
        <v>1628.55</v>
      </c>
      <c r="E81">
        <v>181</v>
      </c>
      <c r="F81">
        <v>181</v>
      </c>
      <c r="G81">
        <v>0</v>
      </c>
      <c r="H81">
        <v>0</v>
      </c>
      <c r="I81">
        <v>0</v>
      </c>
      <c r="J81">
        <v>0</v>
      </c>
      <c r="K81">
        <v>808.38</v>
      </c>
      <c r="L81">
        <v>1809.55</v>
      </c>
      <c r="M81">
        <v>2617.9299999999998</v>
      </c>
    </row>
    <row r="82" spans="1:13">
      <c r="A82" t="s">
        <v>177</v>
      </c>
      <c r="B82">
        <v>21</v>
      </c>
      <c r="C82">
        <v>415.45</v>
      </c>
      <c r="D82">
        <v>1007.02</v>
      </c>
      <c r="E82">
        <v>161</v>
      </c>
      <c r="F82">
        <v>161</v>
      </c>
      <c r="G82">
        <v>0</v>
      </c>
      <c r="H82">
        <v>0</v>
      </c>
      <c r="I82">
        <v>0</v>
      </c>
      <c r="J82">
        <v>0</v>
      </c>
      <c r="K82">
        <v>576.45000000000005</v>
      </c>
      <c r="L82">
        <v>1168.02</v>
      </c>
      <c r="M82">
        <v>1744.47</v>
      </c>
    </row>
    <row r="83" spans="1:13">
      <c r="A83" t="s">
        <v>201</v>
      </c>
      <c r="B83">
        <v>21</v>
      </c>
      <c r="C83">
        <v>415.45</v>
      </c>
      <c r="D83">
        <v>1007.02</v>
      </c>
      <c r="E83">
        <v>161</v>
      </c>
      <c r="F83">
        <v>161</v>
      </c>
      <c r="G83">
        <v>0</v>
      </c>
      <c r="H83">
        <v>0</v>
      </c>
      <c r="I83">
        <v>0</v>
      </c>
      <c r="J83">
        <v>0</v>
      </c>
      <c r="K83">
        <v>576.45000000000005</v>
      </c>
      <c r="L83">
        <v>1168.02</v>
      </c>
      <c r="M83">
        <v>1744.47</v>
      </c>
    </row>
    <row r="84" spans="1:13">
      <c r="A84" t="s">
        <v>402</v>
      </c>
      <c r="B84">
        <v>21</v>
      </c>
      <c r="C84">
        <v>341.35</v>
      </c>
      <c r="D84">
        <v>977.05</v>
      </c>
      <c r="E84">
        <v>317</v>
      </c>
      <c r="F84">
        <v>317</v>
      </c>
      <c r="G84">
        <v>0</v>
      </c>
      <c r="H84">
        <v>39.57</v>
      </c>
      <c r="I84">
        <v>0</v>
      </c>
      <c r="J84">
        <v>0</v>
      </c>
      <c r="K84">
        <v>658.35</v>
      </c>
      <c r="L84">
        <v>1333.62</v>
      </c>
      <c r="M84">
        <v>1991.9699999999998</v>
      </c>
    </row>
    <row r="85" spans="1:13">
      <c r="A85" t="s">
        <v>202</v>
      </c>
      <c r="B85">
        <v>21</v>
      </c>
      <c r="C85">
        <v>415.45</v>
      </c>
      <c r="D85">
        <v>1007.02</v>
      </c>
      <c r="E85">
        <v>161</v>
      </c>
      <c r="F85">
        <v>161</v>
      </c>
      <c r="G85">
        <v>0</v>
      </c>
      <c r="H85">
        <v>0</v>
      </c>
      <c r="I85">
        <v>0</v>
      </c>
      <c r="J85">
        <v>0</v>
      </c>
      <c r="K85">
        <v>576.45000000000005</v>
      </c>
      <c r="L85">
        <v>1168.02</v>
      </c>
      <c r="M85">
        <v>1744.47</v>
      </c>
    </row>
    <row r="86" spans="1:13">
      <c r="A86" t="s">
        <v>204</v>
      </c>
      <c r="B86">
        <v>21</v>
      </c>
      <c r="C86">
        <v>415.45</v>
      </c>
      <c r="D86">
        <v>1007.02</v>
      </c>
      <c r="E86">
        <v>161</v>
      </c>
      <c r="F86">
        <v>161</v>
      </c>
      <c r="G86">
        <v>0</v>
      </c>
      <c r="H86">
        <v>0</v>
      </c>
      <c r="I86">
        <v>0</v>
      </c>
      <c r="J86">
        <v>0</v>
      </c>
      <c r="K86">
        <v>576.45000000000005</v>
      </c>
      <c r="L86">
        <v>1168.02</v>
      </c>
      <c r="M86">
        <v>1744.47</v>
      </c>
    </row>
    <row r="87" spans="1:13">
      <c r="A87" t="s">
        <v>408</v>
      </c>
      <c r="B87">
        <v>21</v>
      </c>
      <c r="C87">
        <v>415.45</v>
      </c>
      <c r="D87">
        <v>1007.02</v>
      </c>
      <c r="E87">
        <v>182</v>
      </c>
      <c r="F87">
        <v>182</v>
      </c>
      <c r="G87">
        <v>0</v>
      </c>
      <c r="H87">
        <v>0</v>
      </c>
      <c r="I87">
        <v>0</v>
      </c>
      <c r="J87">
        <v>0</v>
      </c>
      <c r="K87">
        <v>597.45000000000005</v>
      </c>
      <c r="L87">
        <v>1189.02</v>
      </c>
      <c r="M87">
        <v>1786.47</v>
      </c>
    </row>
    <row r="88" spans="1:13">
      <c r="A88" t="s">
        <v>371</v>
      </c>
      <c r="B88">
        <v>21</v>
      </c>
      <c r="C88">
        <v>446.25</v>
      </c>
      <c r="D88">
        <v>1096.5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446.25</v>
      </c>
      <c r="L88">
        <v>1096.5</v>
      </c>
      <c r="M88">
        <v>1542.75</v>
      </c>
    </row>
    <row r="89" spans="1:13">
      <c r="A89" t="s">
        <v>293</v>
      </c>
      <c r="B89">
        <v>21</v>
      </c>
      <c r="C89">
        <v>451.25</v>
      </c>
      <c r="D89">
        <v>1051.8800000000001</v>
      </c>
      <c r="E89">
        <v>304</v>
      </c>
      <c r="F89">
        <v>304</v>
      </c>
      <c r="G89">
        <v>0</v>
      </c>
      <c r="H89">
        <v>5.63</v>
      </c>
      <c r="I89">
        <v>0</v>
      </c>
      <c r="J89">
        <v>0</v>
      </c>
      <c r="K89">
        <v>755.25</v>
      </c>
      <c r="L89">
        <v>1361.5100000000002</v>
      </c>
      <c r="M89">
        <v>2116.7600000000002</v>
      </c>
    </row>
    <row r="90" spans="1:13">
      <c r="A90" t="s">
        <v>373</v>
      </c>
      <c r="B90">
        <v>21</v>
      </c>
      <c r="C90">
        <v>446.25</v>
      </c>
      <c r="D90">
        <v>1096.5</v>
      </c>
      <c r="E90">
        <v>162</v>
      </c>
      <c r="F90">
        <v>162</v>
      </c>
      <c r="G90">
        <v>0</v>
      </c>
      <c r="H90">
        <v>0</v>
      </c>
      <c r="I90">
        <v>0</v>
      </c>
      <c r="J90">
        <v>0</v>
      </c>
      <c r="K90">
        <v>608.25</v>
      </c>
      <c r="L90">
        <v>1258.5</v>
      </c>
      <c r="M90">
        <v>1866.75</v>
      </c>
    </row>
    <row r="91" spans="1:13">
      <c r="A91" t="s">
        <v>289</v>
      </c>
      <c r="B91">
        <v>21</v>
      </c>
      <c r="C91">
        <v>446.25</v>
      </c>
      <c r="D91">
        <v>1096.5</v>
      </c>
      <c r="E91">
        <v>162</v>
      </c>
      <c r="F91">
        <v>162</v>
      </c>
      <c r="G91">
        <v>0</v>
      </c>
      <c r="H91">
        <v>0</v>
      </c>
      <c r="I91">
        <v>0</v>
      </c>
      <c r="J91">
        <v>0</v>
      </c>
      <c r="K91">
        <v>608.25</v>
      </c>
      <c r="L91">
        <v>1258.5</v>
      </c>
      <c r="M91">
        <v>1866.75</v>
      </c>
    </row>
    <row r="92" spans="1:13">
      <c r="A92" t="s">
        <v>381</v>
      </c>
      <c r="B92">
        <v>21</v>
      </c>
      <c r="C92">
        <v>446.25</v>
      </c>
      <c r="D92">
        <v>1096.5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446.25</v>
      </c>
      <c r="L92">
        <v>1096.5</v>
      </c>
      <c r="M92">
        <v>1542.75</v>
      </c>
    </row>
    <row r="93" spans="1:13">
      <c r="A93" t="s">
        <v>298</v>
      </c>
      <c r="B93">
        <v>21</v>
      </c>
      <c r="C93">
        <v>456.25</v>
      </c>
      <c r="D93">
        <v>1134.75</v>
      </c>
      <c r="E93">
        <v>274</v>
      </c>
      <c r="F93">
        <v>274</v>
      </c>
      <c r="G93">
        <v>0</v>
      </c>
      <c r="H93">
        <v>5.4</v>
      </c>
      <c r="I93">
        <v>0</v>
      </c>
      <c r="J93">
        <v>0</v>
      </c>
      <c r="K93">
        <v>730.25</v>
      </c>
      <c r="L93">
        <v>1414.15</v>
      </c>
      <c r="M93">
        <v>2144.4</v>
      </c>
    </row>
    <row r="94" spans="1:13">
      <c r="A94" t="s">
        <v>358</v>
      </c>
      <c r="B94">
        <v>21</v>
      </c>
      <c r="C94">
        <v>456.25</v>
      </c>
      <c r="D94">
        <v>1134.75</v>
      </c>
      <c r="E94">
        <v>0</v>
      </c>
      <c r="F94">
        <v>0</v>
      </c>
      <c r="G94">
        <v>0</v>
      </c>
      <c r="H94">
        <v>5.4</v>
      </c>
      <c r="I94">
        <v>0</v>
      </c>
      <c r="J94">
        <v>0</v>
      </c>
      <c r="K94">
        <v>456.25</v>
      </c>
      <c r="L94">
        <v>1140.1500000000001</v>
      </c>
      <c r="M94">
        <v>1596.4</v>
      </c>
    </row>
    <row r="95" spans="1:13">
      <c r="A95" t="s">
        <v>285</v>
      </c>
      <c r="B95">
        <v>21</v>
      </c>
      <c r="C95">
        <v>446.25</v>
      </c>
      <c r="D95">
        <v>1096.5</v>
      </c>
      <c r="E95">
        <v>162</v>
      </c>
      <c r="F95">
        <v>162</v>
      </c>
      <c r="G95">
        <v>0</v>
      </c>
      <c r="H95">
        <v>0</v>
      </c>
      <c r="I95">
        <v>0</v>
      </c>
      <c r="J95">
        <v>0</v>
      </c>
      <c r="K95">
        <v>608.25</v>
      </c>
      <c r="L95">
        <v>1258.5</v>
      </c>
      <c r="M95">
        <v>1866.75</v>
      </c>
    </row>
    <row r="96" spans="1:13">
      <c r="A96" t="s">
        <v>347</v>
      </c>
      <c r="B96">
        <v>21</v>
      </c>
      <c r="C96">
        <v>451.25</v>
      </c>
      <c r="D96">
        <v>1051.8800000000001</v>
      </c>
      <c r="E96">
        <v>304</v>
      </c>
      <c r="F96">
        <v>304</v>
      </c>
      <c r="G96">
        <v>0</v>
      </c>
      <c r="H96">
        <v>5.63</v>
      </c>
      <c r="I96">
        <v>0</v>
      </c>
      <c r="J96">
        <v>0</v>
      </c>
      <c r="K96">
        <v>755.25</v>
      </c>
      <c r="L96">
        <v>1361.5100000000002</v>
      </c>
      <c r="M96">
        <v>2116.7600000000002</v>
      </c>
    </row>
    <row r="97" spans="1:13">
      <c r="A97" t="s">
        <v>296</v>
      </c>
      <c r="B97">
        <v>21</v>
      </c>
      <c r="C97">
        <v>451.25</v>
      </c>
      <c r="D97">
        <v>1051.8800000000001</v>
      </c>
      <c r="E97">
        <v>304</v>
      </c>
      <c r="F97">
        <v>304</v>
      </c>
      <c r="G97">
        <v>0</v>
      </c>
      <c r="H97">
        <v>5.63</v>
      </c>
      <c r="I97">
        <v>0</v>
      </c>
      <c r="J97">
        <v>0</v>
      </c>
      <c r="K97">
        <v>755.25</v>
      </c>
      <c r="L97">
        <v>1361.5100000000002</v>
      </c>
      <c r="M97">
        <v>2116.7600000000002</v>
      </c>
    </row>
    <row r="98" spans="1:13">
      <c r="A98" t="s">
        <v>291</v>
      </c>
      <c r="B98">
        <v>21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B99">
        <f>SUM(B4:B98)</f>
        <v>1974</v>
      </c>
      <c r="C99">
        <f t="shared" ref="C99:M99" si="0">SUM(C4:C98)</f>
        <v>55224.359999999935</v>
      </c>
      <c r="D99">
        <f t="shared" si="0"/>
        <v>142318.14000000019</v>
      </c>
      <c r="E99">
        <f t="shared" si="0"/>
        <v>16283</v>
      </c>
      <c r="F99">
        <f t="shared" si="0"/>
        <v>16283</v>
      </c>
      <c r="G99">
        <f t="shared" si="0"/>
        <v>0</v>
      </c>
      <c r="H99">
        <f t="shared" si="0"/>
        <v>67.260000000000005</v>
      </c>
      <c r="I99">
        <f t="shared" si="0"/>
        <v>0</v>
      </c>
      <c r="J99">
        <f t="shared" si="0"/>
        <v>0</v>
      </c>
      <c r="K99">
        <f t="shared" si="0"/>
        <v>71507.359999999899</v>
      </c>
      <c r="L99">
        <f t="shared" si="0"/>
        <v>158668.40000000005</v>
      </c>
      <c r="M99">
        <f t="shared" si="0"/>
        <v>230175.75999999966</v>
      </c>
    </row>
    <row r="101" spans="1:13">
      <c r="C101">
        <f>C99+D99+H99</f>
        <v>197609.76000000013</v>
      </c>
    </row>
    <row r="102" spans="1:13">
      <c r="C102">
        <f>E99+F99</f>
        <v>32566</v>
      </c>
    </row>
  </sheetData>
  <phoneticPr fontId="23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15</vt:i4>
      </vt:variant>
      <vt:variant>
        <vt:lpstr>命名范围</vt:lpstr>
      </vt:variant>
      <vt:variant>
        <vt:i4>1</vt:i4>
      </vt:variant>
    </vt:vector>
  </HeadingPairs>
  <TitlesOfParts>
    <vt:vector size="16" baseType="lpstr">
      <vt:lpstr>付款通知书</vt:lpstr>
      <vt:lpstr>长促工资明细</vt:lpstr>
      <vt:lpstr>Sheet9</vt:lpstr>
      <vt:lpstr>社保公积金账单</vt:lpstr>
      <vt:lpstr>Sheet8</vt:lpstr>
      <vt:lpstr>Sheet6</vt:lpstr>
      <vt:lpstr>Sheet7</vt:lpstr>
      <vt:lpstr>Sheet4</vt:lpstr>
      <vt:lpstr>Sheet3</vt:lpstr>
      <vt:lpstr>Sheet2</vt:lpstr>
      <vt:lpstr>赵多多社保明细</vt:lpstr>
      <vt:lpstr>增减情况</vt:lpstr>
      <vt:lpstr>开票通知书</vt:lpstr>
      <vt:lpstr>Sheet1</vt:lpstr>
      <vt:lpstr>Sheet5</vt:lpstr>
      <vt:lpstr>付款通知书!Print_Area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fsg</dc:creator>
  <cp:lastModifiedBy>蒋文妮</cp:lastModifiedBy>
  <cp:lastPrinted>2024-02-22T07:24:37Z</cp:lastPrinted>
  <dcterms:created xsi:type="dcterms:W3CDTF">2006-09-13T11:21:00Z</dcterms:created>
  <dcterms:modified xsi:type="dcterms:W3CDTF">2026-04-20T01:35:40Z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