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3B81BEA-E2F2-4CD1-ADC0-21CFF3929F1B}" xr6:coauthVersionLast="47" xr6:coauthVersionMax="47" xr10:uidLastSave="{00000000-0000-0000-0000-000000000000}"/>
  <bookViews>
    <workbookView xWindow="-120" yWindow="-120" windowWidth="29040" windowHeight="15720" tabRatio="588" activeTab="1" xr2:uid="{00000000-000D-0000-FFFF-FFFF00000000}"/>
  </bookViews>
  <sheets>
    <sheet name="付款通知书" sheetId="3" r:id="rId1"/>
    <sheet name="工资明细" sheetId="11" r:id="rId2"/>
    <sheet name="开票通知书（新）" sheetId="22" state="hidden" r:id="rId3"/>
    <sheet name="供应商明细表" sheetId="21" state="hidden" r:id="rId4"/>
  </sheets>
  <definedNames>
    <definedName name="_xlnm._FilterDatabase" localSheetId="1" hidden="1">工资明细!$A$5:$BC$9</definedName>
    <definedName name="_xlnm.Print_Area" localSheetId="0">付款通知书!$B$1:$J$41</definedName>
    <definedName name="_xlnm.Print_Area" localSheetId="1">工资明细!$A$5:$BF$9</definedName>
    <definedName name="_xlnm.Print_Area" localSheetId="2">'开票通知书（新）'!$A$1:$T$24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1" l="1"/>
  <c r="I21" i="21"/>
  <c r="H21" i="21"/>
  <c r="G21" i="21"/>
  <c r="F21" i="21"/>
  <c r="E21" i="21"/>
  <c r="D21" i="21"/>
  <c r="C21" i="21"/>
  <c r="B21" i="21"/>
  <c r="J20" i="21"/>
  <c r="I20" i="21"/>
  <c r="H20" i="21"/>
  <c r="G20" i="21"/>
  <c r="F20" i="21"/>
  <c r="E20" i="21"/>
  <c r="D20" i="21"/>
  <c r="C20" i="21"/>
  <c r="B20" i="21"/>
  <c r="J16" i="21"/>
  <c r="I16" i="21"/>
  <c r="H16" i="21"/>
  <c r="G16" i="21"/>
  <c r="F16" i="21"/>
  <c r="E16" i="21"/>
  <c r="D16" i="21"/>
  <c r="C16" i="21"/>
  <c r="B16" i="21"/>
  <c r="E10" i="21"/>
  <c r="D10" i="21"/>
  <c r="C10" i="21"/>
  <c r="E9" i="21"/>
  <c r="D9" i="21"/>
  <c r="C8" i="21"/>
  <c r="I7" i="21"/>
  <c r="F7" i="21"/>
  <c r="B7" i="21"/>
  <c r="C20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S14" i="22"/>
  <c r="R14" i="22"/>
  <c r="Q14" i="22"/>
  <c r="P14" i="22"/>
  <c r="O14" i="22"/>
  <c r="N14" i="22"/>
  <c r="L14" i="22"/>
  <c r="K14" i="22"/>
  <c r="J14" i="22"/>
  <c r="H14" i="22"/>
  <c r="G14" i="22"/>
  <c r="F14" i="22"/>
  <c r="E14" i="22"/>
  <c r="B13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R10" i="3"/>
  <c r="Q10" i="3"/>
  <c r="P10" i="3"/>
  <c r="O10" i="3"/>
  <c r="N10" i="3"/>
  <c r="M10" i="3"/>
  <c r="L10" i="3"/>
  <c r="K10" i="3"/>
  <c r="J10" i="3"/>
  <c r="I10" i="3"/>
  <c r="H10" i="3"/>
  <c r="D10" i="3"/>
  <c r="C10" i="3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BF8" i="11"/>
  <c r="BE8" i="11"/>
  <c r="BD8" i="11"/>
  <c r="BC8" i="11"/>
  <c r="BF6" i="11"/>
  <c r="BE6" i="11"/>
  <c r="BD6" i="11"/>
  <c r="BB6" i="11"/>
  <c r="AZ6" i="11"/>
  <c r="AY6" i="11"/>
  <c r="AX6" i="11"/>
  <c r="AW6" i="11"/>
  <c r="AT6" i="11"/>
  <c r="AS6" i="11"/>
  <c r="AR6" i="11"/>
  <c r="AO6" i="11"/>
  <c r="AN6" i="11" a="1"/>
  <c r="AM6" i="11"/>
  <c r="AG6" i="11"/>
  <c r="AE6" i="11"/>
  <c r="AD6" i="11"/>
  <c r="AC6" i="11"/>
  <c r="AB6" i="11"/>
  <c r="AA6" i="11"/>
  <c r="H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H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导入上月工资表中</t>
        </r>
        <r>
          <rPr>
            <b/>
            <sz val="9"/>
            <rFont val="Tahoma"/>
            <family val="2"/>
          </rPr>
          <t>AJ</t>
        </r>
        <r>
          <rPr>
            <b/>
            <sz val="9"/>
            <rFont val="宋体"/>
            <family val="3"/>
            <charset val="134"/>
          </rPr>
          <t>列
（本月合计计税工资）</t>
        </r>
        <r>
          <rPr>
            <b/>
            <sz val="9"/>
            <rFont val="Tahoma"/>
            <family val="2"/>
          </rPr>
          <t xml:space="preserve">
</t>
        </r>
      </text>
    </comment>
    <comment ref="AL5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导入上月专项扣除（累计）AH列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6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不含增值税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<sst xmlns="http://schemas.openxmlformats.org/spreadsheetml/2006/main" count="155" uniqueCount="134">
  <si>
    <t>上海外服合杰企业服务有限公司 付款通知书</t>
  </si>
  <si>
    <t>公司名称:安迪苏生命科学制品（上海）有限公司</t>
  </si>
  <si>
    <t>城市</t>
  </si>
  <si>
    <t>社会保险类</t>
  </si>
  <si>
    <t>工资类</t>
  </si>
  <si>
    <t>报销</t>
  </si>
  <si>
    <t>服务费</t>
  </si>
  <si>
    <t>招聘费</t>
  </si>
  <si>
    <t>小计</t>
  </si>
  <si>
    <t>增值税</t>
  </si>
  <si>
    <t>发票总金额</t>
  </si>
  <si>
    <t>人数</t>
  </si>
  <si>
    <t>公司缴纳金额</t>
  </si>
  <si>
    <t>个人缴纳金额</t>
  </si>
  <si>
    <t>补缴人数</t>
  </si>
  <si>
    <t>公司补缴金额</t>
  </si>
  <si>
    <t>个人补缴金额</t>
  </si>
  <si>
    <t>社保类小计</t>
  </si>
  <si>
    <t>工资请款</t>
  </si>
  <si>
    <t>年终奖请款</t>
  </si>
  <si>
    <t>报销请款</t>
  </si>
  <si>
    <t>收费</t>
  </si>
  <si>
    <t>上海</t>
  </si>
  <si>
    <t>汇总</t>
  </si>
  <si>
    <t>本月总计：</t>
  </si>
  <si>
    <t>制单人：徐靖</t>
  </si>
  <si>
    <t xml:space="preserve">                                                                      </t>
  </si>
  <si>
    <t>制单日期：2026-2</t>
  </si>
  <si>
    <t xml:space="preserve">户名：上海外服合杰企业服务有限公司 </t>
  </si>
  <si>
    <t>开户银行：中国工商银行上海市金钟支行</t>
  </si>
  <si>
    <t>人民币银行帐号：RMB 1001199409006536383</t>
  </si>
  <si>
    <t>序号</t>
  </si>
  <si>
    <t>日期</t>
  </si>
  <si>
    <t>姓名</t>
  </si>
  <si>
    <t>身份证</t>
  </si>
  <si>
    <t>入职日期</t>
  </si>
  <si>
    <t>离职日期</t>
  </si>
  <si>
    <t>工龄</t>
  </si>
  <si>
    <t>岗位</t>
  </si>
  <si>
    <t>事假</t>
  </si>
  <si>
    <t>产假</t>
  </si>
  <si>
    <t>婚假</t>
  </si>
  <si>
    <t>病假</t>
  </si>
  <si>
    <t>年假</t>
  </si>
  <si>
    <t>旷工</t>
  </si>
  <si>
    <t>入离职缺勤</t>
  </si>
  <si>
    <t>平日加班</t>
  </si>
  <si>
    <t>周末加班</t>
  </si>
  <si>
    <t>节假日加班</t>
  </si>
  <si>
    <t>社保基数</t>
  </si>
  <si>
    <t>基本工资</t>
  </si>
  <si>
    <t>出勤天数</t>
  </si>
  <si>
    <t>实际工资</t>
  </si>
  <si>
    <t>病假工资</t>
  </si>
  <si>
    <t>其他</t>
  </si>
  <si>
    <t>津贴&amp;加班费</t>
  </si>
  <si>
    <t>应发工资</t>
  </si>
  <si>
    <t>养老
(个人)</t>
  </si>
  <si>
    <t>医疗
(个人)</t>
  </si>
  <si>
    <t>失业
(个人)</t>
  </si>
  <si>
    <t>公积金
(个人)</t>
  </si>
  <si>
    <t>四金补差</t>
  </si>
  <si>
    <t>税前工资</t>
  </si>
  <si>
    <t>上月合并计税工资</t>
  </si>
  <si>
    <t>上个月个税</t>
  </si>
  <si>
    <t>累积个税</t>
  </si>
  <si>
    <t>专项扣除
(累计）</t>
  </si>
  <si>
    <t>专项扣除
(上月）</t>
  </si>
  <si>
    <t>本月合计计税工资</t>
  </si>
  <si>
    <t>个人所得税</t>
  </si>
  <si>
    <t>前月个税累计计算值</t>
  </si>
  <si>
    <t>税后补差</t>
  </si>
  <si>
    <t>税前年终奖</t>
  </si>
  <si>
    <t>年终奖个税</t>
  </si>
  <si>
    <t>实得年终奖</t>
  </si>
  <si>
    <t>实发工资</t>
  </si>
  <si>
    <t>报销企业所得税（餐费）</t>
  </si>
  <si>
    <t>残保金</t>
  </si>
  <si>
    <t>养老
(公司)</t>
  </si>
  <si>
    <t>医疗
(公司)</t>
  </si>
  <si>
    <t>失业
(公司)</t>
  </si>
  <si>
    <t>意外险</t>
  </si>
  <si>
    <t>公积金
(公司)</t>
  </si>
  <si>
    <t>总成本</t>
  </si>
  <si>
    <t>备注</t>
  </si>
  <si>
    <t xml:space="preserve">王怀桃 </t>
  </si>
  <si>
    <t xml:space="preserve">342422196905101429 </t>
  </si>
  <si>
    <t>Total:</t>
  </si>
  <si>
    <t>开票通知书</t>
  </si>
  <si>
    <t>序号(      )</t>
  </si>
  <si>
    <t xml:space="preserve">     主数据编号:_  1000049446______</t>
  </si>
  <si>
    <t xml:space="preserve">     收款单位:_  上海合杰人才服务有限公司______</t>
  </si>
  <si>
    <t xml:space="preserve">     发票号码：___________________________</t>
  </si>
  <si>
    <t xml:space="preserve">     付款单位：</t>
  </si>
  <si>
    <t xml:space="preserve">     开票时间：_________安迪苏生命科学制品（上海）有限公司__________________</t>
  </si>
  <si>
    <t xml:space="preserve">     所属期间：__________2024年12月________</t>
  </si>
  <si>
    <t xml:space="preserve">     客户企业类型：三资企业</t>
  </si>
  <si>
    <t>行业</t>
  </si>
  <si>
    <t>产品线</t>
  </si>
  <si>
    <t>风险类型</t>
  </si>
  <si>
    <t>工资</t>
  </si>
  <si>
    <t>社保</t>
  </si>
  <si>
    <t>公积金</t>
  </si>
  <si>
    <t>年终奖</t>
  </si>
  <si>
    <t>代垫费用</t>
  </si>
  <si>
    <t>代报销</t>
  </si>
  <si>
    <t>代报销附加税</t>
  </si>
  <si>
    <t>外划服务费</t>
  </si>
  <si>
    <t>附加税</t>
  </si>
  <si>
    <t>不含税金额</t>
  </si>
  <si>
    <t>零售服务</t>
  </si>
  <si>
    <t>岗位外包</t>
  </si>
  <si>
    <t>风险后置</t>
  </si>
  <si>
    <t>合计</t>
  </si>
  <si>
    <t>备注：</t>
  </si>
  <si>
    <t>本地保障服务费</t>
  </si>
  <si>
    <t>外地保障服务费</t>
  </si>
  <si>
    <t>部门：</t>
  </si>
  <si>
    <t>业务二部</t>
  </si>
  <si>
    <t>MBP</t>
  </si>
  <si>
    <t>制单人：</t>
  </si>
  <si>
    <t>申请日期：</t>
  </si>
  <si>
    <t>部门主管：</t>
  </si>
  <si>
    <t>客户名称：安迪苏生命科学制品（上海）有限公司</t>
  </si>
  <si>
    <t>所属期： 2024年12月</t>
  </si>
  <si>
    <t>供应商</t>
  </si>
  <si>
    <t>工资（含个税）</t>
  </si>
  <si>
    <t>社保公积金合计</t>
  </si>
  <si>
    <t>本部</t>
  </si>
  <si>
    <t>上海市人力资源和社会保障局</t>
  </si>
  <si>
    <t>上海公积金中心</t>
  </si>
  <si>
    <t>开票金额</t>
  </si>
  <si>
    <t>稽核</t>
  </si>
  <si>
    <t>2026-02</t>
    <phoneticPr fontId="9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</si>
</sst>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[$-804]General"/>
    <numFmt numFmtId="179" formatCode="_ &quot;?&quot;* #,##0_ ;_ &quot;?&quot;* \-#,##0_ ;_ &quot;?&quot;* &quot;-&quot;_ ;_ @_ "/>
    <numFmt numFmtId="180" formatCode="_-&quot;$&quot;* #,##0_-;\-&quot;$&quot;* #,##0_-;_-&quot;$&quot;* &quot;-&quot;_-;_-@_-"/>
    <numFmt numFmtId="181" formatCode="0%;\(0%\)"/>
    <numFmt numFmtId="182" formatCode="0.0%"/>
    <numFmt numFmtId="183" formatCode="_(* #,##0.00_);_(* \(#,##0.00\);_(* &quot;-&quot;??_);_(@_)"/>
    <numFmt numFmtId="184" formatCode="_-* #,##0.00_-;\-* #,##0.00_-;_-* &quot;-&quot;??_-;_-@_-"/>
    <numFmt numFmtId="185" formatCode="#,##0.0_);\(#,##0.0\)"/>
    <numFmt numFmtId="186" formatCode="#############000000000000"/>
    <numFmt numFmtId="187" formatCode="&quot;\&quot;#,##0;&quot;\&quot;\-#,##0"/>
    <numFmt numFmtId="188" formatCode="&quot;\&quot;#,##0.00;&quot;\&quot;\-#,##0.00"/>
    <numFmt numFmtId="189" formatCode="#,##0\ &quot;\&quot;_);[Red]\(#,##0\ &quot;\&quot;\)"/>
    <numFmt numFmtId="190" formatCode="#,##0.00\ &quot;\&quot;_);[Red]\(#,##0.00\ &quot;\&quot;\)"/>
    <numFmt numFmtId="191" formatCode="#,##0\ &quot;$&quot;_);[Red]\(#,##0\ &quot;$&quot;\)"/>
    <numFmt numFmtId="192" formatCode="#,##0.00\ &quot;$&quot;_);[Red]\(#,##0.00\ &quot;$&quot;\)"/>
    <numFmt numFmtId="193" formatCode="0.00_)"/>
    <numFmt numFmtId="194" formatCode=";;;@"/>
    <numFmt numFmtId="195" formatCode="_(&quot;$&quot;* #,##0_);_(&quot;$&quot;* \(#,##0\);_(&quot;$&quot;* &quot;-&quot;??_);_(@_)"/>
    <numFmt numFmtId="196" formatCode="mmm\ dd\,\ yy"/>
    <numFmt numFmtId="197" formatCode="_(&quot;$&quot;* #,##0.0_);_(&quot;$&quot;* \(#,##0.0\);_(&quot;$&quot;* &quot;-&quot;??_);_(@_)"/>
    <numFmt numFmtId="198" formatCode="mm/dd/yy_)"/>
    <numFmt numFmtId="199" formatCode="#,##0.00_ "/>
    <numFmt numFmtId="200" formatCode="_-* #,##0.00_-;\-* #,##0.00_-;_-* &quot;-&quot;_-;_-@_-"/>
    <numFmt numFmtId="201" formatCode="0.00_ "/>
    <numFmt numFmtId="202" formatCode="0_ "/>
    <numFmt numFmtId="203" formatCode="[$-409]mmm/yy;@"/>
    <numFmt numFmtId="204" formatCode="[$-F800]dddd\,\ mmmm\ dd\,\ yyyy"/>
    <numFmt numFmtId="205" formatCode="\¥#,##0.00;\-\¥#,##0.00"/>
    <numFmt numFmtId="206" formatCode="0.00_);[Red]\(0.00\)"/>
    <numFmt numFmtId="207" formatCode="\¥#,##0.00"/>
    <numFmt numFmtId="208" formatCode="[$-409]mmmm/yy;@"/>
  </numFmts>
  <fonts count="95">
    <font>
      <sz val="12"/>
      <name val="宋体"/>
      <charset val="134"/>
    </font>
    <font>
      <sz val="11"/>
      <color theme="1"/>
      <name val="宋体"/>
      <family val="3"/>
      <charset val="134"/>
      <scheme val="minor"/>
    </font>
    <font>
      <b/>
      <sz val="13.5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7.5"/>
      <color indexed="8"/>
      <name val="宋体"/>
      <family val="3"/>
      <charset val="134"/>
    </font>
    <font>
      <u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u/>
      <sz val="7.5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Arial"/>
      <family val="2"/>
    </font>
    <font>
      <b/>
      <sz val="10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9"/>
      <name val="Trebuchet MS"/>
      <family val="2"/>
    </font>
    <font>
      <sz val="9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2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10"/>
      <name val="宋体"/>
      <family val="3"/>
      <charset val="134"/>
      <scheme val="minor"/>
    </font>
    <font>
      <b/>
      <sz val="9"/>
      <color indexed="9"/>
      <name val="Trebuchet MS"/>
      <family val="2"/>
    </font>
    <font>
      <sz val="9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u/>
      <sz val="10"/>
      <color indexed="3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Arial"/>
      <family val="2"/>
    </font>
    <font>
      <sz val="12"/>
      <name val="??"/>
      <family val="1"/>
    </font>
    <font>
      <sz val="12"/>
      <name val="????"/>
      <family val="1"/>
    </font>
    <font>
      <sz val="12"/>
      <color indexed="18"/>
      <name val="宋体"/>
      <family val="3"/>
      <charset val="134"/>
    </font>
    <font>
      <sz val="10"/>
      <name val="Helv"/>
      <family val="2"/>
    </font>
    <font>
      <sz val="12"/>
      <name val="Times New Roman"/>
      <family val="1"/>
    </font>
    <font>
      <sz val="13"/>
      <name val="Tms Rmn"/>
      <family val="1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宋体"/>
      <family val="3"/>
      <charset val="134"/>
    </font>
    <font>
      <sz val="11"/>
      <color indexed="9"/>
      <name val="Calibri"/>
      <family val="2"/>
    </font>
    <font>
      <sz val="11"/>
      <color indexed="20"/>
      <name val="宋体"/>
      <family val="3"/>
      <charset val="134"/>
    </font>
    <font>
      <sz val="11"/>
      <color indexed="20"/>
      <name val="Calibri"/>
      <family val="2"/>
    </font>
    <font>
      <sz val="10"/>
      <color indexed="9"/>
      <name val="Times New Roman"/>
      <family val="1"/>
    </font>
    <font>
      <b/>
      <sz val="11"/>
      <color indexed="52"/>
      <name val="宋体"/>
      <family val="3"/>
      <charset val="134"/>
    </font>
    <font>
      <b/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9"/>
      <name val="宋体"/>
      <family val="3"/>
      <charset val="134"/>
    </font>
    <font>
      <b/>
      <sz val="11"/>
      <color indexed="9"/>
      <name val="Calibri"/>
      <family val="2"/>
    </font>
    <font>
      <b/>
      <sz val="13"/>
      <name val="Tms Rmn"/>
      <family val="1"/>
    </font>
    <font>
      <i/>
      <sz val="11"/>
      <color indexed="23"/>
      <name val="宋体"/>
      <family val="3"/>
      <charset val="134"/>
    </font>
    <font>
      <i/>
      <sz val="11"/>
      <color indexed="23"/>
      <name val="Calibri"/>
      <family val="2"/>
    </font>
    <font>
      <b/>
      <sz val="12"/>
      <color indexed="14"/>
      <name val="黑体"/>
      <family val="3"/>
      <charset val="134"/>
    </font>
    <font>
      <b/>
      <sz val="10"/>
      <color indexed="14"/>
      <name val="黑体"/>
      <family val="3"/>
      <charset val="134"/>
    </font>
    <font>
      <sz val="11"/>
      <color indexed="17"/>
      <name val="宋体"/>
      <family val="3"/>
      <charset val="134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宋体"/>
      <family val="3"/>
      <charset val="134"/>
    </font>
    <font>
      <b/>
      <sz val="15"/>
      <color indexed="56"/>
      <name val="Calibri"/>
      <family val="2"/>
    </font>
    <font>
      <b/>
      <sz val="13"/>
      <color indexed="56"/>
      <name val="宋体"/>
      <family val="3"/>
      <charset val="134"/>
    </font>
    <font>
      <b/>
      <sz val="13"/>
      <color indexed="56"/>
      <name val="Calibri"/>
      <family val="2"/>
    </font>
    <font>
      <b/>
      <sz val="11"/>
      <color indexed="56"/>
      <name val="宋体"/>
      <family val="3"/>
      <charset val="134"/>
    </font>
    <font>
      <b/>
      <sz val="11"/>
      <color indexed="56"/>
      <name val="Calibri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indexed="62"/>
      <name val="Calibri"/>
      <family val="2"/>
    </font>
    <font>
      <sz val="11"/>
      <color indexed="52"/>
      <name val="宋体"/>
      <family val="3"/>
      <charset val="134"/>
    </font>
    <font>
      <sz val="11"/>
      <color indexed="52"/>
      <name val="Calibri"/>
      <family val="2"/>
    </font>
    <font>
      <sz val="10"/>
      <name val="MS Sans Serif"/>
      <family val="1"/>
    </font>
    <font>
      <sz val="11"/>
      <color indexed="60"/>
      <name val="宋体"/>
      <family val="3"/>
      <charset val="134"/>
    </font>
    <font>
      <sz val="11"/>
      <color indexed="60"/>
      <name val="Calibri"/>
      <family val="2"/>
    </font>
    <font>
      <sz val="7"/>
      <name val="Small Fonts"/>
      <charset val="134"/>
    </font>
    <font>
      <b/>
      <i/>
      <sz val="16"/>
      <name val="Helv"/>
      <family val="2"/>
    </font>
    <font>
      <sz val="9"/>
      <color theme="1"/>
      <name val="Century Gothic"/>
      <family val="2"/>
    </font>
    <font>
      <sz val="14"/>
      <name val="Cordia New"/>
      <family val="2"/>
      <charset val="222"/>
    </font>
    <font>
      <b/>
      <sz val="11"/>
      <color indexed="63"/>
      <name val="宋体"/>
      <family val="3"/>
      <charset val="134"/>
    </font>
    <font>
      <b/>
      <sz val="11"/>
      <color indexed="63"/>
      <name val="Calibri"/>
      <family val="2"/>
    </font>
    <font>
      <sz val="12"/>
      <color indexed="8"/>
      <name val="宋体"/>
      <family val="3"/>
      <charset val="134"/>
    </font>
    <font>
      <sz val="8"/>
      <color indexed="8"/>
      <name val="Helv"/>
      <family val="2"/>
    </font>
    <font>
      <b/>
      <sz val="10"/>
      <name val="Times New Roman"/>
      <family val="1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宋体"/>
      <family val="3"/>
      <charset val="134"/>
    </font>
    <font>
      <sz val="11"/>
      <color indexed="10"/>
      <name val="Calibri"/>
      <family val="2"/>
    </font>
    <font>
      <b/>
      <sz val="18"/>
      <color indexed="56"/>
      <name val="宋体"/>
      <family val="3"/>
      <charset val="134"/>
    </font>
    <font>
      <sz val="10"/>
      <color indexed="20"/>
      <name val="宋体"/>
      <family val="3"/>
      <charset val="134"/>
    </font>
    <font>
      <sz val="10"/>
      <color indexed="17"/>
      <name val="宋体"/>
      <family val="3"/>
      <charset val="134"/>
    </font>
    <font>
      <sz val="12"/>
      <name val="新細明體"/>
      <charset val="134"/>
    </font>
    <font>
      <sz val="11"/>
      <name val="蹈框"/>
      <charset val="134"/>
    </font>
    <font>
      <sz val="11"/>
      <color indexed="62"/>
      <name val="宋体"/>
      <family val="3"/>
      <charset val="134"/>
    </font>
    <font>
      <sz val="11"/>
      <name val="돋움"/>
      <charset val="134"/>
    </font>
    <font>
      <sz val="9"/>
      <name val="Tahoma"/>
      <family val="2"/>
    </font>
    <font>
      <sz val="9"/>
      <name val="宋体"/>
      <family val="3"/>
      <charset val="134"/>
    </font>
    <font>
      <b/>
      <sz val="9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784844508194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0"/>
        <bgColor indexed="15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00">
    <xf numFmtId="0" fontId="0" fillId="0" borderId="0"/>
    <xf numFmtId="41" fontId="8" fillId="0" borderId="0" applyFont="0" applyFill="0" applyBorder="0" applyAlignment="0" applyProtection="0">
      <alignment vertical="center"/>
    </xf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0" fillId="0" borderId="0"/>
    <xf numFmtId="178" fontId="30" fillId="0" borderId="0"/>
    <xf numFmtId="179" fontId="31" fillId="0" borderId="0" applyFont="0" applyFill="0" applyBorder="0" applyAlignment="0" applyProtection="0"/>
    <xf numFmtId="178" fontId="30" fillId="0" borderId="0"/>
    <xf numFmtId="178" fontId="30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30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0" fontId="32" fillId="0" borderId="0" applyFont="0" applyFill="0" applyBorder="0" applyAlignment="0" applyProtection="0"/>
    <xf numFmtId="178" fontId="31" fillId="0" borderId="0"/>
    <xf numFmtId="178" fontId="11" fillId="0" borderId="0"/>
    <xf numFmtId="178" fontId="11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0" fillId="0" borderId="0"/>
    <xf numFmtId="178" fontId="30" fillId="0" borderId="0" applyProtection="0"/>
    <xf numFmtId="178" fontId="33" fillId="0" borderId="0" applyNumberFormat="0" applyFill="0" applyBorder="0" applyAlignment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/>
    <xf numFmtId="178" fontId="30" fillId="0" borderId="0"/>
    <xf numFmtId="178" fontId="34" fillId="0" borderId="0"/>
    <xf numFmtId="178" fontId="34" fillId="0" borderId="0"/>
    <xf numFmtId="178" fontId="34" fillId="0" borderId="0" applyProtection="0"/>
    <xf numFmtId="178" fontId="30" fillId="0" borderId="0"/>
    <xf numFmtId="178" fontId="34" fillId="0" borderId="0"/>
    <xf numFmtId="178" fontId="35" fillId="0" borderId="0"/>
    <xf numFmtId="178" fontId="34" fillId="0" borderId="0"/>
    <xf numFmtId="178" fontId="34" fillId="0" borderId="0"/>
    <xf numFmtId="178" fontId="35" fillId="0" borderId="0" applyProtection="0"/>
    <xf numFmtId="178" fontId="34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/>
    <xf numFmtId="178" fontId="34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/>
    <xf numFmtId="178" fontId="34" fillId="0" borderId="0" applyProtection="0"/>
    <xf numFmtId="178" fontId="34" fillId="0" borderId="0" applyProtection="0"/>
    <xf numFmtId="178" fontId="34" fillId="0" borderId="0"/>
    <xf numFmtId="178" fontId="34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11" fillId="0" borderId="0"/>
    <xf numFmtId="178" fontId="34" fillId="0" borderId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/>
    <xf numFmtId="178" fontId="34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 applyProtection="0"/>
    <xf numFmtId="178" fontId="34" fillId="0" borderId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34" fillId="0" borderId="0"/>
    <xf numFmtId="178" fontId="34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0" fillId="0" borderId="0" applyProtection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0" fillId="0" borderId="0" applyBorder="0"/>
    <xf numFmtId="178" fontId="30" fillId="0" borderId="0" applyBorder="0"/>
    <xf numFmtId="178" fontId="34" fillId="0" borderId="0" applyProtection="0"/>
    <xf numFmtId="178" fontId="34" fillId="0" borderId="0" applyProtection="0"/>
    <xf numFmtId="178" fontId="34" fillId="0" borderId="0" applyProtection="0"/>
    <xf numFmtId="178" fontId="35" fillId="0" borderId="0" applyProtection="0"/>
    <xf numFmtId="178" fontId="30" fillId="0" borderId="0" applyProtection="0"/>
    <xf numFmtId="178" fontId="30" fillId="0" borderId="0"/>
    <xf numFmtId="178" fontId="30" fillId="0" borderId="0" applyProtection="0"/>
    <xf numFmtId="178" fontId="34" fillId="0" borderId="0" applyProtection="0"/>
    <xf numFmtId="178" fontId="34" fillId="0" borderId="0" applyProtection="0"/>
    <xf numFmtId="178" fontId="34" fillId="0" borderId="0"/>
    <xf numFmtId="178" fontId="34" fillId="0" borderId="0"/>
    <xf numFmtId="178" fontId="30" fillId="0" borderId="0"/>
    <xf numFmtId="178" fontId="34" fillId="0" borderId="0"/>
    <xf numFmtId="178" fontId="30" fillId="0" borderId="0"/>
    <xf numFmtId="178" fontId="30" fillId="0" borderId="0"/>
    <xf numFmtId="178" fontId="30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 applyProtection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0" fillId="0" borderId="0"/>
    <xf numFmtId="178" fontId="30" fillId="0" borderId="0"/>
    <xf numFmtId="178" fontId="30" fillId="0" borderId="0" applyNumberFormat="0" applyFill="0" applyBorder="0" applyAlignment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0" fillId="0" borderId="0"/>
    <xf numFmtId="178" fontId="34" fillId="0" borderId="0"/>
    <xf numFmtId="178" fontId="30" fillId="0" borderId="0" applyBorder="0"/>
    <xf numFmtId="178" fontId="30" fillId="0" borderId="0" applyBorder="0"/>
    <xf numFmtId="178" fontId="34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4" fillId="0" borderId="0"/>
    <xf numFmtId="178" fontId="34" fillId="0" borderId="0"/>
    <xf numFmtId="178" fontId="34" fillId="0" borderId="0"/>
    <xf numFmtId="178" fontId="30" fillId="0" borderId="0"/>
    <xf numFmtId="178" fontId="34" fillId="0" borderId="0"/>
    <xf numFmtId="178" fontId="34" fillId="0" borderId="0"/>
    <xf numFmtId="178" fontId="30" fillId="0" borderId="0" applyProtection="0"/>
    <xf numFmtId="178" fontId="30" fillId="0" borderId="0" applyProtection="0"/>
    <xf numFmtId="178" fontId="34" fillId="0" borderId="0"/>
    <xf numFmtId="178" fontId="34" fillId="0" borderId="0"/>
    <xf numFmtId="178" fontId="34" fillId="0" borderId="0"/>
    <xf numFmtId="178" fontId="34" fillId="0" borderId="0" applyProtection="0"/>
    <xf numFmtId="178" fontId="30" fillId="0" borderId="0" applyBorder="0"/>
    <xf numFmtId="178" fontId="30" fillId="0" borderId="0"/>
    <xf numFmtId="178" fontId="34" fillId="0" borderId="0"/>
    <xf numFmtId="178" fontId="34" fillId="0" borderId="0" applyProtection="0"/>
    <xf numFmtId="178" fontId="34" fillId="0" borderId="0"/>
    <xf numFmtId="178" fontId="30" fillId="0" borderId="0" applyProtection="0"/>
    <xf numFmtId="178" fontId="30" fillId="0" borderId="0" applyProtection="0"/>
    <xf numFmtId="178" fontId="30" fillId="0" borderId="0" applyProtection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4" fillId="0" borderId="0"/>
    <xf numFmtId="178" fontId="30" fillId="0" borderId="0" applyBorder="0"/>
    <xf numFmtId="178" fontId="30" fillId="0" borderId="0"/>
    <xf numFmtId="178" fontId="30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0" fillId="0" borderId="0" applyBorder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30" fillId="0" borderId="0"/>
    <xf numFmtId="178" fontId="30" fillId="0" borderId="0" applyProtection="0"/>
    <xf numFmtId="181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0" fontId="36" fillId="0" borderId="0" applyFont="0" applyFill="0" applyBorder="0" applyAlignment="0" applyProtection="0"/>
    <xf numFmtId="178" fontId="37" fillId="13" borderId="0" applyNumberFormat="0" applyBorder="0" applyAlignment="0" applyProtection="0">
      <alignment vertical="center"/>
    </xf>
    <xf numFmtId="178" fontId="38" fillId="13" borderId="0" applyNumberFormat="0" applyBorder="0" applyAlignment="0" applyProtection="0"/>
    <xf numFmtId="178" fontId="37" fillId="14" borderId="0" applyNumberFormat="0" applyBorder="0" applyAlignment="0" applyProtection="0">
      <alignment vertical="center"/>
    </xf>
    <xf numFmtId="178" fontId="38" fillId="14" borderId="0" applyNumberFormat="0" applyBorder="0" applyAlignment="0" applyProtection="0"/>
    <xf numFmtId="178" fontId="37" fillId="15" borderId="0" applyNumberFormat="0" applyBorder="0" applyAlignment="0" applyProtection="0">
      <alignment vertical="center"/>
    </xf>
    <xf numFmtId="178" fontId="38" fillId="15" borderId="0" applyNumberFormat="0" applyBorder="0" applyAlignment="0" applyProtection="0"/>
    <xf numFmtId="178" fontId="37" fillId="16" borderId="0" applyNumberFormat="0" applyBorder="0" applyAlignment="0" applyProtection="0">
      <alignment vertical="center"/>
    </xf>
    <xf numFmtId="178" fontId="38" fillId="16" borderId="0" applyNumberFormat="0" applyBorder="0" applyAlignment="0" applyProtection="0"/>
    <xf numFmtId="178" fontId="37" fillId="17" borderId="0" applyNumberFormat="0" applyBorder="0" applyAlignment="0" applyProtection="0">
      <alignment vertical="center"/>
    </xf>
    <xf numFmtId="178" fontId="38" fillId="17" borderId="0" applyNumberFormat="0" applyBorder="0" applyAlignment="0" applyProtection="0"/>
    <xf numFmtId="178" fontId="37" fillId="18" borderId="0" applyNumberFormat="0" applyBorder="0" applyAlignment="0" applyProtection="0">
      <alignment vertical="center"/>
    </xf>
    <xf numFmtId="178" fontId="38" fillId="18" borderId="0" applyNumberFormat="0" applyBorder="0" applyAlignment="0" applyProtection="0"/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3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7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8" fillId="19" borderId="0" applyNumberFormat="0" applyBorder="0" applyAlignment="0" applyProtection="0"/>
    <xf numFmtId="178" fontId="37" fillId="20" borderId="0" applyNumberFormat="0" applyBorder="0" applyAlignment="0" applyProtection="0">
      <alignment vertical="center"/>
    </xf>
    <xf numFmtId="178" fontId="38" fillId="20" borderId="0" applyNumberFormat="0" applyBorder="0" applyAlignment="0" applyProtection="0"/>
    <xf numFmtId="178" fontId="37" fillId="21" borderId="0" applyNumberFormat="0" applyBorder="0" applyAlignment="0" applyProtection="0">
      <alignment vertical="center"/>
    </xf>
    <xf numFmtId="178" fontId="38" fillId="21" borderId="0" applyNumberFormat="0" applyBorder="0" applyAlignment="0" applyProtection="0"/>
    <xf numFmtId="178" fontId="37" fillId="16" borderId="0" applyNumberFormat="0" applyBorder="0" applyAlignment="0" applyProtection="0">
      <alignment vertical="center"/>
    </xf>
    <xf numFmtId="178" fontId="38" fillId="16" borderId="0" applyNumberFormat="0" applyBorder="0" applyAlignment="0" applyProtection="0"/>
    <xf numFmtId="178" fontId="37" fillId="19" borderId="0" applyNumberFormat="0" applyBorder="0" applyAlignment="0" applyProtection="0">
      <alignment vertical="center"/>
    </xf>
    <xf numFmtId="178" fontId="38" fillId="19" borderId="0" applyNumberFormat="0" applyBorder="0" applyAlignment="0" applyProtection="0"/>
    <xf numFmtId="178" fontId="37" fillId="22" borderId="0" applyNumberFormat="0" applyBorder="0" applyAlignment="0" applyProtection="0">
      <alignment vertical="center"/>
    </xf>
    <xf numFmtId="178" fontId="38" fillId="22" borderId="0" applyNumberFormat="0" applyBorder="0" applyAlignment="0" applyProtection="0"/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0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21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6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40" fillId="23" borderId="0" applyNumberFormat="0" applyBorder="0" applyAlignment="0" applyProtection="0"/>
    <xf numFmtId="178" fontId="39" fillId="20" borderId="0" applyNumberFormat="0" applyBorder="0" applyAlignment="0" applyProtection="0">
      <alignment vertical="center"/>
    </xf>
    <xf numFmtId="178" fontId="40" fillId="20" borderId="0" applyNumberFormat="0" applyBorder="0" applyAlignment="0" applyProtection="0"/>
    <xf numFmtId="178" fontId="39" fillId="21" borderId="0" applyNumberFormat="0" applyBorder="0" applyAlignment="0" applyProtection="0">
      <alignment vertical="center"/>
    </xf>
    <xf numFmtId="178" fontId="40" fillId="21" borderId="0" applyNumberFormat="0" applyBorder="0" applyAlignment="0" applyProtection="0"/>
    <xf numFmtId="178" fontId="39" fillId="24" borderId="0" applyNumberFormat="0" applyBorder="0" applyAlignment="0" applyProtection="0">
      <alignment vertical="center"/>
    </xf>
    <xf numFmtId="178" fontId="40" fillId="24" borderId="0" applyNumberFormat="0" applyBorder="0" applyAlignment="0" applyProtection="0"/>
    <xf numFmtId="178" fontId="39" fillId="25" borderId="0" applyNumberFormat="0" applyBorder="0" applyAlignment="0" applyProtection="0">
      <alignment vertical="center"/>
    </xf>
    <xf numFmtId="178" fontId="40" fillId="25" borderId="0" applyNumberFormat="0" applyBorder="0" applyAlignment="0" applyProtection="0"/>
    <xf numFmtId="178" fontId="39" fillId="26" borderId="0" applyNumberFormat="0" applyBorder="0" applyAlignment="0" applyProtection="0">
      <alignment vertical="center"/>
    </xf>
    <xf numFmtId="178" fontId="40" fillId="26" borderId="0" applyNumberFormat="0" applyBorder="0" applyAlignment="0" applyProtection="0"/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3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0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1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26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40" fillId="9" borderId="0" applyNumberFormat="0" applyBorder="0" applyAlignment="0" applyProtection="0"/>
    <xf numFmtId="178" fontId="39" fillId="27" borderId="0" applyNumberFormat="0" applyBorder="0" applyAlignment="0" applyProtection="0">
      <alignment vertical="center"/>
    </xf>
    <xf numFmtId="178" fontId="40" fillId="27" borderId="0" applyNumberFormat="0" applyBorder="0" applyAlignment="0" applyProtection="0"/>
    <xf numFmtId="178" fontId="39" fillId="28" borderId="0" applyNumberFormat="0" applyBorder="0" applyAlignment="0" applyProtection="0">
      <alignment vertical="center"/>
    </xf>
    <xf numFmtId="178" fontId="40" fillId="28" borderId="0" applyNumberFormat="0" applyBorder="0" applyAlignment="0" applyProtection="0"/>
    <xf numFmtId="178" fontId="39" fillId="24" borderId="0" applyNumberFormat="0" applyBorder="0" applyAlignment="0" applyProtection="0">
      <alignment vertical="center"/>
    </xf>
    <xf numFmtId="178" fontId="40" fillId="24" borderId="0" applyNumberFormat="0" applyBorder="0" applyAlignment="0" applyProtection="0"/>
    <xf numFmtId="178" fontId="39" fillId="25" borderId="0" applyNumberFormat="0" applyBorder="0" applyAlignment="0" applyProtection="0">
      <alignment vertical="center"/>
    </xf>
    <xf numFmtId="178" fontId="40" fillId="25" borderId="0" applyNumberFormat="0" applyBorder="0" applyAlignment="0" applyProtection="0"/>
    <xf numFmtId="178" fontId="39" fillId="29" borderId="0" applyNumberFormat="0" applyBorder="0" applyAlignment="0" applyProtection="0">
      <alignment vertical="center"/>
    </xf>
    <xf numFmtId="178" fontId="40" fillId="29" borderId="0" applyNumberFormat="0" applyBorder="0" applyAlignment="0" applyProtection="0"/>
    <xf numFmtId="178" fontId="41" fillId="14" borderId="0" applyNumberFormat="0" applyBorder="0" applyAlignment="0" applyProtection="0">
      <alignment vertical="center"/>
    </xf>
    <xf numFmtId="178" fontId="42" fillId="14" borderId="0" applyNumberFormat="0" applyBorder="0" applyAlignment="0" applyProtection="0"/>
    <xf numFmtId="178" fontId="43" fillId="13" borderId="30" applyNumberFormat="0" applyFont="0" applyBorder="0" applyAlignment="0" applyProtection="0">
      <alignment horizontal="left"/>
    </xf>
    <xf numFmtId="178" fontId="44" fillId="30" borderId="31" applyNumberFormat="0" applyAlignment="0" applyProtection="0">
      <alignment vertical="center"/>
    </xf>
    <xf numFmtId="178" fontId="45" fillId="30" borderId="31" applyNumberFormat="0" applyAlignment="0" applyProtection="0"/>
    <xf numFmtId="178" fontId="46" fillId="0" borderId="10" applyNumberFormat="0">
      <alignment horizontal="center" vertical="center"/>
    </xf>
    <xf numFmtId="178" fontId="47" fillId="12" borderId="32" applyNumberFormat="0" applyAlignment="0" applyProtection="0">
      <alignment vertical="center"/>
    </xf>
    <xf numFmtId="178" fontId="48" fillId="12" borderId="32" applyNumberFormat="0" applyAlignment="0" applyProtection="0"/>
    <xf numFmtId="178" fontId="49" fillId="0" borderId="14" applyNumberFormat="0" applyFill="0" applyProtection="0">
      <alignment horizont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183" fontId="30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/>
    <xf numFmtId="184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/>
    <xf numFmtId="37" fontId="36" fillId="0" borderId="0" applyFont="0" applyFill="0" applyBorder="0" applyAlignment="0" applyProtection="0"/>
    <xf numFmtId="185" fontId="36" fillId="0" borderId="0" applyFont="0" applyFill="0" applyBorder="0" applyAlignment="0" applyProtection="0"/>
    <xf numFmtId="39" fontId="36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86" fontId="30" fillId="0" borderId="0">
      <alignment horizontal="left" vertical="center"/>
    </xf>
    <xf numFmtId="187" fontId="36" fillId="0" borderId="0" applyFont="0" applyFill="0" applyBorder="0" applyAlignment="0" applyProtection="0"/>
    <xf numFmtId="188" fontId="36" fillId="0" borderId="0" applyFont="0" applyFill="0" applyBorder="0" applyAlignment="0" applyProtection="0"/>
    <xf numFmtId="178" fontId="50" fillId="0" borderId="0" applyNumberFormat="0" applyFill="0" applyBorder="0" applyAlignment="0" applyProtection="0">
      <alignment vertical="center"/>
    </xf>
    <xf numFmtId="178" fontId="51" fillId="0" borderId="0" applyNumberFormat="0" applyFill="0" applyBorder="0" applyAlignment="0" applyProtection="0"/>
    <xf numFmtId="178" fontId="52" fillId="31" borderId="33">
      <alignment horizontal="right"/>
      <protection hidden="1"/>
    </xf>
    <xf numFmtId="178" fontId="53" fillId="31" borderId="0">
      <alignment horizontal="left"/>
      <protection hidden="1"/>
    </xf>
    <xf numFmtId="178" fontId="54" fillId="15" borderId="0" applyNumberFormat="0" applyBorder="0" applyAlignment="0" applyProtection="0">
      <alignment vertical="center"/>
    </xf>
    <xf numFmtId="178" fontId="55" fillId="15" borderId="0" applyNumberFormat="0" applyBorder="0" applyAlignment="0" applyProtection="0"/>
    <xf numFmtId="38" fontId="56" fillId="30" borderId="0" applyNumberFormat="0" applyBorder="0" applyAlignment="0" applyProtection="0"/>
    <xf numFmtId="178" fontId="35" fillId="32" borderId="0"/>
    <xf numFmtId="178" fontId="46" fillId="33" borderId="10" applyNumberFormat="0" applyFont="0" applyBorder="0" applyAlignment="0" applyProtection="0"/>
    <xf numFmtId="178" fontId="57" fillId="0" borderId="34" applyNumberFormat="0" applyAlignment="0" applyProtection="0">
      <alignment horizontal="left" vertical="center"/>
    </xf>
    <xf numFmtId="178" fontId="57" fillId="0" borderId="15">
      <alignment horizontal="left" vertical="center"/>
    </xf>
    <xf numFmtId="178" fontId="58" fillId="0" borderId="35" applyNumberFormat="0" applyFill="0" applyAlignment="0" applyProtection="0">
      <alignment vertical="center"/>
    </xf>
    <xf numFmtId="178" fontId="59" fillId="0" borderId="35" applyNumberFormat="0" applyFill="0" applyAlignment="0" applyProtection="0"/>
    <xf numFmtId="178" fontId="60" fillId="0" borderId="36" applyNumberFormat="0" applyFill="0" applyAlignment="0" applyProtection="0">
      <alignment vertical="center"/>
    </xf>
    <xf numFmtId="178" fontId="61" fillId="0" borderId="36" applyNumberFormat="0" applyFill="0" applyAlignment="0" applyProtection="0"/>
    <xf numFmtId="178" fontId="62" fillId="0" borderId="37" applyNumberFormat="0" applyFill="0" applyAlignment="0" applyProtection="0">
      <alignment vertical="center"/>
    </xf>
    <xf numFmtId="178" fontId="63" fillId="0" borderId="37" applyNumberFormat="0" applyFill="0" applyAlignment="0" applyProtection="0"/>
    <xf numFmtId="178" fontId="62" fillId="0" borderId="0" applyNumberFormat="0" applyFill="0" applyBorder="0" applyAlignment="0" applyProtection="0">
      <alignment vertical="center"/>
    </xf>
    <xf numFmtId="178" fontId="63" fillId="0" borderId="0" applyNumberFormat="0" applyFill="0" applyBorder="0" applyAlignment="0" applyProtection="0"/>
    <xf numFmtId="178" fontId="64" fillId="0" borderId="0" applyNumberFormat="0" applyFill="0" applyBorder="0" applyAlignment="0" applyProtection="0">
      <alignment vertical="top"/>
      <protection locked="0"/>
    </xf>
    <xf numFmtId="178" fontId="65" fillId="0" borderId="0" applyNumberFormat="0" applyFill="0" applyBorder="0" applyAlignment="0" applyProtection="0">
      <alignment vertical="top"/>
      <protection locked="0"/>
    </xf>
    <xf numFmtId="10" fontId="56" fillId="34" borderId="10" applyNumberFormat="0" applyBorder="0" applyAlignment="0" applyProtection="0"/>
    <xf numFmtId="178" fontId="46" fillId="0" borderId="10" applyNumberFormat="0" applyFont="0" applyBorder="0" applyAlignment="0" applyProtection="0"/>
    <xf numFmtId="178" fontId="66" fillId="18" borderId="31" applyNumberFormat="0" applyAlignment="0" applyProtection="0"/>
    <xf numFmtId="178" fontId="67" fillId="0" borderId="38" applyNumberFormat="0" applyFill="0" applyAlignment="0" applyProtection="0">
      <alignment vertical="center"/>
    </xf>
    <xf numFmtId="178" fontId="68" fillId="0" borderId="38" applyNumberFormat="0" applyFill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189" fontId="69" fillId="0" borderId="0" applyFont="0" applyFill="0" applyBorder="0" applyAlignment="0" applyProtection="0"/>
    <xf numFmtId="190" fontId="69" fillId="0" borderId="0" applyFont="0" applyFill="0" applyBorder="0" applyAlignment="0" applyProtection="0"/>
    <xf numFmtId="191" fontId="69" fillId="0" borderId="0" applyFont="0" applyFill="0" applyBorder="0" applyAlignment="0" applyProtection="0"/>
    <xf numFmtId="192" fontId="69" fillId="0" borderId="0" applyFont="0" applyFill="0" applyBorder="0" applyAlignment="0" applyProtection="0"/>
    <xf numFmtId="178" fontId="70" fillId="35" borderId="0" applyNumberFormat="0" applyBorder="0" applyAlignment="0" applyProtection="0">
      <alignment vertical="center"/>
    </xf>
    <xf numFmtId="178" fontId="71" fillId="35" borderId="0" applyNumberFormat="0" applyBorder="0" applyAlignment="0" applyProtection="0"/>
    <xf numFmtId="178" fontId="46" fillId="0" borderId="10" applyNumberFormat="0" applyFont="0" applyBorder="0" applyAlignment="0" applyProtection="0">
      <alignment horizontal="center"/>
    </xf>
    <xf numFmtId="37" fontId="72" fillId="0" borderId="0"/>
    <xf numFmtId="193" fontId="73" fillId="0" borderId="0"/>
    <xf numFmtId="178" fontId="1" fillId="0" borderId="0">
      <alignment vertical="center"/>
    </xf>
    <xf numFmtId="178" fontId="1" fillId="0" borderId="0">
      <alignment vertical="center"/>
    </xf>
    <xf numFmtId="178" fontId="1" fillId="0" borderId="0"/>
    <xf numFmtId="178" fontId="1" fillId="0" borderId="0">
      <alignment vertical="center"/>
    </xf>
    <xf numFmtId="178" fontId="1" fillId="0" borderId="0">
      <alignment vertical="center"/>
    </xf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1" fillId="0" borderId="0"/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30" fillId="0" borderId="0" applyNumberFormat="0" applyFont="0" applyFill="0" applyBorder="0" applyAlignment="0" applyProtection="0"/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30" fillId="0" borderId="0" applyNumberFormat="0" applyFont="0" applyFill="0" applyBorder="0" applyAlignment="0" applyProtection="0"/>
    <xf numFmtId="178" fontId="1" fillId="0" borderId="0">
      <alignment vertical="center"/>
    </xf>
    <xf numFmtId="178" fontId="1" fillId="0" borderId="0"/>
    <xf numFmtId="178" fontId="30" fillId="0" borderId="0" applyNumberFormat="0" applyFont="0" applyFill="0" applyBorder="0" applyAlignment="0" applyProtection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30" fillId="0" borderId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74" fillId="0" borderId="0">
      <alignment vertical="center"/>
    </xf>
    <xf numFmtId="178" fontId="30" fillId="0" borderId="0" applyNumberFormat="0" applyFont="0" applyFill="0" applyBorder="0" applyAlignment="0" applyProtection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1" fillId="0" borderId="0">
      <alignment vertical="center"/>
    </xf>
    <xf numFmtId="178" fontId="1" fillId="0" borderId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75" fillId="0" borderId="0"/>
    <xf numFmtId="178" fontId="75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1" fillId="0" borderId="0">
      <alignment vertical="center"/>
    </xf>
    <xf numFmtId="178" fontId="1" fillId="0" borderId="0">
      <alignment vertical="center"/>
    </xf>
    <xf numFmtId="178" fontId="30" fillId="0" borderId="0" applyNumberFormat="0" applyFont="0" applyFill="0" applyBorder="0" applyAlignment="0" applyProtection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>
      <alignment vertical="center"/>
    </xf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30" fillId="0" borderId="0"/>
    <xf numFmtId="0" fontId="8" fillId="0" borderId="0">
      <alignment vertical="center"/>
    </xf>
    <xf numFmtId="178" fontId="30" fillId="0" borderId="0"/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8" fillId="34" borderId="39" applyNumberFormat="0" applyFont="0" applyAlignment="0" applyProtection="0"/>
    <xf numFmtId="178" fontId="76" fillId="30" borderId="40" applyNumberFormat="0" applyAlignment="0" applyProtection="0">
      <alignment vertical="center"/>
    </xf>
    <xf numFmtId="178" fontId="77" fillId="30" borderId="40" applyNumberFormat="0" applyAlignment="0" applyProtection="0"/>
    <xf numFmtId="10" fontId="3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41" applyNumberFormat="0" applyBorder="0"/>
    <xf numFmtId="178" fontId="79" fillId="0" borderId="0">
      <alignment horizontal="left"/>
    </xf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0" fillId="0" borderId="0"/>
    <xf numFmtId="178" fontId="80" fillId="30" borderId="42" applyFont="0" applyBorder="0">
      <alignment horizontal="left" vertical="center"/>
    </xf>
    <xf numFmtId="178" fontId="81" fillId="0" borderId="0" applyNumberFormat="0" applyFill="0" applyBorder="0" applyAlignment="0" applyProtection="0"/>
    <xf numFmtId="178" fontId="46" fillId="0" borderId="42" applyFont="0" applyBorder="0" applyAlignment="0">
      <alignment horizontal="left" vertical="center"/>
    </xf>
    <xf numFmtId="178" fontId="5" fillId="0" borderId="43" applyNumberFormat="0" applyFill="0" applyAlignment="0" applyProtection="0">
      <alignment vertical="center"/>
    </xf>
    <xf numFmtId="178" fontId="82" fillId="0" borderId="43" applyNumberFormat="0" applyFill="0" applyAlignment="0" applyProtection="0"/>
    <xf numFmtId="178" fontId="83" fillId="0" borderId="0" applyNumberFormat="0" applyFill="0" applyBorder="0" applyAlignment="0" applyProtection="0">
      <alignment vertical="center"/>
    </xf>
    <xf numFmtId="178" fontId="84" fillId="0" borderId="0" applyNumberFormat="0" applyFill="0" applyBorder="0" applyAlignment="0" applyProtection="0"/>
    <xf numFmtId="178" fontId="46" fillId="34" borderId="33" applyNumberFormat="0" applyFont="0" applyBorder="0" applyAlignment="0" applyProtection="0"/>
    <xf numFmtId="178" fontId="46" fillId="27" borderId="10" applyNumberFormat="0" applyFont="0" applyBorder="0" applyAlignment="0" applyProtection="0">
      <alignment horizontal="center"/>
    </xf>
    <xf numFmtId="194" fontId="35" fillId="0" borderId="0">
      <alignment horizontal="right"/>
    </xf>
    <xf numFmtId="178" fontId="30" fillId="0" borderId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58" fillId="0" borderId="35" applyNumberFormat="0" applyFill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0" fillId="0" borderId="36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37" applyNumberFormat="0" applyFill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62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85" fillId="0" borderId="0" applyNumberFormat="0" applyFill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Protection="0"/>
    <xf numFmtId="178" fontId="42" fillId="14" borderId="0" applyNumberFormat="0" applyBorder="0" applyAlignment="0" applyProtection="0"/>
    <xf numFmtId="178" fontId="41" fillId="14" borderId="0" applyProtection="0"/>
    <xf numFmtId="178" fontId="41" fillId="14" borderId="0" applyProtection="0"/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86" fillId="14" borderId="0" applyNumberFormat="0" applyBorder="0" applyAlignment="0" applyProtection="0">
      <alignment vertical="center"/>
    </xf>
    <xf numFmtId="178" fontId="86" fillId="14" borderId="0" applyNumberFormat="0" applyBorder="0" applyAlignment="0" applyProtection="0">
      <alignment vertical="center"/>
    </xf>
    <xf numFmtId="178" fontId="42" fillId="14" borderId="0" applyNumberFormat="0" applyBorder="0" applyAlignment="0" applyProtection="0"/>
    <xf numFmtId="178" fontId="41" fillId="14" borderId="0" applyProtection="0"/>
    <xf numFmtId="178" fontId="41" fillId="14" borderId="0" applyProtection="0"/>
    <xf numFmtId="178" fontId="86" fillId="14" borderId="0" applyNumberFormat="0" applyBorder="0" applyAlignment="0" applyProtection="0">
      <alignment vertical="center"/>
    </xf>
    <xf numFmtId="178" fontId="86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86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41" fillId="14" borderId="0" applyNumberFormat="0" applyBorder="0" applyAlignment="0" applyProtection="0">
      <alignment vertical="center"/>
    </xf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85" fontId="8" fillId="0" borderId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37" fillId="0" borderId="0" applyProtection="0">
      <alignment vertical="center"/>
    </xf>
    <xf numFmtId="178" fontId="8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>
      <alignment vertical="center"/>
    </xf>
    <xf numFmtId="178" fontId="8" fillId="0" borderId="0">
      <alignment vertical="center"/>
    </xf>
    <xf numFmtId="0" fontId="1" fillId="0" borderId="0">
      <alignment vertical="center"/>
    </xf>
    <xf numFmtId="185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/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 applyProtection="0"/>
    <xf numFmtId="178" fontId="8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30" fillId="0" borderId="0"/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1" fillId="0" borderId="0" applyProtection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0" fontId="1" fillId="0" borderId="0">
      <alignment vertical="center"/>
    </xf>
    <xf numFmtId="178" fontId="1" fillId="0" borderId="0">
      <alignment vertical="center"/>
    </xf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37" fillId="0" borderId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8" fillId="0" borderId="0" applyProtection="0"/>
    <xf numFmtId="178" fontId="1" fillId="0" borderId="0">
      <alignment vertical="center"/>
    </xf>
    <xf numFmtId="178" fontId="37" fillId="0" borderId="0" applyProtection="0">
      <alignment vertical="center"/>
    </xf>
    <xf numFmtId="178" fontId="1" fillId="0" borderId="0">
      <alignment vertical="center"/>
    </xf>
    <xf numFmtId="178" fontId="37" fillId="0" borderId="0" applyProtection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178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1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8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0" fontId="8" fillId="0" borderId="0">
      <alignment vertical="center"/>
    </xf>
    <xf numFmtId="178" fontId="37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1" fillId="0" borderId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8" fillId="0" borderId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Protection="0"/>
    <xf numFmtId="178" fontId="55" fillId="15" borderId="0" applyNumberFormat="0" applyBorder="0" applyAlignment="0" applyProtection="0"/>
    <xf numFmtId="178" fontId="54" fillId="15" borderId="0" applyProtection="0"/>
    <xf numFmtId="178" fontId="54" fillId="15" borderId="0" applyProtection="0"/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87" fillId="15" borderId="0" applyNumberFormat="0" applyBorder="0" applyAlignment="0" applyProtection="0">
      <alignment vertical="center"/>
    </xf>
    <xf numFmtId="178" fontId="87" fillId="15" borderId="0" applyNumberFormat="0" applyBorder="0" applyAlignment="0" applyProtection="0">
      <alignment vertical="center"/>
    </xf>
    <xf numFmtId="178" fontId="55" fillId="15" borderId="0" applyNumberFormat="0" applyBorder="0" applyAlignment="0" applyProtection="0"/>
    <xf numFmtId="178" fontId="54" fillId="15" borderId="0" applyProtection="0"/>
    <xf numFmtId="178" fontId="54" fillId="15" borderId="0" applyProtection="0"/>
    <xf numFmtId="178" fontId="87" fillId="15" borderId="0" applyNumberFormat="0" applyBorder="0" applyAlignment="0" applyProtection="0">
      <alignment vertical="center"/>
    </xf>
    <xf numFmtId="178" fontId="87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87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4" fillId="15" borderId="0" applyNumberFormat="0" applyBorder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8" fontId="5" fillId="0" borderId="43" applyNumberFormat="0" applyFill="0" applyAlignment="0" applyProtection="0">
      <alignment vertical="center"/>
    </xf>
    <xf numFmtId="176" fontId="8" fillId="0" borderId="0" applyFont="0" applyFill="0" applyBorder="0" applyAlignment="0" applyProtection="0"/>
    <xf numFmtId="180" fontId="8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4" fillId="30" borderId="31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47" fillId="12" borderId="32" applyNumberFormat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50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83" fillId="0" borderId="0" applyNumberFormat="0" applyFill="0" applyBorder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78" fontId="67" fillId="0" borderId="38" applyNumberFormat="0" applyFill="0" applyAlignment="0" applyProtection="0">
      <alignment vertical="center"/>
    </xf>
    <xf numFmtId="195" fontId="8" fillId="0" borderId="0" applyFont="0" applyFill="0" applyBorder="0" applyAlignment="0" applyProtection="0"/>
    <xf numFmtId="196" fontId="8" fillId="0" borderId="0" applyFont="0" applyFill="0" applyBorder="0" applyAlignment="0" applyProtection="0"/>
    <xf numFmtId="197" fontId="8" fillId="0" borderId="0" applyFont="0" applyFill="0" applyBorder="0" applyAlignment="0" applyProtection="0"/>
    <xf numFmtId="198" fontId="8" fillId="0" borderId="0" applyFont="0" applyFill="0" applyBorder="0" applyAlignment="0" applyProtection="0"/>
    <xf numFmtId="178" fontId="46" fillId="0" borderId="0"/>
    <xf numFmtId="41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43" fontId="8" fillId="0" borderId="0" applyProtection="0"/>
    <xf numFmtId="183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8" fontId="89" fillId="0" borderId="0"/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9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7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8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4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5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39" fillId="29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0" fillId="35" borderId="0" applyNumberFormat="0" applyBorder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76" fillId="30" borderId="40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178" fontId="90" fillId="18" borderId="31" applyNumberFormat="0" applyAlignment="0" applyProtection="0">
      <alignment vertical="center"/>
    </xf>
    <xf numFmtId="0" fontId="34" fillId="0" borderId="0"/>
    <xf numFmtId="178" fontId="34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11" fillId="0" borderId="0"/>
    <xf numFmtId="178" fontId="34" fillId="0" borderId="0"/>
    <xf numFmtId="178" fontId="35" fillId="0" borderId="0"/>
    <xf numFmtId="178" fontId="30" fillId="0" borderId="0" applyProtection="0"/>
    <xf numFmtId="178" fontId="8" fillId="0" borderId="0"/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8" fillId="34" borderId="39" applyNumberFormat="0" applyFont="0" applyAlignment="0" applyProtection="0">
      <alignment vertical="center"/>
    </xf>
    <xf numFmtId="178" fontId="91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3" fontId="0" fillId="0" borderId="5" xfId="2058" applyFont="1" applyBorder="1">
      <alignment vertical="center"/>
    </xf>
    <xf numFmtId="43" fontId="0" fillId="0" borderId="6" xfId="2058" applyFont="1" applyBorder="1">
      <alignment vertical="center"/>
    </xf>
    <xf numFmtId="0" fontId="0" fillId="2" borderId="7" xfId="0" applyFill="1" applyBorder="1" applyAlignment="1">
      <alignment vertical="center"/>
    </xf>
    <xf numFmtId="43" fontId="0" fillId="2" borderId="8" xfId="2058" applyFont="1" applyFill="1" applyBorder="1">
      <alignment vertical="center"/>
    </xf>
    <xf numFmtId="43" fontId="0" fillId="2" borderId="9" xfId="2058" applyFont="1" applyFill="1" applyBorder="1">
      <alignment vertical="center"/>
    </xf>
    <xf numFmtId="43" fontId="0" fillId="0" borderId="0" xfId="2058" applyFont="1" applyFill="1" applyBorder="1">
      <alignment vertical="center"/>
    </xf>
    <xf numFmtId="0" fontId="0" fillId="3" borderId="0" xfId="0" applyFill="1" applyAlignment="1">
      <alignment vertical="center"/>
    </xf>
    <xf numFmtId="4" fontId="0" fillId="3" borderId="0" xfId="0" applyNumberFormat="1" applyFill="1" applyAlignment="1">
      <alignment vertical="center"/>
    </xf>
    <xf numFmtId="43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199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1928" applyFont="1" applyFill="1" applyAlignment="1">
      <alignment horizontal="center" vertical="center" wrapText="1"/>
    </xf>
    <xf numFmtId="0" fontId="2" fillId="5" borderId="0" xfId="1928" applyFont="1" applyFill="1" applyAlignment="1">
      <alignment vertical="center" wrapText="1"/>
    </xf>
    <xf numFmtId="0" fontId="4" fillId="5" borderId="0" xfId="1928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6" fillId="5" borderId="0" xfId="1928" applyFont="1" applyFill="1" applyAlignment="1">
      <alignment vertical="center" wrapText="1"/>
    </xf>
    <xf numFmtId="0" fontId="7" fillId="5" borderId="0" xfId="1928" applyFont="1" applyFill="1" applyAlignment="1">
      <alignment vertical="center" wrapText="1"/>
    </xf>
    <xf numFmtId="0" fontId="8" fillId="5" borderId="0" xfId="1928" applyFill="1">
      <alignment vertical="center"/>
    </xf>
    <xf numFmtId="0" fontId="8" fillId="0" borderId="0" xfId="1928">
      <alignment vertical="center"/>
    </xf>
    <xf numFmtId="0" fontId="9" fillId="5" borderId="0" xfId="1928" applyFont="1" applyFill="1" applyAlignment="1">
      <alignment vertical="center" wrapText="1"/>
    </xf>
    <xf numFmtId="0" fontId="10" fillId="5" borderId="10" xfId="1930" applyFont="1" applyFill="1" applyBorder="1" applyAlignment="1">
      <alignment horizontal="center" vertical="center" wrapText="1"/>
    </xf>
    <xf numFmtId="0" fontId="10" fillId="5" borderId="11" xfId="1930" applyFont="1" applyFill="1" applyBorder="1" applyAlignment="1">
      <alignment horizontal="center" vertical="center" wrapText="1"/>
    </xf>
    <xf numFmtId="0" fontId="10" fillId="5" borderId="11" xfId="1928" applyFont="1" applyFill="1" applyBorder="1" applyAlignment="1">
      <alignment horizontal="center" vertical="center" wrapText="1"/>
    </xf>
    <xf numFmtId="0" fontId="10" fillId="0" borderId="11" xfId="1928" applyFont="1" applyBorder="1" applyAlignment="1">
      <alignment horizontal="center" vertical="center" wrapText="1"/>
    </xf>
    <xf numFmtId="0" fontId="11" fillId="5" borderId="0" xfId="1928" applyFont="1" applyFill="1" applyAlignment="1">
      <alignment horizontal="center" vertical="center"/>
    </xf>
    <xf numFmtId="0" fontId="12" fillId="5" borderId="0" xfId="1928" applyFont="1" applyFill="1" applyAlignment="1">
      <alignment vertical="center" wrapText="1"/>
    </xf>
    <xf numFmtId="0" fontId="12" fillId="0" borderId="12" xfId="1940" applyFont="1" applyBorder="1" applyAlignment="1">
      <alignment horizontal="center" vertical="center" wrapText="1"/>
    </xf>
    <xf numFmtId="0" fontId="12" fillId="0" borderId="13" xfId="1940" applyFont="1" applyBorder="1" applyAlignment="1">
      <alignment horizontal="center" vertical="center" wrapText="1"/>
    </xf>
    <xf numFmtId="4" fontId="12" fillId="5" borderId="13" xfId="1928" applyNumberFormat="1" applyFont="1" applyFill="1" applyBorder="1" applyAlignment="1">
      <alignment horizontal="right" vertical="center" wrapText="1"/>
    </xf>
    <xf numFmtId="4" fontId="12" fillId="0" borderId="13" xfId="0" applyNumberFormat="1" applyFont="1" applyBorder="1" applyAlignment="1">
      <alignment horizontal="right" vertical="center" wrapText="1"/>
    </xf>
    <xf numFmtId="199" fontId="12" fillId="0" borderId="13" xfId="0" applyNumberFormat="1" applyFont="1" applyBorder="1" applyAlignment="1">
      <alignment horizontal="right" vertical="center" wrapText="1"/>
    </xf>
    <xf numFmtId="4" fontId="12" fillId="5" borderId="13" xfId="0" applyNumberFormat="1" applyFont="1" applyFill="1" applyBorder="1" applyAlignment="1">
      <alignment horizontal="right" vertical="center" wrapText="1"/>
    </xf>
    <xf numFmtId="200" fontId="12" fillId="5" borderId="13" xfId="1" applyNumberFormat="1" applyFont="1" applyFill="1" applyBorder="1" applyAlignment="1">
      <alignment horizontal="right" vertical="center" wrapText="1"/>
    </xf>
    <xf numFmtId="199" fontId="8" fillId="5" borderId="0" xfId="1928" applyNumberFormat="1" applyFill="1">
      <alignment vertical="center"/>
    </xf>
    <xf numFmtId="0" fontId="12" fillId="0" borderId="12" xfId="1930" applyFont="1" applyBorder="1" applyAlignment="1">
      <alignment horizontal="right" vertical="center" wrapText="1"/>
    </xf>
    <xf numFmtId="0" fontId="12" fillId="0" borderId="13" xfId="1930" applyFont="1" applyBorder="1" applyAlignment="1">
      <alignment horizontal="right" vertical="center" wrapText="1"/>
    </xf>
    <xf numFmtId="0" fontId="12" fillId="5" borderId="13" xfId="1928" applyFont="1" applyFill="1" applyBorder="1" applyAlignment="1">
      <alignment horizontal="right" vertical="center" wrapText="1"/>
    </xf>
    <xf numFmtId="4" fontId="12" fillId="0" borderId="13" xfId="1928" applyNumberFormat="1" applyFont="1" applyBorder="1" applyAlignment="1">
      <alignment horizontal="right" vertical="center" wrapText="1"/>
    </xf>
    <xf numFmtId="199" fontId="12" fillId="5" borderId="13" xfId="1928" applyNumberFormat="1" applyFont="1" applyFill="1" applyBorder="1" applyAlignment="1">
      <alignment horizontal="right" vertical="center" wrapText="1"/>
    </xf>
    <xf numFmtId="200" fontId="12" fillId="5" borderId="13" xfId="2101" applyNumberFormat="1" applyFont="1" applyFill="1" applyBorder="1" applyAlignment="1">
      <alignment horizontal="right" vertical="center" wrapText="1"/>
    </xf>
    <xf numFmtId="0" fontId="10" fillId="0" borderId="12" xfId="1929" applyFont="1" applyBorder="1" applyAlignment="1">
      <alignment vertical="center" wrapText="1"/>
    </xf>
    <xf numFmtId="201" fontId="8" fillId="5" borderId="0" xfId="1928" applyNumberFormat="1" applyFill="1">
      <alignment vertical="center"/>
    </xf>
    <xf numFmtId="199" fontId="12" fillId="5" borderId="0" xfId="1928" applyNumberFormat="1" applyFont="1" applyFill="1" applyAlignment="1">
      <alignment vertical="center" wrapText="1"/>
    </xf>
    <xf numFmtId="0" fontId="13" fillId="5" borderId="0" xfId="1928" applyFont="1" applyFill="1">
      <alignment vertical="center"/>
    </xf>
    <xf numFmtId="10" fontId="12" fillId="5" borderId="0" xfId="1495" applyNumberFormat="1" applyFont="1" applyFill="1" applyAlignment="1">
      <alignment vertical="center" wrapText="1"/>
    </xf>
    <xf numFmtId="0" fontId="10" fillId="5" borderId="10" xfId="1928" applyFont="1" applyFill="1" applyBorder="1" applyAlignment="1">
      <alignment horizontal="center" vertical="center" wrapText="1"/>
    </xf>
    <xf numFmtId="43" fontId="12" fillId="5" borderId="10" xfId="1928" applyNumberFormat="1" applyFont="1" applyFill="1" applyBorder="1" applyAlignment="1">
      <alignment horizontal="center" vertical="center" wrapText="1"/>
    </xf>
    <xf numFmtId="0" fontId="14" fillId="5" borderId="0" xfId="1928" applyFont="1" applyFill="1" applyAlignment="1">
      <alignment vertical="center" wrapText="1"/>
    </xf>
    <xf numFmtId="0" fontId="10" fillId="5" borderId="0" xfId="1928" applyFont="1" applyFill="1" applyAlignment="1">
      <alignment vertical="center" wrapText="1"/>
    </xf>
    <xf numFmtId="178" fontId="15" fillId="6" borderId="0" xfId="1694" applyNumberFormat="1" applyFont="1" applyFill="1">
      <alignment vertical="center"/>
    </xf>
    <xf numFmtId="178" fontId="16" fillId="5" borderId="0" xfId="1694" applyNumberFormat="1" applyFont="1" applyFill="1">
      <alignment vertical="center"/>
    </xf>
    <xf numFmtId="178" fontId="17" fillId="7" borderId="0" xfId="1694" applyNumberFormat="1" applyFont="1" applyFill="1">
      <alignment vertical="center"/>
    </xf>
    <xf numFmtId="178" fontId="8" fillId="7" borderId="0" xfId="1694" applyNumberFormat="1" applyFill="1">
      <alignment vertical="center"/>
    </xf>
    <xf numFmtId="201" fontId="8" fillId="7" borderId="0" xfId="1694" applyNumberFormat="1" applyFill="1">
      <alignment vertical="center"/>
    </xf>
    <xf numFmtId="178" fontId="8" fillId="7" borderId="0" xfId="1694" applyNumberFormat="1" applyFill="1" applyAlignment="1">
      <alignment horizontal="center" vertical="center"/>
    </xf>
    <xf numFmtId="178" fontId="16" fillId="7" borderId="0" xfId="1694" applyNumberFormat="1" applyFont="1" applyFill="1">
      <alignment vertical="center"/>
    </xf>
    <xf numFmtId="178" fontId="18" fillId="7" borderId="0" xfId="1694" applyNumberFormat="1" applyFont="1" applyFill="1" applyAlignment="1">
      <alignment horizontal="center" vertical="center"/>
    </xf>
    <xf numFmtId="178" fontId="19" fillId="6" borderId="16" xfId="1694" applyNumberFormat="1" applyFont="1" applyFill="1" applyBorder="1" applyAlignment="1">
      <alignment horizontal="center" vertical="center"/>
    </xf>
    <xf numFmtId="178" fontId="19" fillId="6" borderId="17" xfId="1694" applyNumberFormat="1" applyFont="1" applyFill="1" applyBorder="1" applyAlignment="1">
      <alignment horizontal="center" vertical="center"/>
    </xf>
    <xf numFmtId="178" fontId="15" fillId="6" borderId="18" xfId="1694" applyNumberFormat="1" applyFont="1" applyFill="1" applyBorder="1" applyAlignment="1">
      <alignment horizontal="center" vertical="center" wrapText="1"/>
    </xf>
    <xf numFmtId="49" fontId="15" fillId="6" borderId="18" xfId="1694" applyNumberFormat="1" applyFont="1" applyFill="1" applyBorder="1" applyAlignment="1">
      <alignment horizontal="center" vertical="center" wrapText="1"/>
    </xf>
    <xf numFmtId="14" fontId="15" fillId="6" borderId="18" xfId="1694" applyNumberFormat="1" applyFont="1" applyFill="1" applyBorder="1" applyAlignment="1">
      <alignment horizontal="center" vertical="center" wrapText="1"/>
    </xf>
    <xf numFmtId="178" fontId="15" fillId="6" borderId="19" xfId="1694" applyNumberFormat="1" applyFont="1" applyFill="1" applyBorder="1" applyAlignment="1">
      <alignment horizontal="center" vertical="center" wrapText="1"/>
    </xf>
    <xf numFmtId="178" fontId="15" fillId="8" borderId="18" xfId="1694" applyNumberFormat="1" applyFont="1" applyFill="1" applyBorder="1" applyAlignment="1">
      <alignment horizontal="center" vertical="center" wrapText="1"/>
    </xf>
    <xf numFmtId="178" fontId="19" fillId="6" borderId="17" xfId="1694" applyNumberFormat="1" applyFont="1" applyFill="1" applyBorder="1" applyAlignment="1">
      <alignment horizontal="center" vertical="center" wrapText="1"/>
    </xf>
    <xf numFmtId="178" fontId="19" fillId="6" borderId="18" xfId="1694" applyNumberFormat="1" applyFont="1" applyFill="1" applyBorder="1" applyAlignment="1">
      <alignment horizontal="center" vertical="center" wrapText="1"/>
    </xf>
    <xf numFmtId="178" fontId="20" fillId="9" borderId="18" xfId="1694" applyNumberFormat="1" applyFont="1" applyFill="1" applyBorder="1" applyAlignment="1">
      <alignment horizontal="center" vertical="center" wrapText="1"/>
    </xf>
    <xf numFmtId="178" fontId="20" fillId="9" borderId="19" xfId="1694" applyNumberFormat="1" applyFont="1" applyFill="1" applyBorder="1" applyAlignment="1">
      <alignment horizontal="center" vertical="center" wrapText="1"/>
    </xf>
    <xf numFmtId="178" fontId="15" fillId="4" borderId="10" xfId="1693" applyNumberFormat="1" applyFont="1" applyFill="1" applyBorder="1" applyAlignment="1">
      <alignment horizontal="center" vertical="center" wrapText="1"/>
    </xf>
    <xf numFmtId="178" fontId="15" fillId="10" borderId="10" xfId="1693" applyNumberFormat="1" applyFont="1" applyFill="1" applyBorder="1" applyAlignment="1">
      <alignment horizontal="center" vertical="center" wrapText="1"/>
    </xf>
    <xf numFmtId="178" fontId="15" fillId="11" borderId="10" xfId="1693" applyNumberFormat="1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178" fontId="22" fillId="9" borderId="18" xfId="1694" applyNumberFormat="1" applyFont="1" applyFill="1" applyBorder="1" applyAlignment="1">
      <alignment horizontal="center" vertical="center" wrapText="1"/>
    </xf>
    <xf numFmtId="178" fontId="19" fillId="6" borderId="0" xfId="1694" applyNumberFormat="1" applyFont="1" applyFill="1">
      <alignment vertical="center"/>
    </xf>
    <xf numFmtId="178" fontId="23" fillId="5" borderId="20" xfId="1694" applyNumberFormat="1" applyFont="1" applyFill="1" applyBorder="1" applyAlignment="1">
      <alignment horizontal="center" vertical="center"/>
    </xf>
    <xf numFmtId="49" fontId="24" fillId="0" borderId="10" xfId="0" applyNumberFormat="1" applyFont="1" applyBorder="1" applyAlignment="1">
      <alignment horizontal="left" vertical="center"/>
    </xf>
    <xf numFmtId="178" fontId="16" fillId="5" borderId="5" xfId="1694" applyNumberFormat="1" applyFont="1" applyFill="1" applyBorder="1" applyAlignment="1">
      <alignment horizontal="center" vertical="center"/>
    </xf>
    <xf numFmtId="202" fontId="11" fillId="5" borderId="5" xfId="1883" applyNumberFormat="1" applyFont="1" applyFill="1" applyBorder="1" applyAlignment="1">
      <alignment horizontal="center" vertical="center"/>
    </xf>
    <xf numFmtId="49" fontId="16" fillId="5" borderId="5" xfId="1694" applyNumberFormat="1" applyFont="1" applyFill="1" applyBorder="1" applyAlignment="1">
      <alignment horizontal="center" vertical="center"/>
    </xf>
    <xf numFmtId="14" fontId="16" fillId="5" borderId="5" xfId="1694" applyNumberFormat="1" applyFont="1" applyFill="1" applyBorder="1" applyAlignment="1">
      <alignment horizontal="center" vertical="center"/>
    </xf>
    <xf numFmtId="0" fontId="23" fillId="5" borderId="5" xfId="1694" applyNumberFormat="1" applyFont="1" applyFill="1" applyBorder="1" applyAlignment="1">
      <alignment horizontal="center" vertical="center"/>
    </xf>
    <xf numFmtId="43" fontId="23" fillId="5" borderId="5" xfId="1694" applyNumberFormat="1" applyFont="1" applyFill="1" applyBorder="1" applyProtection="1">
      <alignment vertical="center"/>
      <protection locked="0"/>
    </xf>
    <xf numFmtId="43" fontId="23" fillId="5" borderId="5" xfId="1694" applyNumberFormat="1" applyFont="1" applyFill="1" applyBorder="1">
      <alignment vertical="center"/>
    </xf>
    <xf numFmtId="43" fontId="23" fillId="0" borderId="5" xfId="1694" applyNumberFormat="1" applyFont="1" applyBorder="1">
      <alignment vertical="center"/>
    </xf>
    <xf numFmtId="43" fontId="23" fillId="5" borderId="21" xfId="1694" applyNumberFormat="1" applyFont="1" applyFill="1" applyBorder="1">
      <alignment vertical="center"/>
    </xf>
    <xf numFmtId="43" fontId="23" fillId="7" borderId="5" xfId="1694" applyNumberFormat="1" applyFont="1" applyFill="1" applyBorder="1">
      <alignment vertical="center"/>
    </xf>
    <xf numFmtId="203" fontId="23" fillId="5" borderId="20" xfId="1694" applyNumberFormat="1" applyFont="1" applyFill="1" applyBorder="1" applyAlignment="1">
      <alignment horizontal="center" vertical="center"/>
    </xf>
    <xf numFmtId="178" fontId="17" fillId="5" borderId="20" xfId="1694" applyNumberFormat="1" applyFont="1" applyFill="1" applyBorder="1" applyAlignment="1">
      <alignment horizontal="center" vertical="center"/>
    </xf>
    <xf numFmtId="178" fontId="17" fillId="5" borderId="5" xfId="1694" applyNumberFormat="1" applyFont="1" applyFill="1" applyBorder="1" applyAlignment="1">
      <alignment horizontal="center" vertical="center"/>
    </xf>
    <xf numFmtId="49" fontId="17" fillId="5" borderId="5" xfId="1694" applyNumberFormat="1" applyFont="1" applyFill="1" applyBorder="1" applyAlignment="1">
      <alignment horizontal="center" vertical="center"/>
    </xf>
    <xf numFmtId="14" fontId="17" fillId="5" borderId="5" xfId="1694" applyNumberFormat="1" applyFont="1" applyFill="1" applyBorder="1" applyAlignment="1">
      <alignment horizontal="center" vertical="center"/>
    </xf>
    <xf numFmtId="0" fontId="17" fillId="5" borderId="5" xfId="1694" applyNumberFormat="1" applyFont="1" applyFill="1" applyBorder="1" applyAlignment="1">
      <alignment horizontal="center" vertical="center"/>
    </xf>
    <xf numFmtId="43" fontId="17" fillId="5" borderId="5" xfId="1694" applyNumberFormat="1" applyFont="1" applyFill="1" applyBorder="1" applyProtection="1">
      <alignment vertical="center"/>
      <protection locked="0"/>
    </xf>
    <xf numFmtId="43" fontId="17" fillId="5" borderId="5" xfId="1694" applyNumberFormat="1" applyFont="1" applyFill="1" applyBorder="1">
      <alignment vertical="center"/>
    </xf>
    <xf numFmtId="204" fontId="25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57" fontId="25" fillId="0" borderId="0" xfId="0" applyNumberFormat="1" applyFont="1" applyAlignment="1">
      <alignment horizontal="left" vertical="center"/>
    </xf>
    <xf numFmtId="204" fontId="27" fillId="0" borderId="0" xfId="0" applyNumberFormat="1" applyFont="1" applyAlignment="1">
      <alignment horizontal="right" vertical="center"/>
    </xf>
    <xf numFmtId="199" fontId="27" fillId="0" borderId="0" xfId="0" applyNumberFormat="1" applyFont="1" applyAlignment="1">
      <alignment horizontal="right" vertical="center"/>
    </xf>
    <xf numFmtId="204" fontId="27" fillId="0" borderId="0" xfId="0" applyNumberFormat="1" applyFont="1" applyAlignment="1">
      <alignment vertical="center"/>
    </xf>
    <xf numFmtId="205" fontId="27" fillId="0" borderId="0" xfId="0" applyNumberFormat="1" applyFont="1" applyAlignment="1">
      <alignment vertical="center"/>
    </xf>
    <xf numFmtId="204" fontId="28" fillId="0" borderId="0" xfId="0" applyNumberFormat="1" applyFont="1" applyAlignment="1">
      <alignment vertical="center"/>
    </xf>
    <xf numFmtId="204" fontId="25" fillId="12" borderId="24" xfId="0" applyNumberFormat="1" applyFont="1" applyFill="1" applyBorder="1" applyAlignment="1">
      <alignment horizontal="center" vertical="center"/>
    </xf>
    <xf numFmtId="204" fontId="27" fillId="12" borderId="27" xfId="0" applyNumberFormat="1" applyFont="1" applyFill="1" applyBorder="1" applyAlignment="1">
      <alignment horizontal="center" vertical="center"/>
    </xf>
    <xf numFmtId="204" fontId="27" fillId="0" borderId="29" xfId="0" applyNumberFormat="1" applyFont="1" applyBorder="1" applyAlignment="1">
      <alignment horizontal="left" vertical="center"/>
    </xf>
    <xf numFmtId="206" fontId="27" fillId="0" borderId="29" xfId="0" applyNumberFormat="1" applyFont="1" applyBorder="1" applyAlignment="1">
      <alignment horizontal="right" vertical="center"/>
    </xf>
    <xf numFmtId="206" fontId="26" fillId="5" borderId="29" xfId="0" applyNumberFormat="1" applyFont="1" applyFill="1" applyBorder="1" applyAlignment="1">
      <alignment horizontal="right" vertical="center"/>
    </xf>
    <xf numFmtId="206" fontId="26" fillId="0" borderId="29" xfId="0" applyNumberFormat="1" applyFont="1" applyBorder="1" applyAlignment="1">
      <alignment horizontal="right" vertical="center"/>
    </xf>
    <xf numFmtId="204" fontId="25" fillId="0" borderId="29" xfId="0" applyNumberFormat="1" applyFont="1" applyBorder="1" applyAlignment="1">
      <alignment horizontal="left" vertical="center"/>
    </xf>
    <xf numFmtId="204" fontId="25" fillId="0" borderId="0" xfId="0" applyNumberFormat="1" applyFont="1" applyAlignment="1">
      <alignment horizontal="left" vertical="center"/>
    </xf>
    <xf numFmtId="205" fontId="25" fillId="0" borderId="0" xfId="0" applyNumberFormat="1" applyFont="1" applyAlignment="1">
      <alignment vertical="center"/>
    </xf>
    <xf numFmtId="207" fontId="25" fillId="0" borderId="0" xfId="0" applyNumberFormat="1" applyFont="1" applyAlignment="1">
      <alignment vertical="center"/>
    </xf>
    <xf numFmtId="206" fontId="26" fillId="0" borderId="0" xfId="0" applyNumberFormat="1" applyFont="1" applyAlignment="1">
      <alignment vertical="center"/>
    </xf>
    <xf numFmtId="206" fontId="27" fillId="0" borderId="0" xfId="0" applyNumberFormat="1" applyFont="1" applyAlignment="1">
      <alignment vertical="center"/>
    </xf>
    <xf numFmtId="206" fontId="27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center" vertical="center"/>
    </xf>
    <xf numFmtId="208" fontId="25" fillId="6" borderId="0" xfId="1884" applyNumberFormat="1" applyFont="1" applyFill="1" applyAlignment="1"/>
    <xf numFmtId="0" fontId="29" fillId="0" borderId="0" xfId="0" applyFont="1" applyAlignment="1">
      <alignment vertical="center"/>
    </xf>
    <xf numFmtId="204" fontId="25" fillId="12" borderId="23" xfId="0" applyNumberFormat="1" applyFont="1" applyFill="1" applyBorder="1" applyAlignment="1">
      <alignment horizontal="center" vertical="center"/>
    </xf>
    <xf numFmtId="204" fontId="25" fillId="12" borderId="22" xfId="0" applyNumberFormat="1" applyFont="1" applyFill="1" applyBorder="1" applyAlignment="1">
      <alignment horizontal="center" vertical="center"/>
    </xf>
    <xf numFmtId="204" fontId="27" fillId="12" borderId="26" xfId="0" applyNumberFormat="1" applyFont="1" applyFill="1" applyBorder="1" applyAlignment="1">
      <alignment horizontal="left" vertical="center"/>
    </xf>
    <xf numFmtId="204" fontId="27" fillId="12" borderId="25" xfId="0" applyNumberFormat="1" applyFont="1" applyFill="1" applyBorder="1" applyAlignment="1">
      <alignment horizontal="center" vertical="center"/>
    </xf>
    <xf numFmtId="204" fontId="27" fillId="12" borderId="28" xfId="0" applyNumberFormat="1" applyFont="1" applyFill="1" applyBorder="1" applyAlignment="1">
      <alignment horizontal="center" vertical="center"/>
    </xf>
    <xf numFmtId="204" fontId="25" fillId="12" borderId="25" xfId="0" applyNumberFormat="1" applyFont="1" applyFill="1" applyBorder="1" applyAlignment="1">
      <alignment horizontal="center" vertical="center"/>
    </xf>
    <xf numFmtId="204" fontId="25" fillId="12" borderId="12" xfId="0" applyNumberFormat="1" applyFont="1" applyFill="1" applyBorder="1" applyAlignment="1">
      <alignment horizontal="center" vertical="center"/>
    </xf>
    <xf numFmtId="0" fontId="3" fillId="5" borderId="0" xfId="1928" applyFont="1" applyFill="1" applyAlignment="1">
      <alignment horizontal="center" vertical="center" wrapText="1"/>
    </xf>
    <xf numFmtId="0" fontId="2" fillId="5" borderId="0" xfId="1928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5" borderId="0" xfId="1928" applyFont="1" applyFill="1" applyAlignment="1">
      <alignment vertical="center" wrapText="1"/>
    </xf>
    <xf numFmtId="0" fontId="14" fillId="5" borderId="14" xfId="1928" applyFont="1" applyFill="1" applyBorder="1" applyAlignment="1">
      <alignment horizontal="center" vertical="center" wrapText="1"/>
    </xf>
    <xf numFmtId="0" fontId="14" fillId="0" borderId="15" xfId="1928" applyFont="1" applyBorder="1" applyAlignment="1">
      <alignment horizontal="center" wrapText="1"/>
    </xf>
    <xf numFmtId="14" fontId="14" fillId="0" borderId="15" xfId="1928" applyNumberFormat="1" applyFont="1" applyBorder="1" applyAlignment="1">
      <alignment horizontal="center" wrapText="1"/>
    </xf>
  </cellXfs>
  <cellStyles count="2200">
    <cellStyle name=" 1" xfId="2" xr:uid="{00000000-0005-0000-0000-000031000000}"/>
    <cellStyle name=" 1 2" xfId="3" xr:uid="{00000000-0005-0000-0000-000032000000}"/>
    <cellStyle name=" 1 3" xfId="4" xr:uid="{00000000-0005-0000-0000-000033000000}"/>
    <cellStyle name=" 1 4" xfId="5" xr:uid="{00000000-0005-0000-0000-000034000000}"/>
    <cellStyle name=" 1 5" xfId="6" xr:uid="{00000000-0005-0000-0000-000035000000}"/>
    <cellStyle name=" 1 6" xfId="7" xr:uid="{00000000-0005-0000-0000-000036000000}"/>
    <cellStyle name=" 1 7" xfId="8" xr:uid="{00000000-0005-0000-0000-000037000000}"/>
    <cellStyle name=" 3]_x000d__x000a_Zoomed=1_x000d__x000a_Row=128_x000d__x000a_Column=101_x000d__x000a_Height=300_x000d__x000a_Width=301_x000d__x000a_FontName=System_x000d__x000a_FontStyle=1_x000d__x000a_FontSize=12_x000d__x000a_PrtFontNa" xfId="9" xr:uid="{00000000-0005-0000-0000-000038000000}"/>
    <cellStyle name="??" xfId="10" xr:uid="{00000000-0005-0000-0000-000039000000}"/>
    <cellStyle name="?? [0]_0698_1ar" xfId="11" xr:uid="{00000000-0005-0000-0000-00003A000000}"/>
    <cellStyle name="??&amp;O　&amp;H?_x0008_??_x0007__x0001__x0001_" xfId="12" xr:uid="{00000000-0005-0000-0000-00003B000000}"/>
    <cellStyle name="??&amp;O　&amp;H?_x0008_??_x0007__x0001__x0001_ 2" xfId="13" xr:uid="{00000000-0005-0000-0000-00003C000000}"/>
    <cellStyle name="??&amp;O　&amp;H?_x0008_??_x0007__x0001__x0001_ 2 3" xfId="14" xr:uid="{00000000-0005-0000-0000-00003D000000}"/>
    <cellStyle name="??&amp;O　&amp;H?_x0008_??_x0007__x0001__x0001_ 2 3 2" xfId="15" xr:uid="{00000000-0005-0000-0000-00003E000000}"/>
    <cellStyle name="??&amp;O　&amp;H?_x0008_??_x0007__x0001__x0001_ 2 3 3" xfId="16" xr:uid="{00000000-0005-0000-0000-00003F000000}"/>
    <cellStyle name="??&amp;O　&amp;H?_x0008_??_x0007__x0001__x0001_ 2 3 4" xfId="17" xr:uid="{00000000-0005-0000-0000-000040000000}"/>
    <cellStyle name="??&amp;O　&amp;H?_x0008_??_x0007__x0001__x0001_ 2 3 5" xfId="18" xr:uid="{00000000-0005-0000-0000-000041000000}"/>
    <cellStyle name="??&amp;O　&amp;H?_x0008_??_x0007__x0001__x0001_ 2 3 6" xfId="19" xr:uid="{00000000-0005-0000-0000-000042000000}"/>
    <cellStyle name="??&amp;O　&amp;H?_x0008_??_x0007__x0001__x0001_ 2 3 7" xfId="20" xr:uid="{00000000-0005-0000-0000-000043000000}"/>
    <cellStyle name="??&amp;O　&amp;H?_x0008_??_x0007__x0001__x0001_ 3" xfId="21" xr:uid="{00000000-0005-0000-0000-000044000000}"/>
    <cellStyle name="??&amp;O　&amp;H?_x0008_??_x0007__x0001__x0001_ 3 2" xfId="22" xr:uid="{00000000-0005-0000-0000-000045000000}"/>
    <cellStyle name="??&amp;O　&amp;H?_x0008_??_x0007__x0001__x0001_ 3 3" xfId="23" xr:uid="{00000000-0005-0000-0000-000046000000}"/>
    <cellStyle name="??&amp;O　&amp;H?_x0008_??_x0007__x0001__x0001_ 3 4" xfId="24" xr:uid="{00000000-0005-0000-0000-000047000000}"/>
    <cellStyle name="??&amp;O　&amp;H?_x0008_??_x0007__x0001__x0001_ 3 5" xfId="25" xr:uid="{00000000-0005-0000-0000-000048000000}"/>
    <cellStyle name="??&amp;O　&amp;H?_x0008_??_x0007__x0001__x0001_ 3 6" xfId="26" xr:uid="{00000000-0005-0000-0000-000049000000}"/>
    <cellStyle name="??&amp;O　&amp;H?_x0008_??_x0007__x0001__x0001_ 3 7" xfId="27" xr:uid="{00000000-0005-0000-0000-00004A000000}"/>
    <cellStyle name="??&amp;O　&amp;H?_x005f_x0008_??_x005f_x0007__x005f_x0001__x005f_x0001_" xfId="28" xr:uid="{00000000-0005-0000-0000-00004B000000}"/>
    <cellStyle name="??&amp;O龡&amp;H?_x0008_??_x0007__x0001__x0001_" xfId="29" xr:uid="{00000000-0005-0000-0000-00004C000000}"/>
    <cellStyle name="???[0]_0698_1S C" xfId="30" xr:uid="{00000000-0005-0000-0000-00004D000000}"/>
    <cellStyle name="???_0698_1mar" xfId="31" xr:uid="{00000000-0005-0000-0000-00004E000000}"/>
    <cellStyle name="??[0]_GJVmm" xfId="32" xr:uid="{00000000-0005-0000-0000-00004F000000}"/>
    <cellStyle name="??_0698_197" xfId="33" xr:uid="{00000000-0005-0000-0000-000050000000}"/>
    <cellStyle name="?鹎%U龡&amp;H鼼_x0008__x0001__x001f_?_x0007__x0001__x0001_" xfId="34" xr:uid="{00000000-0005-0000-0000-000051000000}"/>
    <cellStyle name="?鹎%U龡&amp;H鼼_x0008__x0001__x001f_?_x0007__x0001__x0001_ 2" xfId="35" xr:uid="{00000000-0005-0000-0000-000052000000}"/>
    <cellStyle name="?鹎%U龡&amp;H鼼_x0008__x0001__x001f_?_x0007__x0001__x0001_ 2 2" xfId="36" xr:uid="{00000000-0005-0000-0000-000053000000}"/>
    <cellStyle name="?鹎%U龡&amp;H鼼_x0008__x0001__x001f_?_x0007__x0001__x0001_ 2 2 2" xfId="37" xr:uid="{00000000-0005-0000-0000-000054000000}"/>
    <cellStyle name="?鹎%U龡&amp;H鼼_x0008__x0001__x001f_?_x0007__x0001__x0001_ 2 2 3" xfId="38" xr:uid="{00000000-0005-0000-0000-000055000000}"/>
    <cellStyle name="?鹎%U龡&amp;H鼼_x0008__x0001__x001f_?_x0007__x0001__x0001_ 2 2 4" xfId="39" xr:uid="{00000000-0005-0000-0000-000056000000}"/>
    <cellStyle name="?鹎%U龡&amp;H鼼_x0008__x0001__x001f_?_x0007__x0001__x0001_ 2 2 5" xfId="40" xr:uid="{00000000-0005-0000-0000-000057000000}"/>
    <cellStyle name="?鹎%U龡&amp;H鼼_x0008__x0001__x001f_?_x0007__x0001__x0001_ 2 2 6" xfId="41" xr:uid="{00000000-0005-0000-0000-000058000000}"/>
    <cellStyle name="?鹎%U龡&amp;H鼼_x0008__x0001__x001f_?_x0007__x0001__x0001_ 2 2 7" xfId="42" xr:uid="{00000000-0005-0000-0000-000059000000}"/>
    <cellStyle name="?鹎%U龡&amp;H鼼_x0008__x0001__x001f_?_x0007__x0001__x0001_ 2 3" xfId="43" xr:uid="{00000000-0005-0000-0000-00005A000000}"/>
    <cellStyle name="?鹎%U龡&amp;H鼼_x0008__x0001__x001f_?_x0007__x0001__x0001_ 2 3 2" xfId="44" xr:uid="{00000000-0005-0000-0000-00005B000000}"/>
    <cellStyle name="?鹎%U龡&amp;H鼼_x0008__x0001__x001f_?_x0007__x0001__x0001_ 2 3 3" xfId="45" xr:uid="{00000000-0005-0000-0000-00005C000000}"/>
    <cellStyle name="?鹎%U龡&amp;H鼼_x0008__x0001__x001f_?_x0007__x0001__x0001_ 2 3 4" xfId="46" xr:uid="{00000000-0005-0000-0000-00005D000000}"/>
    <cellStyle name="?鹎%U龡&amp;H鼼_x0008__x0001__x001f_?_x0007__x0001__x0001_ 2 3 5" xfId="47" xr:uid="{00000000-0005-0000-0000-00005E000000}"/>
    <cellStyle name="?鹎%U龡&amp;H鼼_x0008__x0001__x001f_?_x0007__x0001__x0001_ 2 3 6" xfId="48" xr:uid="{00000000-0005-0000-0000-00005F000000}"/>
    <cellStyle name="?鹎%U龡&amp;H鼼_x0008__x0001__x001f_?_x0007__x0001__x0001_ 2 3 7" xfId="49" xr:uid="{00000000-0005-0000-0000-000060000000}"/>
    <cellStyle name="?鹎%U龡&amp;H鼼_x0008__x0001__x001f_?_x0007__x0001__x0001_ 2 4" xfId="50" xr:uid="{00000000-0005-0000-0000-000061000000}"/>
    <cellStyle name="?鹎%U龡&amp;H鼼_x0008__x0001__x001f_?_x0007__x0001__x0001_ 2 5" xfId="51" xr:uid="{00000000-0005-0000-0000-000062000000}"/>
    <cellStyle name="?鹎%U龡&amp;H鼼_x0008__x0001__x001f_?_x0007__x0001__x0001_ 2 6" xfId="52" xr:uid="{00000000-0005-0000-0000-000063000000}"/>
    <cellStyle name="?鹎%U龡&amp;H鼼_x0008__x0001__x001f_?_x0007__x0001__x0001_ 2 7" xfId="53" xr:uid="{00000000-0005-0000-0000-000064000000}"/>
    <cellStyle name="?鹎%U龡&amp;H鼼_x0008__x0001__x001f_?_x0007__x0001__x0001_ 2 8" xfId="54" xr:uid="{00000000-0005-0000-0000-000065000000}"/>
    <cellStyle name="?鹎%U龡&amp;H鼼_x0008__x0001__x001f_?_x0007__x0001__x0001_ 2 9" xfId="55" xr:uid="{00000000-0005-0000-0000-000066000000}"/>
    <cellStyle name="?鹎%U龡&amp;H鼼_x0008__x0001__x001f_?_x0007__x0001__x0001_ 3" xfId="56" xr:uid="{00000000-0005-0000-0000-000067000000}"/>
    <cellStyle name="?鹎%U龡&amp;H鼼_x0008__x0001__x001f_?_x0007__x0001__x0001_ 3 2" xfId="57" xr:uid="{00000000-0005-0000-0000-000068000000}"/>
    <cellStyle name="?鹎%U龡&amp;H鼼_x0008__x0001__x001f_?_x0007__x0001__x0001_ 3 2 2" xfId="58" xr:uid="{00000000-0005-0000-0000-000069000000}"/>
    <cellStyle name="?鹎%U龡&amp;H鼼_x0008__x0001__x001f_?_x0007__x0001__x0001_ 3 2 3" xfId="59" xr:uid="{00000000-0005-0000-0000-00006A000000}"/>
    <cellStyle name="?鹎%U龡&amp;H鼼_x0008__x0001__x001f_?_x0007__x0001__x0001_ 3 2 4" xfId="60" xr:uid="{00000000-0005-0000-0000-00006B000000}"/>
    <cellStyle name="?鹎%U龡&amp;H鼼_x0008__x0001__x001f_?_x0007__x0001__x0001_ 3 2 5" xfId="61" xr:uid="{00000000-0005-0000-0000-00006C000000}"/>
    <cellStyle name="?鹎%U龡&amp;H鼼_x0008__x0001__x001f_?_x0007__x0001__x0001_ 3 2 6" xfId="62" xr:uid="{00000000-0005-0000-0000-00006D000000}"/>
    <cellStyle name="?鹎%U龡&amp;H鼼_x0008__x0001__x001f_?_x0007__x0001__x0001_ 3 2 7" xfId="63" xr:uid="{00000000-0005-0000-0000-00006E000000}"/>
    <cellStyle name="?鹎%U龡&amp;H鼼_x0008__x0001__x001f_?_x0007__x0001__x0001_ 3 3" xfId="64" xr:uid="{00000000-0005-0000-0000-00006F000000}"/>
    <cellStyle name="?鹎%U龡&amp;H鼼_x0008__x0001__x001f_?_x0007__x0001__x0001_ 3 4" xfId="65" xr:uid="{00000000-0005-0000-0000-000070000000}"/>
    <cellStyle name="?鹎%U龡&amp;H鼼_x0008__x0001__x001f_?_x0007__x0001__x0001_ 3 5" xfId="66" xr:uid="{00000000-0005-0000-0000-000071000000}"/>
    <cellStyle name="?鹎%U龡&amp;H鼼_x0008__x0001__x001f_?_x0007__x0001__x0001_ 3 6" xfId="67" xr:uid="{00000000-0005-0000-0000-000072000000}"/>
    <cellStyle name="?鹎%U龡&amp;H鼼_x0008__x0001__x001f_?_x0007__x0001__x0001_ 3 7" xfId="68" xr:uid="{00000000-0005-0000-0000-000073000000}"/>
    <cellStyle name="?鹎%U龡&amp;H鼼_x0008__x0001__x001f_?_x0007__x0001__x0001_ 3 8" xfId="69" xr:uid="{00000000-0005-0000-0000-000074000000}"/>
    <cellStyle name="?鹎%U龡&amp;H鼼_x0008__x0001__x001f_?_x0007__x0001__x0001_ 4" xfId="70" xr:uid="{00000000-0005-0000-0000-000075000000}"/>
    <cellStyle name="?鹎%U龡&amp;H鼼_x0008__x0001__x001f_?_x0007__x0001__x0001_ 4 2" xfId="71" xr:uid="{00000000-0005-0000-0000-000076000000}"/>
    <cellStyle name="?鹎%U龡&amp;H鼼_x0008__x0001__x001f_?_x0007__x0001__x0001_ 4 3" xfId="72" xr:uid="{00000000-0005-0000-0000-000077000000}"/>
    <cellStyle name="?鹎%U龡&amp;H鼼_x0008__x0001__x001f_?_x0007__x0001__x0001_ 4 4" xfId="73" xr:uid="{00000000-0005-0000-0000-000078000000}"/>
    <cellStyle name="?鹎%U龡&amp;H鼼_x0008__x0001__x001f_?_x0007__x0001__x0001_ 4 5" xfId="74" xr:uid="{00000000-0005-0000-0000-000079000000}"/>
    <cellStyle name="?鹎%U龡&amp;H鼼_x0008__x0001__x001f_?_x0007__x0001__x0001_ 4 6" xfId="75" xr:uid="{00000000-0005-0000-0000-00007A000000}"/>
    <cellStyle name="?鹎%U龡&amp;H鼼_x0008__x0001__x001f_?_x0007__x0001__x0001_ 4 7" xfId="76" xr:uid="{00000000-0005-0000-0000-00007B000000}"/>
    <cellStyle name="?鹎%U龡&amp;H鼼_x0008__x0001__x001f_?_x0007__x0001__x0001__12月so城市指标" xfId="77" xr:uid="{00000000-0005-0000-0000-00007C000000}"/>
    <cellStyle name="?鹎%U龡&amp;H鼼_x005f_x0008__x005f_x0001__x005f_x001f_?_x005f_x0007__x005f_x0001__x005f_x0001_" xfId="78" xr:uid="{00000000-0005-0000-0000-00007D000000}"/>
    <cellStyle name="@ET_Style?{4599F5BF-DCAF-4E6D-8E1C-761ED92CB63C}" xfId="79" xr:uid="{00000000-0005-0000-0000-00007E000000}"/>
    <cellStyle name="_(西安)销售储备人员津贴（冠杰已可以做的不要填）" xfId="80" xr:uid="{00000000-0005-0000-0000-00007F000000}"/>
    <cellStyle name="_(西安)销售储备人员津贴（冠杰已可以做的不要填） 2" xfId="81" xr:uid="{00000000-0005-0000-0000-000080000000}"/>
    <cellStyle name="_(西安)销售储备人员津贴（冠杰已可以做的不要填） 3" xfId="82" xr:uid="{00000000-0005-0000-0000-000081000000}"/>
    <cellStyle name="_(西安)销售储备人员津贴（冠杰已可以做的不要填） 4" xfId="83" xr:uid="{00000000-0005-0000-0000-000082000000}"/>
    <cellStyle name="_(西安)销售储备人员津贴（冠杰已可以做的不要填） 5" xfId="84" xr:uid="{00000000-0005-0000-0000-000083000000}"/>
    <cellStyle name="_(西安)销售储备人员津贴（冠杰已可以做的不要填） 6" xfId="85" xr:uid="{00000000-0005-0000-0000-000084000000}"/>
    <cellStyle name="_(西安)销售储备人员津贴（冠杰已可以做的不要填） 7" xfId="86" xr:uid="{00000000-0005-0000-0000-000085000000}"/>
    <cellStyle name="_(西安)销售储备人员津贴（冠杰已可以做的不要填）_12月工资11月奖金 人员信息 -2" xfId="87" xr:uid="{00000000-0005-0000-0000-000086000000}"/>
    <cellStyle name="_(西安)销售储备人员津贴（冠杰已可以做的不要填）_12月工资11月奖金 人员信息 -2 2" xfId="88" xr:uid="{00000000-0005-0000-0000-000087000000}"/>
    <cellStyle name="_(西安)销售储备人员津贴（冠杰已可以做的不要填）_12月工资11月奖金 人员信息 -2 3" xfId="89" xr:uid="{00000000-0005-0000-0000-000088000000}"/>
    <cellStyle name="_(西安)销售储备人员津贴（冠杰已可以做的不要填）_12月工资11月奖金 人员信息 -2 4" xfId="90" xr:uid="{00000000-0005-0000-0000-000089000000}"/>
    <cellStyle name="_(西安)销售储备人员津贴（冠杰已可以做的不要填）_12月工资11月奖金 人员信息 -2 5" xfId="91" xr:uid="{00000000-0005-0000-0000-00008A000000}"/>
    <cellStyle name="_(西安)销售储备人员津贴（冠杰已可以做的不要填）_12月工资11月奖金 人员信息 -2 6" xfId="92" xr:uid="{00000000-0005-0000-0000-00008B000000}"/>
    <cellStyle name="_(西安)销售储备人员津贴（冠杰已可以做的不要填）_12月工资11月奖金 人员信息 -2 7" xfId="93" xr:uid="{00000000-0005-0000-0000-00008C000000}"/>
    <cellStyle name="_(西安)销售储备人员津贴（冠杰已可以做的不要填）_3月工资2月奖金0410版 导出版" xfId="94" xr:uid="{00000000-0005-0000-0000-00008D000000}"/>
    <cellStyle name="_(西安)销售储备人员津贴（冠杰已可以做的不要填）_3月工资2月奖金0410版 导出版 2" xfId="95" xr:uid="{00000000-0005-0000-0000-00008E000000}"/>
    <cellStyle name="_(西安)销售储备人员津贴（冠杰已可以做的不要填）_3月工资2月奖金0410版 导出版 3" xfId="96" xr:uid="{00000000-0005-0000-0000-00008F000000}"/>
    <cellStyle name="_(西安)销售储备人员津贴（冠杰已可以做的不要填）_3月工资2月奖金0410版 导出版 4" xfId="97" xr:uid="{00000000-0005-0000-0000-000090000000}"/>
    <cellStyle name="_(西安)销售储备人员津贴（冠杰已可以做的不要填）_3月工资2月奖金0410版 导出版 5" xfId="98" xr:uid="{00000000-0005-0000-0000-000091000000}"/>
    <cellStyle name="_(西安)销售储备人员津贴（冠杰已可以做的不要填）_3月工资2月奖金0410版 导出版 6" xfId="99" xr:uid="{00000000-0005-0000-0000-000092000000}"/>
    <cellStyle name="_(西安)销售储备人员津贴（冠杰已可以做的不要填）_3月工资2月奖金0410版 导出版 7" xfId="100" xr:uid="{00000000-0005-0000-0000-000093000000}"/>
    <cellStyle name="_(西安)销售储备人员津贴（冠杰已可以做的不要填）_3月工资2月奖金0410版 导出版_12月工资11月奖金 人员信息 -2" xfId="101" xr:uid="{00000000-0005-0000-0000-000094000000}"/>
    <cellStyle name="_(西安)销售储备人员津贴（冠杰已可以做的不要填）_3月工资2月奖金0410版 导出版_12月工资11月奖金 人员信息 -2 2" xfId="102" xr:uid="{00000000-0005-0000-0000-000095000000}"/>
    <cellStyle name="_(西安)销售储备人员津贴（冠杰已可以做的不要填）_3月工资2月奖金0410版 导出版_12月工资11月奖金 人员信息 -2 3" xfId="103" xr:uid="{00000000-0005-0000-0000-000096000000}"/>
    <cellStyle name="_(西安)销售储备人员津贴（冠杰已可以做的不要填）_3月工资2月奖金0410版 导出版_12月工资11月奖金 人员信息 -2 4" xfId="104" xr:uid="{00000000-0005-0000-0000-000097000000}"/>
    <cellStyle name="_(西安)销售储备人员津贴（冠杰已可以做的不要填）_3月工资2月奖金0410版 导出版_12月工资11月奖金 人员信息 -2 5" xfId="105" xr:uid="{00000000-0005-0000-0000-000098000000}"/>
    <cellStyle name="_(西安)销售储备人员津贴（冠杰已可以做的不要填）_3月工资2月奖金0410版 导出版_12月工资11月奖金 人员信息 -2 6" xfId="106" xr:uid="{00000000-0005-0000-0000-000099000000}"/>
    <cellStyle name="_(西安)销售储备人员津贴（冠杰已可以做的不要填）_3月工资2月奖金0410版 导出版_12月工资11月奖金 人员信息 -2 7" xfId="107" xr:uid="{00000000-0005-0000-0000-00009A000000}"/>
    <cellStyle name="_(西安)销售储备人员津贴（冠杰已可以做的不要填）_3月工资2月奖金0410版 导出版_NIVEA BA 11月工资10月奖金 数据提交表" xfId="108" xr:uid="{00000000-0005-0000-0000-00009B000000}"/>
    <cellStyle name="_(西安)销售储备人员津贴（冠杰已可以做的不要填）_3月工资2月奖金0410版 导出版_NIVEA BA 11月工资10月奖金 数据提交表 2" xfId="109" xr:uid="{00000000-0005-0000-0000-00009C000000}"/>
    <cellStyle name="_(西安)销售储备人员津贴（冠杰已可以做的不要填）_3月工资2月奖金0410版 导出版_NIVEA BA 11月工资10月奖金 数据提交表 3" xfId="110" xr:uid="{00000000-0005-0000-0000-00009D000000}"/>
    <cellStyle name="_(西安)销售储备人员津贴（冠杰已可以做的不要填）_3月工资2月奖金0410版 导出版_NIVEA BA 11月工资10月奖金 数据提交表 4" xfId="111" xr:uid="{00000000-0005-0000-0000-00009E000000}"/>
    <cellStyle name="_(西安)销售储备人员津贴（冠杰已可以做的不要填）_3月工资2月奖金0410版 导出版_NIVEA BA 11月工资10月奖金 数据提交表 5" xfId="112" xr:uid="{00000000-0005-0000-0000-00009F000000}"/>
    <cellStyle name="_(西安)销售储备人员津贴（冠杰已可以做的不要填）_3月工资2月奖金0410版 导出版_NIVEA BA 11月工资10月奖金 数据提交表 6" xfId="113" xr:uid="{00000000-0005-0000-0000-0000A0000000}"/>
    <cellStyle name="_(西安)销售储备人员津贴（冠杰已可以做的不要填）_3月工资2月奖金0410版 导出版_NIVEA BA 11月工资10月奖金 数据提交表 7" xfId="114" xr:uid="{00000000-0005-0000-0000-0000A1000000}"/>
    <cellStyle name="_(西安)销售储备人员津贴（冠杰已可以做的不要填）_NIVEA BA 11月工资10月奖金 数据提交表" xfId="115" xr:uid="{00000000-0005-0000-0000-0000A2000000}"/>
    <cellStyle name="_(西安)销售储备人员津贴（冠杰已可以做的不要填）_NIVEA BA 11月工资10月奖金 数据提交表 2" xfId="116" xr:uid="{00000000-0005-0000-0000-0000A3000000}"/>
    <cellStyle name="_(西安)销售储备人员津贴（冠杰已可以做的不要填）_NIVEA BA 11月工资10月奖金 数据提交表 3" xfId="117" xr:uid="{00000000-0005-0000-0000-0000A4000000}"/>
    <cellStyle name="_(西安)销售储备人员津贴（冠杰已可以做的不要填）_NIVEA BA 11月工资10月奖金 数据提交表 4" xfId="118" xr:uid="{00000000-0005-0000-0000-0000A5000000}"/>
    <cellStyle name="_(西安)销售储备人员津贴（冠杰已可以做的不要填）_NIVEA BA 11月工资10月奖金 数据提交表 5" xfId="119" xr:uid="{00000000-0005-0000-0000-0000A6000000}"/>
    <cellStyle name="_(西安)销售储备人员津贴（冠杰已可以做的不要填）_NIVEA BA 11月工资10月奖金 数据提交表 6" xfId="120" xr:uid="{00000000-0005-0000-0000-0000A7000000}"/>
    <cellStyle name="_(西安)销售储备人员津贴（冠杰已可以做的不要填）_NIVEA BA 11月工资10月奖金 数据提交表 7" xfId="121" xr:uid="{00000000-0005-0000-0000-0000A8000000}"/>
    <cellStyle name="_(西安)销售储备人员津贴（冠杰已可以做的不要填）_检查补发状况" xfId="122" xr:uid="{00000000-0005-0000-0000-0000A9000000}"/>
    <cellStyle name="_(西安)销售储备人员津贴（冠杰已可以做的不要填）_检查补发状况 2" xfId="123" xr:uid="{00000000-0005-0000-0000-0000AA000000}"/>
    <cellStyle name="_(西安)销售储备人员津贴（冠杰已可以做的不要填）_检查补发状况 3" xfId="124" xr:uid="{00000000-0005-0000-0000-0000AB000000}"/>
    <cellStyle name="_(西安)销售储备人员津贴（冠杰已可以做的不要填）_检查补发状况 4" xfId="125" xr:uid="{00000000-0005-0000-0000-0000AC000000}"/>
    <cellStyle name="_(西安)销售储备人员津贴（冠杰已可以做的不要填）_检查补发状况 5" xfId="126" xr:uid="{00000000-0005-0000-0000-0000AD000000}"/>
    <cellStyle name="_(西安)销售储备人员津贴（冠杰已可以做的不要填）_检查补发状况 6" xfId="127" xr:uid="{00000000-0005-0000-0000-0000AE000000}"/>
    <cellStyle name="_(西安)销售储备人员津贴（冠杰已可以做的不要填）_检查补发状况 7" xfId="128" xr:uid="{00000000-0005-0000-0000-0000AF000000}"/>
    <cellStyle name="_(西安)销售储备人员津贴（冠杰已可以做的不要填）_检查补发状况_12月工资11月奖金 人员信息 -2" xfId="129" xr:uid="{00000000-0005-0000-0000-0000B0000000}"/>
    <cellStyle name="_(西安)销售储备人员津贴（冠杰已可以做的不要填）_检查补发状况_12月工资11月奖金 人员信息 -2 2" xfId="130" xr:uid="{00000000-0005-0000-0000-0000B1000000}"/>
    <cellStyle name="_(西安)销售储备人员津贴（冠杰已可以做的不要填）_检查补发状况_12月工资11月奖金 人员信息 -2 3" xfId="131" xr:uid="{00000000-0005-0000-0000-0000B2000000}"/>
    <cellStyle name="_(西安)销售储备人员津贴（冠杰已可以做的不要填）_检查补发状况_12月工资11月奖金 人员信息 -2 4" xfId="132" xr:uid="{00000000-0005-0000-0000-0000B3000000}"/>
    <cellStyle name="_(西安)销售储备人员津贴（冠杰已可以做的不要填）_检查补发状况_12月工资11月奖金 人员信息 -2 5" xfId="133" xr:uid="{00000000-0005-0000-0000-0000B4000000}"/>
    <cellStyle name="_(西安)销售储备人员津贴（冠杰已可以做的不要填）_检查补发状况_12月工资11月奖金 人员信息 -2 6" xfId="134" xr:uid="{00000000-0005-0000-0000-0000B5000000}"/>
    <cellStyle name="_(西安)销售储备人员津贴（冠杰已可以做的不要填）_检查补发状况_12月工资11月奖金 人员信息 -2 7" xfId="135" xr:uid="{00000000-0005-0000-0000-0000B6000000}"/>
    <cellStyle name="_(西安)销售储备人员津贴（冠杰已可以做的不要填）_检查补发状况_NIVEA BA 11月工资10月奖金 数据提交表" xfId="136" xr:uid="{00000000-0005-0000-0000-0000B7000000}"/>
    <cellStyle name="_(西安)销售储备人员津贴（冠杰已可以做的不要填）_检查补发状况_NIVEA BA 11月工资10月奖金 数据提交表 2" xfId="137" xr:uid="{00000000-0005-0000-0000-0000B8000000}"/>
    <cellStyle name="_(西安)销售储备人员津贴（冠杰已可以做的不要填）_检查补发状况_NIVEA BA 11月工资10月奖金 数据提交表 3" xfId="138" xr:uid="{00000000-0005-0000-0000-0000B9000000}"/>
    <cellStyle name="_(西安)销售储备人员津贴（冠杰已可以做的不要填）_检查补发状况_NIVEA BA 11月工资10月奖金 数据提交表 4" xfId="139" xr:uid="{00000000-0005-0000-0000-0000BA000000}"/>
    <cellStyle name="_(西安)销售储备人员津贴（冠杰已可以做的不要填）_检查补发状况_NIVEA BA 11月工资10月奖金 数据提交表 5" xfId="140" xr:uid="{00000000-0005-0000-0000-0000BB000000}"/>
    <cellStyle name="_(西安)销售储备人员津贴（冠杰已可以做的不要填）_检查补发状况_NIVEA BA 11月工资10月奖金 数据提交表 6" xfId="141" xr:uid="{00000000-0005-0000-0000-0000BC000000}"/>
    <cellStyle name="_(西安)销售储备人员津贴（冠杰已可以做的不要填）_检查补发状况_NIVEA BA 11月工资10月奖金 数据提交表 7" xfId="142" xr:uid="{00000000-0005-0000-0000-0000BD000000}"/>
    <cellStyle name="_(西安)销售储备人员津贴（冠杰已可以做的不要填）_妮维雅 0804原始数据 080509-2" xfId="143" xr:uid="{00000000-0005-0000-0000-0000BE000000}"/>
    <cellStyle name="_(西安)销售储备人员津贴（冠杰已可以做的不要填）_妮维雅 0804原始数据 080509-2 2" xfId="144" xr:uid="{00000000-0005-0000-0000-0000BF000000}"/>
    <cellStyle name="_(西安)销售储备人员津贴（冠杰已可以做的不要填）_妮维雅 0804原始数据 080509-2 3" xfId="145" xr:uid="{00000000-0005-0000-0000-0000C0000000}"/>
    <cellStyle name="_(西安)销售储备人员津贴（冠杰已可以做的不要填）_妮维雅 0804原始数据 080509-2 4" xfId="146" xr:uid="{00000000-0005-0000-0000-0000C1000000}"/>
    <cellStyle name="_(西安)销售储备人员津贴（冠杰已可以做的不要填）_妮维雅 0804原始数据 080509-2 5" xfId="147" xr:uid="{00000000-0005-0000-0000-0000C2000000}"/>
    <cellStyle name="_(西安)销售储备人员津贴（冠杰已可以做的不要填）_妮维雅 0804原始数据 080509-2 6" xfId="148" xr:uid="{00000000-0005-0000-0000-0000C3000000}"/>
    <cellStyle name="_(西安)销售储备人员津贴（冠杰已可以做的不要填）_妮维雅 0804原始数据 080509-2 7" xfId="149" xr:uid="{00000000-0005-0000-0000-0000C4000000}"/>
    <cellStyle name="_(西安)销售储备人员津贴（冠杰已可以做的不要填）_妮维雅 0804原始数据 080509-2_12月工资11月奖金 人员信息 -2" xfId="150" xr:uid="{00000000-0005-0000-0000-0000C5000000}"/>
    <cellStyle name="_(西安)销售储备人员津贴（冠杰已可以做的不要填）_妮维雅 0804原始数据 080509-2_12月工资11月奖金 人员信息 -2 2" xfId="151" xr:uid="{00000000-0005-0000-0000-0000C6000000}"/>
    <cellStyle name="_(西安)销售储备人员津贴（冠杰已可以做的不要填）_妮维雅 0804原始数据 080509-2_12月工资11月奖金 人员信息 -2 3" xfId="152" xr:uid="{00000000-0005-0000-0000-0000C7000000}"/>
    <cellStyle name="_(西安)销售储备人员津贴（冠杰已可以做的不要填）_妮维雅 0804原始数据 080509-2_12月工资11月奖金 人员信息 -2 4" xfId="153" xr:uid="{00000000-0005-0000-0000-0000C8000000}"/>
    <cellStyle name="_(西安)销售储备人员津贴（冠杰已可以做的不要填）_妮维雅 0804原始数据 080509-2_12月工资11月奖金 人员信息 -2 5" xfId="154" xr:uid="{00000000-0005-0000-0000-0000C9000000}"/>
    <cellStyle name="_(西安)销售储备人员津贴（冠杰已可以做的不要填）_妮维雅 0804原始数据 080509-2_12月工资11月奖金 人员信息 -2 6" xfId="155" xr:uid="{00000000-0005-0000-0000-0000CA000000}"/>
    <cellStyle name="_(西安)销售储备人员津贴（冠杰已可以做的不要填）_妮维雅 0804原始数据 080509-2_12月工资11月奖金 人员信息 -2 7" xfId="156" xr:uid="{00000000-0005-0000-0000-0000CB000000}"/>
    <cellStyle name="_(西安)销售储备人员津贴（冠杰已可以做的不要填）_妮维雅 0804原始数据 080509-2_NIVEA BA 11月工资10月奖金 数据提交表" xfId="157" xr:uid="{00000000-0005-0000-0000-0000CC000000}"/>
    <cellStyle name="_(西安)销售储备人员津贴（冠杰已可以做的不要填）_妮维雅 0804原始数据 080509-2_NIVEA BA 11月工资10月奖金 数据提交表 2" xfId="158" xr:uid="{00000000-0005-0000-0000-0000CD000000}"/>
    <cellStyle name="_(西安)销售储备人员津贴（冠杰已可以做的不要填）_妮维雅 0804原始数据 080509-2_NIVEA BA 11月工资10月奖金 数据提交表 3" xfId="159" xr:uid="{00000000-0005-0000-0000-0000CE000000}"/>
    <cellStyle name="_(西安)销售储备人员津贴（冠杰已可以做的不要填）_妮维雅 0804原始数据 080509-2_NIVEA BA 11月工资10月奖金 数据提交表 4" xfId="160" xr:uid="{00000000-0005-0000-0000-0000CF000000}"/>
    <cellStyle name="_(西安)销售储备人员津贴（冠杰已可以做的不要填）_妮维雅 0804原始数据 080509-2_NIVEA BA 11月工资10月奖金 数据提交表 5" xfId="161" xr:uid="{00000000-0005-0000-0000-0000D0000000}"/>
    <cellStyle name="_(西安)销售储备人员津贴（冠杰已可以做的不要填）_妮维雅 0804原始数据 080509-2_NIVEA BA 11月工资10月奖金 数据提交表 6" xfId="162" xr:uid="{00000000-0005-0000-0000-0000D1000000}"/>
    <cellStyle name="_(西安)销售储备人员津贴（冠杰已可以做的不要填）_妮维雅 0804原始数据 080509-2_NIVEA BA 11月工资10月奖金 数据提交表 7" xfId="163" xr:uid="{00000000-0005-0000-0000-0000D2000000}"/>
    <cellStyle name="_(西安)销售储备人员津贴（冠杰已可以做的不要填）_妮维雅 PG BA 080419 第二批" xfId="164" xr:uid="{00000000-0005-0000-0000-0000D3000000}"/>
    <cellStyle name="_(西安)销售储备人员津贴（冠杰已可以做的不要填）_妮维雅 PG BA 080419 第二批 2" xfId="165" xr:uid="{00000000-0005-0000-0000-0000D4000000}"/>
    <cellStyle name="_(西安)销售储备人员津贴（冠杰已可以做的不要填）_妮维雅 PG BA 080419 第二批 3" xfId="166" xr:uid="{00000000-0005-0000-0000-0000D5000000}"/>
    <cellStyle name="_(西安)销售储备人员津贴（冠杰已可以做的不要填）_妮维雅 PG BA 080419 第二批 4" xfId="167" xr:uid="{00000000-0005-0000-0000-0000D6000000}"/>
    <cellStyle name="_(西安)销售储备人员津贴（冠杰已可以做的不要填）_妮维雅 PG BA 080419 第二批 5" xfId="168" xr:uid="{00000000-0005-0000-0000-0000D7000000}"/>
    <cellStyle name="_(西安)销售储备人员津贴（冠杰已可以做的不要填）_妮维雅 PG BA 080419 第二批 6" xfId="169" xr:uid="{00000000-0005-0000-0000-0000D8000000}"/>
    <cellStyle name="_(西安)销售储备人员津贴（冠杰已可以做的不要填）_妮维雅 PG BA 080419 第二批 7" xfId="170" xr:uid="{00000000-0005-0000-0000-0000D9000000}"/>
    <cellStyle name="_(西安)销售储备人员津贴（冠杰已可以做的不要填）_妮维雅 PG BA 080419 第二批_12月工资11月奖金 人员信息 -2" xfId="171" xr:uid="{00000000-0005-0000-0000-0000DA000000}"/>
    <cellStyle name="_(西安)销售储备人员津贴（冠杰已可以做的不要填）_妮维雅 PG BA 080419 第二批_12月工资11月奖金 人员信息 -2 2" xfId="172" xr:uid="{00000000-0005-0000-0000-0000DB000000}"/>
    <cellStyle name="_(西安)销售储备人员津贴（冠杰已可以做的不要填）_妮维雅 PG BA 080419 第二批_12月工资11月奖金 人员信息 -2 3" xfId="173" xr:uid="{00000000-0005-0000-0000-0000DC000000}"/>
    <cellStyle name="_(西安)销售储备人员津贴（冠杰已可以做的不要填）_妮维雅 PG BA 080419 第二批_12月工资11月奖金 人员信息 -2 4" xfId="174" xr:uid="{00000000-0005-0000-0000-0000DD000000}"/>
    <cellStyle name="_(西安)销售储备人员津贴（冠杰已可以做的不要填）_妮维雅 PG BA 080419 第二批_12月工资11月奖金 人员信息 -2 5" xfId="175" xr:uid="{00000000-0005-0000-0000-0000DE000000}"/>
    <cellStyle name="_(西安)销售储备人员津贴（冠杰已可以做的不要填）_妮维雅 PG BA 080419 第二批_12月工资11月奖金 人员信息 -2 6" xfId="176" xr:uid="{00000000-0005-0000-0000-0000DF000000}"/>
    <cellStyle name="_(西安)销售储备人员津贴（冠杰已可以做的不要填）_妮维雅 PG BA 080419 第二批_12月工资11月奖金 人员信息 -2 7" xfId="177" xr:uid="{00000000-0005-0000-0000-0000E0000000}"/>
    <cellStyle name="_(西安)销售储备人员津贴（冠杰已可以做的不要填）_妮维雅 PG BA 080419 第二批_NIVEA BA 11月工资10月奖金 数据提交表" xfId="178" xr:uid="{00000000-0005-0000-0000-0000E1000000}"/>
    <cellStyle name="_(西安)销售储备人员津贴（冠杰已可以做的不要填）_妮维雅 PG BA 080419 第二批_NIVEA BA 11月工资10月奖金 数据提交表 2" xfId="179" xr:uid="{00000000-0005-0000-0000-0000E2000000}"/>
    <cellStyle name="_(西安)销售储备人员津贴（冠杰已可以做的不要填）_妮维雅 PG BA 080419 第二批_NIVEA BA 11月工资10月奖金 数据提交表 3" xfId="180" xr:uid="{00000000-0005-0000-0000-0000E3000000}"/>
    <cellStyle name="_(西安)销售储备人员津贴（冠杰已可以做的不要填）_妮维雅 PG BA 080419 第二批_NIVEA BA 11月工资10月奖金 数据提交表 4" xfId="181" xr:uid="{00000000-0005-0000-0000-0000E4000000}"/>
    <cellStyle name="_(西安)销售储备人员津贴（冠杰已可以做的不要填）_妮维雅 PG BA 080419 第二批_NIVEA BA 11月工资10月奖金 数据提交表 5" xfId="182" xr:uid="{00000000-0005-0000-0000-0000E5000000}"/>
    <cellStyle name="_(西安)销售储备人员津贴（冠杰已可以做的不要填）_妮维雅 PG BA 080419 第二批_NIVEA BA 11月工资10月奖金 数据提交表 6" xfId="183" xr:uid="{00000000-0005-0000-0000-0000E6000000}"/>
    <cellStyle name="_(西安)销售储备人员津贴（冠杰已可以做的不要填）_妮维雅 PG BA 080419 第二批_NIVEA BA 11月工资10月奖金 数据提交表 7" xfId="184" xr:uid="{00000000-0005-0000-0000-0000E7000000}"/>
    <cellStyle name="_(西安)销售储备人员津贴（冠杰已可以做的不要填）_妮维雅 PG BA 0804工资数据 080512 发送版" xfId="185" xr:uid="{00000000-0005-0000-0000-0000E8000000}"/>
    <cellStyle name="_(西安)销售储备人员津贴（冠杰已可以做的不要填）_妮维雅 PG BA 0804工资数据 080512 发送版 2" xfId="186" xr:uid="{00000000-0005-0000-0000-0000E9000000}"/>
    <cellStyle name="_(西安)销售储备人员津贴（冠杰已可以做的不要填）_妮维雅 PG BA 0804工资数据 080512 发送版 3" xfId="187" xr:uid="{00000000-0005-0000-0000-0000EA000000}"/>
    <cellStyle name="_(西安)销售储备人员津贴（冠杰已可以做的不要填）_妮维雅 PG BA 0804工资数据 080512 发送版 4" xfId="188" xr:uid="{00000000-0005-0000-0000-0000EB000000}"/>
    <cellStyle name="_(西安)销售储备人员津贴（冠杰已可以做的不要填）_妮维雅 PG BA 0804工资数据 080512 发送版 5" xfId="189" xr:uid="{00000000-0005-0000-0000-0000EC000000}"/>
    <cellStyle name="_(西安)销售储备人员津贴（冠杰已可以做的不要填）_妮维雅 PG BA 0804工资数据 080512 发送版 6" xfId="190" xr:uid="{00000000-0005-0000-0000-0000ED000000}"/>
    <cellStyle name="_(西安)销售储备人员津贴（冠杰已可以做的不要填）_妮维雅 PG BA 0804工资数据 080512 发送版 7" xfId="191" xr:uid="{00000000-0005-0000-0000-0000EE000000}"/>
    <cellStyle name="_(西安)销售储备人员津贴（冠杰已可以做的不要填）_妮维雅 PG BA 0804工资数据 080512 发送版_12月工资11月奖金 人员信息 -2" xfId="192" xr:uid="{00000000-0005-0000-0000-0000EF000000}"/>
    <cellStyle name="_(西安)销售储备人员津贴（冠杰已可以做的不要填）_妮维雅 PG BA 0804工资数据 080512 发送版_12月工资11月奖金 人员信息 -2 2" xfId="193" xr:uid="{00000000-0005-0000-0000-0000F0000000}"/>
    <cellStyle name="_(西安)销售储备人员津贴（冠杰已可以做的不要填）_妮维雅 PG BA 0804工资数据 080512 发送版_12月工资11月奖金 人员信息 -2 3" xfId="194" xr:uid="{00000000-0005-0000-0000-0000F1000000}"/>
    <cellStyle name="_(西安)销售储备人员津贴（冠杰已可以做的不要填）_妮维雅 PG BA 0804工资数据 080512 发送版_12月工资11月奖金 人员信息 -2 4" xfId="195" xr:uid="{00000000-0005-0000-0000-0000F2000000}"/>
    <cellStyle name="_(西安)销售储备人员津贴（冠杰已可以做的不要填）_妮维雅 PG BA 0804工资数据 080512 发送版_12月工资11月奖金 人员信息 -2 5" xfId="196" xr:uid="{00000000-0005-0000-0000-0000F3000000}"/>
    <cellStyle name="_(西安)销售储备人员津贴（冠杰已可以做的不要填）_妮维雅 PG BA 0804工资数据 080512 发送版_12月工资11月奖金 人员信息 -2 6" xfId="197" xr:uid="{00000000-0005-0000-0000-0000F4000000}"/>
    <cellStyle name="_(西安)销售储备人员津贴（冠杰已可以做的不要填）_妮维雅 PG BA 0804工资数据 080512 发送版_12月工资11月奖金 人员信息 -2 7" xfId="198" xr:uid="{00000000-0005-0000-0000-0000F5000000}"/>
    <cellStyle name="_(西安)销售储备人员津贴（冠杰已可以做的不要填）_妮维雅 PG BA 0804工资数据 080512 发送版_NIVEA BA 11月工资10月奖金 数据提交表" xfId="199" xr:uid="{00000000-0005-0000-0000-0000F6000000}"/>
    <cellStyle name="_(西安)销售储备人员津贴（冠杰已可以做的不要填）_妮维雅 PG BA 0804工资数据 080512 发送版_NIVEA BA 11月工资10月奖金 数据提交表 2" xfId="200" xr:uid="{00000000-0005-0000-0000-0000F7000000}"/>
    <cellStyle name="_(西安)销售储备人员津贴（冠杰已可以做的不要填）_妮维雅 PG BA 0804工资数据 080512 发送版_NIVEA BA 11月工资10月奖金 数据提交表 3" xfId="201" xr:uid="{00000000-0005-0000-0000-0000F8000000}"/>
    <cellStyle name="_(西安)销售储备人员津贴（冠杰已可以做的不要填）_妮维雅 PG BA 0804工资数据 080512 发送版_NIVEA BA 11月工资10月奖金 数据提交表 4" xfId="202" xr:uid="{00000000-0005-0000-0000-0000F9000000}"/>
    <cellStyle name="_(西安)销售储备人员津贴（冠杰已可以做的不要填）_妮维雅 PG BA 0804工资数据 080512 发送版_NIVEA BA 11月工资10月奖金 数据提交表 5" xfId="203" xr:uid="{00000000-0005-0000-0000-0000FA000000}"/>
    <cellStyle name="_(西安)销售储备人员津贴（冠杰已可以做的不要填）_妮维雅 PG BA 0804工资数据 080512 发送版_NIVEA BA 11月工资10月奖金 数据提交表 6" xfId="204" xr:uid="{00000000-0005-0000-0000-0000FB000000}"/>
    <cellStyle name="_(西安)销售储备人员津贴（冠杰已可以做的不要填）_妮维雅 PG BA 0804工资数据 080512 发送版_NIVEA BA 11月工资10月奖金 数据提交表 7" xfId="205" xr:uid="{00000000-0005-0000-0000-0000FC000000}"/>
    <cellStyle name="_(西安)销售储备人员津贴（冠杰已可以做的不要填）_妮维雅 PG BA 0804工资数据 080513 复查" xfId="206" xr:uid="{00000000-0005-0000-0000-0000FD000000}"/>
    <cellStyle name="_(西安)销售储备人员津贴（冠杰已可以做的不要填）_妮维雅 PG BA 0804工资数据 080513 复查 2" xfId="207" xr:uid="{00000000-0005-0000-0000-0000FE000000}"/>
    <cellStyle name="_(西安)销售储备人员津贴（冠杰已可以做的不要填）_妮维雅 PG BA 0804工资数据 080513 复查 3" xfId="208" xr:uid="{00000000-0005-0000-0000-0000FF000000}"/>
    <cellStyle name="_(西安)销售储备人员津贴（冠杰已可以做的不要填）_妮维雅 PG BA 0804工资数据 080513 复查 4" xfId="209" xr:uid="{00000000-0005-0000-0000-000000010000}"/>
    <cellStyle name="_(西安)销售储备人员津贴（冠杰已可以做的不要填）_妮维雅 PG BA 0804工资数据 080513 复查 5" xfId="210" xr:uid="{00000000-0005-0000-0000-000001010000}"/>
    <cellStyle name="_(西安)销售储备人员津贴（冠杰已可以做的不要填）_妮维雅 PG BA 0804工资数据 080513 复查 6" xfId="211" xr:uid="{00000000-0005-0000-0000-000002010000}"/>
    <cellStyle name="_(西安)销售储备人员津贴（冠杰已可以做的不要填）_妮维雅 PG BA 0804工资数据 080513 复查 7" xfId="212" xr:uid="{00000000-0005-0000-0000-000003010000}"/>
    <cellStyle name="_(西安)销售储备人员津贴（冠杰已可以做的不要填）_妮维雅 PG BA 0804工资数据 080513 复查_12月工资11月奖金 人员信息 -2" xfId="213" xr:uid="{00000000-0005-0000-0000-000004010000}"/>
    <cellStyle name="_(西安)销售储备人员津贴（冠杰已可以做的不要填）_妮维雅 PG BA 0804工资数据 080513 复查_12月工资11月奖金 人员信息 -2 2" xfId="214" xr:uid="{00000000-0005-0000-0000-000005010000}"/>
    <cellStyle name="_(西安)销售储备人员津贴（冠杰已可以做的不要填）_妮维雅 PG BA 0804工资数据 080513 复查_12月工资11月奖金 人员信息 -2 3" xfId="215" xr:uid="{00000000-0005-0000-0000-000006010000}"/>
    <cellStyle name="_(西安)销售储备人员津贴（冠杰已可以做的不要填）_妮维雅 PG BA 0804工资数据 080513 复查_12月工资11月奖金 人员信息 -2 4" xfId="216" xr:uid="{00000000-0005-0000-0000-000007010000}"/>
    <cellStyle name="_(西安)销售储备人员津贴（冠杰已可以做的不要填）_妮维雅 PG BA 0804工资数据 080513 复查_12月工资11月奖金 人员信息 -2 5" xfId="217" xr:uid="{00000000-0005-0000-0000-000008010000}"/>
    <cellStyle name="_(西安)销售储备人员津贴（冠杰已可以做的不要填）_妮维雅 PG BA 0804工资数据 080513 复查_12月工资11月奖金 人员信息 -2 6" xfId="218" xr:uid="{00000000-0005-0000-0000-000009010000}"/>
    <cellStyle name="_(西安)销售储备人员津贴（冠杰已可以做的不要填）_妮维雅 PG BA 0804工资数据 080513 复查_12月工资11月奖金 人员信息 -2 7" xfId="219" xr:uid="{00000000-0005-0000-0000-00000A010000}"/>
    <cellStyle name="_(西安)销售储备人员津贴（冠杰已可以做的不要填）_妮维雅 PG BA 0804工资数据 080513 复查_NIVEA BA 11月工资10月奖金 数据提交表" xfId="220" xr:uid="{00000000-0005-0000-0000-00000B010000}"/>
    <cellStyle name="_(西安)销售储备人员津贴（冠杰已可以做的不要填）_妮维雅 PG BA 0804工资数据 080513 复查_NIVEA BA 11月工资10月奖金 数据提交表 2" xfId="221" xr:uid="{00000000-0005-0000-0000-00000C010000}"/>
    <cellStyle name="_(西安)销售储备人员津贴（冠杰已可以做的不要填）_妮维雅 PG BA 0804工资数据 080513 复查_NIVEA BA 11月工资10月奖金 数据提交表 3" xfId="222" xr:uid="{00000000-0005-0000-0000-00000D010000}"/>
    <cellStyle name="_(西安)销售储备人员津贴（冠杰已可以做的不要填）_妮维雅 PG BA 0804工资数据 080513 复查_NIVEA BA 11月工资10月奖金 数据提交表 4" xfId="223" xr:uid="{00000000-0005-0000-0000-00000E010000}"/>
    <cellStyle name="_(西安)销售储备人员津贴（冠杰已可以做的不要填）_妮维雅 PG BA 0804工资数据 080513 复查_NIVEA BA 11月工资10月奖金 数据提交表 5" xfId="224" xr:uid="{00000000-0005-0000-0000-00000F010000}"/>
    <cellStyle name="_(西安)销售储备人员津贴（冠杰已可以做的不要填）_妮维雅 PG BA 0804工资数据 080513 复查_NIVEA BA 11月工资10月奖金 数据提交表 6" xfId="225" xr:uid="{00000000-0005-0000-0000-000010010000}"/>
    <cellStyle name="_(西安)销售储备人员津贴（冠杰已可以做的不要填）_妮维雅 PG BA 0804工资数据 080513 复查_NIVEA BA 11月工资10月奖金 数据提交表 7" xfId="226" xr:uid="{00000000-0005-0000-0000-000011010000}"/>
    <cellStyle name="_10月RS奖金-20091120" xfId="227" xr:uid="{00000000-0005-0000-0000-000012010000}"/>
    <cellStyle name="_10月份LKA达成-天津" xfId="228" xr:uid="{00000000-0005-0000-0000-000013010000}"/>
    <cellStyle name="_10月奖金-RS" xfId="229" xr:uid="{00000000-0005-0000-0000-000014010000}"/>
    <cellStyle name="_12月人员变动表" xfId="230" xr:uid="{00000000-0005-0000-0000-000015010000}"/>
    <cellStyle name="_12月人员变动表_5月工资4月奖金 人员信息-1" xfId="231" xr:uid="{00000000-0005-0000-0000-000016010000}"/>
    <cellStyle name="_2009年11月OT达成（BA上报）" xfId="232" xr:uid="{00000000-0005-0000-0000-000017010000}"/>
    <cellStyle name="_2009年11月RRMRS奖金-20091221" xfId="233" xr:uid="{00000000-0005-0000-0000-000018010000}"/>
    <cellStyle name="_2009年12月BAS&amp;田园奖金-20100104" xfId="234" xr:uid="{00000000-0005-0000-0000-000019010000}"/>
    <cellStyle name="_2009年12月RRM、RS奖金-20100127" xfId="235" xr:uid="{00000000-0005-0000-0000-00001A010000}"/>
    <cellStyle name="_2009年Offtake模版091201" xfId="236" xr:uid="{00000000-0005-0000-0000-00001B010000}"/>
    <cellStyle name="_2009年Q4门店指标（Final）&amp;2010年指标-20091120" xfId="237" xr:uid="{00000000-0005-0000-0000-00001C010000}"/>
    <cellStyle name="_2010年1月FC FM占比-20091230" xfId="238" xr:uid="{00000000-0005-0000-0000-00001D010000}"/>
    <cellStyle name="_2010年1月Offtake模板-可比门店ForBA薪资计算-20100205" xfId="239" xr:uid="{00000000-0005-0000-0000-00001E010000}"/>
    <cellStyle name="_2010年1月Offtake模板-可比门店ForBA薪资计算-20100205 2" xfId="240" xr:uid="{00000000-0005-0000-0000-00001F010000}"/>
    <cellStyle name="_2010年1月Offtake模板-可比门店ForBA薪资计算-20100205 3" xfId="241" xr:uid="{00000000-0005-0000-0000-000020010000}"/>
    <cellStyle name="_2010年1月Offtake模板-可比门店ForBA薪资计算-20100205 4" xfId="242" xr:uid="{00000000-0005-0000-0000-000021010000}"/>
    <cellStyle name="_2010年1月Offtake模板-可比门店ForBA薪资计算-20100205 5" xfId="243" xr:uid="{00000000-0005-0000-0000-000022010000}"/>
    <cellStyle name="_2010年1月Offtake模板-可比门店ForBA薪资计算-20100205 6" xfId="244" xr:uid="{00000000-0005-0000-0000-000023010000}"/>
    <cellStyle name="_2010年1月Offtake模板-可比门店ForBA薪资计算-20100205 7" xfId="245" xr:uid="{00000000-0005-0000-0000-000024010000}"/>
    <cellStyle name="_2010年1月Offtake模板-可比门店ForBA薪资计算-20100205_12月工资11月奖金 人员信息 -2" xfId="246" xr:uid="{00000000-0005-0000-0000-000025010000}"/>
    <cellStyle name="_2010年1月Offtake模板-可比门店ForBA薪资计算-20100205_12月工资11月奖金 人员信息 -2 2" xfId="247" xr:uid="{00000000-0005-0000-0000-000026010000}"/>
    <cellStyle name="_2010年1月Offtake模板-可比门店ForBA薪资计算-20100205_12月工资11月奖金 人员信息 -2 3" xfId="248" xr:uid="{00000000-0005-0000-0000-000027010000}"/>
    <cellStyle name="_2010年1月Offtake模板-可比门店ForBA薪资计算-20100205_12月工资11月奖金 人员信息 -2 4" xfId="249" xr:uid="{00000000-0005-0000-0000-000028010000}"/>
    <cellStyle name="_2010年1月Offtake模板-可比门店ForBA薪资计算-20100205_12月工资11月奖金 人员信息 -2 5" xfId="250" xr:uid="{00000000-0005-0000-0000-000029010000}"/>
    <cellStyle name="_2010年1月Offtake模板-可比门店ForBA薪资计算-20100205_12月工资11月奖金 人员信息 -2 6" xfId="251" xr:uid="{00000000-0005-0000-0000-00002A010000}"/>
    <cellStyle name="_2010年1月Offtake模板-可比门店ForBA薪资计算-20100205_12月工资11月奖金 人员信息 -2 7" xfId="252" xr:uid="{00000000-0005-0000-0000-00002B010000}"/>
    <cellStyle name="_2010年1月Offtake模板-可比门店ForBA薪资计算-20100205_NIVEA BA 11月工资10月奖金 数据提交表" xfId="253" xr:uid="{00000000-0005-0000-0000-00002C010000}"/>
    <cellStyle name="_2010年1月Offtake模板-可比门店ForBA薪资计算-20100205_NIVEA BA 11月工资10月奖金 数据提交表 2" xfId="254" xr:uid="{00000000-0005-0000-0000-00002D010000}"/>
    <cellStyle name="_2010年1月Offtake模板-可比门店ForBA薪资计算-20100205_NIVEA BA 11月工资10月奖金 数据提交表 3" xfId="255" xr:uid="{00000000-0005-0000-0000-00002E010000}"/>
    <cellStyle name="_2010年1月Offtake模板-可比门店ForBA薪资计算-20100205_NIVEA BA 11月工资10月奖金 数据提交表 4" xfId="256" xr:uid="{00000000-0005-0000-0000-00002F010000}"/>
    <cellStyle name="_2010年1月Offtake模板-可比门店ForBA薪资计算-20100205_NIVEA BA 11月工资10月奖金 数据提交表 5" xfId="257" xr:uid="{00000000-0005-0000-0000-000030010000}"/>
    <cellStyle name="_2010年1月Offtake模板-可比门店ForBA薪资计算-20100205_NIVEA BA 11月工资10月奖金 数据提交表 6" xfId="258" xr:uid="{00000000-0005-0000-0000-000031010000}"/>
    <cellStyle name="_2010年1月Offtake模板-可比门店ForBA薪资计算-20100205_NIVEA BA 11月工资10月奖金 数据提交表 7" xfId="259" xr:uid="{00000000-0005-0000-0000-000032010000}"/>
    <cellStyle name="_2010年1月RRMRS奖金-20100223" xfId="260" xr:uid="{00000000-0005-0000-0000-000033010000}"/>
    <cellStyle name="_2010年2月RRMRSBAS大区经理奖金-20100311" xfId="261" xr:uid="{00000000-0005-0000-0000-000034010000}"/>
    <cellStyle name="_2010年2月奖金-To EFESCO-20100324" xfId="262" xr:uid="{00000000-0005-0000-0000-000035010000}"/>
    <cellStyle name="_2010年2月奖金-To EFESCO-20100324 2" xfId="263" xr:uid="{00000000-0005-0000-0000-000036010000}"/>
    <cellStyle name="_2010年2月奖金-To EFESCO-20100324 3" xfId="264" xr:uid="{00000000-0005-0000-0000-000037010000}"/>
    <cellStyle name="_2010年2月奖金-To EFESCO-20100324 4" xfId="265" xr:uid="{00000000-0005-0000-0000-000038010000}"/>
    <cellStyle name="_2010年2月奖金-To EFESCO-20100324 5" xfId="266" xr:uid="{00000000-0005-0000-0000-000039010000}"/>
    <cellStyle name="_2010年2月奖金-To EFESCO-20100324 6" xfId="267" xr:uid="{00000000-0005-0000-0000-00003A010000}"/>
    <cellStyle name="_2010年2月奖金-To EFESCO-20100324 7" xfId="268" xr:uid="{00000000-0005-0000-0000-00003B010000}"/>
    <cellStyle name="_2010年2月奖金-To EFESCO-20100324_12月工资11月奖金 人员信息 -2" xfId="269" xr:uid="{00000000-0005-0000-0000-00003C010000}"/>
    <cellStyle name="_2010年2月奖金-To EFESCO-20100324_12月工资11月奖金 人员信息 -2 2" xfId="270" xr:uid="{00000000-0005-0000-0000-00003D010000}"/>
    <cellStyle name="_2010年2月奖金-To EFESCO-20100324_12月工资11月奖金 人员信息 -2 3" xfId="271" xr:uid="{00000000-0005-0000-0000-00003E010000}"/>
    <cellStyle name="_2010年2月奖金-To EFESCO-20100324_12月工资11月奖金 人员信息 -2 4" xfId="272" xr:uid="{00000000-0005-0000-0000-00003F010000}"/>
    <cellStyle name="_2010年2月奖金-To EFESCO-20100324_12月工资11月奖金 人员信息 -2 5" xfId="273" xr:uid="{00000000-0005-0000-0000-000040010000}"/>
    <cellStyle name="_2010年2月奖金-To EFESCO-20100324_12月工资11月奖金 人员信息 -2 6" xfId="274" xr:uid="{00000000-0005-0000-0000-000041010000}"/>
    <cellStyle name="_2010年2月奖金-To EFESCO-20100324_12月工资11月奖金 人员信息 -2 7" xfId="275" xr:uid="{00000000-0005-0000-0000-000042010000}"/>
    <cellStyle name="_2010年2月奖金-To EFESCO-20100324_NIVEA BA 11月工资10月奖金 数据提交表" xfId="276" xr:uid="{00000000-0005-0000-0000-000043010000}"/>
    <cellStyle name="_2010年2月奖金-To EFESCO-20100324_NIVEA BA 11月工资10月奖金 数据提交表 2" xfId="277" xr:uid="{00000000-0005-0000-0000-000044010000}"/>
    <cellStyle name="_2010年2月奖金-To EFESCO-20100324_NIVEA BA 11月工资10月奖金 数据提交表 3" xfId="278" xr:uid="{00000000-0005-0000-0000-000045010000}"/>
    <cellStyle name="_2010年2月奖金-To EFESCO-20100324_NIVEA BA 11月工资10月奖金 数据提交表 4" xfId="279" xr:uid="{00000000-0005-0000-0000-000046010000}"/>
    <cellStyle name="_2010年2月奖金-To EFESCO-20100324_NIVEA BA 11月工资10月奖金 数据提交表 5" xfId="280" xr:uid="{00000000-0005-0000-0000-000047010000}"/>
    <cellStyle name="_2010年2月奖金-To EFESCO-20100324_NIVEA BA 11月工资10月奖金 数据提交表 6" xfId="281" xr:uid="{00000000-0005-0000-0000-000048010000}"/>
    <cellStyle name="_2010年2月奖金-To EFESCO-20100324_NIVEA BA 11月工资10月奖金 数据提交表 7" xfId="282" xr:uid="{00000000-0005-0000-0000-000049010000}"/>
    <cellStyle name="_2010年4月RRMRM奖金" xfId="283" xr:uid="{00000000-0005-0000-0000-00004A010000}"/>
    <cellStyle name="_2010年4月经销商转公司付费网点明细" xfId="284" xr:uid="{00000000-0005-0000-0000-00004B010000}"/>
    <cellStyle name="_2010年4月经销商转公司付费网点明细 2" xfId="285" xr:uid="{00000000-0005-0000-0000-00004C010000}"/>
    <cellStyle name="_2010年4月经销商转公司付费网点明细 3" xfId="286" xr:uid="{00000000-0005-0000-0000-00004D010000}"/>
    <cellStyle name="_2010年4月经销商转公司付费网点明细 4" xfId="287" xr:uid="{00000000-0005-0000-0000-00004E010000}"/>
    <cellStyle name="_2010年4月经销商转公司付费网点明细 5" xfId="288" xr:uid="{00000000-0005-0000-0000-00004F010000}"/>
    <cellStyle name="_2010年4月经销商转公司付费网点明细 6" xfId="289" xr:uid="{00000000-0005-0000-0000-000050010000}"/>
    <cellStyle name="_2010年4月经销商转公司付费网点明细 7" xfId="290" xr:uid="{00000000-0005-0000-0000-000051010000}"/>
    <cellStyle name="_2010年4月经销商转公司付费网点明细_12月工资11月奖金 人员信息 -2" xfId="291" xr:uid="{00000000-0005-0000-0000-000052010000}"/>
    <cellStyle name="_2010年4月经销商转公司付费网点明细_12月工资11月奖金 人员信息 -2 2" xfId="292" xr:uid="{00000000-0005-0000-0000-000053010000}"/>
    <cellStyle name="_2010年4月经销商转公司付费网点明细_12月工资11月奖金 人员信息 -2 3" xfId="293" xr:uid="{00000000-0005-0000-0000-000054010000}"/>
    <cellStyle name="_2010年4月经销商转公司付费网点明细_12月工资11月奖金 人员信息 -2 4" xfId="294" xr:uid="{00000000-0005-0000-0000-000055010000}"/>
    <cellStyle name="_2010年4月经销商转公司付费网点明细_12月工资11月奖金 人员信息 -2 5" xfId="295" xr:uid="{00000000-0005-0000-0000-000056010000}"/>
    <cellStyle name="_2010年4月经销商转公司付费网点明细_12月工资11月奖金 人员信息 -2 6" xfId="296" xr:uid="{00000000-0005-0000-0000-000057010000}"/>
    <cellStyle name="_2010年4月经销商转公司付费网点明细_12月工资11月奖金 人员信息 -2 7" xfId="297" xr:uid="{00000000-0005-0000-0000-000058010000}"/>
    <cellStyle name="_2010年4月经销商转公司付费网点明细_NIVEA BA 11月工资10月奖金 数据提交表" xfId="298" xr:uid="{00000000-0005-0000-0000-000059010000}"/>
    <cellStyle name="_2010年4月经销商转公司付费网点明细_NIVEA BA 11月工资10月奖金 数据提交表 2" xfId="299" xr:uid="{00000000-0005-0000-0000-00005A010000}"/>
    <cellStyle name="_2010年4月经销商转公司付费网点明细_NIVEA BA 11月工资10月奖金 数据提交表 3" xfId="300" xr:uid="{00000000-0005-0000-0000-00005B010000}"/>
    <cellStyle name="_2010年4月经销商转公司付费网点明细_NIVEA BA 11月工资10月奖金 数据提交表 4" xfId="301" xr:uid="{00000000-0005-0000-0000-00005C010000}"/>
    <cellStyle name="_2010年4月经销商转公司付费网点明细_NIVEA BA 11月工资10月奖金 数据提交表 5" xfId="302" xr:uid="{00000000-0005-0000-0000-00005D010000}"/>
    <cellStyle name="_2010年4月经销商转公司付费网点明细_NIVEA BA 11月工资10月奖金 数据提交表 6" xfId="303" xr:uid="{00000000-0005-0000-0000-00005E010000}"/>
    <cellStyle name="_2010年4月经销商转公司付费网点明细_NIVEA BA 11月工资10月奖金 数据提交表 7" xfId="304" xr:uid="{00000000-0005-0000-0000-00005F010000}"/>
    <cellStyle name="_2010年5月 Offtake模板-20100607" xfId="305" xr:uid="{00000000-0005-0000-0000-000060010000}"/>
    <cellStyle name="_2010年5月BAS达成率&amp;明细单品奖励-20100623" xfId="306" xr:uid="{00000000-0005-0000-0000-000061010000}"/>
    <cellStyle name="_2010年5月BAS达成率&amp;明细单品奖励-20100623 2" xfId="307" xr:uid="{00000000-0005-0000-0000-000062010000}"/>
    <cellStyle name="_2010年5月BAS达成率&amp;明细单品奖励-20100623 3" xfId="308" xr:uid="{00000000-0005-0000-0000-000063010000}"/>
    <cellStyle name="_2010年5月BAS达成率&amp;明细单品奖励-20100623 4" xfId="309" xr:uid="{00000000-0005-0000-0000-000064010000}"/>
    <cellStyle name="_2010年5月BAS达成率&amp;明细单品奖励-20100623 5" xfId="310" xr:uid="{00000000-0005-0000-0000-000065010000}"/>
    <cellStyle name="_2010年5月BAS达成率&amp;明细单品奖励-20100623 6" xfId="311" xr:uid="{00000000-0005-0000-0000-000066010000}"/>
    <cellStyle name="_2010年5月BAS达成率&amp;明细单品奖励-20100623 7" xfId="312" xr:uid="{00000000-0005-0000-0000-000067010000}"/>
    <cellStyle name="_2010年5月BAS达成率&amp;明细单品奖励-20100623_12月工资11月奖金 人员信息 -2" xfId="313" xr:uid="{00000000-0005-0000-0000-000068010000}"/>
    <cellStyle name="_2010年5月BAS达成率&amp;明细单品奖励-20100623_12月工资11月奖金 人员信息 -2 2" xfId="314" xr:uid="{00000000-0005-0000-0000-000069010000}"/>
    <cellStyle name="_2010年5月BAS达成率&amp;明细单品奖励-20100623_12月工资11月奖金 人员信息 -2 3" xfId="315" xr:uid="{00000000-0005-0000-0000-00006A010000}"/>
    <cellStyle name="_2010年5月BAS达成率&amp;明细单品奖励-20100623_12月工资11月奖金 人员信息 -2 4" xfId="316" xr:uid="{00000000-0005-0000-0000-00006B010000}"/>
    <cellStyle name="_2010年5月BAS达成率&amp;明细单品奖励-20100623_12月工资11月奖金 人员信息 -2 5" xfId="317" xr:uid="{00000000-0005-0000-0000-00006C010000}"/>
    <cellStyle name="_2010年5月BAS达成率&amp;明细单品奖励-20100623_12月工资11月奖金 人员信息 -2 6" xfId="318" xr:uid="{00000000-0005-0000-0000-00006D010000}"/>
    <cellStyle name="_2010年5月BAS达成率&amp;明细单品奖励-20100623_12月工资11月奖金 人员信息 -2 7" xfId="319" xr:uid="{00000000-0005-0000-0000-00006E010000}"/>
    <cellStyle name="_2010年5月BAS达成率&amp;明细单品奖励-20100623_NIVEA BA 11月工资10月奖金 数据提交表" xfId="320" xr:uid="{00000000-0005-0000-0000-00006F010000}"/>
    <cellStyle name="_2010年5月BAS达成率&amp;明细单品奖励-20100623_NIVEA BA 11月工资10月奖金 数据提交表 2" xfId="321" xr:uid="{00000000-0005-0000-0000-000070010000}"/>
    <cellStyle name="_2010年5月BAS达成率&amp;明细单品奖励-20100623_NIVEA BA 11月工资10月奖金 数据提交表 3" xfId="322" xr:uid="{00000000-0005-0000-0000-000071010000}"/>
    <cellStyle name="_2010年5月BAS达成率&amp;明细单品奖励-20100623_NIVEA BA 11月工资10月奖金 数据提交表 4" xfId="323" xr:uid="{00000000-0005-0000-0000-000072010000}"/>
    <cellStyle name="_2010年5月BAS达成率&amp;明细单品奖励-20100623_NIVEA BA 11月工资10月奖金 数据提交表 5" xfId="324" xr:uid="{00000000-0005-0000-0000-000073010000}"/>
    <cellStyle name="_2010年5月BAS达成率&amp;明细单品奖励-20100623_NIVEA BA 11月工资10月奖金 数据提交表 6" xfId="325" xr:uid="{00000000-0005-0000-0000-000074010000}"/>
    <cellStyle name="_2010年5月BAS达成率&amp;明细单品奖励-20100623_NIVEA BA 11月工资10月奖金 数据提交表 7" xfId="326" xr:uid="{00000000-0005-0000-0000-000075010000}"/>
    <cellStyle name="_2010年5月RRMRM奖金" xfId="327" xr:uid="{00000000-0005-0000-0000-000076010000}"/>
    <cellStyle name="_2010年6月RRMRM奖金" xfId="328" xr:uid="{00000000-0005-0000-0000-000077010000}"/>
    <cellStyle name="_2010年7月RRMRM奖金" xfId="329" xr:uid="{00000000-0005-0000-0000-000078010000}"/>
    <cellStyle name="_2010年8月RRMRM奖金" xfId="330" xr:uid="{00000000-0005-0000-0000-000079010000}"/>
    <cellStyle name="_2010年9月RRMRM奖金" xfId="331" xr:uid="{00000000-0005-0000-0000-00007A010000}"/>
    <cellStyle name="_2010年SO Plan南一区-1101" xfId="332" xr:uid="{00000000-0005-0000-0000-00007B010000}"/>
    <cellStyle name="_2010年SO Plan南一区-1101 2" xfId="333" xr:uid="{00000000-0005-0000-0000-00007C010000}"/>
    <cellStyle name="_2010年SO Plan南一区-1101 3" xfId="334" xr:uid="{00000000-0005-0000-0000-00007D010000}"/>
    <cellStyle name="_2010年SO Plan南一区-1101 4" xfId="335" xr:uid="{00000000-0005-0000-0000-00007E010000}"/>
    <cellStyle name="_2010年SO Plan南一区-1101 5" xfId="336" xr:uid="{00000000-0005-0000-0000-00007F010000}"/>
    <cellStyle name="_2010年SO Plan南一区-1101 6" xfId="337" xr:uid="{00000000-0005-0000-0000-000080010000}"/>
    <cellStyle name="_2010年SO Plan南一区-1101 7" xfId="338" xr:uid="{00000000-0005-0000-0000-000081010000}"/>
    <cellStyle name="_2010年零售组BAS覆盖区域" xfId="339" xr:uid="{00000000-0005-0000-0000-000082010000}"/>
    <cellStyle name="_2010年零售组BAS覆盖区域 2" xfId="340" xr:uid="{00000000-0005-0000-0000-000083010000}"/>
    <cellStyle name="_2010年零售组BAS覆盖区域 3" xfId="341" xr:uid="{00000000-0005-0000-0000-000084010000}"/>
    <cellStyle name="_2010年零售组BAS覆盖区域 4" xfId="342" xr:uid="{00000000-0005-0000-0000-000085010000}"/>
    <cellStyle name="_2010年零售组BAS覆盖区域 5" xfId="343" xr:uid="{00000000-0005-0000-0000-000086010000}"/>
    <cellStyle name="_2010年零售组BAS覆盖区域 6" xfId="344" xr:uid="{00000000-0005-0000-0000-000087010000}"/>
    <cellStyle name="_2010年零售组BAS覆盖区域 7" xfId="345" xr:uid="{00000000-0005-0000-0000-000088010000}"/>
    <cellStyle name="_2月份奖金" xfId="346" xr:uid="{00000000-0005-0000-0000-000089010000}"/>
    <cellStyle name="_3月OT数据更正-20100505" xfId="347" xr:uid="{00000000-0005-0000-0000-00008A010000}"/>
    <cellStyle name="_5月工资4月奖金 人员信息-1" xfId="348" xr:uid="{00000000-0005-0000-0000-00008B010000}"/>
    <cellStyle name="_ACOS PGS联系方式更新-20090717 (2)" xfId="349" xr:uid="{00000000-0005-0000-0000-00008C010000}"/>
    <cellStyle name="_ACOS通讯录" xfId="350" xr:uid="{00000000-0005-0000-0000-00008D010000}"/>
    <cellStyle name="_Address Book 20100720" xfId="351" xr:uid="{00000000-0005-0000-0000-00008E010000}"/>
    <cellStyle name="_Address Book 20100720 2" xfId="352" xr:uid="{00000000-0005-0000-0000-00008F010000}"/>
    <cellStyle name="_Address Book 20100720 3" xfId="353" xr:uid="{00000000-0005-0000-0000-000090010000}"/>
    <cellStyle name="_Address Book 20100720 4" xfId="354" xr:uid="{00000000-0005-0000-0000-000091010000}"/>
    <cellStyle name="_Address Book 20100720 5" xfId="355" xr:uid="{00000000-0005-0000-0000-000092010000}"/>
    <cellStyle name="_Address Book 20100720 6" xfId="356" xr:uid="{00000000-0005-0000-0000-000093010000}"/>
    <cellStyle name="_Address Book 20100720 7" xfId="357" xr:uid="{00000000-0005-0000-0000-000094010000}"/>
    <cellStyle name="_Book1" xfId="358" xr:uid="{00000000-0005-0000-0000-000095010000}"/>
    <cellStyle name="_Book1 2" xfId="359" xr:uid="{00000000-0005-0000-0000-000096010000}"/>
    <cellStyle name="_Book1 3" xfId="360" xr:uid="{00000000-0005-0000-0000-000097010000}"/>
    <cellStyle name="_Book1 4" xfId="361" xr:uid="{00000000-0005-0000-0000-000098010000}"/>
    <cellStyle name="_Book1 5" xfId="362" xr:uid="{00000000-0005-0000-0000-000099010000}"/>
    <cellStyle name="_Book1 6" xfId="363" xr:uid="{00000000-0005-0000-0000-00009A010000}"/>
    <cellStyle name="_Book1 7" xfId="364" xr:uid="{00000000-0005-0000-0000-00009B010000}"/>
    <cellStyle name="_Copy of PGS通讯录" xfId="365" xr:uid="{00000000-0005-0000-0000-00009C010000}"/>
    <cellStyle name="_DSR、TT、BAS在岗清单6月底" xfId="366" xr:uid="{00000000-0005-0000-0000-00009D010000}"/>
    <cellStyle name="_DSR、TT、BAS在岗清单6月底 (2)" xfId="367" xr:uid="{00000000-0005-0000-0000-00009E010000}"/>
    <cellStyle name="_DSR、TT、BAS在岗清单6月底 (3)" xfId="368" xr:uid="{00000000-0005-0000-0000-00009F010000}"/>
    <cellStyle name="_DSR、TT、BAS在岗清单6月底 0708" xfId="369" xr:uid="{00000000-0005-0000-0000-0000A0010000}"/>
    <cellStyle name="_DSR、TT、BAS在岗清单7月底" xfId="370" xr:uid="{00000000-0005-0000-0000-0000A1010000}"/>
    <cellStyle name="_ET_STYLE_NoName_00_" xfId="371" xr:uid="{00000000-0005-0000-0000-0000A2010000}"/>
    <cellStyle name="_ET_STYLE_NoName_00_ 11" xfId="372" xr:uid="{00000000-0005-0000-0000-0000A3010000}"/>
    <cellStyle name="_ET_STYLE_NoName_00_ 2" xfId="373" xr:uid="{00000000-0005-0000-0000-0000A4010000}"/>
    <cellStyle name="_ET_STYLE_NoName_00_ 2 2" xfId="374" xr:uid="{00000000-0005-0000-0000-0000A5010000}"/>
    <cellStyle name="_ET_STYLE_NoName_00_ 2 3" xfId="375" xr:uid="{00000000-0005-0000-0000-0000A6010000}"/>
    <cellStyle name="_ET_STYLE_NoName_00_ 2 4" xfId="376" xr:uid="{00000000-0005-0000-0000-0000A7010000}"/>
    <cellStyle name="_ET_STYLE_NoName_00_ 2 5" xfId="377" xr:uid="{00000000-0005-0000-0000-0000A8010000}"/>
    <cellStyle name="_ET_STYLE_NoName_00_ 2 6" xfId="378" xr:uid="{00000000-0005-0000-0000-0000A9010000}"/>
    <cellStyle name="_ET_STYLE_NoName_00_ 2 7" xfId="379" xr:uid="{00000000-0005-0000-0000-0000AA010000}"/>
    <cellStyle name="_ET_STYLE_NoName_00_ 3" xfId="380" xr:uid="{00000000-0005-0000-0000-0000AB010000}"/>
    <cellStyle name="_ET_STYLE_NoName_00_ 4" xfId="381" xr:uid="{00000000-0005-0000-0000-0000AC010000}"/>
    <cellStyle name="_ET_STYLE_NoName_00_ 5" xfId="382" xr:uid="{00000000-0005-0000-0000-0000AD010000}"/>
    <cellStyle name="_ET_STYLE_NoName_00_ 6" xfId="383" xr:uid="{00000000-0005-0000-0000-0000AE010000}"/>
    <cellStyle name="_ET_STYLE_NoName_00_ 7" xfId="384" xr:uid="{00000000-0005-0000-0000-0000AF010000}"/>
    <cellStyle name="_ET_STYLE_NoName_00_ 8" xfId="385" xr:uid="{00000000-0005-0000-0000-0000B0010000}"/>
    <cellStyle name="_ET_STYLE_NoName_00__12月so城市指标" xfId="386" xr:uid="{00000000-0005-0000-0000-0000B1010000}"/>
    <cellStyle name="_ET_STYLE_NoName_00__12月so城市指标 2" xfId="387" xr:uid="{00000000-0005-0000-0000-0000B2010000}"/>
    <cellStyle name="_ET_STYLE_NoName_00__12月so城市指标 3" xfId="388" xr:uid="{00000000-0005-0000-0000-0000B3010000}"/>
    <cellStyle name="_ET_STYLE_NoName_00__12月so城市指标 4" xfId="389" xr:uid="{00000000-0005-0000-0000-0000B4010000}"/>
    <cellStyle name="_ET_STYLE_NoName_00__12月so城市指标 5" xfId="390" xr:uid="{00000000-0005-0000-0000-0000B5010000}"/>
    <cellStyle name="_ET_STYLE_NoName_00__12月so城市指标 6" xfId="391" xr:uid="{00000000-0005-0000-0000-0000B6010000}"/>
    <cellStyle name="_ET_STYLE_NoName_00__12月so城市指标 7" xfId="392" xr:uid="{00000000-0005-0000-0000-0000B7010000}"/>
    <cellStyle name="_ET_STYLE_NoName_00__2008年9月奖金-total" xfId="393" xr:uid="{00000000-0005-0000-0000-0000B8010000}"/>
    <cellStyle name="_ET_STYLE_NoName_00__2010年4月奖金" xfId="394" xr:uid="{00000000-0005-0000-0000-0000B9010000}"/>
    <cellStyle name="_ET_STYLE_NoName_00__2attached" xfId="395" xr:uid="{00000000-0005-0000-0000-0000BA010000}"/>
    <cellStyle name="_ET_STYLE_NoName_00__2attached 2" xfId="396" xr:uid="{00000000-0005-0000-0000-0000BB010000}"/>
    <cellStyle name="_ET_STYLE_NoName_00__2attached 3" xfId="397" xr:uid="{00000000-0005-0000-0000-0000BC010000}"/>
    <cellStyle name="_ET_STYLE_NoName_00__2attached 4" xfId="398" xr:uid="{00000000-0005-0000-0000-0000BD010000}"/>
    <cellStyle name="_ET_STYLE_NoName_00__2attached 5" xfId="399" xr:uid="{00000000-0005-0000-0000-0000BE010000}"/>
    <cellStyle name="_ET_STYLE_NoName_00__2attached 6" xfId="400" xr:uid="{00000000-0005-0000-0000-0000BF010000}"/>
    <cellStyle name="_ET_STYLE_NoName_00__2attached 7" xfId="401" xr:uid="{00000000-0005-0000-0000-0000C0010000}"/>
    <cellStyle name="_ET_STYLE_NoName_00__3月OT数据更正-20100505" xfId="402" xr:uid="{00000000-0005-0000-0000-0000C1010000}"/>
    <cellStyle name="_ET_STYLE_NoName_00__5月工资4月奖金 人员信息-1" xfId="403" xr:uid="{00000000-0005-0000-0000-0000C2010000}"/>
    <cellStyle name="_ET_STYLE_NoName_00__Address Book 20100720" xfId="404" xr:uid="{00000000-0005-0000-0000-0000C3010000}"/>
    <cellStyle name="_ET_STYLE_NoName_00__Address Book 20100720 2" xfId="405" xr:uid="{00000000-0005-0000-0000-0000C4010000}"/>
    <cellStyle name="_ET_STYLE_NoName_00__Address Book 20100720 3" xfId="406" xr:uid="{00000000-0005-0000-0000-0000C5010000}"/>
    <cellStyle name="_ET_STYLE_NoName_00__Address Book 20100720 4" xfId="407" xr:uid="{00000000-0005-0000-0000-0000C6010000}"/>
    <cellStyle name="_ET_STYLE_NoName_00__Address Book 20100720 5" xfId="408" xr:uid="{00000000-0005-0000-0000-0000C7010000}"/>
    <cellStyle name="_ET_STYLE_NoName_00__Address Book 20100720 6" xfId="409" xr:uid="{00000000-0005-0000-0000-0000C8010000}"/>
    <cellStyle name="_ET_STYLE_NoName_00__Address Book 20100720 7" xfId="410" xr:uid="{00000000-0005-0000-0000-0000C9010000}"/>
    <cellStyle name="_ET_STYLE_NoName_00__DSR、TT、BAS在岗清单10月13日" xfId="411" xr:uid="{00000000-0005-0000-0000-0000CA010000}"/>
    <cellStyle name="_ET_STYLE_NoName_00__DSR、TT、BAS在岗清单10月13日 2" xfId="412" xr:uid="{00000000-0005-0000-0000-0000CB010000}"/>
    <cellStyle name="_ET_STYLE_NoName_00__DSR、TT、BAS在岗清单10月13日 3" xfId="413" xr:uid="{00000000-0005-0000-0000-0000CC010000}"/>
    <cellStyle name="_ET_STYLE_NoName_00__DSR、TT、BAS在岗清单10月13日 4" xfId="414" xr:uid="{00000000-0005-0000-0000-0000CD010000}"/>
    <cellStyle name="_ET_STYLE_NoName_00__DSR、TT、BAS在岗清单10月13日 5" xfId="415" xr:uid="{00000000-0005-0000-0000-0000CE010000}"/>
    <cellStyle name="_ET_STYLE_NoName_00__DSR、TT、BAS在岗清单10月13日 6" xfId="416" xr:uid="{00000000-0005-0000-0000-0000CF010000}"/>
    <cellStyle name="_ET_STYLE_NoName_00__DSR、TT、BAS在岗清单10月13日 7" xfId="417" xr:uid="{00000000-0005-0000-0000-0000D0010000}"/>
    <cellStyle name="_ET_STYLE_NoName_00__NIVEA2008年offtake 月报表电子版3月更正new" xfId="418" xr:uid="{00000000-0005-0000-0000-0000D1010000}"/>
    <cellStyle name="_ET_STYLE_NoName_00__NIVEA2008年offtake 月报表电子版3月更正new_3月OT数据更正-20100505" xfId="419" xr:uid="{00000000-0005-0000-0000-0000D2010000}"/>
    <cellStyle name="_ET_STYLE_NoName_00__NIVEA2008年offtake 月报表电子版3月更正new_5月工资4月奖金 人员信息-1" xfId="420" xr:uid="{00000000-0005-0000-0000-0000D3010000}"/>
    <cellStyle name="_ET_STYLE_NoName_00__PG申请表-10月" xfId="421" xr:uid="{00000000-0005-0000-0000-0000D4010000}"/>
    <cellStyle name="_ET_STYLE_NoName_00__PG申请表-山东-20081124" xfId="422" xr:uid="{00000000-0005-0000-0000-0000D5010000}"/>
    <cellStyle name="_ET_STYLE_NoName_00__Sheet1" xfId="423" xr:uid="{00000000-0005-0000-0000-0000D6010000}"/>
    <cellStyle name="_ET_STYLE_NoName_00__Sheet1 2" xfId="424" xr:uid="{00000000-0005-0000-0000-0000D7010000}"/>
    <cellStyle name="_ET_STYLE_NoName_00__Sheet1 3" xfId="425" xr:uid="{00000000-0005-0000-0000-0000D8010000}"/>
    <cellStyle name="_ET_STYLE_NoName_00__Sheet1 4" xfId="426" xr:uid="{00000000-0005-0000-0000-0000D9010000}"/>
    <cellStyle name="_ET_STYLE_NoName_00__Sheet1 5" xfId="427" xr:uid="{00000000-0005-0000-0000-0000DA010000}"/>
    <cellStyle name="_ET_STYLE_NoName_00__Sheet1 6" xfId="428" xr:uid="{00000000-0005-0000-0000-0000DB010000}"/>
    <cellStyle name="_ET_STYLE_NoName_00__Sheet1 7" xfId="429" xr:uid="{00000000-0005-0000-0000-0000DC010000}"/>
    <cellStyle name="_ET_STYLE_NoName_00__Sheet1_46" xfId="430" xr:uid="{00000000-0005-0000-0000-0000DD010000}"/>
    <cellStyle name="_ET_STYLE_NoName_00__Sheet2_1" xfId="431" xr:uid="{00000000-0005-0000-0000-0000DE010000}"/>
    <cellStyle name="_ET_STYLE_NoName_00__Sheet2_1_3月OT数据更正-20100505" xfId="432" xr:uid="{00000000-0005-0000-0000-0000DF010000}"/>
    <cellStyle name="_ET_STYLE_NoName_00__Sheet2_1_5月工资4月奖金 人员信息-1" xfId="433" xr:uid="{00000000-0005-0000-0000-0000E0010000}"/>
    <cellStyle name="_ET_STYLE_NoName_00__TT业务员DSR人员6月1日在职" xfId="434" xr:uid="{00000000-0005-0000-0000-0000E1010000}"/>
    <cellStyle name="_ET_STYLE_NoName_00__TT业务员DSR人员6月1日在职 2" xfId="435" xr:uid="{00000000-0005-0000-0000-0000E2010000}"/>
    <cellStyle name="_ET_STYLE_NoName_00__TT业务员DSR人员6月1日在职 3" xfId="436" xr:uid="{00000000-0005-0000-0000-0000E3010000}"/>
    <cellStyle name="_ET_STYLE_NoName_00__TT业务员DSR人员6月1日在职 4" xfId="437" xr:uid="{00000000-0005-0000-0000-0000E4010000}"/>
    <cellStyle name="_ET_STYLE_NoName_00__TT业务员DSR人员6月1日在职 5" xfId="438" xr:uid="{00000000-0005-0000-0000-0000E5010000}"/>
    <cellStyle name="_ET_STYLE_NoName_00__TT业务员DSR人员6月1日在职 6" xfId="439" xr:uid="{00000000-0005-0000-0000-0000E6010000}"/>
    <cellStyle name="_ET_STYLE_NoName_00__TT业务员DSR人员6月1日在职 7" xfId="440" xr:uid="{00000000-0005-0000-0000-0000E7010000}"/>
    <cellStyle name="_ET_STYLE_NoName_00__屈臣氏10月指标分配及达成表" xfId="441" xr:uid="{00000000-0005-0000-0000-0000E8010000}"/>
    <cellStyle name="_ET_STYLE_NoName_00__屈臣氏10月指标分配及达成表 2" xfId="442" xr:uid="{00000000-0005-0000-0000-0000E9010000}"/>
    <cellStyle name="_ET_STYLE_NoName_00__屈臣氏10月指标分配及达成表 3" xfId="443" xr:uid="{00000000-0005-0000-0000-0000EA010000}"/>
    <cellStyle name="_ET_STYLE_NoName_00__屈臣氏10月指标分配及达成表 4" xfId="444" xr:uid="{00000000-0005-0000-0000-0000EB010000}"/>
    <cellStyle name="_ET_STYLE_NoName_00__屈臣氏10月指标分配及达成表 5" xfId="445" xr:uid="{00000000-0005-0000-0000-0000EC010000}"/>
    <cellStyle name="_ET_STYLE_NoName_00__屈臣氏10月指标分配及达成表 6" xfId="446" xr:uid="{00000000-0005-0000-0000-0000ED010000}"/>
    <cellStyle name="_ET_STYLE_NoName_00__屈臣氏10月指标分配及达成表 7" xfId="447" xr:uid="{00000000-0005-0000-0000-0000EE010000}"/>
    <cellStyle name="_ET_STYLE_NoName_00__屈臣氏6月指标达成" xfId="448" xr:uid="{00000000-0005-0000-0000-0000EF010000}"/>
    <cellStyle name="_ET_STYLE_NoName_00__屈臣氏6月指标达成 2" xfId="449" xr:uid="{00000000-0005-0000-0000-0000F0010000}"/>
    <cellStyle name="_ET_STYLE_NoName_00__屈臣氏6月指标达成 3" xfId="450" xr:uid="{00000000-0005-0000-0000-0000F1010000}"/>
    <cellStyle name="_ET_STYLE_NoName_00__屈臣氏6月指标达成 4" xfId="451" xr:uid="{00000000-0005-0000-0000-0000F2010000}"/>
    <cellStyle name="_ET_STYLE_NoName_00__屈臣氏6月指标达成 5" xfId="452" xr:uid="{00000000-0005-0000-0000-0000F3010000}"/>
    <cellStyle name="_ET_STYLE_NoName_00__屈臣氏6月指标达成 6" xfId="453" xr:uid="{00000000-0005-0000-0000-0000F4010000}"/>
    <cellStyle name="_ET_STYLE_NoName_00__屈臣氏6月指标达成 7" xfId="454" xr:uid="{00000000-0005-0000-0000-0000F5010000}"/>
    <cellStyle name="_ET_STYLE_NoName_00__屈臣氏7月指标及达成" xfId="455" xr:uid="{00000000-0005-0000-0000-0000F6010000}"/>
    <cellStyle name="_ET_STYLE_NoName_00__屈臣氏7月指标及达成 2" xfId="456" xr:uid="{00000000-0005-0000-0000-0000F7010000}"/>
    <cellStyle name="_ET_STYLE_NoName_00__屈臣氏7月指标及达成 3" xfId="457" xr:uid="{00000000-0005-0000-0000-0000F8010000}"/>
    <cellStyle name="_ET_STYLE_NoName_00__屈臣氏7月指标及达成 4" xfId="458" xr:uid="{00000000-0005-0000-0000-0000F9010000}"/>
    <cellStyle name="_ET_STYLE_NoName_00__屈臣氏7月指标及达成 5" xfId="459" xr:uid="{00000000-0005-0000-0000-0000FA010000}"/>
    <cellStyle name="_ET_STYLE_NoName_00__屈臣氏7月指标及达成 6" xfId="460" xr:uid="{00000000-0005-0000-0000-0000FB010000}"/>
    <cellStyle name="_ET_STYLE_NoName_00__屈臣氏7月指标及达成 7" xfId="461" xr:uid="{00000000-0005-0000-0000-0000FC010000}"/>
    <cellStyle name="_ET_STYLE_NoName_00__屈臣氏8月指标及达成" xfId="462" xr:uid="{00000000-0005-0000-0000-0000FD010000}"/>
    <cellStyle name="_ET_STYLE_NoName_00__屈臣氏8月指标及达成 2" xfId="463" xr:uid="{00000000-0005-0000-0000-0000FE010000}"/>
    <cellStyle name="_ET_STYLE_NoName_00__屈臣氏8月指标及达成 3" xfId="464" xr:uid="{00000000-0005-0000-0000-0000FF010000}"/>
    <cellStyle name="_ET_STYLE_NoName_00__屈臣氏8月指标及达成 4" xfId="465" xr:uid="{00000000-0005-0000-0000-000000020000}"/>
    <cellStyle name="_ET_STYLE_NoName_00__屈臣氏8月指标及达成 5" xfId="466" xr:uid="{00000000-0005-0000-0000-000001020000}"/>
    <cellStyle name="_ET_STYLE_NoName_00__屈臣氏8月指标及达成 6" xfId="467" xr:uid="{00000000-0005-0000-0000-000002020000}"/>
    <cellStyle name="_ET_STYLE_NoName_00__屈臣氏8月指标及达成 7" xfId="468" xr:uid="{00000000-0005-0000-0000-000003020000}"/>
    <cellStyle name="_ET_STYLE_NoName_00__屈臣氏9月指标分配表-达成版 (2)" xfId="469" xr:uid="{00000000-0005-0000-0000-000004020000}"/>
    <cellStyle name="_ET_STYLE_NoName_00__屈臣氏9月指标分配表-达成版 (2) 2" xfId="470" xr:uid="{00000000-0005-0000-0000-000005020000}"/>
    <cellStyle name="_ET_STYLE_NoName_00__屈臣氏9月指标分配表-达成版 (2) 3" xfId="471" xr:uid="{00000000-0005-0000-0000-000006020000}"/>
    <cellStyle name="_ET_STYLE_NoName_00__屈臣氏9月指标分配表-达成版 (2) 4" xfId="472" xr:uid="{00000000-0005-0000-0000-000007020000}"/>
    <cellStyle name="_ET_STYLE_NoName_00__屈臣氏9月指标分配表-达成版 (2) 5" xfId="473" xr:uid="{00000000-0005-0000-0000-000008020000}"/>
    <cellStyle name="_ET_STYLE_NoName_00__屈臣氏9月指标分配表-达成版 (2) 6" xfId="474" xr:uid="{00000000-0005-0000-0000-000009020000}"/>
    <cellStyle name="_ET_STYLE_NoName_00__屈臣氏9月指标分配表-达成版 (2) 7" xfId="475" xr:uid="{00000000-0005-0000-0000-00000A020000}"/>
    <cellStyle name="_ET_STYLE_NoName_00__人员申请一事一报及退货2010" xfId="476" xr:uid="{00000000-0005-0000-0000-00000B020000}"/>
    <cellStyle name="_ET_STYLE_NoName_00__人员申请一事一报及退货2010 2" xfId="477" xr:uid="{00000000-0005-0000-0000-00000C020000}"/>
    <cellStyle name="_ET_STYLE_NoName_00__人员申请一事一报及退货2010 3" xfId="478" xr:uid="{00000000-0005-0000-0000-00000D020000}"/>
    <cellStyle name="_ET_STYLE_NoName_00__人员申请一事一报及退货2010 4" xfId="479" xr:uid="{00000000-0005-0000-0000-00000E020000}"/>
    <cellStyle name="_ET_STYLE_NoName_00__人员申请一事一报及退货2010 5" xfId="480" xr:uid="{00000000-0005-0000-0000-00000F020000}"/>
    <cellStyle name="_ET_STYLE_NoName_00__人员申请一事一报及退货2010 6" xfId="481" xr:uid="{00000000-0005-0000-0000-000010020000}"/>
    <cellStyle name="_ET_STYLE_NoName_00__人员申请一事一报及退货2010 7" xfId="482" xr:uid="{00000000-0005-0000-0000-000011020000}"/>
    <cellStyle name="_ET_STYLE_NoName_00__四川外围嵌柜申请表8 13 (2)" xfId="483" xr:uid="{00000000-0005-0000-0000-000012020000}"/>
    <cellStyle name="_ET_STYLE_NoName_00__四川外围嵌柜申请表8 13 (2) 2" xfId="484" xr:uid="{00000000-0005-0000-0000-000013020000}"/>
    <cellStyle name="_ET_STYLE_NoName_00__四川外围嵌柜申请表8 13 (2) 3" xfId="485" xr:uid="{00000000-0005-0000-0000-000014020000}"/>
    <cellStyle name="_ET_STYLE_NoName_00__四川外围嵌柜申请表8 13 (2) 4" xfId="486" xr:uid="{00000000-0005-0000-0000-000015020000}"/>
    <cellStyle name="_ET_STYLE_NoName_00__四川外围嵌柜申请表8 13 (2) 5" xfId="487" xr:uid="{00000000-0005-0000-0000-000016020000}"/>
    <cellStyle name="_ET_STYLE_NoName_00__四川外围嵌柜申请表8 13 (2) 6" xfId="488" xr:uid="{00000000-0005-0000-0000-000017020000}"/>
    <cellStyle name="_ET_STYLE_NoName_00__四川外围嵌柜申请表8 13 (2) 7" xfId="489" xr:uid="{00000000-0005-0000-0000-000018020000}"/>
    <cellStyle name="_ET_STYLE_NoName_00__四月_19" xfId="490" xr:uid="{00000000-0005-0000-0000-000019020000}"/>
    <cellStyle name="_ET_STYLE_NoName_00__四月_19_3月OT数据更正-20100505" xfId="491" xr:uid="{00000000-0005-0000-0000-00001A020000}"/>
    <cellStyle name="_ET_STYLE_NoName_00__四月_19_5月工资4月奖金 人员信息-1" xfId="492" xr:uid="{00000000-0005-0000-0000-00001B020000}"/>
    <cellStyle name="_ET_STYLE_NoName_00__四月_7" xfId="493" xr:uid="{00000000-0005-0000-0000-00001C020000}"/>
    <cellStyle name="_ET_STYLE_NoName_00__四月_7_3月OT数据更正-20100505" xfId="494" xr:uid="{00000000-0005-0000-0000-00001D020000}"/>
    <cellStyle name="_ET_STYLE_NoName_00__四月_7_5月工资4月奖金 人员信息-1" xfId="495" xr:uid="{00000000-0005-0000-0000-00001E020000}"/>
    <cellStyle name="_ET_STYLE_NoName_00__销量达成及月度调整指标_182" xfId="496" xr:uid="{00000000-0005-0000-0000-00001F020000}"/>
    <cellStyle name="_ET_STYLE_NoName_00__销量达成及月度调整指标_182 2" xfId="497" xr:uid="{00000000-0005-0000-0000-000020020000}"/>
    <cellStyle name="_ET_STYLE_NoName_00__销量达成及月度调整指标_182 3" xfId="498" xr:uid="{00000000-0005-0000-0000-000021020000}"/>
    <cellStyle name="_ET_STYLE_NoName_00__销量达成及月度调整指标_182 4" xfId="499" xr:uid="{00000000-0005-0000-0000-000022020000}"/>
    <cellStyle name="_ET_STYLE_NoName_00__销量达成及月度调整指标_182 5" xfId="500" xr:uid="{00000000-0005-0000-0000-000023020000}"/>
    <cellStyle name="_ET_STYLE_NoName_00__销量达成及月度调整指标_182 6" xfId="501" xr:uid="{00000000-0005-0000-0000-000024020000}"/>
    <cellStyle name="_ET_STYLE_NoName_00__销量达成及月度调整指标_182 7" xfId="502" xr:uid="{00000000-0005-0000-0000-000025020000}"/>
    <cellStyle name="_ET_STYLE_NoName_00__销量达成及月度调整指标_182_12月工资11月奖金 人员信息 -2" xfId="503" xr:uid="{00000000-0005-0000-0000-000026020000}"/>
    <cellStyle name="_ET_STYLE_NoName_00__销量达成及月度调整指标_182_12月工资11月奖金 人员信息 -2 2" xfId="504" xr:uid="{00000000-0005-0000-0000-000027020000}"/>
    <cellStyle name="_ET_STYLE_NoName_00__销量达成及月度调整指标_182_12月工资11月奖金 人员信息 -2 3" xfId="505" xr:uid="{00000000-0005-0000-0000-000028020000}"/>
    <cellStyle name="_ET_STYLE_NoName_00__销量达成及月度调整指标_182_12月工资11月奖金 人员信息 -2 4" xfId="506" xr:uid="{00000000-0005-0000-0000-000029020000}"/>
    <cellStyle name="_ET_STYLE_NoName_00__销量达成及月度调整指标_182_12月工资11月奖金 人员信息 -2 5" xfId="507" xr:uid="{00000000-0005-0000-0000-00002A020000}"/>
    <cellStyle name="_ET_STYLE_NoName_00__销量达成及月度调整指标_182_12月工资11月奖金 人员信息 -2 6" xfId="508" xr:uid="{00000000-0005-0000-0000-00002B020000}"/>
    <cellStyle name="_ET_STYLE_NoName_00__销量达成及月度调整指标_182_12月工资11月奖金 人员信息 -2 7" xfId="509" xr:uid="{00000000-0005-0000-0000-00002C020000}"/>
    <cellStyle name="_ET_STYLE_NoName_00__销量达成及月度调整指标_182_NIVEA BA 11月工资10月奖金 数据提交表" xfId="510" xr:uid="{00000000-0005-0000-0000-00002D020000}"/>
    <cellStyle name="_ET_STYLE_NoName_00__销量达成及月度调整指标_182_NIVEA BA 11月工资10月奖金 数据提交表 2" xfId="511" xr:uid="{00000000-0005-0000-0000-00002E020000}"/>
    <cellStyle name="_ET_STYLE_NoName_00__销量达成及月度调整指标_182_NIVEA BA 11月工资10月奖金 数据提交表 3" xfId="512" xr:uid="{00000000-0005-0000-0000-00002F020000}"/>
    <cellStyle name="_ET_STYLE_NoName_00__销量达成及月度调整指标_182_NIVEA BA 11月工资10月奖金 数据提交表 4" xfId="513" xr:uid="{00000000-0005-0000-0000-000030020000}"/>
    <cellStyle name="_ET_STYLE_NoName_00__销量达成及月度调整指标_182_NIVEA BA 11月工资10月奖金 数据提交表 5" xfId="514" xr:uid="{00000000-0005-0000-0000-000031020000}"/>
    <cellStyle name="_ET_STYLE_NoName_00__销量达成及月度调整指标_182_NIVEA BA 11月工资10月奖金 数据提交表 6" xfId="515" xr:uid="{00000000-0005-0000-0000-000032020000}"/>
    <cellStyle name="_ET_STYLE_NoName_00__销量达成及月度调整指标_182_NIVEA BA 11月工资10月奖金 数据提交表 7" xfId="516" xr:uid="{00000000-0005-0000-0000-000033020000}"/>
    <cellStyle name="_ET_STYLE_NoName_00__销售储备人员资料6月份" xfId="517" xr:uid="{00000000-0005-0000-0000-000034020000}"/>
    <cellStyle name="_ET_STYLE_NoName_00__销售储备人员资料7月份" xfId="518" xr:uid="{00000000-0005-0000-0000-000035020000}"/>
    <cellStyle name="_ET_STYLE_NoName_00__制服尺寸统计表第二次" xfId="519" xr:uid="{00000000-0005-0000-0000-000036020000}"/>
    <cellStyle name="_ET_STYLE_NoName_00__制服尺寸统计表第二次_3月OT数据更正-20100505" xfId="520" xr:uid="{00000000-0005-0000-0000-000037020000}"/>
    <cellStyle name="_ET_STYLE_NoName_00__制服尺寸统计表第二次_5月工资4月奖金 人员信息-1" xfId="521" xr:uid="{00000000-0005-0000-0000-000038020000}"/>
    <cellStyle name="_ET_STYLE_NoName_-01_" xfId="522" xr:uid="{00000000-0005-0000-0000-000039020000}"/>
    <cellStyle name="_ET_STYLE_NoName_-298_" xfId="523" xr:uid="{00000000-0005-0000-0000-00003A020000}"/>
    <cellStyle name="_KA促销方案-清美白老货200808" xfId="524" xr:uid="{00000000-0005-0000-0000-00003B020000}"/>
    <cellStyle name="_NIVEA BA 5月工资4月奖金 原始数据 更新 (version 4) 发放反馈" xfId="525" xr:uid="{00000000-0005-0000-0000-00003C020000}"/>
    <cellStyle name="_NIVEA工资数据080203" xfId="526" xr:uid="{00000000-0005-0000-0000-00003D020000}"/>
    <cellStyle name="_NIVEA工资数据080203_5月工资4月奖金 人员信息-1" xfId="527" xr:uid="{00000000-0005-0000-0000-00003E020000}"/>
    <cellStyle name="_PG 申请表-z浙江" xfId="528" xr:uid="{00000000-0005-0000-0000-00003F020000}"/>
    <cellStyle name="_PG申请SO表offtake报表-时代等" xfId="529" xr:uid="{00000000-0005-0000-0000-000040020000}"/>
    <cellStyle name="_PG申请表" xfId="530" xr:uid="{00000000-0005-0000-0000-000041020000}"/>
    <cellStyle name="_PG申请表6月--浙江" xfId="531" xr:uid="{00000000-0005-0000-0000-000042020000}"/>
    <cellStyle name="_PG申请表-辽北0620" xfId="532" xr:uid="{00000000-0005-0000-0000-000043020000}"/>
    <cellStyle name="_PG申请表-辽南0522" xfId="533" xr:uid="{00000000-0005-0000-0000-000044020000}"/>
    <cellStyle name="_PG申请表-辽南0522 (2)" xfId="534" xr:uid="{00000000-0005-0000-0000-000045020000}"/>
    <cellStyle name="_PG申请表-辽宁1230" xfId="535" xr:uid="{00000000-0005-0000-0000-000046020000}"/>
    <cellStyle name="_PG申请-四川-0804" xfId="536" xr:uid="{00000000-0005-0000-0000-000047020000}"/>
    <cellStyle name="_RMBAS奖金审批-20100416" xfId="537" xr:uid="{00000000-0005-0000-0000-000048020000}"/>
    <cellStyle name="_RS&amp;BAS奖金-20091211" xfId="538" xr:uid="{00000000-0005-0000-0000-000049020000}"/>
    <cellStyle name="_RS&amp;BAS奖金-2010-20100223" xfId="539" xr:uid="{00000000-0005-0000-0000-00004A020000}"/>
    <cellStyle name="_RSBAS奖金-2010-20100223" xfId="540" xr:uid="{00000000-0005-0000-0000-00004B020000}"/>
    <cellStyle name="_RSBAS奖金-2010-20100223 (2)" xfId="541" xr:uid="{00000000-0005-0000-0000-00004C020000}"/>
    <cellStyle name="_RSBAS奖金审批" xfId="542" xr:uid="{00000000-0005-0000-0000-00004D020000}"/>
    <cellStyle name="_RSBAS联系方式更新-20090812" xfId="543" xr:uid="{00000000-0005-0000-0000-00004E020000}"/>
    <cellStyle name="_RS八月奖金" xfId="544" xr:uid="{00000000-0005-0000-0000-00004F020000}"/>
    <cellStyle name="_RS八月奖金 (2)" xfId="545" xr:uid="{00000000-0005-0000-0000-000050020000}"/>
    <cellStyle name="_shanghai PGS bonus evaluation0705" xfId="546" xr:uid="{00000000-0005-0000-0000-000051020000}"/>
    <cellStyle name="_soplan total 11.30-2" xfId="547" xr:uid="{00000000-0005-0000-0000-000052020000}"/>
    <cellStyle name="_Store List - Eastern China (Jan)" xfId="548" xr:uid="{00000000-0005-0000-0000-000053020000}"/>
    <cellStyle name="_summary总和(所有)" xfId="549" xr:uid="{00000000-0005-0000-0000-000054020000}"/>
    <cellStyle name="_summary总和(所有) 2" xfId="550" xr:uid="{00000000-0005-0000-0000-000055020000}"/>
    <cellStyle name="_summary总和(所有) 3" xfId="551" xr:uid="{00000000-0005-0000-0000-000056020000}"/>
    <cellStyle name="_summary总和(所有) 4" xfId="552" xr:uid="{00000000-0005-0000-0000-000057020000}"/>
    <cellStyle name="_summary总和(所有) 5" xfId="553" xr:uid="{00000000-0005-0000-0000-000058020000}"/>
    <cellStyle name="_summary总和(所有) 6" xfId="554" xr:uid="{00000000-0005-0000-0000-000059020000}"/>
    <cellStyle name="_summary总和(所有) 7" xfId="555" xr:uid="{00000000-0005-0000-0000-00005A020000}"/>
    <cellStyle name="_summary总和(所有)_12月工资11月奖金 人员信息 -2" xfId="556" xr:uid="{00000000-0005-0000-0000-00005B020000}"/>
    <cellStyle name="_summary总和(所有)_12月工资11月奖金 人员信息 -2 2" xfId="557" xr:uid="{00000000-0005-0000-0000-00005C020000}"/>
    <cellStyle name="_summary总和(所有)_12月工资11月奖金 人员信息 -2 3" xfId="558" xr:uid="{00000000-0005-0000-0000-00005D020000}"/>
    <cellStyle name="_summary总和(所有)_12月工资11月奖金 人员信息 -2 4" xfId="559" xr:uid="{00000000-0005-0000-0000-00005E020000}"/>
    <cellStyle name="_summary总和(所有)_12月工资11月奖金 人员信息 -2 5" xfId="560" xr:uid="{00000000-0005-0000-0000-00005F020000}"/>
    <cellStyle name="_summary总和(所有)_12月工资11月奖金 人员信息 -2 6" xfId="561" xr:uid="{00000000-0005-0000-0000-000060020000}"/>
    <cellStyle name="_summary总和(所有)_12月工资11月奖金 人员信息 -2 7" xfId="562" xr:uid="{00000000-0005-0000-0000-000061020000}"/>
    <cellStyle name="_summary总和(所有)_NIVEA BA 11月工资10月奖金 数据提交表" xfId="563" xr:uid="{00000000-0005-0000-0000-000062020000}"/>
    <cellStyle name="_summary总和(所有)_NIVEA BA 11月工资10月奖金 数据提交表 2" xfId="564" xr:uid="{00000000-0005-0000-0000-000063020000}"/>
    <cellStyle name="_summary总和(所有)_NIVEA BA 11月工资10月奖金 数据提交表 3" xfId="565" xr:uid="{00000000-0005-0000-0000-000064020000}"/>
    <cellStyle name="_summary总和(所有)_NIVEA BA 11月工资10月奖金 数据提交表 4" xfId="566" xr:uid="{00000000-0005-0000-0000-000065020000}"/>
    <cellStyle name="_summary总和(所有)_NIVEA BA 11月工资10月奖金 数据提交表 5" xfId="567" xr:uid="{00000000-0005-0000-0000-000066020000}"/>
    <cellStyle name="_summary总和(所有)_NIVEA BA 11月工资10月奖金 数据提交表 6" xfId="568" xr:uid="{00000000-0005-0000-0000-000067020000}"/>
    <cellStyle name="_summary总和(所有)_NIVEA BA 11月工资10月奖金 数据提交表 7" xfId="569" xr:uid="{00000000-0005-0000-0000-000068020000}"/>
    <cellStyle name="_鞍山抚顺PG申请表" xfId="570" xr:uid="{00000000-0005-0000-0000-000069020000}"/>
    <cellStyle name="_补贴报销 DSR TT BAS" xfId="571" xr:uid="{00000000-0005-0000-0000-00006A020000}"/>
    <cellStyle name="_补贴享受汇总(20100105更新)" xfId="572" xr:uid="{00000000-0005-0000-0000-00006B020000}"/>
    <cellStyle name="_补贴享受汇总(20100105更新) (2)" xfId="573" xr:uid="{00000000-0005-0000-0000-00006C020000}"/>
    <cellStyle name="_差异（10-21~10-28）" xfId="574" xr:uid="{00000000-0005-0000-0000-00006D020000}"/>
    <cellStyle name="_纯经销商付费网点统计-20100429" xfId="575" xr:uid="{00000000-0005-0000-0000-00006E020000}"/>
    <cellStyle name="_纯经销商付费网点统计-20100429 2" xfId="576" xr:uid="{00000000-0005-0000-0000-00006F020000}"/>
    <cellStyle name="_纯经销商付费网点统计-20100429 3" xfId="577" xr:uid="{00000000-0005-0000-0000-000070020000}"/>
    <cellStyle name="_纯经销商付费网点统计-20100429 4" xfId="578" xr:uid="{00000000-0005-0000-0000-000071020000}"/>
    <cellStyle name="_纯经销商付费网点统计-20100429 5" xfId="579" xr:uid="{00000000-0005-0000-0000-000072020000}"/>
    <cellStyle name="_纯经销商付费网点统计-20100429 6" xfId="580" xr:uid="{00000000-0005-0000-0000-000073020000}"/>
    <cellStyle name="_纯经销商付费网点统计-20100429 7" xfId="581" xr:uid="{00000000-0005-0000-0000-000074020000}"/>
    <cellStyle name="_纯经销商付费网点统计-20100429_12月工资11月奖金 人员信息 -2" xfId="582" xr:uid="{00000000-0005-0000-0000-000075020000}"/>
    <cellStyle name="_纯经销商付费网点统计-20100429_12月工资11月奖金 人员信息 -2 2" xfId="583" xr:uid="{00000000-0005-0000-0000-000076020000}"/>
    <cellStyle name="_纯经销商付费网点统计-20100429_12月工资11月奖金 人员信息 -2 3" xfId="584" xr:uid="{00000000-0005-0000-0000-000077020000}"/>
    <cellStyle name="_纯经销商付费网点统计-20100429_12月工资11月奖金 人员信息 -2 4" xfId="585" xr:uid="{00000000-0005-0000-0000-000078020000}"/>
    <cellStyle name="_纯经销商付费网点统计-20100429_12月工资11月奖金 人员信息 -2 5" xfId="586" xr:uid="{00000000-0005-0000-0000-000079020000}"/>
    <cellStyle name="_纯经销商付费网点统计-20100429_12月工资11月奖金 人员信息 -2 6" xfId="587" xr:uid="{00000000-0005-0000-0000-00007A020000}"/>
    <cellStyle name="_纯经销商付费网点统计-20100429_12月工资11月奖金 人员信息 -2 7" xfId="588" xr:uid="{00000000-0005-0000-0000-00007B020000}"/>
    <cellStyle name="_纯经销商付费网点统计-20100429_NIVEA BA 11月工资10月奖金 数据提交表" xfId="589" xr:uid="{00000000-0005-0000-0000-00007C020000}"/>
    <cellStyle name="_纯经销商付费网点统计-20100429_NIVEA BA 11月工资10月奖金 数据提交表 2" xfId="590" xr:uid="{00000000-0005-0000-0000-00007D020000}"/>
    <cellStyle name="_纯经销商付费网点统计-20100429_NIVEA BA 11月工资10月奖金 数据提交表 3" xfId="591" xr:uid="{00000000-0005-0000-0000-00007E020000}"/>
    <cellStyle name="_纯经销商付费网点统计-20100429_NIVEA BA 11月工资10月奖金 数据提交表 4" xfId="592" xr:uid="{00000000-0005-0000-0000-00007F020000}"/>
    <cellStyle name="_纯经销商付费网点统计-20100429_NIVEA BA 11月工资10月奖金 数据提交表 5" xfId="593" xr:uid="{00000000-0005-0000-0000-000080020000}"/>
    <cellStyle name="_纯经销商付费网点统计-20100429_NIVEA BA 11月工资10月奖金 数据提交表 6" xfId="594" xr:uid="{00000000-0005-0000-0000-000081020000}"/>
    <cellStyle name="_纯经销商付费网点统计-20100429_NIVEA BA 11月工资10月奖金 数据提交表 7" xfId="595" xr:uid="{00000000-0005-0000-0000-000082020000}"/>
    <cellStyle name="_纯经销商付费网点统计-201005018" xfId="596" xr:uid="{00000000-0005-0000-0000-000083020000}"/>
    <cellStyle name="_纯经销商付费网点统计-201005018 2" xfId="597" xr:uid="{00000000-0005-0000-0000-000084020000}"/>
    <cellStyle name="_纯经销商付费网点统计-201005018 3" xfId="598" xr:uid="{00000000-0005-0000-0000-000085020000}"/>
    <cellStyle name="_纯经销商付费网点统计-201005018 4" xfId="599" xr:uid="{00000000-0005-0000-0000-000086020000}"/>
    <cellStyle name="_纯经销商付费网点统计-201005018 5" xfId="600" xr:uid="{00000000-0005-0000-0000-000087020000}"/>
    <cellStyle name="_纯经销商付费网点统计-201005018 6" xfId="601" xr:uid="{00000000-0005-0000-0000-000088020000}"/>
    <cellStyle name="_纯经销商付费网点统计-201005018 7" xfId="602" xr:uid="{00000000-0005-0000-0000-000089020000}"/>
    <cellStyle name="_纯经销商付费网点统计-201005018_12月工资11月奖金 人员信息 -2" xfId="603" xr:uid="{00000000-0005-0000-0000-00008A020000}"/>
    <cellStyle name="_纯经销商付费网点统计-201005018_12月工资11月奖金 人员信息 -2 2" xfId="604" xr:uid="{00000000-0005-0000-0000-00008B020000}"/>
    <cellStyle name="_纯经销商付费网点统计-201005018_12月工资11月奖金 人员信息 -2 3" xfId="605" xr:uid="{00000000-0005-0000-0000-00008C020000}"/>
    <cellStyle name="_纯经销商付费网点统计-201005018_12月工资11月奖金 人员信息 -2 4" xfId="606" xr:uid="{00000000-0005-0000-0000-00008D020000}"/>
    <cellStyle name="_纯经销商付费网点统计-201005018_12月工资11月奖金 人员信息 -2 5" xfId="607" xr:uid="{00000000-0005-0000-0000-00008E020000}"/>
    <cellStyle name="_纯经销商付费网点统计-201005018_12月工资11月奖金 人员信息 -2 6" xfId="608" xr:uid="{00000000-0005-0000-0000-00008F020000}"/>
    <cellStyle name="_纯经销商付费网点统计-201005018_12月工资11月奖金 人员信息 -2 7" xfId="609" xr:uid="{00000000-0005-0000-0000-000090020000}"/>
    <cellStyle name="_纯经销商付费网点统计-201005018_NIVEA BA 11月工资10月奖金 数据提交表" xfId="610" xr:uid="{00000000-0005-0000-0000-000091020000}"/>
    <cellStyle name="_纯经销商付费网点统计-201005018_NIVEA BA 11月工资10月奖金 数据提交表 2" xfId="611" xr:uid="{00000000-0005-0000-0000-000092020000}"/>
    <cellStyle name="_纯经销商付费网点统计-201005018_NIVEA BA 11月工资10月奖金 数据提交表 3" xfId="612" xr:uid="{00000000-0005-0000-0000-000093020000}"/>
    <cellStyle name="_纯经销商付费网点统计-201005018_NIVEA BA 11月工资10月奖金 数据提交表 4" xfId="613" xr:uid="{00000000-0005-0000-0000-000094020000}"/>
    <cellStyle name="_纯经销商付费网点统计-201005018_NIVEA BA 11月工资10月奖金 数据提交表 5" xfId="614" xr:uid="{00000000-0005-0000-0000-000095020000}"/>
    <cellStyle name="_纯经销商付费网点统计-201005018_NIVEA BA 11月工资10月奖金 数据提交表 6" xfId="615" xr:uid="{00000000-0005-0000-0000-000096020000}"/>
    <cellStyle name="_纯经销商付费网点统计-201005018_NIVEA BA 11月工资10月奖金 数据提交表 7" xfId="616" xr:uid="{00000000-0005-0000-0000-000097020000}"/>
    <cellStyle name="_大润发PG 申请表" xfId="617" xr:uid="{00000000-0005-0000-0000-000098020000}"/>
    <cellStyle name="_大润发PG 申请表-z浙江" xfId="618" xr:uid="{00000000-0005-0000-0000-000099020000}"/>
    <cellStyle name="_地区专柜主管月度奖金考核表（四川重庆）-08年5月" xfId="619" xr:uid="{00000000-0005-0000-0000-00009A020000}"/>
    <cellStyle name="_复件 全国预估明细" xfId="620" xr:uid="{00000000-0005-0000-0000-00009B020000}"/>
    <cellStyle name="_复件 山西专柜专架申请" xfId="621" xr:uid="{00000000-0005-0000-0000-00009C020000}"/>
    <cellStyle name="_副本0804四川PG申请表" xfId="622" xr:uid="{00000000-0005-0000-0000-00009D020000}"/>
    <cellStyle name="_副本Nivea各地城市社保扣缴计算汇总" xfId="623" xr:uid="{00000000-0005-0000-0000-00009E020000}"/>
    <cellStyle name="_副本Nivea各地城市社保扣缴计算汇总 (1)" xfId="624" xr:uid="{00000000-0005-0000-0000-00009F020000}"/>
    <cellStyle name="_副本PG申请表10月" xfId="625" xr:uid="{00000000-0005-0000-0000-0000A0020000}"/>
    <cellStyle name="_副本山东PG申请" xfId="626" xr:uid="{00000000-0005-0000-0000-0000A1020000}"/>
    <cellStyle name="_工资卡信息收集表-total" xfId="627" xr:uid="{00000000-0005-0000-0000-0000A2020000}"/>
    <cellStyle name="_工资卡信息收集表-total_5月工资4月奖金 人员信息-1" xfId="628" xr:uid="{00000000-0005-0000-0000-0000A3020000}"/>
    <cellStyle name="_广州PG申请表－200710" xfId="629" xr:uid="{00000000-0005-0000-0000-0000A4020000}"/>
    <cellStyle name="_华业临时人员去向-total" xfId="630" xr:uid="{00000000-0005-0000-0000-0000A5020000}"/>
    <cellStyle name="_济宁人员变动表-0803" xfId="631" xr:uid="{00000000-0005-0000-0000-0000A6020000}"/>
    <cellStyle name="_济宁人员变动表-0803_5月工资4月奖金 人员信息-1" xfId="632" xr:uid="{00000000-0005-0000-0000-0000A7020000}"/>
    <cellStyle name="_奖金计算表-9月 1022" xfId="633" xr:uid="{00000000-0005-0000-0000-0000A8020000}"/>
    <cellStyle name="_理货员工资数据080314" xfId="634" xr:uid="{00000000-0005-0000-0000-0000A9020000}"/>
    <cellStyle name="_理货员工资数据080409" xfId="635" xr:uid="{00000000-0005-0000-0000-0000AA020000}"/>
    <cellStyle name="_理货员工资数据0903-（发送版）" xfId="636" xr:uid="{00000000-0005-0000-0000-0000AB020000}"/>
    <cellStyle name="_理货员薪资数据提交表201001（发送版）" xfId="637" xr:uid="{00000000-0005-0000-0000-0000AC020000}"/>
    <cellStyle name="_理货员在岗人员091021" xfId="638" xr:uid="{00000000-0005-0000-0000-0000AD020000}"/>
    <cellStyle name="_莲花路Office通讯录&amp;零售管理团队的联系方式" xfId="639" xr:uid="{00000000-0005-0000-0000-0000AE020000}"/>
    <cellStyle name="_零售管理团队联系方式-20090902" xfId="640" xr:uid="{00000000-0005-0000-0000-0000AF020000}"/>
    <cellStyle name="_全国零售管理团队通讯录-20091013" xfId="641" xr:uid="{00000000-0005-0000-0000-0000B0020000}"/>
    <cellStyle name="_全国零售管理团队通讯录-20091230" xfId="642" xr:uid="{00000000-0005-0000-0000-0000B1020000}"/>
    <cellStyle name="_全国零售管理团队通讯录-20100125" xfId="643" xr:uid="{00000000-0005-0000-0000-0000B2020000}"/>
    <cellStyle name="_全国零售管理团队通讯录-20100225" xfId="644" xr:uid="{00000000-0005-0000-0000-0000B3020000}"/>
    <cellStyle name="_全国零售管理团队通讯录-20100330" xfId="645" xr:uid="{00000000-0005-0000-0000-0000B4020000}"/>
    <cellStyle name="_全国零售管理团队通讯录-20100422" xfId="646" xr:uid="{00000000-0005-0000-0000-0000B5020000}"/>
    <cellStyle name="_全国零售管理团队通讯录-20100506" xfId="647" xr:uid="{00000000-0005-0000-0000-0000B6020000}"/>
    <cellStyle name="_全国零售管理团队通讯录-20100506 (2)" xfId="648" xr:uid="{00000000-0005-0000-0000-0000B7020000}"/>
    <cellStyle name="_全国零售管理团队通讯录-20100531" xfId="649" xr:uid="{00000000-0005-0000-0000-0000B8020000}"/>
    <cellStyle name="_全国零售管理团队通讯录-20100629" xfId="650" xr:uid="{00000000-0005-0000-0000-0000B9020000}"/>
    <cellStyle name="_全国零售管理团队通讯录-20100630" xfId="651" xr:uid="{00000000-0005-0000-0000-0000BA020000}"/>
    <cellStyle name="_人员信息" xfId="652" xr:uid="{00000000-0005-0000-0000-0000BB020000}"/>
    <cellStyle name="_三期" xfId="653" xr:uid="{00000000-0005-0000-0000-0000BC020000}"/>
    <cellStyle name="_销售报表2010 3 31" xfId="654" xr:uid="{00000000-0005-0000-0000-0000BD020000}"/>
    <cellStyle name="_销售报表2010.2.25" xfId="655" xr:uid="{00000000-0005-0000-0000-0000BE020000}"/>
    <cellStyle name="_销售储备" xfId="656" xr:uid="{00000000-0005-0000-0000-0000BF020000}"/>
    <cellStyle name="_销售储备 2" xfId="657" xr:uid="{00000000-0005-0000-0000-0000C0020000}"/>
    <cellStyle name="_销售储备 3" xfId="658" xr:uid="{00000000-0005-0000-0000-0000C1020000}"/>
    <cellStyle name="_销售储备 4" xfId="659" xr:uid="{00000000-0005-0000-0000-0000C2020000}"/>
    <cellStyle name="_销售储备 5" xfId="660" xr:uid="{00000000-0005-0000-0000-0000C3020000}"/>
    <cellStyle name="_销售储备 6" xfId="661" xr:uid="{00000000-0005-0000-0000-0000C4020000}"/>
    <cellStyle name="_销售储备 7" xfId="662" xr:uid="{00000000-0005-0000-0000-0000C5020000}"/>
    <cellStyle name="_销售储备人员津贴（冠杰已可以做的不要填）" xfId="663" xr:uid="{00000000-0005-0000-0000-0000C6020000}"/>
    <cellStyle name="_销售储备人员津贴（冠杰已可以做的不要填） 2" xfId="664" xr:uid="{00000000-0005-0000-0000-0000C7020000}"/>
    <cellStyle name="_销售储备人员津贴（冠杰已可以做的不要填） 3" xfId="665" xr:uid="{00000000-0005-0000-0000-0000C8020000}"/>
    <cellStyle name="_销售储备人员津贴（冠杰已可以做的不要填） 4" xfId="666" xr:uid="{00000000-0005-0000-0000-0000C9020000}"/>
    <cellStyle name="_销售储备人员津贴（冠杰已可以做的不要填） 5" xfId="667" xr:uid="{00000000-0005-0000-0000-0000CA020000}"/>
    <cellStyle name="_销售储备人员津贴（冠杰已可以做的不要填） 6" xfId="668" xr:uid="{00000000-0005-0000-0000-0000CB020000}"/>
    <cellStyle name="_销售储备人员津贴（冠杰已可以做的不要填） 7" xfId="669" xr:uid="{00000000-0005-0000-0000-0000CC020000}"/>
    <cellStyle name="_销售储备人员津贴（冠杰已可以做的不要填）_12月工资11月奖金 人员信息 -2" xfId="670" xr:uid="{00000000-0005-0000-0000-0000CD020000}"/>
    <cellStyle name="_销售储备人员津贴（冠杰已可以做的不要填）_12月工资11月奖金 人员信息 -2 2" xfId="671" xr:uid="{00000000-0005-0000-0000-0000CE020000}"/>
    <cellStyle name="_销售储备人员津贴（冠杰已可以做的不要填）_12月工资11月奖金 人员信息 -2 3" xfId="672" xr:uid="{00000000-0005-0000-0000-0000CF020000}"/>
    <cellStyle name="_销售储备人员津贴（冠杰已可以做的不要填）_12月工资11月奖金 人员信息 -2 4" xfId="673" xr:uid="{00000000-0005-0000-0000-0000D0020000}"/>
    <cellStyle name="_销售储备人员津贴（冠杰已可以做的不要填）_12月工资11月奖金 人员信息 -2 5" xfId="674" xr:uid="{00000000-0005-0000-0000-0000D1020000}"/>
    <cellStyle name="_销售储备人员津贴（冠杰已可以做的不要填）_12月工资11月奖金 人员信息 -2 6" xfId="675" xr:uid="{00000000-0005-0000-0000-0000D2020000}"/>
    <cellStyle name="_销售储备人员津贴（冠杰已可以做的不要填）_12月工资11月奖金 人员信息 -2 7" xfId="676" xr:uid="{00000000-0005-0000-0000-0000D3020000}"/>
    <cellStyle name="_销售储备人员津贴（冠杰已可以做的不要填）_3月工资2月奖金0410版 导出版" xfId="677" xr:uid="{00000000-0005-0000-0000-0000D4020000}"/>
    <cellStyle name="_销售储备人员津贴（冠杰已可以做的不要填）_3月工资2月奖金0410版 导出版 2" xfId="678" xr:uid="{00000000-0005-0000-0000-0000D5020000}"/>
    <cellStyle name="_销售储备人员津贴（冠杰已可以做的不要填）_3月工资2月奖金0410版 导出版 3" xfId="679" xr:uid="{00000000-0005-0000-0000-0000D6020000}"/>
    <cellStyle name="_销售储备人员津贴（冠杰已可以做的不要填）_3月工资2月奖金0410版 导出版 4" xfId="680" xr:uid="{00000000-0005-0000-0000-0000D7020000}"/>
    <cellStyle name="_销售储备人员津贴（冠杰已可以做的不要填）_3月工资2月奖金0410版 导出版 5" xfId="681" xr:uid="{00000000-0005-0000-0000-0000D8020000}"/>
    <cellStyle name="_销售储备人员津贴（冠杰已可以做的不要填）_3月工资2月奖金0410版 导出版 6" xfId="682" xr:uid="{00000000-0005-0000-0000-0000D9020000}"/>
    <cellStyle name="_销售储备人员津贴（冠杰已可以做的不要填）_3月工资2月奖金0410版 导出版 7" xfId="683" xr:uid="{00000000-0005-0000-0000-0000DA020000}"/>
    <cellStyle name="_销售储备人员津贴（冠杰已可以做的不要填）_3月工资2月奖金0410版 导出版_12月工资11月奖金 人员信息 -2" xfId="684" xr:uid="{00000000-0005-0000-0000-0000DB020000}"/>
    <cellStyle name="_销售储备人员津贴（冠杰已可以做的不要填）_3月工资2月奖金0410版 导出版_12月工资11月奖金 人员信息 -2 2" xfId="685" xr:uid="{00000000-0005-0000-0000-0000DC020000}"/>
    <cellStyle name="_销售储备人员津贴（冠杰已可以做的不要填）_3月工资2月奖金0410版 导出版_12月工资11月奖金 人员信息 -2 3" xfId="686" xr:uid="{00000000-0005-0000-0000-0000DD020000}"/>
    <cellStyle name="_销售储备人员津贴（冠杰已可以做的不要填）_3月工资2月奖金0410版 导出版_12月工资11月奖金 人员信息 -2 4" xfId="687" xr:uid="{00000000-0005-0000-0000-0000DE020000}"/>
    <cellStyle name="_销售储备人员津贴（冠杰已可以做的不要填）_3月工资2月奖金0410版 导出版_12月工资11月奖金 人员信息 -2 5" xfId="688" xr:uid="{00000000-0005-0000-0000-0000DF020000}"/>
    <cellStyle name="_销售储备人员津贴（冠杰已可以做的不要填）_3月工资2月奖金0410版 导出版_12月工资11月奖金 人员信息 -2 6" xfId="689" xr:uid="{00000000-0005-0000-0000-0000E0020000}"/>
    <cellStyle name="_销售储备人员津贴（冠杰已可以做的不要填）_3月工资2月奖金0410版 导出版_12月工资11月奖金 人员信息 -2 7" xfId="690" xr:uid="{00000000-0005-0000-0000-0000E1020000}"/>
    <cellStyle name="_销售储备人员津贴（冠杰已可以做的不要填）_3月工资2月奖金0410版 导出版_NIVEA BA 11月工资10月奖金 数据提交表" xfId="691" xr:uid="{00000000-0005-0000-0000-0000E2020000}"/>
    <cellStyle name="_销售储备人员津贴（冠杰已可以做的不要填）_3月工资2月奖金0410版 导出版_NIVEA BA 11月工资10月奖金 数据提交表 2" xfId="692" xr:uid="{00000000-0005-0000-0000-0000E3020000}"/>
    <cellStyle name="_销售储备人员津贴（冠杰已可以做的不要填）_3月工资2月奖金0410版 导出版_NIVEA BA 11月工资10月奖金 数据提交表 3" xfId="693" xr:uid="{00000000-0005-0000-0000-0000E4020000}"/>
    <cellStyle name="_销售储备人员津贴（冠杰已可以做的不要填）_3月工资2月奖金0410版 导出版_NIVEA BA 11月工资10月奖金 数据提交表 4" xfId="694" xr:uid="{00000000-0005-0000-0000-0000E5020000}"/>
    <cellStyle name="_销售储备人员津贴（冠杰已可以做的不要填）_3月工资2月奖金0410版 导出版_NIVEA BA 11月工资10月奖金 数据提交表 5" xfId="695" xr:uid="{00000000-0005-0000-0000-0000E6020000}"/>
    <cellStyle name="_销售储备人员津贴（冠杰已可以做的不要填）_3月工资2月奖金0410版 导出版_NIVEA BA 11月工资10月奖金 数据提交表 6" xfId="696" xr:uid="{00000000-0005-0000-0000-0000E7020000}"/>
    <cellStyle name="_销售储备人员津贴（冠杰已可以做的不要填）_3月工资2月奖金0410版 导出版_NIVEA BA 11月工资10月奖金 数据提交表 7" xfId="697" xr:uid="{00000000-0005-0000-0000-0000E8020000}"/>
    <cellStyle name="_销售储备人员津贴（冠杰已可以做的不要填）_NIVEA BA 11月工资10月奖金 数据提交表" xfId="698" xr:uid="{00000000-0005-0000-0000-0000E9020000}"/>
    <cellStyle name="_销售储备人员津贴（冠杰已可以做的不要填）_NIVEA BA 11月工资10月奖金 数据提交表 2" xfId="699" xr:uid="{00000000-0005-0000-0000-0000EA020000}"/>
    <cellStyle name="_销售储备人员津贴（冠杰已可以做的不要填）_NIVEA BA 11月工资10月奖金 数据提交表 3" xfId="700" xr:uid="{00000000-0005-0000-0000-0000EB020000}"/>
    <cellStyle name="_销售储备人员津贴（冠杰已可以做的不要填）_NIVEA BA 11月工资10月奖金 数据提交表 4" xfId="701" xr:uid="{00000000-0005-0000-0000-0000EC020000}"/>
    <cellStyle name="_销售储备人员津贴（冠杰已可以做的不要填）_NIVEA BA 11月工资10月奖金 数据提交表 5" xfId="702" xr:uid="{00000000-0005-0000-0000-0000ED020000}"/>
    <cellStyle name="_销售储备人员津贴（冠杰已可以做的不要填）_NIVEA BA 11月工资10月奖金 数据提交表 6" xfId="703" xr:uid="{00000000-0005-0000-0000-0000EE020000}"/>
    <cellStyle name="_销售储备人员津贴（冠杰已可以做的不要填）_NIVEA BA 11月工资10月奖金 数据提交表 7" xfId="704" xr:uid="{00000000-0005-0000-0000-0000EF020000}"/>
    <cellStyle name="_销售储备人员津贴（冠杰已可以做的不要填）_检查补发状况" xfId="705" xr:uid="{00000000-0005-0000-0000-0000F0020000}"/>
    <cellStyle name="_销售储备人员津贴（冠杰已可以做的不要填）_检查补发状况 2" xfId="706" xr:uid="{00000000-0005-0000-0000-0000F1020000}"/>
    <cellStyle name="_销售储备人员津贴（冠杰已可以做的不要填）_检查补发状况 3" xfId="707" xr:uid="{00000000-0005-0000-0000-0000F2020000}"/>
    <cellStyle name="_销售储备人员津贴（冠杰已可以做的不要填）_检查补发状况 4" xfId="708" xr:uid="{00000000-0005-0000-0000-0000F3020000}"/>
    <cellStyle name="_销售储备人员津贴（冠杰已可以做的不要填）_检查补发状况 5" xfId="709" xr:uid="{00000000-0005-0000-0000-0000F4020000}"/>
    <cellStyle name="_销售储备人员津贴（冠杰已可以做的不要填）_检查补发状况 6" xfId="710" xr:uid="{00000000-0005-0000-0000-0000F5020000}"/>
    <cellStyle name="_销售储备人员津贴（冠杰已可以做的不要填）_检查补发状况 7" xfId="711" xr:uid="{00000000-0005-0000-0000-0000F6020000}"/>
    <cellStyle name="_销售储备人员津贴（冠杰已可以做的不要填）_检查补发状况_12月工资11月奖金 人员信息 -2" xfId="712" xr:uid="{00000000-0005-0000-0000-0000F7020000}"/>
    <cellStyle name="_销售储备人员津贴（冠杰已可以做的不要填）_检查补发状况_12月工资11月奖金 人员信息 -2 2" xfId="713" xr:uid="{00000000-0005-0000-0000-0000F8020000}"/>
    <cellStyle name="_销售储备人员津贴（冠杰已可以做的不要填）_检查补发状况_12月工资11月奖金 人员信息 -2 3" xfId="714" xr:uid="{00000000-0005-0000-0000-0000F9020000}"/>
    <cellStyle name="_销售储备人员津贴（冠杰已可以做的不要填）_检查补发状况_12月工资11月奖金 人员信息 -2 4" xfId="715" xr:uid="{00000000-0005-0000-0000-0000FA020000}"/>
    <cellStyle name="_销售储备人员津贴（冠杰已可以做的不要填）_检查补发状况_12月工资11月奖金 人员信息 -2 5" xfId="716" xr:uid="{00000000-0005-0000-0000-0000FB020000}"/>
    <cellStyle name="_销售储备人员津贴（冠杰已可以做的不要填）_检查补发状况_12月工资11月奖金 人员信息 -2 6" xfId="717" xr:uid="{00000000-0005-0000-0000-0000FC020000}"/>
    <cellStyle name="_销售储备人员津贴（冠杰已可以做的不要填）_检查补发状况_12月工资11月奖金 人员信息 -2 7" xfId="718" xr:uid="{00000000-0005-0000-0000-0000FD020000}"/>
    <cellStyle name="_销售储备人员津贴（冠杰已可以做的不要填）_检查补发状况_NIVEA BA 11月工资10月奖金 数据提交表" xfId="719" xr:uid="{00000000-0005-0000-0000-0000FE020000}"/>
    <cellStyle name="_销售储备人员津贴（冠杰已可以做的不要填）_检查补发状况_NIVEA BA 11月工资10月奖金 数据提交表 2" xfId="720" xr:uid="{00000000-0005-0000-0000-0000FF020000}"/>
    <cellStyle name="_销售储备人员津贴（冠杰已可以做的不要填）_检查补发状况_NIVEA BA 11月工资10月奖金 数据提交表 3" xfId="721" xr:uid="{00000000-0005-0000-0000-000000030000}"/>
    <cellStyle name="_销售储备人员津贴（冠杰已可以做的不要填）_检查补发状况_NIVEA BA 11月工资10月奖金 数据提交表 4" xfId="722" xr:uid="{00000000-0005-0000-0000-000001030000}"/>
    <cellStyle name="_销售储备人员津贴（冠杰已可以做的不要填）_检查补发状况_NIVEA BA 11月工资10月奖金 数据提交表 5" xfId="723" xr:uid="{00000000-0005-0000-0000-000002030000}"/>
    <cellStyle name="_销售储备人员津贴（冠杰已可以做的不要填）_检查补发状况_NIVEA BA 11月工资10月奖金 数据提交表 6" xfId="724" xr:uid="{00000000-0005-0000-0000-000003030000}"/>
    <cellStyle name="_销售储备人员津贴（冠杰已可以做的不要填）_检查补发状况_NIVEA BA 11月工资10月奖金 数据提交表 7" xfId="725" xr:uid="{00000000-0005-0000-0000-000004030000}"/>
    <cellStyle name="_销售储备人员津贴（冠杰已可以做的不要填）_妮维雅 0804原始数据 080509-2" xfId="726" xr:uid="{00000000-0005-0000-0000-000005030000}"/>
    <cellStyle name="_销售储备人员津贴（冠杰已可以做的不要填）_妮维雅 0804原始数据 080509-2 2" xfId="727" xr:uid="{00000000-0005-0000-0000-000006030000}"/>
    <cellStyle name="_销售储备人员津贴（冠杰已可以做的不要填）_妮维雅 0804原始数据 080509-2 3" xfId="728" xr:uid="{00000000-0005-0000-0000-000007030000}"/>
    <cellStyle name="_销售储备人员津贴（冠杰已可以做的不要填）_妮维雅 0804原始数据 080509-2 4" xfId="729" xr:uid="{00000000-0005-0000-0000-000008030000}"/>
    <cellStyle name="_销售储备人员津贴（冠杰已可以做的不要填）_妮维雅 0804原始数据 080509-2 5" xfId="730" xr:uid="{00000000-0005-0000-0000-000009030000}"/>
    <cellStyle name="_销售储备人员津贴（冠杰已可以做的不要填）_妮维雅 0804原始数据 080509-2 6" xfId="731" xr:uid="{00000000-0005-0000-0000-00000A030000}"/>
    <cellStyle name="_销售储备人员津贴（冠杰已可以做的不要填）_妮维雅 0804原始数据 080509-2 7" xfId="732" xr:uid="{00000000-0005-0000-0000-00000B030000}"/>
    <cellStyle name="_销售储备人员津贴（冠杰已可以做的不要填）_妮维雅 0804原始数据 080509-2_12月工资11月奖金 人员信息 -2" xfId="733" xr:uid="{00000000-0005-0000-0000-00000C030000}"/>
    <cellStyle name="_销售储备人员津贴（冠杰已可以做的不要填）_妮维雅 0804原始数据 080509-2_12月工资11月奖金 人员信息 -2 2" xfId="734" xr:uid="{00000000-0005-0000-0000-00000D030000}"/>
    <cellStyle name="_销售储备人员津贴（冠杰已可以做的不要填）_妮维雅 0804原始数据 080509-2_12月工资11月奖金 人员信息 -2 3" xfId="735" xr:uid="{00000000-0005-0000-0000-00000E030000}"/>
    <cellStyle name="_销售储备人员津贴（冠杰已可以做的不要填）_妮维雅 0804原始数据 080509-2_12月工资11月奖金 人员信息 -2 4" xfId="736" xr:uid="{00000000-0005-0000-0000-00000F030000}"/>
    <cellStyle name="_销售储备人员津贴（冠杰已可以做的不要填）_妮维雅 0804原始数据 080509-2_12月工资11月奖金 人员信息 -2 5" xfId="737" xr:uid="{00000000-0005-0000-0000-000010030000}"/>
    <cellStyle name="_销售储备人员津贴（冠杰已可以做的不要填）_妮维雅 0804原始数据 080509-2_12月工资11月奖金 人员信息 -2 6" xfId="738" xr:uid="{00000000-0005-0000-0000-000011030000}"/>
    <cellStyle name="_销售储备人员津贴（冠杰已可以做的不要填）_妮维雅 0804原始数据 080509-2_12月工资11月奖金 人员信息 -2 7" xfId="739" xr:uid="{00000000-0005-0000-0000-000012030000}"/>
    <cellStyle name="_销售储备人员津贴（冠杰已可以做的不要填）_妮维雅 0804原始数据 080509-2_NIVEA BA 11月工资10月奖金 数据提交表" xfId="740" xr:uid="{00000000-0005-0000-0000-000013030000}"/>
    <cellStyle name="_销售储备人员津贴（冠杰已可以做的不要填）_妮维雅 0804原始数据 080509-2_NIVEA BA 11月工资10月奖金 数据提交表 2" xfId="741" xr:uid="{00000000-0005-0000-0000-000014030000}"/>
    <cellStyle name="_销售储备人员津贴（冠杰已可以做的不要填）_妮维雅 0804原始数据 080509-2_NIVEA BA 11月工资10月奖金 数据提交表 3" xfId="742" xr:uid="{00000000-0005-0000-0000-000015030000}"/>
    <cellStyle name="_销售储备人员津贴（冠杰已可以做的不要填）_妮维雅 0804原始数据 080509-2_NIVEA BA 11月工资10月奖金 数据提交表 4" xfId="743" xr:uid="{00000000-0005-0000-0000-000016030000}"/>
    <cellStyle name="_销售储备人员津贴（冠杰已可以做的不要填）_妮维雅 0804原始数据 080509-2_NIVEA BA 11月工资10月奖金 数据提交表 5" xfId="744" xr:uid="{00000000-0005-0000-0000-000017030000}"/>
    <cellStyle name="_销售储备人员津贴（冠杰已可以做的不要填）_妮维雅 0804原始数据 080509-2_NIVEA BA 11月工资10月奖金 数据提交表 6" xfId="745" xr:uid="{00000000-0005-0000-0000-000018030000}"/>
    <cellStyle name="_销售储备人员津贴（冠杰已可以做的不要填）_妮维雅 0804原始数据 080509-2_NIVEA BA 11月工资10月奖金 数据提交表 7" xfId="746" xr:uid="{00000000-0005-0000-0000-000019030000}"/>
    <cellStyle name="_销售储备人员津贴（冠杰已可以做的不要填）_妮维雅 PG BA 080419 第二批" xfId="747" xr:uid="{00000000-0005-0000-0000-00001A030000}"/>
    <cellStyle name="_销售储备人员津贴（冠杰已可以做的不要填）_妮维雅 PG BA 080419 第二批 2" xfId="748" xr:uid="{00000000-0005-0000-0000-00001B030000}"/>
    <cellStyle name="_销售储备人员津贴（冠杰已可以做的不要填）_妮维雅 PG BA 080419 第二批 3" xfId="749" xr:uid="{00000000-0005-0000-0000-00001C030000}"/>
    <cellStyle name="_销售储备人员津贴（冠杰已可以做的不要填）_妮维雅 PG BA 080419 第二批 4" xfId="750" xr:uid="{00000000-0005-0000-0000-00001D030000}"/>
    <cellStyle name="_销售储备人员津贴（冠杰已可以做的不要填）_妮维雅 PG BA 080419 第二批 5" xfId="751" xr:uid="{00000000-0005-0000-0000-00001E030000}"/>
    <cellStyle name="_销售储备人员津贴（冠杰已可以做的不要填）_妮维雅 PG BA 080419 第二批 6" xfId="752" xr:uid="{00000000-0005-0000-0000-00001F030000}"/>
    <cellStyle name="_销售储备人员津贴（冠杰已可以做的不要填）_妮维雅 PG BA 080419 第二批 7" xfId="753" xr:uid="{00000000-0005-0000-0000-000020030000}"/>
    <cellStyle name="_销售储备人员津贴（冠杰已可以做的不要填）_妮维雅 PG BA 080419 第二批_12月工资11月奖金 人员信息 -2" xfId="754" xr:uid="{00000000-0005-0000-0000-000021030000}"/>
    <cellStyle name="_销售储备人员津贴（冠杰已可以做的不要填）_妮维雅 PG BA 080419 第二批_12月工资11月奖金 人员信息 -2 2" xfId="755" xr:uid="{00000000-0005-0000-0000-000022030000}"/>
    <cellStyle name="_销售储备人员津贴（冠杰已可以做的不要填）_妮维雅 PG BA 080419 第二批_12月工资11月奖金 人员信息 -2 3" xfId="756" xr:uid="{00000000-0005-0000-0000-000023030000}"/>
    <cellStyle name="_销售储备人员津贴（冠杰已可以做的不要填）_妮维雅 PG BA 080419 第二批_12月工资11月奖金 人员信息 -2 4" xfId="757" xr:uid="{00000000-0005-0000-0000-000024030000}"/>
    <cellStyle name="_销售储备人员津贴（冠杰已可以做的不要填）_妮维雅 PG BA 080419 第二批_12月工资11月奖金 人员信息 -2 5" xfId="758" xr:uid="{00000000-0005-0000-0000-000025030000}"/>
    <cellStyle name="_销售储备人员津贴（冠杰已可以做的不要填）_妮维雅 PG BA 080419 第二批_12月工资11月奖金 人员信息 -2 6" xfId="759" xr:uid="{00000000-0005-0000-0000-000026030000}"/>
    <cellStyle name="_销售储备人员津贴（冠杰已可以做的不要填）_妮维雅 PG BA 080419 第二批_12月工资11月奖金 人员信息 -2 7" xfId="760" xr:uid="{00000000-0005-0000-0000-000027030000}"/>
    <cellStyle name="_销售储备人员津贴（冠杰已可以做的不要填）_妮维雅 PG BA 080419 第二批_NIVEA BA 11月工资10月奖金 数据提交表" xfId="761" xr:uid="{00000000-0005-0000-0000-000028030000}"/>
    <cellStyle name="_销售储备人员津贴（冠杰已可以做的不要填）_妮维雅 PG BA 080419 第二批_NIVEA BA 11月工资10月奖金 数据提交表 2" xfId="762" xr:uid="{00000000-0005-0000-0000-000029030000}"/>
    <cellStyle name="_销售储备人员津贴（冠杰已可以做的不要填）_妮维雅 PG BA 080419 第二批_NIVEA BA 11月工资10月奖金 数据提交表 3" xfId="763" xr:uid="{00000000-0005-0000-0000-00002A030000}"/>
    <cellStyle name="_销售储备人员津贴（冠杰已可以做的不要填）_妮维雅 PG BA 080419 第二批_NIVEA BA 11月工资10月奖金 数据提交表 4" xfId="764" xr:uid="{00000000-0005-0000-0000-00002B030000}"/>
    <cellStyle name="_销售储备人员津贴（冠杰已可以做的不要填）_妮维雅 PG BA 080419 第二批_NIVEA BA 11月工资10月奖金 数据提交表 5" xfId="765" xr:uid="{00000000-0005-0000-0000-00002C030000}"/>
    <cellStyle name="_销售储备人员津贴（冠杰已可以做的不要填）_妮维雅 PG BA 080419 第二批_NIVEA BA 11月工资10月奖金 数据提交表 6" xfId="766" xr:uid="{00000000-0005-0000-0000-00002D030000}"/>
    <cellStyle name="_销售储备人员津贴（冠杰已可以做的不要填）_妮维雅 PG BA 080419 第二批_NIVEA BA 11月工资10月奖金 数据提交表 7" xfId="767" xr:uid="{00000000-0005-0000-0000-00002E030000}"/>
    <cellStyle name="_销售储备人员津贴（冠杰已可以做的不要填）_妮维雅 PG BA 0804工资数据 080512 发送版" xfId="768" xr:uid="{00000000-0005-0000-0000-00002F030000}"/>
    <cellStyle name="_销售储备人员津贴（冠杰已可以做的不要填）_妮维雅 PG BA 0804工资数据 080512 发送版 2" xfId="769" xr:uid="{00000000-0005-0000-0000-000030030000}"/>
    <cellStyle name="_销售储备人员津贴（冠杰已可以做的不要填）_妮维雅 PG BA 0804工资数据 080512 发送版 3" xfId="770" xr:uid="{00000000-0005-0000-0000-000031030000}"/>
    <cellStyle name="_销售储备人员津贴（冠杰已可以做的不要填）_妮维雅 PG BA 0804工资数据 080512 发送版 4" xfId="771" xr:uid="{00000000-0005-0000-0000-000032030000}"/>
    <cellStyle name="_销售储备人员津贴（冠杰已可以做的不要填）_妮维雅 PG BA 0804工资数据 080512 发送版 5" xfId="772" xr:uid="{00000000-0005-0000-0000-000033030000}"/>
    <cellStyle name="_销售储备人员津贴（冠杰已可以做的不要填）_妮维雅 PG BA 0804工资数据 080512 发送版 6" xfId="773" xr:uid="{00000000-0005-0000-0000-000034030000}"/>
    <cellStyle name="_销售储备人员津贴（冠杰已可以做的不要填）_妮维雅 PG BA 0804工资数据 080512 发送版 7" xfId="774" xr:uid="{00000000-0005-0000-0000-000035030000}"/>
    <cellStyle name="_销售储备人员津贴（冠杰已可以做的不要填）_妮维雅 PG BA 0804工资数据 080512 发送版_12月工资11月奖金 人员信息 -2" xfId="775" xr:uid="{00000000-0005-0000-0000-000036030000}"/>
    <cellStyle name="_销售储备人员津贴（冠杰已可以做的不要填）_妮维雅 PG BA 0804工资数据 080512 发送版_12月工资11月奖金 人员信息 -2 2" xfId="776" xr:uid="{00000000-0005-0000-0000-000037030000}"/>
    <cellStyle name="_销售储备人员津贴（冠杰已可以做的不要填）_妮维雅 PG BA 0804工资数据 080512 发送版_12月工资11月奖金 人员信息 -2 3" xfId="777" xr:uid="{00000000-0005-0000-0000-000038030000}"/>
    <cellStyle name="_销售储备人员津贴（冠杰已可以做的不要填）_妮维雅 PG BA 0804工资数据 080512 发送版_12月工资11月奖金 人员信息 -2 4" xfId="778" xr:uid="{00000000-0005-0000-0000-000039030000}"/>
    <cellStyle name="_销售储备人员津贴（冠杰已可以做的不要填）_妮维雅 PG BA 0804工资数据 080512 发送版_12月工资11月奖金 人员信息 -2 5" xfId="779" xr:uid="{00000000-0005-0000-0000-00003A030000}"/>
    <cellStyle name="_销售储备人员津贴（冠杰已可以做的不要填）_妮维雅 PG BA 0804工资数据 080512 发送版_12月工资11月奖金 人员信息 -2 6" xfId="780" xr:uid="{00000000-0005-0000-0000-00003B030000}"/>
    <cellStyle name="_销售储备人员津贴（冠杰已可以做的不要填）_妮维雅 PG BA 0804工资数据 080512 发送版_12月工资11月奖金 人员信息 -2 7" xfId="781" xr:uid="{00000000-0005-0000-0000-00003C030000}"/>
    <cellStyle name="_销售储备人员津贴（冠杰已可以做的不要填）_妮维雅 PG BA 0804工资数据 080512 发送版_NIVEA BA 11月工资10月奖金 数据提交表" xfId="782" xr:uid="{00000000-0005-0000-0000-00003D030000}"/>
    <cellStyle name="_销售储备人员津贴（冠杰已可以做的不要填）_妮维雅 PG BA 0804工资数据 080512 发送版_NIVEA BA 11月工资10月奖金 数据提交表 2" xfId="783" xr:uid="{00000000-0005-0000-0000-00003E030000}"/>
    <cellStyle name="_销售储备人员津贴（冠杰已可以做的不要填）_妮维雅 PG BA 0804工资数据 080512 发送版_NIVEA BA 11月工资10月奖金 数据提交表 3" xfId="784" xr:uid="{00000000-0005-0000-0000-00003F030000}"/>
    <cellStyle name="_销售储备人员津贴（冠杰已可以做的不要填）_妮维雅 PG BA 0804工资数据 080512 发送版_NIVEA BA 11月工资10月奖金 数据提交表 4" xfId="785" xr:uid="{00000000-0005-0000-0000-000040030000}"/>
    <cellStyle name="_销售储备人员津贴（冠杰已可以做的不要填）_妮维雅 PG BA 0804工资数据 080512 发送版_NIVEA BA 11月工资10月奖金 数据提交表 5" xfId="786" xr:uid="{00000000-0005-0000-0000-000041030000}"/>
    <cellStyle name="_销售储备人员津贴（冠杰已可以做的不要填）_妮维雅 PG BA 0804工资数据 080512 发送版_NIVEA BA 11月工资10月奖金 数据提交表 6" xfId="787" xr:uid="{00000000-0005-0000-0000-000042030000}"/>
    <cellStyle name="_销售储备人员津贴（冠杰已可以做的不要填）_妮维雅 PG BA 0804工资数据 080512 发送版_NIVEA BA 11月工资10月奖金 数据提交表 7" xfId="788" xr:uid="{00000000-0005-0000-0000-000043030000}"/>
    <cellStyle name="_销售储备人员津贴（冠杰已可以做的不要填）_妮维雅 PG BA 0804工资数据 080513 复查" xfId="789" xr:uid="{00000000-0005-0000-0000-000044030000}"/>
    <cellStyle name="_销售储备人员津贴（冠杰已可以做的不要填）_妮维雅 PG BA 0804工资数据 080513 复查 2" xfId="790" xr:uid="{00000000-0005-0000-0000-000045030000}"/>
    <cellStyle name="_销售储备人员津贴（冠杰已可以做的不要填）_妮维雅 PG BA 0804工资数据 080513 复查 3" xfId="791" xr:uid="{00000000-0005-0000-0000-000046030000}"/>
    <cellStyle name="_销售储备人员津贴（冠杰已可以做的不要填）_妮维雅 PG BA 0804工资数据 080513 复查 4" xfId="792" xr:uid="{00000000-0005-0000-0000-000047030000}"/>
    <cellStyle name="_销售储备人员津贴（冠杰已可以做的不要填）_妮维雅 PG BA 0804工资数据 080513 复查 5" xfId="793" xr:uid="{00000000-0005-0000-0000-000048030000}"/>
    <cellStyle name="_销售储备人员津贴（冠杰已可以做的不要填）_妮维雅 PG BA 0804工资数据 080513 复查 6" xfId="794" xr:uid="{00000000-0005-0000-0000-000049030000}"/>
    <cellStyle name="_销售储备人员津贴（冠杰已可以做的不要填）_妮维雅 PG BA 0804工资数据 080513 复查 7" xfId="795" xr:uid="{00000000-0005-0000-0000-00004A030000}"/>
    <cellStyle name="_销售储备人员津贴（冠杰已可以做的不要填）_妮维雅 PG BA 0804工资数据 080513 复查_12月工资11月奖金 人员信息 -2" xfId="796" xr:uid="{00000000-0005-0000-0000-00004B030000}"/>
    <cellStyle name="_销售储备人员津贴（冠杰已可以做的不要填）_妮维雅 PG BA 0804工资数据 080513 复查_12月工资11月奖金 人员信息 -2 2" xfId="797" xr:uid="{00000000-0005-0000-0000-00004C030000}"/>
    <cellStyle name="_销售储备人员津贴（冠杰已可以做的不要填）_妮维雅 PG BA 0804工资数据 080513 复查_12月工资11月奖金 人员信息 -2 3" xfId="798" xr:uid="{00000000-0005-0000-0000-00004D030000}"/>
    <cellStyle name="_销售储备人员津贴（冠杰已可以做的不要填）_妮维雅 PG BA 0804工资数据 080513 复查_12月工资11月奖金 人员信息 -2 4" xfId="799" xr:uid="{00000000-0005-0000-0000-00004E030000}"/>
    <cellStyle name="_销售储备人员津贴（冠杰已可以做的不要填）_妮维雅 PG BA 0804工资数据 080513 复查_12月工资11月奖金 人员信息 -2 5" xfId="800" xr:uid="{00000000-0005-0000-0000-00004F030000}"/>
    <cellStyle name="_销售储备人员津贴（冠杰已可以做的不要填）_妮维雅 PG BA 0804工资数据 080513 复查_12月工资11月奖金 人员信息 -2 6" xfId="801" xr:uid="{00000000-0005-0000-0000-000050030000}"/>
    <cellStyle name="_销售储备人员津贴（冠杰已可以做的不要填）_妮维雅 PG BA 0804工资数据 080513 复查_12月工资11月奖金 人员信息 -2 7" xfId="802" xr:uid="{00000000-0005-0000-0000-000051030000}"/>
    <cellStyle name="_销售储备人员津贴（冠杰已可以做的不要填）_妮维雅 PG BA 0804工资数据 080513 复查_NIVEA BA 11月工资10月奖金 数据提交表" xfId="803" xr:uid="{00000000-0005-0000-0000-000052030000}"/>
    <cellStyle name="_销售储备人员津贴（冠杰已可以做的不要填）_妮维雅 PG BA 0804工资数据 080513 复查_NIVEA BA 11月工资10月奖金 数据提交表 2" xfId="804" xr:uid="{00000000-0005-0000-0000-000053030000}"/>
    <cellStyle name="_销售储备人员津贴（冠杰已可以做的不要填）_妮维雅 PG BA 0804工资数据 080513 复查_NIVEA BA 11月工资10月奖金 数据提交表 3" xfId="805" xr:uid="{00000000-0005-0000-0000-000054030000}"/>
    <cellStyle name="_销售储备人员津贴（冠杰已可以做的不要填）_妮维雅 PG BA 0804工资数据 080513 复查_NIVEA BA 11月工资10月奖金 数据提交表 4" xfId="806" xr:uid="{00000000-0005-0000-0000-000055030000}"/>
    <cellStyle name="_销售储备人员津贴（冠杰已可以做的不要填）_妮维雅 PG BA 0804工资数据 080513 复查_NIVEA BA 11月工资10月奖金 数据提交表 5" xfId="807" xr:uid="{00000000-0005-0000-0000-000056030000}"/>
    <cellStyle name="_销售储备人员津贴（冠杰已可以做的不要填）_妮维雅 PG BA 0804工资数据 080513 复查_NIVEA BA 11月工资10月奖金 数据提交表 6" xfId="808" xr:uid="{00000000-0005-0000-0000-000057030000}"/>
    <cellStyle name="_销售储备人员津贴（冠杰已可以做的不要填）_妮维雅 PG BA 0804工资数据 080513 复查_NIVEA BA 11月工资10月奖金 数据提交表 7" xfId="809" xr:uid="{00000000-0005-0000-0000-000058030000}"/>
    <cellStyle name="_销售储备人员资料6月份" xfId="810" xr:uid="{00000000-0005-0000-0000-000059030000}"/>
    <cellStyle name="_销售储备人员资料6月份 2" xfId="811" xr:uid="{00000000-0005-0000-0000-00005A030000}"/>
    <cellStyle name="_销售储备人员资料6月份 3" xfId="812" xr:uid="{00000000-0005-0000-0000-00005B030000}"/>
    <cellStyle name="_销售储备人员资料6月份 4" xfId="813" xr:uid="{00000000-0005-0000-0000-00005C030000}"/>
    <cellStyle name="_销售储备人员资料6月份 5" xfId="814" xr:uid="{00000000-0005-0000-0000-00005D030000}"/>
    <cellStyle name="_销售储备人员资料6月份 6" xfId="815" xr:uid="{00000000-0005-0000-0000-00005E030000}"/>
    <cellStyle name="_销售储备人员资料6月份 7" xfId="816" xr:uid="{00000000-0005-0000-0000-00005F030000}"/>
    <cellStyle name="_销售储备人员资料7月份" xfId="817" xr:uid="{00000000-0005-0000-0000-000060030000}"/>
    <cellStyle name="_销售储备人员资料7月份 2" xfId="818" xr:uid="{00000000-0005-0000-0000-000061030000}"/>
    <cellStyle name="_销售储备人员资料7月份 3" xfId="819" xr:uid="{00000000-0005-0000-0000-000062030000}"/>
    <cellStyle name="_销售储备人员资料7月份 4" xfId="820" xr:uid="{00000000-0005-0000-0000-000063030000}"/>
    <cellStyle name="_销售储备人员资料7月份 5" xfId="821" xr:uid="{00000000-0005-0000-0000-000064030000}"/>
    <cellStyle name="_销售储备人员资料7月份 6" xfId="822" xr:uid="{00000000-0005-0000-0000-000065030000}"/>
    <cellStyle name="_销售储备人员资料7月份 7" xfId="823" xr:uid="{00000000-0005-0000-0000-000066030000}"/>
    <cellStyle name="_销售人员差旅标准(20100105更新)" xfId="824" xr:uid="{00000000-0005-0000-0000-000067030000}"/>
    <cellStyle name="_有特殊情况的临时人员名单" xfId="825" xr:uid="{00000000-0005-0000-0000-000068030000}"/>
    <cellStyle name="_有特殊情况的临时人员名单 2" xfId="826" xr:uid="{00000000-0005-0000-0000-000069030000}"/>
    <cellStyle name="_有特殊情况的临时人员名单 3" xfId="827" xr:uid="{00000000-0005-0000-0000-00006A030000}"/>
    <cellStyle name="_有特殊情况的临时人员名单 4" xfId="828" xr:uid="{00000000-0005-0000-0000-00006B030000}"/>
    <cellStyle name="_有特殊情况的临时人员名单 5" xfId="829" xr:uid="{00000000-0005-0000-0000-00006C030000}"/>
    <cellStyle name="_有特殊情况的临时人员名单 6" xfId="830" xr:uid="{00000000-0005-0000-0000-00006D030000}"/>
    <cellStyle name="_有特殊情况的临时人员名单 7" xfId="831" xr:uid="{00000000-0005-0000-0000-00006E030000}"/>
    <cellStyle name="_有特殊情况的临时人员名单_12月工资11月奖金 人员信息 -2" xfId="832" xr:uid="{00000000-0005-0000-0000-00006F030000}"/>
    <cellStyle name="_有特殊情况的临时人员名单_12月工资11月奖金 人员信息 -2 2" xfId="833" xr:uid="{00000000-0005-0000-0000-000070030000}"/>
    <cellStyle name="_有特殊情况的临时人员名单_12月工资11月奖金 人员信息 -2 3" xfId="834" xr:uid="{00000000-0005-0000-0000-000071030000}"/>
    <cellStyle name="_有特殊情况的临时人员名单_12月工资11月奖金 人员信息 -2 4" xfId="835" xr:uid="{00000000-0005-0000-0000-000072030000}"/>
    <cellStyle name="_有特殊情况的临时人员名单_12月工资11月奖金 人员信息 -2 5" xfId="836" xr:uid="{00000000-0005-0000-0000-000073030000}"/>
    <cellStyle name="_有特殊情况的临时人员名单_12月工资11月奖金 人员信息 -2 6" xfId="837" xr:uid="{00000000-0005-0000-0000-000074030000}"/>
    <cellStyle name="_有特殊情况的临时人员名单_12月工资11月奖金 人员信息 -2 7" xfId="838" xr:uid="{00000000-0005-0000-0000-000075030000}"/>
    <cellStyle name="_有特殊情况的临时人员名单_3月工资2月奖金0410版 导出版" xfId="839" xr:uid="{00000000-0005-0000-0000-000076030000}"/>
    <cellStyle name="_有特殊情况的临时人员名单_3月工资2月奖金0410版 导出版 2" xfId="840" xr:uid="{00000000-0005-0000-0000-000077030000}"/>
    <cellStyle name="_有特殊情况的临时人员名单_3月工资2月奖金0410版 导出版 3" xfId="841" xr:uid="{00000000-0005-0000-0000-000078030000}"/>
    <cellStyle name="_有特殊情况的临时人员名单_3月工资2月奖金0410版 导出版 4" xfId="842" xr:uid="{00000000-0005-0000-0000-000079030000}"/>
    <cellStyle name="_有特殊情况的临时人员名单_3月工资2月奖金0410版 导出版 5" xfId="843" xr:uid="{00000000-0005-0000-0000-00007A030000}"/>
    <cellStyle name="_有特殊情况的临时人员名单_3月工资2月奖金0410版 导出版 6" xfId="844" xr:uid="{00000000-0005-0000-0000-00007B030000}"/>
    <cellStyle name="_有特殊情况的临时人员名单_3月工资2月奖金0410版 导出版 7" xfId="845" xr:uid="{00000000-0005-0000-0000-00007C030000}"/>
    <cellStyle name="_有特殊情况的临时人员名单_3月工资2月奖金0410版 导出版_12月工资11月奖金 人员信息 -2" xfId="846" xr:uid="{00000000-0005-0000-0000-00007D030000}"/>
    <cellStyle name="_有特殊情况的临时人员名单_3月工资2月奖金0410版 导出版_12月工资11月奖金 人员信息 -2 2" xfId="847" xr:uid="{00000000-0005-0000-0000-00007E030000}"/>
    <cellStyle name="_有特殊情况的临时人员名单_3月工资2月奖金0410版 导出版_12月工资11月奖金 人员信息 -2 3" xfId="848" xr:uid="{00000000-0005-0000-0000-00007F030000}"/>
    <cellStyle name="_有特殊情况的临时人员名单_3月工资2月奖金0410版 导出版_12月工资11月奖金 人员信息 -2 4" xfId="849" xr:uid="{00000000-0005-0000-0000-000080030000}"/>
    <cellStyle name="_有特殊情况的临时人员名单_3月工资2月奖金0410版 导出版_12月工资11月奖金 人员信息 -2 5" xfId="850" xr:uid="{00000000-0005-0000-0000-000081030000}"/>
    <cellStyle name="_有特殊情况的临时人员名单_3月工资2月奖金0410版 导出版_12月工资11月奖金 人员信息 -2 6" xfId="851" xr:uid="{00000000-0005-0000-0000-000082030000}"/>
    <cellStyle name="_有特殊情况的临时人员名单_3月工资2月奖金0410版 导出版_12月工资11月奖金 人员信息 -2 7" xfId="852" xr:uid="{00000000-0005-0000-0000-000083030000}"/>
    <cellStyle name="_有特殊情况的临时人员名单_3月工资2月奖金0410版 导出版_NIVEA BA 11月工资10月奖金 数据提交表" xfId="853" xr:uid="{00000000-0005-0000-0000-000084030000}"/>
    <cellStyle name="_有特殊情况的临时人员名单_3月工资2月奖金0410版 导出版_NIVEA BA 11月工资10月奖金 数据提交表 2" xfId="854" xr:uid="{00000000-0005-0000-0000-000085030000}"/>
    <cellStyle name="_有特殊情况的临时人员名单_3月工资2月奖金0410版 导出版_NIVEA BA 11月工资10月奖金 数据提交表 3" xfId="855" xr:uid="{00000000-0005-0000-0000-000086030000}"/>
    <cellStyle name="_有特殊情况的临时人员名单_3月工资2月奖金0410版 导出版_NIVEA BA 11月工资10月奖金 数据提交表 4" xfId="856" xr:uid="{00000000-0005-0000-0000-000087030000}"/>
    <cellStyle name="_有特殊情况的临时人员名单_3月工资2月奖金0410版 导出版_NIVEA BA 11月工资10月奖金 数据提交表 5" xfId="857" xr:uid="{00000000-0005-0000-0000-000088030000}"/>
    <cellStyle name="_有特殊情况的临时人员名单_3月工资2月奖金0410版 导出版_NIVEA BA 11月工资10月奖金 数据提交表 6" xfId="858" xr:uid="{00000000-0005-0000-0000-000089030000}"/>
    <cellStyle name="_有特殊情况的临时人员名单_3月工资2月奖金0410版 导出版_NIVEA BA 11月工资10月奖金 数据提交表 7" xfId="859" xr:uid="{00000000-0005-0000-0000-00008A030000}"/>
    <cellStyle name="_有特殊情况的临时人员名单_NIVEA BA 11月工资10月奖金 数据提交表" xfId="860" xr:uid="{00000000-0005-0000-0000-00008B030000}"/>
    <cellStyle name="_有特殊情况的临时人员名单_NIVEA BA 11月工资10月奖金 数据提交表 2" xfId="861" xr:uid="{00000000-0005-0000-0000-00008C030000}"/>
    <cellStyle name="_有特殊情况的临时人员名单_NIVEA BA 11月工资10月奖金 数据提交表 3" xfId="862" xr:uid="{00000000-0005-0000-0000-00008D030000}"/>
    <cellStyle name="_有特殊情况的临时人员名单_NIVEA BA 11月工资10月奖金 数据提交表 4" xfId="863" xr:uid="{00000000-0005-0000-0000-00008E030000}"/>
    <cellStyle name="_有特殊情况的临时人员名单_NIVEA BA 11月工资10月奖金 数据提交表 5" xfId="864" xr:uid="{00000000-0005-0000-0000-00008F030000}"/>
    <cellStyle name="_有特殊情况的临时人员名单_NIVEA BA 11月工资10月奖金 数据提交表 6" xfId="865" xr:uid="{00000000-0005-0000-0000-000090030000}"/>
    <cellStyle name="_有特殊情况的临时人员名单_NIVEA BA 11月工资10月奖金 数据提交表 7" xfId="866" xr:uid="{00000000-0005-0000-0000-000091030000}"/>
    <cellStyle name="_有特殊情况的临时人员名单_检查补发状况" xfId="867" xr:uid="{00000000-0005-0000-0000-000092030000}"/>
    <cellStyle name="_有特殊情况的临时人员名单_检查补发状况 2" xfId="868" xr:uid="{00000000-0005-0000-0000-000093030000}"/>
    <cellStyle name="_有特殊情况的临时人员名单_检查补发状况 3" xfId="869" xr:uid="{00000000-0005-0000-0000-000094030000}"/>
    <cellStyle name="_有特殊情况的临时人员名单_检查补发状况 4" xfId="870" xr:uid="{00000000-0005-0000-0000-000095030000}"/>
    <cellStyle name="_有特殊情况的临时人员名单_检查补发状况 5" xfId="871" xr:uid="{00000000-0005-0000-0000-000096030000}"/>
    <cellStyle name="_有特殊情况的临时人员名单_检查补发状况 6" xfId="872" xr:uid="{00000000-0005-0000-0000-000097030000}"/>
    <cellStyle name="_有特殊情况的临时人员名单_检查补发状况 7" xfId="873" xr:uid="{00000000-0005-0000-0000-000098030000}"/>
    <cellStyle name="_有特殊情况的临时人员名单_检查补发状况_12月工资11月奖金 人员信息 -2" xfId="874" xr:uid="{00000000-0005-0000-0000-000099030000}"/>
    <cellStyle name="_有特殊情况的临时人员名单_检查补发状况_12月工资11月奖金 人员信息 -2 2" xfId="875" xr:uid="{00000000-0005-0000-0000-00009A030000}"/>
    <cellStyle name="_有特殊情况的临时人员名单_检查补发状况_12月工资11月奖金 人员信息 -2 3" xfId="876" xr:uid="{00000000-0005-0000-0000-00009B030000}"/>
    <cellStyle name="_有特殊情况的临时人员名单_检查补发状况_12月工资11月奖金 人员信息 -2 4" xfId="877" xr:uid="{00000000-0005-0000-0000-00009C030000}"/>
    <cellStyle name="_有特殊情况的临时人员名单_检查补发状况_12月工资11月奖金 人员信息 -2 5" xfId="878" xr:uid="{00000000-0005-0000-0000-00009D030000}"/>
    <cellStyle name="_有特殊情况的临时人员名单_检查补发状况_12月工资11月奖金 人员信息 -2 6" xfId="879" xr:uid="{00000000-0005-0000-0000-00009E030000}"/>
    <cellStyle name="_有特殊情况的临时人员名单_检查补发状况_12月工资11月奖金 人员信息 -2 7" xfId="880" xr:uid="{00000000-0005-0000-0000-00009F030000}"/>
    <cellStyle name="_有特殊情况的临时人员名单_检查补发状况_NIVEA BA 11月工资10月奖金 数据提交表" xfId="881" xr:uid="{00000000-0005-0000-0000-0000A0030000}"/>
    <cellStyle name="_有特殊情况的临时人员名单_检查补发状况_NIVEA BA 11月工资10月奖金 数据提交表 2" xfId="882" xr:uid="{00000000-0005-0000-0000-0000A1030000}"/>
    <cellStyle name="_有特殊情况的临时人员名单_检查补发状况_NIVEA BA 11月工资10月奖金 数据提交表 3" xfId="883" xr:uid="{00000000-0005-0000-0000-0000A2030000}"/>
    <cellStyle name="_有特殊情况的临时人员名单_检查补发状况_NIVEA BA 11月工资10月奖金 数据提交表 4" xfId="884" xr:uid="{00000000-0005-0000-0000-0000A3030000}"/>
    <cellStyle name="_有特殊情况的临时人员名单_检查补发状况_NIVEA BA 11月工资10月奖金 数据提交表 5" xfId="885" xr:uid="{00000000-0005-0000-0000-0000A4030000}"/>
    <cellStyle name="_有特殊情况的临时人员名单_检查补发状况_NIVEA BA 11月工资10月奖金 数据提交表 6" xfId="886" xr:uid="{00000000-0005-0000-0000-0000A5030000}"/>
    <cellStyle name="_有特殊情况的临时人员名单_检查补发状况_NIVEA BA 11月工资10月奖金 数据提交表 7" xfId="887" xr:uid="{00000000-0005-0000-0000-0000A6030000}"/>
    <cellStyle name="_有特殊情况的临时人员名单_妮维雅 0804原始数据 080509-2" xfId="888" xr:uid="{00000000-0005-0000-0000-0000A7030000}"/>
    <cellStyle name="_有特殊情况的临时人员名单_妮维雅 0804原始数据 080509-2 2" xfId="889" xr:uid="{00000000-0005-0000-0000-0000A8030000}"/>
    <cellStyle name="_有特殊情况的临时人员名单_妮维雅 0804原始数据 080509-2 3" xfId="890" xr:uid="{00000000-0005-0000-0000-0000A9030000}"/>
    <cellStyle name="_有特殊情况的临时人员名单_妮维雅 0804原始数据 080509-2 4" xfId="891" xr:uid="{00000000-0005-0000-0000-0000AA030000}"/>
    <cellStyle name="_有特殊情况的临时人员名单_妮维雅 0804原始数据 080509-2 5" xfId="892" xr:uid="{00000000-0005-0000-0000-0000AB030000}"/>
    <cellStyle name="_有特殊情况的临时人员名单_妮维雅 0804原始数据 080509-2 6" xfId="893" xr:uid="{00000000-0005-0000-0000-0000AC030000}"/>
    <cellStyle name="_有特殊情况的临时人员名单_妮维雅 0804原始数据 080509-2 7" xfId="894" xr:uid="{00000000-0005-0000-0000-0000AD030000}"/>
    <cellStyle name="_有特殊情况的临时人员名单_妮维雅 0804原始数据 080509-2_12月工资11月奖金 人员信息 -2" xfId="895" xr:uid="{00000000-0005-0000-0000-0000AE030000}"/>
    <cellStyle name="_有特殊情况的临时人员名单_妮维雅 0804原始数据 080509-2_12月工资11月奖金 人员信息 -2 2" xfId="896" xr:uid="{00000000-0005-0000-0000-0000AF030000}"/>
    <cellStyle name="_有特殊情况的临时人员名单_妮维雅 0804原始数据 080509-2_12月工资11月奖金 人员信息 -2 3" xfId="897" xr:uid="{00000000-0005-0000-0000-0000B0030000}"/>
    <cellStyle name="_有特殊情况的临时人员名单_妮维雅 0804原始数据 080509-2_12月工资11月奖金 人员信息 -2 4" xfId="898" xr:uid="{00000000-0005-0000-0000-0000B1030000}"/>
    <cellStyle name="_有特殊情况的临时人员名单_妮维雅 0804原始数据 080509-2_12月工资11月奖金 人员信息 -2 5" xfId="899" xr:uid="{00000000-0005-0000-0000-0000B2030000}"/>
    <cellStyle name="_有特殊情况的临时人员名单_妮维雅 0804原始数据 080509-2_12月工资11月奖金 人员信息 -2 6" xfId="900" xr:uid="{00000000-0005-0000-0000-0000B3030000}"/>
    <cellStyle name="_有特殊情况的临时人员名单_妮维雅 0804原始数据 080509-2_12月工资11月奖金 人员信息 -2 7" xfId="901" xr:uid="{00000000-0005-0000-0000-0000B4030000}"/>
    <cellStyle name="_有特殊情况的临时人员名单_妮维雅 0804原始数据 080509-2_NIVEA BA 11月工资10月奖金 数据提交表" xfId="902" xr:uid="{00000000-0005-0000-0000-0000B5030000}"/>
    <cellStyle name="_有特殊情况的临时人员名单_妮维雅 0804原始数据 080509-2_NIVEA BA 11月工资10月奖金 数据提交表 2" xfId="903" xr:uid="{00000000-0005-0000-0000-0000B6030000}"/>
    <cellStyle name="_有特殊情况的临时人员名单_妮维雅 0804原始数据 080509-2_NIVEA BA 11月工资10月奖金 数据提交表 3" xfId="904" xr:uid="{00000000-0005-0000-0000-0000B7030000}"/>
    <cellStyle name="_有特殊情况的临时人员名单_妮维雅 0804原始数据 080509-2_NIVEA BA 11月工资10月奖金 数据提交表 4" xfId="905" xr:uid="{00000000-0005-0000-0000-0000B8030000}"/>
    <cellStyle name="_有特殊情况的临时人员名单_妮维雅 0804原始数据 080509-2_NIVEA BA 11月工资10月奖金 数据提交表 5" xfId="906" xr:uid="{00000000-0005-0000-0000-0000B9030000}"/>
    <cellStyle name="_有特殊情况的临时人员名单_妮维雅 0804原始数据 080509-2_NIVEA BA 11月工资10月奖金 数据提交表 6" xfId="907" xr:uid="{00000000-0005-0000-0000-0000BA030000}"/>
    <cellStyle name="_有特殊情况的临时人员名单_妮维雅 0804原始数据 080509-2_NIVEA BA 11月工资10月奖金 数据提交表 7" xfId="908" xr:uid="{00000000-0005-0000-0000-0000BB030000}"/>
    <cellStyle name="_有特殊情况的临时人员名单_妮维雅 PG BA 080419 第二批" xfId="909" xr:uid="{00000000-0005-0000-0000-0000BC030000}"/>
    <cellStyle name="_有特殊情况的临时人员名单_妮维雅 PG BA 080419 第二批 2" xfId="910" xr:uid="{00000000-0005-0000-0000-0000BD030000}"/>
    <cellStyle name="_有特殊情况的临时人员名单_妮维雅 PG BA 080419 第二批 3" xfId="911" xr:uid="{00000000-0005-0000-0000-0000BE030000}"/>
    <cellStyle name="_有特殊情况的临时人员名单_妮维雅 PG BA 080419 第二批 4" xfId="912" xr:uid="{00000000-0005-0000-0000-0000BF030000}"/>
    <cellStyle name="_有特殊情况的临时人员名单_妮维雅 PG BA 080419 第二批 5" xfId="913" xr:uid="{00000000-0005-0000-0000-0000C0030000}"/>
    <cellStyle name="_有特殊情况的临时人员名单_妮维雅 PG BA 080419 第二批 6" xfId="914" xr:uid="{00000000-0005-0000-0000-0000C1030000}"/>
    <cellStyle name="_有特殊情况的临时人员名单_妮维雅 PG BA 080419 第二批 7" xfId="915" xr:uid="{00000000-0005-0000-0000-0000C2030000}"/>
    <cellStyle name="_有特殊情况的临时人员名单_妮维雅 PG BA 080419 第二批_12月工资11月奖金 人员信息 -2" xfId="916" xr:uid="{00000000-0005-0000-0000-0000C3030000}"/>
    <cellStyle name="_有特殊情况的临时人员名单_妮维雅 PG BA 080419 第二批_12月工资11月奖金 人员信息 -2 2" xfId="917" xr:uid="{00000000-0005-0000-0000-0000C4030000}"/>
    <cellStyle name="_有特殊情况的临时人员名单_妮维雅 PG BA 080419 第二批_12月工资11月奖金 人员信息 -2 3" xfId="918" xr:uid="{00000000-0005-0000-0000-0000C5030000}"/>
    <cellStyle name="_有特殊情况的临时人员名单_妮维雅 PG BA 080419 第二批_12月工资11月奖金 人员信息 -2 4" xfId="919" xr:uid="{00000000-0005-0000-0000-0000C6030000}"/>
    <cellStyle name="_有特殊情况的临时人员名单_妮维雅 PG BA 080419 第二批_12月工资11月奖金 人员信息 -2 5" xfId="920" xr:uid="{00000000-0005-0000-0000-0000C7030000}"/>
    <cellStyle name="_有特殊情况的临时人员名单_妮维雅 PG BA 080419 第二批_12月工资11月奖金 人员信息 -2 6" xfId="921" xr:uid="{00000000-0005-0000-0000-0000C8030000}"/>
    <cellStyle name="_有特殊情况的临时人员名单_妮维雅 PG BA 080419 第二批_12月工资11月奖金 人员信息 -2 7" xfId="922" xr:uid="{00000000-0005-0000-0000-0000C9030000}"/>
    <cellStyle name="_有特殊情况的临时人员名单_妮维雅 PG BA 080419 第二批_NIVEA BA 11月工资10月奖金 数据提交表" xfId="923" xr:uid="{00000000-0005-0000-0000-0000CA030000}"/>
    <cellStyle name="_有特殊情况的临时人员名单_妮维雅 PG BA 080419 第二批_NIVEA BA 11月工资10月奖金 数据提交表 2" xfId="924" xr:uid="{00000000-0005-0000-0000-0000CB030000}"/>
    <cellStyle name="_有特殊情况的临时人员名单_妮维雅 PG BA 080419 第二批_NIVEA BA 11月工资10月奖金 数据提交表 3" xfId="925" xr:uid="{00000000-0005-0000-0000-0000CC030000}"/>
    <cellStyle name="_有特殊情况的临时人员名单_妮维雅 PG BA 080419 第二批_NIVEA BA 11月工资10月奖金 数据提交表 4" xfId="926" xr:uid="{00000000-0005-0000-0000-0000CD030000}"/>
    <cellStyle name="_有特殊情况的临时人员名单_妮维雅 PG BA 080419 第二批_NIVEA BA 11月工资10月奖金 数据提交表 5" xfId="927" xr:uid="{00000000-0005-0000-0000-0000CE030000}"/>
    <cellStyle name="_有特殊情况的临时人员名单_妮维雅 PG BA 080419 第二批_NIVEA BA 11月工资10月奖金 数据提交表 6" xfId="928" xr:uid="{00000000-0005-0000-0000-0000CF030000}"/>
    <cellStyle name="_有特殊情况的临时人员名单_妮维雅 PG BA 080419 第二批_NIVEA BA 11月工资10月奖金 数据提交表 7" xfId="929" xr:uid="{00000000-0005-0000-0000-0000D0030000}"/>
    <cellStyle name="_有特殊情况的临时人员名单_妮维雅 PG BA 0804工资数据 080512 发送版" xfId="930" xr:uid="{00000000-0005-0000-0000-0000D1030000}"/>
    <cellStyle name="_有特殊情况的临时人员名单_妮维雅 PG BA 0804工资数据 080512 发送版 2" xfId="931" xr:uid="{00000000-0005-0000-0000-0000D2030000}"/>
    <cellStyle name="_有特殊情况的临时人员名单_妮维雅 PG BA 0804工资数据 080512 发送版 3" xfId="932" xr:uid="{00000000-0005-0000-0000-0000D3030000}"/>
    <cellStyle name="_有特殊情况的临时人员名单_妮维雅 PG BA 0804工资数据 080512 发送版 4" xfId="933" xr:uid="{00000000-0005-0000-0000-0000D4030000}"/>
    <cellStyle name="_有特殊情况的临时人员名单_妮维雅 PG BA 0804工资数据 080512 发送版 5" xfId="934" xr:uid="{00000000-0005-0000-0000-0000D5030000}"/>
    <cellStyle name="_有特殊情况的临时人员名单_妮维雅 PG BA 0804工资数据 080512 发送版 6" xfId="935" xr:uid="{00000000-0005-0000-0000-0000D6030000}"/>
    <cellStyle name="_有特殊情况的临时人员名单_妮维雅 PG BA 0804工资数据 080512 发送版 7" xfId="936" xr:uid="{00000000-0005-0000-0000-0000D7030000}"/>
    <cellStyle name="_有特殊情况的临时人员名单_妮维雅 PG BA 0804工资数据 080512 发送版_12月工资11月奖金 人员信息 -2" xfId="937" xr:uid="{00000000-0005-0000-0000-0000D8030000}"/>
    <cellStyle name="_有特殊情况的临时人员名单_妮维雅 PG BA 0804工资数据 080512 发送版_12月工资11月奖金 人员信息 -2 2" xfId="938" xr:uid="{00000000-0005-0000-0000-0000D9030000}"/>
    <cellStyle name="_有特殊情况的临时人员名单_妮维雅 PG BA 0804工资数据 080512 发送版_12月工资11月奖金 人员信息 -2 3" xfId="939" xr:uid="{00000000-0005-0000-0000-0000DA030000}"/>
    <cellStyle name="_有特殊情况的临时人员名单_妮维雅 PG BA 0804工资数据 080512 发送版_12月工资11月奖金 人员信息 -2 4" xfId="940" xr:uid="{00000000-0005-0000-0000-0000DB030000}"/>
    <cellStyle name="_有特殊情况的临时人员名单_妮维雅 PG BA 0804工资数据 080512 发送版_12月工资11月奖金 人员信息 -2 5" xfId="941" xr:uid="{00000000-0005-0000-0000-0000DC030000}"/>
    <cellStyle name="_有特殊情况的临时人员名单_妮维雅 PG BA 0804工资数据 080512 发送版_12月工资11月奖金 人员信息 -2 6" xfId="942" xr:uid="{00000000-0005-0000-0000-0000DD030000}"/>
    <cellStyle name="_有特殊情况的临时人员名单_妮维雅 PG BA 0804工资数据 080512 发送版_12月工资11月奖金 人员信息 -2 7" xfId="943" xr:uid="{00000000-0005-0000-0000-0000DE030000}"/>
    <cellStyle name="_有特殊情况的临时人员名单_妮维雅 PG BA 0804工资数据 080512 发送版_NIVEA BA 11月工资10月奖金 数据提交表" xfId="944" xr:uid="{00000000-0005-0000-0000-0000DF030000}"/>
    <cellStyle name="_有特殊情况的临时人员名单_妮维雅 PG BA 0804工资数据 080512 发送版_NIVEA BA 11月工资10月奖金 数据提交表 2" xfId="945" xr:uid="{00000000-0005-0000-0000-0000E0030000}"/>
    <cellStyle name="_有特殊情况的临时人员名单_妮维雅 PG BA 0804工资数据 080512 发送版_NIVEA BA 11月工资10月奖金 数据提交表 3" xfId="946" xr:uid="{00000000-0005-0000-0000-0000E1030000}"/>
    <cellStyle name="_有特殊情况的临时人员名单_妮维雅 PG BA 0804工资数据 080512 发送版_NIVEA BA 11月工资10月奖金 数据提交表 4" xfId="947" xr:uid="{00000000-0005-0000-0000-0000E2030000}"/>
    <cellStyle name="_有特殊情况的临时人员名单_妮维雅 PG BA 0804工资数据 080512 发送版_NIVEA BA 11月工资10月奖金 数据提交表 5" xfId="948" xr:uid="{00000000-0005-0000-0000-0000E3030000}"/>
    <cellStyle name="_有特殊情况的临时人员名单_妮维雅 PG BA 0804工资数据 080512 发送版_NIVEA BA 11月工资10月奖金 数据提交表 6" xfId="949" xr:uid="{00000000-0005-0000-0000-0000E4030000}"/>
    <cellStyle name="_有特殊情况的临时人员名单_妮维雅 PG BA 0804工资数据 080512 发送版_NIVEA BA 11月工资10月奖金 数据提交表 7" xfId="950" xr:uid="{00000000-0005-0000-0000-0000E5030000}"/>
    <cellStyle name="_有特殊情况的临时人员名单_妮维雅 PG BA 0804工资数据 080513 复查" xfId="951" xr:uid="{00000000-0005-0000-0000-0000E6030000}"/>
    <cellStyle name="_有特殊情况的临时人员名单_妮维雅 PG BA 0804工资数据 080513 复查 2" xfId="952" xr:uid="{00000000-0005-0000-0000-0000E7030000}"/>
    <cellStyle name="_有特殊情况的临时人员名单_妮维雅 PG BA 0804工资数据 080513 复查 3" xfId="953" xr:uid="{00000000-0005-0000-0000-0000E8030000}"/>
    <cellStyle name="_有特殊情况的临时人员名单_妮维雅 PG BA 0804工资数据 080513 复查 4" xfId="954" xr:uid="{00000000-0005-0000-0000-0000E9030000}"/>
    <cellStyle name="_有特殊情况的临时人员名单_妮维雅 PG BA 0804工资数据 080513 复查 5" xfId="955" xr:uid="{00000000-0005-0000-0000-0000EA030000}"/>
    <cellStyle name="_有特殊情况的临时人员名单_妮维雅 PG BA 0804工资数据 080513 复查 6" xfId="956" xr:uid="{00000000-0005-0000-0000-0000EB030000}"/>
    <cellStyle name="_有特殊情况的临时人员名单_妮维雅 PG BA 0804工资数据 080513 复查 7" xfId="957" xr:uid="{00000000-0005-0000-0000-0000EC030000}"/>
    <cellStyle name="_有特殊情况的临时人员名单_妮维雅 PG BA 0804工资数据 080513 复查_12月工资11月奖金 人员信息 -2" xfId="958" xr:uid="{00000000-0005-0000-0000-0000ED030000}"/>
    <cellStyle name="_有特殊情况的临时人员名单_妮维雅 PG BA 0804工资数据 080513 复查_12月工资11月奖金 人员信息 -2 2" xfId="959" xr:uid="{00000000-0005-0000-0000-0000EE030000}"/>
    <cellStyle name="_有特殊情况的临时人员名单_妮维雅 PG BA 0804工资数据 080513 复查_12月工资11月奖金 人员信息 -2 3" xfId="960" xr:uid="{00000000-0005-0000-0000-0000EF030000}"/>
    <cellStyle name="_有特殊情况的临时人员名单_妮维雅 PG BA 0804工资数据 080513 复查_12月工资11月奖金 人员信息 -2 4" xfId="961" xr:uid="{00000000-0005-0000-0000-0000F0030000}"/>
    <cellStyle name="_有特殊情况的临时人员名单_妮维雅 PG BA 0804工资数据 080513 复查_12月工资11月奖金 人员信息 -2 5" xfId="962" xr:uid="{00000000-0005-0000-0000-0000F1030000}"/>
    <cellStyle name="_有特殊情况的临时人员名单_妮维雅 PG BA 0804工资数据 080513 复查_12月工资11月奖金 人员信息 -2 6" xfId="963" xr:uid="{00000000-0005-0000-0000-0000F2030000}"/>
    <cellStyle name="_有特殊情况的临时人员名单_妮维雅 PG BA 0804工资数据 080513 复查_12月工资11月奖金 人员信息 -2 7" xfId="964" xr:uid="{00000000-0005-0000-0000-0000F3030000}"/>
    <cellStyle name="_有特殊情况的临时人员名单_妮维雅 PG BA 0804工资数据 080513 复查_NIVEA BA 11月工资10月奖金 数据提交表" xfId="965" xr:uid="{00000000-0005-0000-0000-0000F4030000}"/>
    <cellStyle name="_有特殊情况的临时人员名单_妮维雅 PG BA 0804工资数据 080513 复查_NIVEA BA 11月工资10月奖金 数据提交表 2" xfId="966" xr:uid="{00000000-0005-0000-0000-0000F5030000}"/>
    <cellStyle name="_有特殊情况的临时人员名单_妮维雅 PG BA 0804工资数据 080513 复查_NIVEA BA 11月工资10月奖金 数据提交表 3" xfId="967" xr:uid="{00000000-0005-0000-0000-0000F6030000}"/>
    <cellStyle name="_有特殊情况的临时人员名单_妮维雅 PG BA 0804工资数据 080513 复查_NIVEA BA 11月工资10月奖金 数据提交表 4" xfId="968" xr:uid="{00000000-0005-0000-0000-0000F7030000}"/>
    <cellStyle name="_有特殊情况的临时人员名单_妮维雅 PG BA 0804工资数据 080513 复查_NIVEA BA 11月工资10月奖金 数据提交表 5" xfId="969" xr:uid="{00000000-0005-0000-0000-0000F8030000}"/>
    <cellStyle name="_有特殊情况的临时人员名单_妮维雅 PG BA 0804工资数据 080513 复查_NIVEA BA 11月工资10月奖金 数据提交表 6" xfId="970" xr:uid="{00000000-0005-0000-0000-0000F9030000}"/>
    <cellStyle name="_有特殊情况的临时人员名单_妮维雅 PG BA 0804工资数据 080513 复查_NIVEA BA 11月工资10月奖金 数据提交表 7" xfId="971" xr:uid="{00000000-0005-0000-0000-0000FA030000}"/>
    <cellStyle name="_招聘计划-全国-updated (2)" xfId="972" xr:uid="{00000000-0005-0000-0000-0000FB030000}"/>
    <cellStyle name="_制服尺寸统计表第二次" xfId="973" xr:uid="{00000000-0005-0000-0000-0000FC030000}"/>
    <cellStyle name="0%" xfId="974" xr:uid="{00000000-0005-0000-0000-0000FD030000}"/>
    <cellStyle name="0.0%" xfId="975" xr:uid="{00000000-0005-0000-0000-0000FE030000}"/>
    <cellStyle name="0.00%" xfId="976" xr:uid="{00000000-0005-0000-0000-0000FF030000}"/>
    <cellStyle name="20% - Accent1 2" xfId="977" xr:uid="{00000000-0005-0000-0000-000000040000}"/>
    <cellStyle name="20% - Accent1 3" xfId="978" xr:uid="{00000000-0005-0000-0000-000001040000}"/>
    <cellStyle name="20% - Accent2 2" xfId="979" xr:uid="{00000000-0005-0000-0000-000002040000}"/>
    <cellStyle name="20% - Accent2 3" xfId="980" xr:uid="{00000000-0005-0000-0000-000003040000}"/>
    <cellStyle name="20% - Accent3 2" xfId="981" xr:uid="{00000000-0005-0000-0000-000004040000}"/>
    <cellStyle name="20% - Accent3 3" xfId="982" xr:uid="{00000000-0005-0000-0000-000005040000}"/>
    <cellStyle name="20% - Accent4 2" xfId="983" xr:uid="{00000000-0005-0000-0000-000006040000}"/>
    <cellStyle name="20% - Accent4 3" xfId="984" xr:uid="{00000000-0005-0000-0000-000007040000}"/>
    <cellStyle name="20% - Accent5 2" xfId="985" xr:uid="{00000000-0005-0000-0000-000008040000}"/>
    <cellStyle name="20% - Accent5 3" xfId="986" xr:uid="{00000000-0005-0000-0000-000009040000}"/>
    <cellStyle name="20% - Accent6 2" xfId="987" xr:uid="{00000000-0005-0000-0000-00000A040000}"/>
    <cellStyle name="20% - Accent6 3" xfId="988" xr:uid="{00000000-0005-0000-0000-00000B040000}"/>
    <cellStyle name="20% - 强调文字颜色 1 2" xfId="989" xr:uid="{00000000-0005-0000-0000-00000C040000}"/>
    <cellStyle name="20% - 强调文字颜色 1 3" xfId="990" xr:uid="{00000000-0005-0000-0000-00000D040000}"/>
    <cellStyle name="20% - 强调文字颜色 1 4" xfId="991" xr:uid="{00000000-0005-0000-0000-00000E040000}"/>
    <cellStyle name="20% - 强调文字颜色 1 5" xfId="992" xr:uid="{00000000-0005-0000-0000-00000F040000}"/>
    <cellStyle name="20% - 强调文字颜色 1 6" xfId="993" xr:uid="{00000000-0005-0000-0000-000010040000}"/>
    <cellStyle name="20% - 强调文字颜色 1 7" xfId="994" xr:uid="{00000000-0005-0000-0000-000011040000}"/>
    <cellStyle name="20% - 强调文字颜色 1 8" xfId="995" xr:uid="{00000000-0005-0000-0000-000012040000}"/>
    <cellStyle name="20% - 强调文字颜色 2 2" xfId="996" xr:uid="{00000000-0005-0000-0000-000013040000}"/>
    <cellStyle name="20% - 强调文字颜色 2 3" xfId="997" xr:uid="{00000000-0005-0000-0000-000014040000}"/>
    <cellStyle name="20% - 强调文字颜色 2 4" xfId="998" xr:uid="{00000000-0005-0000-0000-000015040000}"/>
    <cellStyle name="20% - 强调文字颜色 2 5" xfId="999" xr:uid="{00000000-0005-0000-0000-000016040000}"/>
    <cellStyle name="20% - 强调文字颜色 2 6" xfId="1000" xr:uid="{00000000-0005-0000-0000-000017040000}"/>
    <cellStyle name="20% - 强调文字颜色 2 7" xfId="1001" xr:uid="{00000000-0005-0000-0000-000018040000}"/>
    <cellStyle name="20% - 强调文字颜色 2 8" xfId="1002" xr:uid="{00000000-0005-0000-0000-000019040000}"/>
    <cellStyle name="20% - 强调文字颜色 3 2" xfId="1003" xr:uid="{00000000-0005-0000-0000-00001A040000}"/>
    <cellStyle name="20% - 强调文字颜色 3 3" xfId="1004" xr:uid="{00000000-0005-0000-0000-00001B040000}"/>
    <cellStyle name="20% - 强调文字颜色 3 4" xfId="1005" xr:uid="{00000000-0005-0000-0000-00001C040000}"/>
    <cellStyle name="20% - 强调文字颜色 3 5" xfId="1006" xr:uid="{00000000-0005-0000-0000-00001D040000}"/>
    <cellStyle name="20% - 强调文字颜色 3 6" xfId="1007" xr:uid="{00000000-0005-0000-0000-00001E040000}"/>
    <cellStyle name="20% - 强调文字颜色 3 7" xfId="1008" xr:uid="{00000000-0005-0000-0000-00001F040000}"/>
    <cellStyle name="20% - 强调文字颜色 3 8" xfId="1009" xr:uid="{00000000-0005-0000-0000-000020040000}"/>
    <cellStyle name="20% - 强调文字颜色 4 2" xfId="1010" xr:uid="{00000000-0005-0000-0000-000021040000}"/>
    <cellStyle name="20% - 强调文字颜色 4 3" xfId="1011" xr:uid="{00000000-0005-0000-0000-000022040000}"/>
    <cellStyle name="20% - 强调文字颜色 4 4" xfId="1012" xr:uid="{00000000-0005-0000-0000-000023040000}"/>
    <cellStyle name="20% - 强调文字颜色 4 5" xfId="1013" xr:uid="{00000000-0005-0000-0000-000024040000}"/>
    <cellStyle name="20% - 强调文字颜色 4 6" xfId="1014" xr:uid="{00000000-0005-0000-0000-000025040000}"/>
    <cellStyle name="20% - 强调文字颜色 4 7" xfId="1015" xr:uid="{00000000-0005-0000-0000-000026040000}"/>
    <cellStyle name="20% - 强调文字颜色 4 8" xfId="1016" xr:uid="{00000000-0005-0000-0000-000027040000}"/>
    <cellStyle name="20% - 强调文字颜色 5 2" xfId="1017" xr:uid="{00000000-0005-0000-0000-000028040000}"/>
    <cellStyle name="20% - 强调文字颜色 5 3" xfId="1018" xr:uid="{00000000-0005-0000-0000-000029040000}"/>
    <cellStyle name="20% - 强调文字颜色 5 4" xfId="1019" xr:uid="{00000000-0005-0000-0000-00002A040000}"/>
    <cellStyle name="20% - 强调文字颜色 5 5" xfId="1020" xr:uid="{00000000-0005-0000-0000-00002B040000}"/>
    <cellStyle name="20% - 强调文字颜色 5 6" xfId="1021" xr:uid="{00000000-0005-0000-0000-00002C040000}"/>
    <cellStyle name="20% - 强调文字颜色 5 7" xfId="1022" xr:uid="{00000000-0005-0000-0000-00002D040000}"/>
    <cellStyle name="20% - 强调文字颜色 5 8" xfId="1023" xr:uid="{00000000-0005-0000-0000-00002E040000}"/>
    <cellStyle name="20% - 强调文字颜色 6 2" xfId="1024" xr:uid="{00000000-0005-0000-0000-00002F040000}"/>
    <cellStyle name="20% - 强调文字颜色 6 3" xfId="1025" xr:uid="{00000000-0005-0000-0000-000030040000}"/>
    <cellStyle name="20% - 强调文字颜色 6 4" xfId="1026" xr:uid="{00000000-0005-0000-0000-000031040000}"/>
    <cellStyle name="20% - 强调文字颜色 6 5" xfId="1027" xr:uid="{00000000-0005-0000-0000-000032040000}"/>
    <cellStyle name="20% - 强调文字颜色 6 6" xfId="1028" xr:uid="{00000000-0005-0000-0000-000033040000}"/>
    <cellStyle name="20% - 强调文字颜色 6 7" xfId="1029" xr:uid="{00000000-0005-0000-0000-000034040000}"/>
    <cellStyle name="20% - 强调文字颜色 6 8" xfId="1030" xr:uid="{00000000-0005-0000-0000-000035040000}"/>
    <cellStyle name="40% - Accent1 2" xfId="1031" xr:uid="{00000000-0005-0000-0000-000036040000}"/>
    <cellStyle name="40% - Accent1 3" xfId="1032" xr:uid="{00000000-0005-0000-0000-000037040000}"/>
    <cellStyle name="40% - Accent2 2" xfId="1033" xr:uid="{00000000-0005-0000-0000-000038040000}"/>
    <cellStyle name="40% - Accent2 3" xfId="1034" xr:uid="{00000000-0005-0000-0000-000039040000}"/>
    <cellStyle name="40% - Accent3 2" xfId="1035" xr:uid="{00000000-0005-0000-0000-00003A040000}"/>
    <cellStyle name="40% - Accent3 3" xfId="1036" xr:uid="{00000000-0005-0000-0000-00003B040000}"/>
    <cellStyle name="40% - Accent4 2" xfId="1037" xr:uid="{00000000-0005-0000-0000-00003C040000}"/>
    <cellStyle name="40% - Accent4 3" xfId="1038" xr:uid="{00000000-0005-0000-0000-00003D040000}"/>
    <cellStyle name="40% - Accent5 2" xfId="1039" xr:uid="{00000000-0005-0000-0000-00003E040000}"/>
    <cellStyle name="40% - Accent5 3" xfId="1040" xr:uid="{00000000-0005-0000-0000-00003F040000}"/>
    <cellStyle name="40% - Accent6 2" xfId="1041" xr:uid="{00000000-0005-0000-0000-000040040000}"/>
    <cellStyle name="40% - Accent6 3" xfId="1042" xr:uid="{00000000-0005-0000-0000-000041040000}"/>
    <cellStyle name="40% - 强调文字颜色 1 2" xfId="1043" xr:uid="{00000000-0005-0000-0000-000042040000}"/>
    <cellStyle name="40% - 强调文字颜色 1 3" xfId="1044" xr:uid="{00000000-0005-0000-0000-000043040000}"/>
    <cellStyle name="40% - 强调文字颜色 1 4" xfId="1045" xr:uid="{00000000-0005-0000-0000-000044040000}"/>
    <cellStyle name="40% - 强调文字颜色 1 5" xfId="1046" xr:uid="{00000000-0005-0000-0000-000045040000}"/>
    <cellStyle name="40% - 强调文字颜色 1 6" xfId="1047" xr:uid="{00000000-0005-0000-0000-000046040000}"/>
    <cellStyle name="40% - 强调文字颜色 1 7" xfId="1048" xr:uid="{00000000-0005-0000-0000-000047040000}"/>
    <cellStyle name="40% - 强调文字颜色 1 8" xfId="1049" xr:uid="{00000000-0005-0000-0000-000048040000}"/>
    <cellStyle name="40% - 强调文字颜色 2 2" xfId="1050" xr:uid="{00000000-0005-0000-0000-000049040000}"/>
    <cellStyle name="40% - 强调文字颜色 2 3" xfId="1051" xr:uid="{00000000-0005-0000-0000-00004A040000}"/>
    <cellStyle name="40% - 强调文字颜色 2 4" xfId="1052" xr:uid="{00000000-0005-0000-0000-00004B040000}"/>
    <cellStyle name="40% - 强调文字颜色 2 5" xfId="1053" xr:uid="{00000000-0005-0000-0000-00004C040000}"/>
    <cellStyle name="40% - 强调文字颜色 2 6" xfId="1054" xr:uid="{00000000-0005-0000-0000-00004D040000}"/>
    <cellStyle name="40% - 强调文字颜色 2 7" xfId="1055" xr:uid="{00000000-0005-0000-0000-00004E040000}"/>
    <cellStyle name="40% - 强调文字颜色 2 8" xfId="1056" xr:uid="{00000000-0005-0000-0000-00004F040000}"/>
    <cellStyle name="40% - 强调文字颜色 3 2" xfId="1057" xr:uid="{00000000-0005-0000-0000-000050040000}"/>
    <cellStyle name="40% - 强调文字颜色 3 3" xfId="1058" xr:uid="{00000000-0005-0000-0000-000051040000}"/>
    <cellStyle name="40% - 强调文字颜色 3 4" xfId="1059" xr:uid="{00000000-0005-0000-0000-000052040000}"/>
    <cellStyle name="40% - 强调文字颜色 3 5" xfId="1060" xr:uid="{00000000-0005-0000-0000-000053040000}"/>
    <cellStyle name="40% - 强调文字颜色 3 6" xfId="1061" xr:uid="{00000000-0005-0000-0000-000054040000}"/>
    <cellStyle name="40% - 强调文字颜色 3 7" xfId="1062" xr:uid="{00000000-0005-0000-0000-000055040000}"/>
    <cellStyle name="40% - 强调文字颜色 3 8" xfId="1063" xr:uid="{00000000-0005-0000-0000-000056040000}"/>
    <cellStyle name="40% - 强调文字颜色 4 2" xfId="1064" xr:uid="{00000000-0005-0000-0000-000057040000}"/>
    <cellStyle name="40% - 强调文字颜色 4 3" xfId="1065" xr:uid="{00000000-0005-0000-0000-000058040000}"/>
    <cellStyle name="40% - 强调文字颜色 4 4" xfId="1066" xr:uid="{00000000-0005-0000-0000-000059040000}"/>
    <cellStyle name="40% - 强调文字颜色 4 5" xfId="1067" xr:uid="{00000000-0005-0000-0000-00005A040000}"/>
    <cellStyle name="40% - 强调文字颜色 4 6" xfId="1068" xr:uid="{00000000-0005-0000-0000-00005B040000}"/>
    <cellStyle name="40% - 强调文字颜色 4 7" xfId="1069" xr:uid="{00000000-0005-0000-0000-00005C040000}"/>
    <cellStyle name="40% - 强调文字颜色 4 8" xfId="1070" xr:uid="{00000000-0005-0000-0000-00005D040000}"/>
    <cellStyle name="40% - 强调文字颜色 5 2" xfId="1071" xr:uid="{00000000-0005-0000-0000-00005E040000}"/>
    <cellStyle name="40% - 强调文字颜色 5 3" xfId="1072" xr:uid="{00000000-0005-0000-0000-00005F040000}"/>
    <cellStyle name="40% - 强调文字颜色 5 4" xfId="1073" xr:uid="{00000000-0005-0000-0000-000060040000}"/>
    <cellStyle name="40% - 强调文字颜色 5 5" xfId="1074" xr:uid="{00000000-0005-0000-0000-000061040000}"/>
    <cellStyle name="40% - 强调文字颜色 5 6" xfId="1075" xr:uid="{00000000-0005-0000-0000-000062040000}"/>
    <cellStyle name="40% - 强调文字颜色 5 7" xfId="1076" xr:uid="{00000000-0005-0000-0000-000063040000}"/>
    <cellStyle name="40% - 强调文字颜色 5 8" xfId="1077" xr:uid="{00000000-0005-0000-0000-000064040000}"/>
    <cellStyle name="40% - 强调文字颜色 6 2" xfId="1078" xr:uid="{00000000-0005-0000-0000-000065040000}"/>
    <cellStyle name="40% - 强调文字颜色 6 3" xfId="1079" xr:uid="{00000000-0005-0000-0000-000066040000}"/>
    <cellStyle name="40% - 强调文字颜色 6 4" xfId="1080" xr:uid="{00000000-0005-0000-0000-000067040000}"/>
    <cellStyle name="40% - 强调文字颜色 6 5" xfId="1081" xr:uid="{00000000-0005-0000-0000-000068040000}"/>
    <cellStyle name="40% - 强调文字颜色 6 6" xfId="1082" xr:uid="{00000000-0005-0000-0000-000069040000}"/>
    <cellStyle name="40% - 强调文字颜色 6 7" xfId="1083" xr:uid="{00000000-0005-0000-0000-00006A040000}"/>
    <cellStyle name="40% - 强调文字颜色 6 8" xfId="1084" xr:uid="{00000000-0005-0000-0000-00006B040000}"/>
    <cellStyle name="60% - Accent1 2" xfId="1085" xr:uid="{00000000-0005-0000-0000-00006C040000}"/>
    <cellStyle name="60% - Accent1 3" xfId="1086" xr:uid="{00000000-0005-0000-0000-00006D040000}"/>
    <cellStyle name="60% - Accent2 2" xfId="1087" xr:uid="{00000000-0005-0000-0000-00006E040000}"/>
    <cellStyle name="60% - Accent2 3" xfId="1088" xr:uid="{00000000-0005-0000-0000-00006F040000}"/>
    <cellStyle name="60% - Accent3 2" xfId="1089" xr:uid="{00000000-0005-0000-0000-000070040000}"/>
    <cellStyle name="60% - Accent3 3" xfId="1090" xr:uid="{00000000-0005-0000-0000-000071040000}"/>
    <cellStyle name="60% - Accent4 2" xfId="1091" xr:uid="{00000000-0005-0000-0000-000072040000}"/>
    <cellStyle name="60% - Accent4 3" xfId="1092" xr:uid="{00000000-0005-0000-0000-000073040000}"/>
    <cellStyle name="60% - Accent5 2" xfId="1093" xr:uid="{00000000-0005-0000-0000-000074040000}"/>
    <cellStyle name="60% - Accent5 3" xfId="1094" xr:uid="{00000000-0005-0000-0000-000075040000}"/>
    <cellStyle name="60% - Accent6 2" xfId="1095" xr:uid="{00000000-0005-0000-0000-000076040000}"/>
    <cellStyle name="60% - Accent6 3" xfId="1096" xr:uid="{00000000-0005-0000-0000-000077040000}"/>
    <cellStyle name="60% - 强调文字颜色 1 2" xfId="1097" xr:uid="{00000000-0005-0000-0000-000078040000}"/>
    <cellStyle name="60% - 强调文字颜色 1 3" xfId="1098" xr:uid="{00000000-0005-0000-0000-000079040000}"/>
    <cellStyle name="60% - 强调文字颜色 1 4" xfId="1099" xr:uid="{00000000-0005-0000-0000-00007A040000}"/>
    <cellStyle name="60% - 强调文字颜色 1 5" xfId="1100" xr:uid="{00000000-0005-0000-0000-00007B040000}"/>
    <cellStyle name="60% - 强调文字颜色 1 6" xfId="1101" xr:uid="{00000000-0005-0000-0000-00007C040000}"/>
    <cellStyle name="60% - 强调文字颜色 1 7" xfId="1102" xr:uid="{00000000-0005-0000-0000-00007D040000}"/>
    <cellStyle name="60% - 强调文字颜色 1 8" xfId="1103" xr:uid="{00000000-0005-0000-0000-00007E040000}"/>
    <cellStyle name="60% - 强调文字颜色 2 2" xfId="1104" xr:uid="{00000000-0005-0000-0000-00007F040000}"/>
    <cellStyle name="60% - 强调文字颜色 2 3" xfId="1105" xr:uid="{00000000-0005-0000-0000-000080040000}"/>
    <cellStyle name="60% - 强调文字颜色 2 4" xfId="1106" xr:uid="{00000000-0005-0000-0000-000081040000}"/>
    <cellStyle name="60% - 强调文字颜色 2 5" xfId="1107" xr:uid="{00000000-0005-0000-0000-000082040000}"/>
    <cellStyle name="60% - 强调文字颜色 2 6" xfId="1108" xr:uid="{00000000-0005-0000-0000-000083040000}"/>
    <cellStyle name="60% - 强调文字颜色 2 7" xfId="1109" xr:uid="{00000000-0005-0000-0000-000084040000}"/>
    <cellStyle name="60% - 强调文字颜色 2 8" xfId="1110" xr:uid="{00000000-0005-0000-0000-000085040000}"/>
    <cellStyle name="60% - 强调文字颜色 3 2" xfId="1111" xr:uid="{00000000-0005-0000-0000-000086040000}"/>
    <cellStyle name="60% - 强调文字颜色 3 3" xfId="1112" xr:uid="{00000000-0005-0000-0000-000087040000}"/>
    <cellStyle name="60% - 强调文字颜色 3 4" xfId="1113" xr:uid="{00000000-0005-0000-0000-000088040000}"/>
    <cellStyle name="60% - 强调文字颜色 3 5" xfId="1114" xr:uid="{00000000-0005-0000-0000-000089040000}"/>
    <cellStyle name="60% - 强调文字颜色 3 6" xfId="1115" xr:uid="{00000000-0005-0000-0000-00008A040000}"/>
    <cellStyle name="60% - 强调文字颜色 3 7" xfId="1116" xr:uid="{00000000-0005-0000-0000-00008B040000}"/>
    <cellStyle name="60% - 强调文字颜色 3 8" xfId="1117" xr:uid="{00000000-0005-0000-0000-00008C040000}"/>
    <cellStyle name="60% - 强调文字颜色 4 2" xfId="1118" xr:uid="{00000000-0005-0000-0000-00008D040000}"/>
    <cellStyle name="60% - 强调文字颜色 4 3" xfId="1119" xr:uid="{00000000-0005-0000-0000-00008E040000}"/>
    <cellStyle name="60% - 强调文字颜色 4 4" xfId="1120" xr:uid="{00000000-0005-0000-0000-00008F040000}"/>
    <cellStyle name="60% - 强调文字颜色 4 5" xfId="1121" xr:uid="{00000000-0005-0000-0000-000090040000}"/>
    <cellStyle name="60% - 强调文字颜色 4 6" xfId="1122" xr:uid="{00000000-0005-0000-0000-000091040000}"/>
    <cellStyle name="60% - 强调文字颜色 4 7" xfId="1123" xr:uid="{00000000-0005-0000-0000-000092040000}"/>
    <cellStyle name="60% - 强调文字颜色 4 8" xfId="1124" xr:uid="{00000000-0005-0000-0000-000093040000}"/>
    <cellStyle name="60% - 强调文字颜色 5 2" xfId="1125" xr:uid="{00000000-0005-0000-0000-000094040000}"/>
    <cellStyle name="60% - 强调文字颜色 5 3" xfId="1126" xr:uid="{00000000-0005-0000-0000-000095040000}"/>
    <cellStyle name="60% - 强调文字颜色 5 4" xfId="1127" xr:uid="{00000000-0005-0000-0000-000096040000}"/>
    <cellStyle name="60% - 强调文字颜色 5 5" xfId="1128" xr:uid="{00000000-0005-0000-0000-000097040000}"/>
    <cellStyle name="60% - 强调文字颜色 5 6" xfId="1129" xr:uid="{00000000-0005-0000-0000-000098040000}"/>
    <cellStyle name="60% - 强调文字颜色 5 7" xfId="1130" xr:uid="{00000000-0005-0000-0000-000099040000}"/>
    <cellStyle name="60% - 强调文字颜色 5 8" xfId="1131" xr:uid="{00000000-0005-0000-0000-00009A040000}"/>
    <cellStyle name="60% - 强调文字颜色 6 2" xfId="1132" xr:uid="{00000000-0005-0000-0000-00009B040000}"/>
    <cellStyle name="60% - 强调文字颜色 6 3" xfId="1133" xr:uid="{00000000-0005-0000-0000-00009C040000}"/>
    <cellStyle name="60% - 强调文字颜色 6 4" xfId="1134" xr:uid="{00000000-0005-0000-0000-00009D040000}"/>
    <cellStyle name="60% - 强调文字颜色 6 5" xfId="1135" xr:uid="{00000000-0005-0000-0000-00009E040000}"/>
    <cellStyle name="60% - 强调文字颜色 6 6" xfId="1136" xr:uid="{00000000-0005-0000-0000-00009F040000}"/>
    <cellStyle name="60% - 强调文字颜色 6 7" xfId="1137" xr:uid="{00000000-0005-0000-0000-0000A0040000}"/>
    <cellStyle name="60% - 强调文字颜色 6 8" xfId="1138" xr:uid="{00000000-0005-0000-0000-0000A1040000}"/>
    <cellStyle name="Accent1 2" xfId="1139" xr:uid="{00000000-0005-0000-0000-0000A2040000}"/>
    <cellStyle name="Accent1 3" xfId="1140" xr:uid="{00000000-0005-0000-0000-0000A3040000}"/>
    <cellStyle name="Accent2 2" xfId="1141" xr:uid="{00000000-0005-0000-0000-0000A4040000}"/>
    <cellStyle name="Accent2 3" xfId="1142" xr:uid="{00000000-0005-0000-0000-0000A5040000}"/>
    <cellStyle name="Accent3 2" xfId="1143" xr:uid="{00000000-0005-0000-0000-0000A6040000}"/>
    <cellStyle name="Accent3 3" xfId="1144" xr:uid="{00000000-0005-0000-0000-0000A7040000}"/>
    <cellStyle name="Accent4 2" xfId="1145" xr:uid="{00000000-0005-0000-0000-0000A8040000}"/>
    <cellStyle name="Accent4 3" xfId="1146" xr:uid="{00000000-0005-0000-0000-0000A9040000}"/>
    <cellStyle name="Accent5 2" xfId="1147" xr:uid="{00000000-0005-0000-0000-0000AA040000}"/>
    <cellStyle name="Accent5 3" xfId="1148" xr:uid="{00000000-0005-0000-0000-0000AB040000}"/>
    <cellStyle name="Accent6 2" xfId="1149" xr:uid="{00000000-0005-0000-0000-0000AC040000}"/>
    <cellStyle name="Accent6 3" xfId="1150" xr:uid="{00000000-0005-0000-0000-0000AD040000}"/>
    <cellStyle name="Bad 2" xfId="1151" xr:uid="{00000000-0005-0000-0000-0000AE040000}"/>
    <cellStyle name="Bad 3" xfId="1152" xr:uid="{00000000-0005-0000-0000-0000AF040000}"/>
    <cellStyle name="calc" xfId="1153" xr:uid="{00000000-0005-0000-0000-0000B0040000}"/>
    <cellStyle name="Calculation 2" xfId="1154" xr:uid="{00000000-0005-0000-0000-0000B1040000}"/>
    <cellStyle name="Calculation 3" xfId="1155" xr:uid="{00000000-0005-0000-0000-0000B2040000}"/>
    <cellStyle name="cell" xfId="1156" xr:uid="{00000000-0005-0000-0000-0000B3040000}"/>
    <cellStyle name="Check Cell 2" xfId="1157" xr:uid="{00000000-0005-0000-0000-0000B4040000}"/>
    <cellStyle name="Check Cell 3" xfId="1158" xr:uid="{00000000-0005-0000-0000-0000B5040000}"/>
    <cellStyle name="Col Heads" xfId="1159" xr:uid="{00000000-0005-0000-0000-0000B6040000}"/>
    <cellStyle name="Comma 10" xfId="1160" xr:uid="{00000000-0005-0000-0000-0000B7040000}"/>
    <cellStyle name="Comma 11" xfId="1161" xr:uid="{00000000-0005-0000-0000-0000B8040000}"/>
    <cellStyle name="Comma 12" xfId="1162" xr:uid="{00000000-0005-0000-0000-0000B9040000}"/>
    <cellStyle name="Comma 13" xfId="1163" xr:uid="{00000000-0005-0000-0000-0000BA040000}"/>
    <cellStyle name="Comma 14" xfId="1164" xr:uid="{00000000-0005-0000-0000-0000BB040000}"/>
    <cellStyle name="Comma 15" xfId="1165" xr:uid="{00000000-0005-0000-0000-0000BC040000}"/>
    <cellStyle name="Comma 16" xfId="1166" xr:uid="{00000000-0005-0000-0000-0000BD040000}"/>
    <cellStyle name="Comma 17" xfId="1167" xr:uid="{00000000-0005-0000-0000-0000BE040000}"/>
    <cellStyle name="Comma 18" xfId="1168" xr:uid="{00000000-0005-0000-0000-0000BF040000}"/>
    <cellStyle name="Comma 19" xfId="1169" xr:uid="{00000000-0005-0000-0000-0000C0040000}"/>
    <cellStyle name="Comma 2" xfId="1170" xr:uid="{00000000-0005-0000-0000-0000C1040000}"/>
    <cellStyle name="Comma 2 2" xfId="1171" xr:uid="{00000000-0005-0000-0000-0000C2040000}"/>
    <cellStyle name="Comma 2 2 2" xfId="1172" xr:uid="{00000000-0005-0000-0000-0000C3040000}"/>
    <cellStyle name="Comma 2 2 3" xfId="1173" xr:uid="{00000000-0005-0000-0000-0000C4040000}"/>
    <cellStyle name="Comma 2 2 4" xfId="1174" xr:uid="{00000000-0005-0000-0000-0000C5040000}"/>
    <cellStyle name="Comma 2 2 5" xfId="1175" xr:uid="{00000000-0005-0000-0000-0000C6040000}"/>
    <cellStyle name="Comma 2 2 6" xfId="1176" xr:uid="{00000000-0005-0000-0000-0000C7040000}"/>
    <cellStyle name="Comma 2 2 7" xfId="1177" xr:uid="{00000000-0005-0000-0000-0000C8040000}"/>
    <cellStyle name="Comma 2 3" xfId="1178" xr:uid="{00000000-0005-0000-0000-0000C9040000}"/>
    <cellStyle name="Comma 2 4" xfId="1179" xr:uid="{00000000-0005-0000-0000-0000CA040000}"/>
    <cellStyle name="Comma 2 5" xfId="1180" xr:uid="{00000000-0005-0000-0000-0000CB040000}"/>
    <cellStyle name="Comma 2 6" xfId="1181" xr:uid="{00000000-0005-0000-0000-0000CC040000}"/>
    <cellStyle name="Comma 2 7" xfId="1182" xr:uid="{00000000-0005-0000-0000-0000CD040000}"/>
    <cellStyle name="Comma 2 8" xfId="1183" xr:uid="{00000000-0005-0000-0000-0000CE040000}"/>
    <cellStyle name="Comma 20" xfId="1184" xr:uid="{00000000-0005-0000-0000-0000CF040000}"/>
    <cellStyle name="Comma 21" xfId="1185" xr:uid="{00000000-0005-0000-0000-0000D0040000}"/>
    <cellStyle name="Comma 22" xfId="1186" xr:uid="{00000000-0005-0000-0000-0000D1040000}"/>
    <cellStyle name="Comma 23" xfId="1187" xr:uid="{00000000-0005-0000-0000-0000D2040000}"/>
    <cellStyle name="Comma 24" xfId="1188" xr:uid="{00000000-0005-0000-0000-0000D3040000}"/>
    <cellStyle name="Comma 24 2" xfId="1189" xr:uid="{00000000-0005-0000-0000-0000D4040000}"/>
    <cellStyle name="Comma 24 3" xfId="1190" xr:uid="{00000000-0005-0000-0000-0000D5040000}"/>
    <cellStyle name="Comma 24 4" xfId="1191" xr:uid="{00000000-0005-0000-0000-0000D6040000}"/>
    <cellStyle name="Comma 24 5" xfId="1192" xr:uid="{00000000-0005-0000-0000-0000D7040000}"/>
    <cellStyle name="Comma 24 6" xfId="1193" xr:uid="{00000000-0005-0000-0000-0000D8040000}"/>
    <cellStyle name="Comma 24 7" xfId="1194" xr:uid="{00000000-0005-0000-0000-0000D9040000}"/>
    <cellStyle name="Comma 25" xfId="1195" xr:uid="{00000000-0005-0000-0000-0000DA040000}"/>
    <cellStyle name="Comma 3" xfId="1196" xr:uid="{00000000-0005-0000-0000-0000DB040000}"/>
    <cellStyle name="Comma 3 2" xfId="1197" xr:uid="{00000000-0005-0000-0000-0000DC040000}"/>
    <cellStyle name="Comma 3 3" xfId="1198" xr:uid="{00000000-0005-0000-0000-0000DD040000}"/>
    <cellStyle name="Comma 3 4" xfId="1199" xr:uid="{00000000-0005-0000-0000-0000DE040000}"/>
    <cellStyle name="Comma 3 5" xfId="1200" xr:uid="{00000000-0005-0000-0000-0000DF040000}"/>
    <cellStyle name="Comma 3 6" xfId="1201" xr:uid="{00000000-0005-0000-0000-0000E0040000}"/>
    <cellStyle name="Comma 3 7" xfId="1202" xr:uid="{00000000-0005-0000-0000-0000E1040000}"/>
    <cellStyle name="Comma 4" xfId="1203" xr:uid="{00000000-0005-0000-0000-0000E2040000}"/>
    <cellStyle name="Comma 5" xfId="1204" xr:uid="{00000000-0005-0000-0000-0000E3040000}"/>
    <cellStyle name="Comma 6" xfId="1205" xr:uid="{00000000-0005-0000-0000-0000E4040000}"/>
    <cellStyle name="Comma 6 2" xfId="1206" xr:uid="{00000000-0005-0000-0000-0000E5040000}"/>
    <cellStyle name="Comma 6 3" xfId="1207" xr:uid="{00000000-0005-0000-0000-0000E6040000}"/>
    <cellStyle name="Comma 6 4" xfId="1208" xr:uid="{00000000-0005-0000-0000-0000E7040000}"/>
    <cellStyle name="Comma 6 5" xfId="1209" xr:uid="{00000000-0005-0000-0000-0000E8040000}"/>
    <cellStyle name="Comma 6 6" xfId="1210" xr:uid="{00000000-0005-0000-0000-0000E9040000}"/>
    <cellStyle name="Comma 6 7" xfId="1211" xr:uid="{00000000-0005-0000-0000-0000EA040000}"/>
    <cellStyle name="Comma 7" xfId="1212" xr:uid="{00000000-0005-0000-0000-0000EB040000}"/>
    <cellStyle name="Comma 8" xfId="1213" xr:uid="{00000000-0005-0000-0000-0000EC040000}"/>
    <cellStyle name="Comma 9" xfId="1214" xr:uid="{00000000-0005-0000-0000-0000ED040000}"/>
    <cellStyle name="Comma,0" xfId="1215" xr:uid="{00000000-0005-0000-0000-0000EE040000}"/>
    <cellStyle name="Comma,1" xfId="1216" xr:uid="{00000000-0005-0000-0000-0000EF040000}"/>
    <cellStyle name="Comma,2" xfId="1217" xr:uid="{00000000-0005-0000-0000-0000F0040000}"/>
    <cellStyle name="Comma_2008年4月司机工资" xfId="1218" xr:uid="{00000000-0005-0000-0000-0000F1040000}"/>
    <cellStyle name="ConSI - ART No." xfId="1219" xr:uid="{00000000-0005-0000-0000-0000F2040000}"/>
    <cellStyle name="Currency,0" xfId="1220" xr:uid="{00000000-0005-0000-0000-0000F3040000}"/>
    <cellStyle name="Currency,2" xfId="1221" xr:uid="{00000000-0005-0000-0000-0000F4040000}"/>
    <cellStyle name="Explanatory Text 2" xfId="1222" xr:uid="{00000000-0005-0000-0000-0000F5040000}"/>
    <cellStyle name="Explanatory Text 3" xfId="1223" xr:uid="{00000000-0005-0000-0000-0000F6040000}"/>
    <cellStyle name="gj" xfId="1224" xr:uid="{00000000-0005-0000-0000-0000F7040000}"/>
    <cellStyle name="gj1" xfId="1225" xr:uid="{00000000-0005-0000-0000-0000F8040000}"/>
    <cellStyle name="Good 2" xfId="1226" xr:uid="{00000000-0005-0000-0000-0000F9040000}"/>
    <cellStyle name="Good 3" xfId="1227" xr:uid="{00000000-0005-0000-0000-0000FA040000}"/>
    <cellStyle name="Grey" xfId="1228" xr:uid="{00000000-0005-0000-0000-0000FB040000}"/>
    <cellStyle name="gu" xfId="1229" xr:uid="{00000000-0005-0000-0000-0000FC040000}"/>
    <cellStyle name="hatched" xfId="1230" xr:uid="{00000000-0005-0000-0000-0000FD040000}"/>
    <cellStyle name="Header1" xfId="1231" xr:uid="{00000000-0005-0000-0000-0000FE040000}"/>
    <cellStyle name="Header2" xfId="1232" xr:uid="{00000000-0005-0000-0000-0000FF040000}"/>
    <cellStyle name="Heading 1 2" xfId="1233" xr:uid="{00000000-0005-0000-0000-000000050000}"/>
    <cellStyle name="Heading 1 3" xfId="1234" xr:uid="{00000000-0005-0000-0000-000001050000}"/>
    <cellStyle name="Heading 2 2" xfId="1235" xr:uid="{00000000-0005-0000-0000-000002050000}"/>
    <cellStyle name="Heading 2 3" xfId="1236" xr:uid="{00000000-0005-0000-0000-000003050000}"/>
    <cellStyle name="Heading 3 2" xfId="1237" xr:uid="{00000000-0005-0000-0000-000004050000}"/>
    <cellStyle name="Heading 3 3" xfId="1238" xr:uid="{00000000-0005-0000-0000-000005050000}"/>
    <cellStyle name="Heading 4 2" xfId="1239" xr:uid="{00000000-0005-0000-0000-000006050000}"/>
    <cellStyle name="Heading 4 3" xfId="1240" xr:uid="{00000000-0005-0000-0000-000007050000}"/>
    <cellStyle name="Hyperlink 2" xfId="1241" xr:uid="{00000000-0005-0000-0000-000008050000}"/>
    <cellStyle name="Hyperlink 3" xfId="1242" xr:uid="{00000000-0005-0000-0000-000009050000}"/>
    <cellStyle name="Input [yellow]" xfId="1243" xr:uid="{00000000-0005-0000-0000-00000A050000}"/>
    <cellStyle name="input 2" xfId="1244" xr:uid="{00000000-0005-0000-0000-00000B050000}"/>
    <cellStyle name="Input 3" xfId="1245" xr:uid="{00000000-0005-0000-0000-00000C050000}"/>
    <cellStyle name="Linked Cell 2" xfId="1246" xr:uid="{00000000-0005-0000-0000-00000D050000}"/>
    <cellStyle name="Linked Cell 3" xfId="1247" xr:uid="{00000000-0005-0000-0000-00000E050000}"/>
    <cellStyle name="Milliers [0]_AR1194" xfId="1248" xr:uid="{00000000-0005-0000-0000-00000F050000}"/>
    <cellStyle name="Milliers_AR1194" xfId="1249" xr:uid="{00000000-0005-0000-0000-000010050000}"/>
    <cellStyle name="Monétaire [0]_AR1194" xfId="1250" xr:uid="{00000000-0005-0000-0000-000011050000}"/>
    <cellStyle name="Monétaire_AR1194" xfId="1251" xr:uid="{00000000-0005-0000-0000-000012050000}"/>
    <cellStyle name="Mon閠aire [0]_AR1194" xfId="1252" xr:uid="{00000000-0005-0000-0000-000013050000}"/>
    <cellStyle name="Mon閠aire_AR1194" xfId="1253" xr:uid="{00000000-0005-0000-0000-000014050000}"/>
    <cellStyle name="Neutral 2" xfId="1254" xr:uid="{00000000-0005-0000-0000-000015050000}"/>
    <cellStyle name="Neutral 3" xfId="1255" xr:uid="{00000000-0005-0000-0000-000016050000}"/>
    <cellStyle name="no" xfId="1256" xr:uid="{00000000-0005-0000-0000-000017050000}"/>
    <cellStyle name="no dec" xfId="1257" xr:uid="{00000000-0005-0000-0000-000018050000}"/>
    <cellStyle name="Normal - Style1" xfId="1258" xr:uid="{00000000-0005-0000-0000-000019050000}"/>
    <cellStyle name="Normal 10" xfId="1259" xr:uid="{00000000-0005-0000-0000-00001A050000}"/>
    <cellStyle name="Normal 11" xfId="1260" xr:uid="{00000000-0005-0000-0000-00001B050000}"/>
    <cellStyle name="Normal 12" xfId="1261" xr:uid="{00000000-0005-0000-0000-00001C050000}"/>
    <cellStyle name="Normal 13" xfId="1262" xr:uid="{00000000-0005-0000-0000-00001D050000}"/>
    <cellStyle name="Normal 14" xfId="1263" xr:uid="{00000000-0005-0000-0000-00001E050000}"/>
    <cellStyle name="Normal 15" xfId="1264" xr:uid="{00000000-0005-0000-0000-00001F050000}"/>
    <cellStyle name="Normal 15 2" xfId="1265" xr:uid="{00000000-0005-0000-0000-000020050000}"/>
    <cellStyle name="Normal 15 3" xfId="1266" xr:uid="{00000000-0005-0000-0000-000021050000}"/>
    <cellStyle name="Normal 15 4" xfId="1267" xr:uid="{00000000-0005-0000-0000-000022050000}"/>
    <cellStyle name="Normal 15 5" xfId="1268" xr:uid="{00000000-0005-0000-0000-000023050000}"/>
    <cellStyle name="Normal 15 6" xfId="1269" xr:uid="{00000000-0005-0000-0000-000024050000}"/>
    <cellStyle name="Normal 15 7" xfId="1270" xr:uid="{00000000-0005-0000-0000-000025050000}"/>
    <cellStyle name="Normal 16" xfId="1271" xr:uid="{00000000-0005-0000-0000-000026050000}"/>
    <cellStyle name="Normal 17" xfId="1272" xr:uid="{00000000-0005-0000-0000-000027050000}"/>
    <cellStyle name="Normal 18" xfId="1273" xr:uid="{00000000-0005-0000-0000-000028050000}"/>
    <cellStyle name="Normal 19" xfId="1274" xr:uid="{00000000-0005-0000-0000-000029050000}"/>
    <cellStyle name="Normal 2" xfId="1275" xr:uid="{00000000-0005-0000-0000-00002A050000}"/>
    <cellStyle name="Normal 2 10" xfId="1276" xr:uid="{00000000-0005-0000-0000-00002B050000}"/>
    <cellStyle name="Normal 2 2" xfId="1277" xr:uid="{00000000-0005-0000-0000-00002C050000}"/>
    <cellStyle name="Normal 2 2 2" xfId="1278" xr:uid="{00000000-0005-0000-0000-00002D050000}"/>
    <cellStyle name="Normal 2 2 3" xfId="1279" xr:uid="{00000000-0005-0000-0000-00002E050000}"/>
    <cellStyle name="Normal 2 2 4" xfId="1280" xr:uid="{00000000-0005-0000-0000-00002F050000}"/>
    <cellStyle name="Normal 2 2 5" xfId="1281" xr:uid="{00000000-0005-0000-0000-000030050000}"/>
    <cellStyle name="Normal 2 2 6" xfId="1282" xr:uid="{00000000-0005-0000-0000-000031050000}"/>
    <cellStyle name="Normal 2 2 7" xfId="1283" xr:uid="{00000000-0005-0000-0000-000032050000}"/>
    <cellStyle name="Normal 2 2 8" xfId="1284" xr:uid="{00000000-0005-0000-0000-000033050000}"/>
    <cellStyle name="Normal 2 3" xfId="1285" xr:uid="{00000000-0005-0000-0000-000034050000}"/>
    <cellStyle name="Normal 2 3 2" xfId="1286" xr:uid="{00000000-0005-0000-0000-000035050000}"/>
    <cellStyle name="Normal 2 3 3" xfId="1287" xr:uid="{00000000-0005-0000-0000-000036050000}"/>
    <cellStyle name="Normal 2 3 4" xfId="1288" xr:uid="{00000000-0005-0000-0000-000037050000}"/>
    <cellStyle name="Normal 2 3 5" xfId="1289" xr:uid="{00000000-0005-0000-0000-000038050000}"/>
    <cellStyle name="Normal 2 3 6" xfId="1290" xr:uid="{00000000-0005-0000-0000-000039050000}"/>
    <cellStyle name="Normal 2 3 7" xfId="1291" xr:uid="{00000000-0005-0000-0000-00003A050000}"/>
    <cellStyle name="Normal 2 4" xfId="1292" xr:uid="{00000000-0005-0000-0000-00003B050000}"/>
    <cellStyle name="Normal 2 5" xfId="1293" xr:uid="{00000000-0005-0000-0000-00003C050000}"/>
    <cellStyle name="Normal 2 6" xfId="1294" xr:uid="{00000000-0005-0000-0000-00003D050000}"/>
    <cellStyle name="Normal 2 7" xfId="1295" xr:uid="{00000000-0005-0000-0000-00003E050000}"/>
    <cellStyle name="Normal 2 8" xfId="1296" xr:uid="{00000000-0005-0000-0000-00003F050000}"/>
    <cellStyle name="Normal 2 9" xfId="1297" xr:uid="{00000000-0005-0000-0000-000040050000}"/>
    <cellStyle name="Normal 2_201008假期(Sales)" xfId="1298" xr:uid="{00000000-0005-0000-0000-000041050000}"/>
    <cellStyle name="Normal 20" xfId="1299" xr:uid="{00000000-0005-0000-0000-000042050000}"/>
    <cellStyle name="Normal 21" xfId="1300" xr:uid="{00000000-0005-0000-0000-000043050000}"/>
    <cellStyle name="Normal 22" xfId="1301" xr:uid="{00000000-0005-0000-0000-000044050000}"/>
    <cellStyle name="Normal 23" xfId="1302" xr:uid="{00000000-0005-0000-0000-000045050000}"/>
    <cellStyle name="Normal 24" xfId="1303" xr:uid="{00000000-0005-0000-0000-000046050000}"/>
    <cellStyle name="Normal 25" xfId="1304" xr:uid="{00000000-0005-0000-0000-000047050000}"/>
    <cellStyle name="Normal 26" xfId="1305" xr:uid="{00000000-0005-0000-0000-000048050000}"/>
    <cellStyle name="Normal 27" xfId="1306" xr:uid="{00000000-0005-0000-0000-000049050000}"/>
    <cellStyle name="Normal 28" xfId="1307" xr:uid="{00000000-0005-0000-0000-00004A050000}"/>
    <cellStyle name="Normal 29" xfId="1308" xr:uid="{00000000-0005-0000-0000-00004B050000}"/>
    <cellStyle name="Normal 29 2" xfId="1309" xr:uid="{00000000-0005-0000-0000-00004C050000}"/>
    <cellStyle name="Normal 29 2 2" xfId="1310" xr:uid="{00000000-0005-0000-0000-00004D050000}"/>
    <cellStyle name="Normal 3" xfId="1311" xr:uid="{00000000-0005-0000-0000-00004E050000}"/>
    <cellStyle name="Normal 3 2" xfId="1312" xr:uid="{00000000-0005-0000-0000-00004F050000}"/>
    <cellStyle name="Normal 3 3" xfId="1313" xr:uid="{00000000-0005-0000-0000-000050050000}"/>
    <cellStyle name="Normal 3 4" xfId="1314" xr:uid="{00000000-0005-0000-0000-000051050000}"/>
    <cellStyle name="Normal 30" xfId="1315" xr:uid="{00000000-0005-0000-0000-000052050000}"/>
    <cellStyle name="Normal 31" xfId="1316" xr:uid="{00000000-0005-0000-0000-000053050000}"/>
    <cellStyle name="Normal 31 2" xfId="1317" xr:uid="{00000000-0005-0000-0000-000054050000}"/>
    <cellStyle name="Normal 31 3" xfId="1318" xr:uid="{00000000-0005-0000-0000-000055050000}"/>
    <cellStyle name="Normal 31 4" xfId="1319" xr:uid="{00000000-0005-0000-0000-000056050000}"/>
    <cellStyle name="Normal 31 5" xfId="1320" xr:uid="{00000000-0005-0000-0000-000057050000}"/>
    <cellStyle name="Normal 31 6" xfId="1321" xr:uid="{00000000-0005-0000-0000-000058050000}"/>
    <cellStyle name="Normal 31 7" xfId="1322" xr:uid="{00000000-0005-0000-0000-000059050000}"/>
    <cellStyle name="Normal 32" xfId="1323" xr:uid="{00000000-0005-0000-0000-00005A050000}"/>
    <cellStyle name="Normal 33" xfId="1324" xr:uid="{00000000-0005-0000-0000-00005B050000}"/>
    <cellStyle name="Normal 34" xfId="1325" xr:uid="{00000000-0005-0000-0000-00005C050000}"/>
    <cellStyle name="Normal 35" xfId="1326" xr:uid="{00000000-0005-0000-0000-00005D050000}"/>
    <cellStyle name="Normal 36" xfId="1327" xr:uid="{00000000-0005-0000-0000-00005E050000}"/>
    <cellStyle name="Normal 37" xfId="1328" xr:uid="{00000000-0005-0000-0000-00005F050000}"/>
    <cellStyle name="Normal 38" xfId="1329" xr:uid="{00000000-0005-0000-0000-000060050000}"/>
    <cellStyle name="Normal 39" xfId="1330" xr:uid="{00000000-0005-0000-0000-000061050000}"/>
    <cellStyle name="Normal 4" xfId="1331" xr:uid="{00000000-0005-0000-0000-000062050000}"/>
    <cellStyle name="Normal 4 2" xfId="1332" xr:uid="{00000000-0005-0000-0000-000063050000}"/>
    <cellStyle name="Normal 4 3" xfId="1333" xr:uid="{00000000-0005-0000-0000-000064050000}"/>
    <cellStyle name="Normal 4 3 2" xfId="1334" xr:uid="{00000000-0005-0000-0000-000065050000}"/>
    <cellStyle name="Normal 4 3 3" xfId="1335" xr:uid="{00000000-0005-0000-0000-000066050000}"/>
    <cellStyle name="Normal 4 3 4" xfId="1336" xr:uid="{00000000-0005-0000-0000-000067050000}"/>
    <cellStyle name="Normal 4 3 5" xfId="1337" xr:uid="{00000000-0005-0000-0000-000068050000}"/>
    <cellStyle name="Normal 4 3 6" xfId="1338" xr:uid="{00000000-0005-0000-0000-000069050000}"/>
    <cellStyle name="Normal 4 3 7" xfId="1339" xr:uid="{00000000-0005-0000-0000-00006A050000}"/>
    <cellStyle name="Normal 40" xfId="1340" xr:uid="{00000000-0005-0000-0000-00006B050000}"/>
    <cellStyle name="Normal 41" xfId="1341" xr:uid="{00000000-0005-0000-0000-00006C050000}"/>
    <cellStyle name="Normal 42" xfId="1342" xr:uid="{00000000-0005-0000-0000-00006D050000}"/>
    <cellStyle name="Normal 43" xfId="1343" xr:uid="{00000000-0005-0000-0000-00006E050000}"/>
    <cellStyle name="Normal 44" xfId="1344" xr:uid="{00000000-0005-0000-0000-00006F050000}"/>
    <cellStyle name="Normal 45" xfId="1345" xr:uid="{00000000-0005-0000-0000-000070050000}"/>
    <cellStyle name="Normal 46" xfId="1346" xr:uid="{00000000-0005-0000-0000-000071050000}"/>
    <cellStyle name="Normal 46 2" xfId="1347" xr:uid="{00000000-0005-0000-0000-000072050000}"/>
    <cellStyle name="Normal 47" xfId="1348" xr:uid="{00000000-0005-0000-0000-000073050000}"/>
    <cellStyle name="Normal 47 2" xfId="1349" xr:uid="{00000000-0005-0000-0000-000074050000}"/>
    <cellStyle name="Normal 47 3" xfId="1350" xr:uid="{00000000-0005-0000-0000-000075050000}"/>
    <cellStyle name="Normal 47 4" xfId="1351" xr:uid="{00000000-0005-0000-0000-000076050000}"/>
    <cellStyle name="Normal 47 5" xfId="1352" xr:uid="{00000000-0005-0000-0000-000077050000}"/>
    <cellStyle name="Normal 47 6" xfId="1353" xr:uid="{00000000-0005-0000-0000-000078050000}"/>
    <cellStyle name="Normal 47 7" xfId="1354" xr:uid="{00000000-0005-0000-0000-000079050000}"/>
    <cellStyle name="Normal 5" xfId="1355" xr:uid="{00000000-0005-0000-0000-00007A050000}"/>
    <cellStyle name="Normal 5 2" xfId="1356" xr:uid="{00000000-0005-0000-0000-00007B050000}"/>
    <cellStyle name="Normal 5 3" xfId="1357" xr:uid="{00000000-0005-0000-0000-00007C050000}"/>
    <cellStyle name="Normal 5 4" xfId="1358" xr:uid="{00000000-0005-0000-0000-00007D050000}"/>
    <cellStyle name="Normal 5 5" xfId="1359" xr:uid="{00000000-0005-0000-0000-00007E050000}"/>
    <cellStyle name="Normal 5 6" xfId="1360" xr:uid="{00000000-0005-0000-0000-00007F050000}"/>
    <cellStyle name="Normal 5 7" xfId="1361" xr:uid="{00000000-0005-0000-0000-000080050000}"/>
    <cellStyle name="Normal 6" xfId="1362" xr:uid="{00000000-0005-0000-0000-000081050000}"/>
    <cellStyle name="Normal 6 2" xfId="1363" xr:uid="{00000000-0005-0000-0000-000082050000}"/>
    <cellStyle name="Normal 6 2 2" xfId="1364" xr:uid="{00000000-0005-0000-0000-000083050000}"/>
    <cellStyle name="Normal 6 2 3" xfId="1365" xr:uid="{00000000-0005-0000-0000-000084050000}"/>
    <cellStyle name="Normal 6 2 4" xfId="1366" xr:uid="{00000000-0005-0000-0000-000085050000}"/>
    <cellStyle name="Normal 6 2 5" xfId="1367" xr:uid="{00000000-0005-0000-0000-000086050000}"/>
    <cellStyle name="Normal 6 2 6" xfId="1368" xr:uid="{00000000-0005-0000-0000-000087050000}"/>
    <cellStyle name="Normal 6 2 7" xfId="1369" xr:uid="{00000000-0005-0000-0000-000088050000}"/>
    <cellStyle name="Normal 6 3" xfId="1370" xr:uid="{00000000-0005-0000-0000-000089050000}"/>
    <cellStyle name="Normal 6 4" xfId="1371" xr:uid="{00000000-0005-0000-0000-00008A050000}"/>
    <cellStyle name="Normal 6 5" xfId="1372" xr:uid="{00000000-0005-0000-0000-00008B050000}"/>
    <cellStyle name="Normal 6 6" xfId="1373" xr:uid="{00000000-0005-0000-0000-00008C050000}"/>
    <cellStyle name="Normal 6 7" xfId="1374" xr:uid="{00000000-0005-0000-0000-00008D050000}"/>
    <cellStyle name="Normal 6 8" xfId="1375" xr:uid="{00000000-0005-0000-0000-00008E050000}"/>
    <cellStyle name="Normal 7" xfId="1376" xr:uid="{00000000-0005-0000-0000-00008F050000}"/>
    <cellStyle name="Normal 7 2" xfId="1377" xr:uid="{00000000-0005-0000-0000-000090050000}"/>
    <cellStyle name="Normal 7 3" xfId="1378" xr:uid="{00000000-0005-0000-0000-000091050000}"/>
    <cellStyle name="Normal 7 4" xfId="1379" xr:uid="{00000000-0005-0000-0000-000092050000}"/>
    <cellStyle name="Normal 7 5" xfId="1380" xr:uid="{00000000-0005-0000-0000-000093050000}"/>
    <cellStyle name="Normal 7 6" xfId="1381" xr:uid="{00000000-0005-0000-0000-000094050000}"/>
    <cellStyle name="Normal 7 7" xfId="1382" xr:uid="{00000000-0005-0000-0000-000095050000}"/>
    <cellStyle name="Normal 8" xfId="1383" xr:uid="{00000000-0005-0000-0000-000096050000}"/>
    <cellStyle name="Normal 8 2" xfId="1384" xr:uid="{00000000-0005-0000-0000-000097050000}"/>
    <cellStyle name="Normal 8 3" xfId="1385" xr:uid="{00000000-0005-0000-0000-000098050000}"/>
    <cellStyle name="Normal 8 4" xfId="1386" xr:uid="{00000000-0005-0000-0000-000099050000}"/>
    <cellStyle name="Normal 8 5" xfId="1387" xr:uid="{00000000-0005-0000-0000-00009A050000}"/>
    <cellStyle name="Normal 8 6" xfId="1388" xr:uid="{00000000-0005-0000-0000-00009B050000}"/>
    <cellStyle name="Normal 8 7" xfId="1389" xr:uid="{00000000-0005-0000-0000-00009C050000}"/>
    <cellStyle name="Normal 9" xfId="1390" xr:uid="{00000000-0005-0000-0000-00009D050000}"/>
    <cellStyle name="Normal_2008年4月司机工资" xfId="1391" xr:uid="{00000000-0005-0000-0000-00009E050000}"/>
    <cellStyle name="NormalX" xfId="1392" xr:uid="{00000000-0005-0000-0000-00009F050000}"/>
    <cellStyle name="Note 2" xfId="1393" xr:uid="{00000000-0005-0000-0000-0000A0050000}"/>
    <cellStyle name="Note 2 2" xfId="1394" xr:uid="{00000000-0005-0000-0000-0000A1050000}"/>
    <cellStyle name="Note 2 3" xfId="1395" xr:uid="{00000000-0005-0000-0000-0000A2050000}"/>
    <cellStyle name="Note 2 4" xfId="1396" xr:uid="{00000000-0005-0000-0000-0000A3050000}"/>
    <cellStyle name="Note 2 5" xfId="1397" xr:uid="{00000000-0005-0000-0000-0000A4050000}"/>
    <cellStyle name="Note 2 6" xfId="1398" xr:uid="{00000000-0005-0000-0000-0000A5050000}"/>
    <cellStyle name="Note 2 7" xfId="1399" xr:uid="{00000000-0005-0000-0000-0000A6050000}"/>
    <cellStyle name="Note 3" xfId="1400" xr:uid="{00000000-0005-0000-0000-0000A7050000}"/>
    <cellStyle name="Note 3 2" xfId="1401" xr:uid="{00000000-0005-0000-0000-0000A8050000}"/>
    <cellStyle name="Note 3 3" xfId="1402" xr:uid="{00000000-0005-0000-0000-0000A9050000}"/>
    <cellStyle name="Note 3 4" xfId="1403" xr:uid="{00000000-0005-0000-0000-0000AA050000}"/>
    <cellStyle name="Note 3 5" xfId="1404" xr:uid="{00000000-0005-0000-0000-0000AB050000}"/>
    <cellStyle name="Note 3 6" xfId="1405" xr:uid="{00000000-0005-0000-0000-0000AC050000}"/>
    <cellStyle name="Note 3 7" xfId="1406" xr:uid="{00000000-0005-0000-0000-0000AD050000}"/>
    <cellStyle name="Note 4" xfId="1407" xr:uid="{00000000-0005-0000-0000-0000AE050000}"/>
    <cellStyle name="Note 4 2" xfId="1408" xr:uid="{00000000-0005-0000-0000-0000AF050000}"/>
    <cellStyle name="Note 4 3" xfId="1409" xr:uid="{00000000-0005-0000-0000-0000B0050000}"/>
    <cellStyle name="Note 4 4" xfId="1410" xr:uid="{00000000-0005-0000-0000-0000B1050000}"/>
    <cellStyle name="Note 4 5" xfId="1411" xr:uid="{00000000-0005-0000-0000-0000B2050000}"/>
    <cellStyle name="Note 4 6" xfId="1412" xr:uid="{00000000-0005-0000-0000-0000B3050000}"/>
    <cellStyle name="Note 4 7" xfId="1413" xr:uid="{00000000-0005-0000-0000-0000B4050000}"/>
    <cellStyle name="Output 2" xfId="1414" xr:uid="{00000000-0005-0000-0000-0000B5050000}"/>
    <cellStyle name="Output 3" xfId="1415" xr:uid="{00000000-0005-0000-0000-0000B6050000}"/>
    <cellStyle name="Percent [2]" xfId="1416" xr:uid="{00000000-0005-0000-0000-0000B7050000}"/>
    <cellStyle name="Percent 10" xfId="1417" xr:uid="{00000000-0005-0000-0000-0000B8050000}"/>
    <cellStyle name="Percent 11" xfId="1418" xr:uid="{00000000-0005-0000-0000-0000B9050000}"/>
    <cellStyle name="Percent 12" xfId="1419" xr:uid="{00000000-0005-0000-0000-0000BA050000}"/>
    <cellStyle name="Percent 12 2" xfId="1420" xr:uid="{00000000-0005-0000-0000-0000BB050000}"/>
    <cellStyle name="Percent 13" xfId="1421" xr:uid="{00000000-0005-0000-0000-0000BC050000}"/>
    <cellStyle name="Percent 14" xfId="1422" xr:uid="{00000000-0005-0000-0000-0000BD050000}"/>
    <cellStyle name="Percent 15" xfId="1423" xr:uid="{00000000-0005-0000-0000-0000BE050000}"/>
    <cellStyle name="Percent 16" xfId="1424" xr:uid="{00000000-0005-0000-0000-0000BF050000}"/>
    <cellStyle name="Percent 17" xfId="1425" xr:uid="{00000000-0005-0000-0000-0000C0050000}"/>
    <cellStyle name="Percent 18" xfId="1426" xr:uid="{00000000-0005-0000-0000-0000C1050000}"/>
    <cellStyle name="Percent 2" xfId="1427" xr:uid="{00000000-0005-0000-0000-0000C2050000}"/>
    <cellStyle name="Percent 2 2" xfId="1428" xr:uid="{00000000-0005-0000-0000-0000C3050000}"/>
    <cellStyle name="Percent 2 3" xfId="1429" xr:uid="{00000000-0005-0000-0000-0000C4050000}"/>
    <cellStyle name="Percent 2 4" xfId="1430" xr:uid="{00000000-0005-0000-0000-0000C5050000}"/>
    <cellStyle name="Percent 2 5" xfId="1431" xr:uid="{00000000-0005-0000-0000-0000C6050000}"/>
    <cellStyle name="Percent 2 6" xfId="1432" xr:uid="{00000000-0005-0000-0000-0000C7050000}"/>
    <cellStyle name="Percent 2 7" xfId="1433" xr:uid="{00000000-0005-0000-0000-0000C8050000}"/>
    <cellStyle name="Percent 3" xfId="1434" xr:uid="{00000000-0005-0000-0000-0000C9050000}"/>
    <cellStyle name="Percent 4" xfId="1435" xr:uid="{00000000-0005-0000-0000-0000CA050000}"/>
    <cellStyle name="Percent 4 2" xfId="1436" xr:uid="{00000000-0005-0000-0000-0000CB050000}"/>
    <cellStyle name="Percent 4 3" xfId="1437" xr:uid="{00000000-0005-0000-0000-0000CC050000}"/>
    <cellStyle name="Percent 4 4" xfId="1438" xr:uid="{00000000-0005-0000-0000-0000CD050000}"/>
    <cellStyle name="Percent 4 5" xfId="1439" xr:uid="{00000000-0005-0000-0000-0000CE050000}"/>
    <cellStyle name="Percent 4 6" xfId="1440" xr:uid="{00000000-0005-0000-0000-0000CF050000}"/>
    <cellStyle name="Percent 4 7" xfId="1441" xr:uid="{00000000-0005-0000-0000-0000D0050000}"/>
    <cellStyle name="Percent 5" xfId="1442" xr:uid="{00000000-0005-0000-0000-0000D1050000}"/>
    <cellStyle name="Percent 6" xfId="1443" xr:uid="{00000000-0005-0000-0000-0000D2050000}"/>
    <cellStyle name="Percent 6 2" xfId="1444" xr:uid="{00000000-0005-0000-0000-0000D3050000}"/>
    <cellStyle name="Percent 6 3" xfId="1445" xr:uid="{00000000-0005-0000-0000-0000D4050000}"/>
    <cellStyle name="Percent 6 4" xfId="1446" xr:uid="{00000000-0005-0000-0000-0000D5050000}"/>
    <cellStyle name="Percent 6 5" xfId="1447" xr:uid="{00000000-0005-0000-0000-0000D6050000}"/>
    <cellStyle name="Percent 6 6" xfId="1448" xr:uid="{00000000-0005-0000-0000-0000D7050000}"/>
    <cellStyle name="Percent 6 7" xfId="1449" xr:uid="{00000000-0005-0000-0000-0000D8050000}"/>
    <cellStyle name="Percent 7" xfId="1450" xr:uid="{00000000-0005-0000-0000-0000D9050000}"/>
    <cellStyle name="Percent 8" xfId="1451" xr:uid="{00000000-0005-0000-0000-0000DA050000}"/>
    <cellStyle name="Percent 9" xfId="1452" xr:uid="{00000000-0005-0000-0000-0000DB050000}"/>
    <cellStyle name="PERCENTAGE" xfId="1453" xr:uid="{00000000-0005-0000-0000-0000DC050000}"/>
    <cellStyle name="special" xfId="1454" xr:uid="{00000000-0005-0000-0000-0000DD050000}"/>
    <cellStyle name="Style 1" xfId="1455" xr:uid="{00000000-0005-0000-0000-0000DE050000}"/>
    <cellStyle name="Style 1 2" xfId="1456" xr:uid="{00000000-0005-0000-0000-0000DF050000}"/>
    <cellStyle name="Style 1 2 2" xfId="1457" xr:uid="{00000000-0005-0000-0000-0000E0050000}"/>
    <cellStyle name="Style 1 2 3" xfId="1458" xr:uid="{00000000-0005-0000-0000-0000E1050000}"/>
    <cellStyle name="Style 1 2 4" xfId="1459" xr:uid="{00000000-0005-0000-0000-0000E2050000}"/>
    <cellStyle name="Style 1 2 5" xfId="1460" xr:uid="{00000000-0005-0000-0000-0000E3050000}"/>
    <cellStyle name="Style 1 2 6" xfId="1461" xr:uid="{00000000-0005-0000-0000-0000E4050000}"/>
    <cellStyle name="Style 1 2 7" xfId="1462" xr:uid="{00000000-0005-0000-0000-0000E5050000}"/>
    <cellStyle name="Style 1 3" xfId="1463" xr:uid="{00000000-0005-0000-0000-0000E6050000}"/>
    <cellStyle name="Style 1 3 2" xfId="1464" xr:uid="{00000000-0005-0000-0000-0000E7050000}"/>
    <cellStyle name="Style 1 3 3" xfId="1465" xr:uid="{00000000-0005-0000-0000-0000E8050000}"/>
    <cellStyle name="Style 1 3 4" xfId="1466" xr:uid="{00000000-0005-0000-0000-0000E9050000}"/>
    <cellStyle name="Style 1 3 5" xfId="1467" xr:uid="{00000000-0005-0000-0000-0000EA050000}"/>
    <cellStyle name="Style 1 3 6" xfId="1468" xr:uid="{00000000-0005-0000-0000-0000EB050000}"/>
    <cellStyle name="Style 1 3 7" xfId="1469" xr:uid="{00000000-0005-0000-0000-0000EC050000}"/>
    <cellStyle name="Style 1 4" xfId="1470" xr:uid="{00000000-0005-0000-0000-0000ED050000}"/>
    <cellStyle name="Style 1 5" xfId="1471" xr:uid="{00000000-0005-0000-0000-0000EE050000}"/>
    <cellStyle name="Style 1 6" xfId="1472" xr:uid="{00000000-0005-0000-0000-0000EF050000}"/>
    <cellStyle name="Style 1 7" xfId="1473" xr:uid="{00000000-0005-0000-0000-0000F0050000}"/>
    <cellStyle name="Style 1 8" xfId="1474" xr:uid="{00000000-0005-0000-0000-0000F1050000}"/>
    <cellStyle name="Style 1 9" xfId="1475" xr:uid="{00000000-0005-0000-0000-0000F2050000}"/>
    <cellStyle name="Style 2" xfId="1476" xr:uid="{00000000-0005-0000-0000-0000F3050000}"/>
    <cellStyle name="title 2" xfId="1477" xr:uid="{00000000-0005-0000-0000-0000F4050000}"/>
    <cellStyle name="Title 3" xfId="1478" xr:uid="{00000000-0005-0000-0000-0000F5050000}"/>
    <cellStyle name="title2" xfId="1479" xr:uid="{00000000-0005-0000-0000-0000F6050000}"/>
    <cellStyle name="Total 2" xfId="1480" xr:uid="{00000000-0005-0000-0000-0000F7050000}"/>
    <cellStyle name="Total 3" xfId="1481" xr:uid="{00000000-0005-0000-0000-0000F8050000}"/>
    <cellStyle name="Warning Text 2" xfId="1482" xr:uid="{00000000-0005-0000-0000-0000F9050000}"/>
    <cellStyle name="Warning Text 3" xfId="1483" xr:uid="{00000000-0005-0000-0000-0000FA050000}"/>
    <cellStyle name="yellow" xfId="1484" xr:uid="{00000000-0005-0000-0000-0000FB050000}"/>
    <cellStyle name="yes" xfId="1485" xr:uid="{00000000-0005-0000-0000-0000FC050000}"/>
    <cellStyle name="yp" xfId="1486" xr:uid="{00000000-0005-0000-0000-0000FD050000}"/>
    <cellStyle name="_934" xfId="1487" xr:uid="{00000000-0005-0000-0000-0000FE050000}"/>
    <cellStyle name="百分比 17" xfId="1488" xr:uid="{00000000-0005-0000-0000-0000FF050000}"/>
    <cellStyle name="百分比 17 2" xfId="1489" xr:uid="{00000000-0005-0000-0000-000000060000}"/>
    <cellStyle name="百分比 17 3" xfId="1490" xr:uid="{00000000-0005-0000-0000-000001060000}"/>
    <cellStyle name="百分比 17 4" xfId="1491" xr:uid="{00000000-0005-0000-0000-000002060000}"/>
    <cellStyle name="百分比 17 5" xfId="1492" xr:uid="{00000000-0005-0000-0000-000003060000}"/>
    <cellStyle name="百分比 17 6" xfId="1493" xr:uid="{00000000-0005-0000-0000-000004060000}"/>
    <cellStyle name="百分比 17 7" xfId="1494" xr:uid="{00000000-0005-0000-0000-000005060000}"/>
    <cellStyle name="百分比 2" xfId="1495" xr:uid="{00000000-0005-0000-0000-000006060000}"/>
    <cellStyle name="百分比 2 2" xfId="1496" xr:uid="{00000000-0005-0000-0000-000007060000}"/>
    <cellStyle name="百分比 2 3" xfId="1497" xr:uid="{00000000-0005-0000-0000-000008060000}"/>
    <cellStyle name="百分比 2 3 2" xfId="1498" xr:uid="{00000000-0005-0000-0000-000009060000}"/>
    <cellStyle name="百分比 2 3 3" xfId="1499" xr:uid="{00000000-0005-0000-0000-00000A060000}"/>
    <cellStyle name="百分比 2 3 4" xfId="1500" xr:uid="{00000000-0005-0000-0000-00000B060000}"/>
    <cellStyle name="百分比 2 3 5" xfId="1501" xr:uid="{00000000-0005-0000-0000-00000C060000}"/>
    <cellStyle name="百分比 2 3 6" xfId="1502" xr:uid="{00000000-0005-0000-0000-00000D060000}"/>
    <cellStyle name="百分比 2 3 7" xfId="1503" xr:uid="{00000000-0005-0000-0000-00000E060000}"/>
    <cellStyle name="百分比 2 4" xfId="1504" xr:uid="{00000000-0005-0000-0000-00000F060000}"/>
    <cellStyle name="百分比 2 5" xfId="1505" xr:uid="{00000000-0005-0000-0000-000010060000}"/>
    <cellStyle name="百分比 2 6" xfId="1506" xr:uid="{00000000-0005-0000-0000-000011060000}"/>
    <cellStyle name="百分比 2 7" xfId="1507" xr:uid="{00000000-0005-0000-0000-000012060000}"/>
    <cellStyle name="百分比 2 8" xfId="1508" xr:uid="{00000000-0005-0000-0000-000013060000}"/>
    <cellStyle name="百分比 2 9" xfId="1509" xr:uid="{00000000-0005-0000-0000-000014060000}"/>
    <cellStyle name="百分比 3" xfId="1510" xr:uid="{00000000-0005-0000-0000-000015060000}"/>
    <cellStyle name="百分比 3 2" xfId="1511" xr:uid="{00000000-0005-0000-0000-000016060000}"/>
    <cellStyle name="百分比 3 2 2" xfId="1512" xr:uid="{00000000-0005-0000-0000-000017060000}"/>
    <cellStyle name="百分比 3 2 3" xfId="1513" xr:uid="{00000000-0005-0000-0000-000018060000}"/>
    <cellStyle name="百分比 3 2 3 2" xfId="1514" xr:uid="{00000000-0005-0000-0000-000019060000}"/>
    <cellStyle name="百分比 3 2 3 3" xfId="1515" xr:uid="{00000000-0005-0000-0000-00001A060000}"/>
    <cellStyle name="百分比 3 2 3 4" xfId="1516" xr:uid="{00000000-0005-0000-0000-00001B060000}"/>
    <cellStyle name="百分比 3 2 3 5" xfId="1517" xr:uid="{00000000-0005-0000-0000-00001C060000}"/>
    <cellStyle name="百分比 3 2 3 6" xfId="1518" xr:uid="{00000000-0005-0000-0000-00001D060000}"/>
    <cellStyle name="百分比 3 2 3 7" xfId="1519" xr:uid="{00000000-0005-0000-0000-00001E060000}"/>
    <cellStyle name="百分比 3 2 4" xfId="1520" xr:uid="{00000000-0005-0000-0000-00001F060000}"/>
    <cellStyle name="百分比 3 2 5" xfId="1521" xr:uid="{00000000-0005-0000-0000-000020060000}"/>
    <cellStyle name="百分比 3 2 6" xfId="1522" xr:uid="{00000000-0005-0000-0000-000021060000}"/>
    <cellStyle name="百分比 3 2 7" xfId="1523" xr:uid="{00000000-0005-0000-0000-000022060000}"/>
    <cellStyle name="百分比 3 2 8" xfId="1524" xr:uid="{00000000-0005-0000-0000-000023060000}"/>
    <cellStyle name="百分比 3 3" xfId="1525" xr:uid="{00000000-0005-0000-0000-000024060000}"/>
    <cellStyle name="百分比 3 3 2" xfId="1526" xr:uid="{00000000-0005-0000-0000-000025060000}"/>
    <cellStyle name="百分比 3 3 3" xfId="1527" xr:uid="{00000000-0005-0000-0000-000026060000}"/>
    <cellStyle name="百分比 3 3 4" xfId="1528" xr:uid="{00000000-0005-0000-0000-000027060000}"/>
    <cellStyle name="百分比 3 3 5" xfId="1529" xr:uid="{00000000-0005-0000-0000-000028060000}"/>
    <cellStyle name="百分比 3 3 6" xfId="1530" xr:uid="{00000000-0005-0000-0000-000029060000}"/>
    <cellStyle name="百分比 3 3 7" xfId="1531" xr:uid="{00000000-0005-0000-0000-00002A060000}"/>
    <cellStyle name="百分比 3 4" xfId="1532" xr:uid="{00000000-0005-0000-0000-00002B060000}"/>
    <cellStyle name="百分比 3 5" xfId="1533" xr:uid="{00000000-0005-0000-0000-00002C060000}"/>
    <cellStyle name="百分比 3 6" xfId="1534" xr:uid="{00000000-0005-0000-0000-00002D060000}"/>
    <cellStyle name="百分比 3 7" xfId="1535" xr:uid="{00000000-0005-0000-0000-00002E060000}"/>
    <cellStyle name="百分比 3 8" xfId="1536" xr:uid="{00000000-0005-0000-0000-00002F060000}"/>
    <cellStyle name="百分比 3 9" xfId="1537" xr:uid="{00000000-0005-0000-0000-000030060000}"/>
    <cellStyle name="标题 1 2" xfId="1538" xr:uid="{00000000-0005-0000-0000-000031060000}"/>
    <cellStyle name="标题 1 3" xfId="1539" xr:uid="{00000000-0005-0000-0000-000032060000}"/>
    <cellStyle name="标题 1 4" xfId="1540" xr:uid="{00000000-0005-0000-0000-000033060000}"/>
    <cellStyle name="标题 1 5" xfId="1541" xr:uid="{00000000-0005-0000-0000-000034060000}"/>
    <cellStyle name="标题 1 6" xfId="1542" xr:uid="{00000000-0005-0000-0000-000035060000}"/>
    <cellStyle name="标题 1 7" xfId="1543" xr:uid="{00000000-0005-0000-0000-000036060000}"/>
    <cellStyle name="标题 1 8" xfId="1544" xr:uid="{00000000-0005-0000-0000-000037060000}"/>
    <cellStyle name="标题 10" xfId="1545" xr:uid="{00000000-0005-0000-0000-000038060000}"/>
    <cellStyle name="标题 11" xfId="1546" xr:uid="{00000000-0005-0000-0000-000039060000}"/>
    <cellStyle name="标题 2 2" xfId="1547" xr:uid="{00000000-0005-0000-0000-00003A060000}"/>
    <cellStyle name="标题 2 3" xfId="1548" xr:uid="{00000000-0005-0000-0000-00003B060000}"/>
    <cellStyle name="标题 2 4" xfId="1549" xr:uid="{00000000-0005-0000-0000-00003C060000}"/>
    <cellStyle name="标题 2 5" xfId="1550" xr:uid="{00000000-0005-0000-0000-00003D060000}"/>
    <cellStyle name="标题 2 6" xfId="1551" xr:uid="{00000000-0005-0000-0000-00003E060000}"/>
    <cellStyle name="标题 2 7" xfId="1552" xr:uid="{00000000-0005-0000-0000-00003F060000}"/>
    <cellStyle name="标题 2 8" xfId="1553" xr:uid="{00000000-0005-0000-0000-000040060000}"/>
    <cellStyle name="标题 3 2" xfId="1554" xr:uid="{00000000-0005-0000-0000-000041060000}"/>
    <cellStyle name="标题 3 3" xfId="1555" xr:uid="{00000000-0005-0000-0000-000042060000}"/>
    <cellStyle name="标题 3 4" xfId="1556" xr:uid="{00000000-0005-0000-0000-000043060000}"/>
    <cellStyle name="标题 3 5" xfId="1557" xr:uid="{00000000-0005-0000-0000-000044060000}"/>
    <cellStyle name="标题 3 6" xfId="1558" xr:uid="{00000000-0005-0000-0000-000045060000}"/>
    <cellStyle name="标题 3 7" xfId="1559" xr:uid="{00000000-0005-0000-0000-000046060000}"/>
    <cellStyle name="标题 3 8" xfId="1560" xr:uid="{00000000-0005-0000-0000-000047060000}"/>
    <cellStyle name="标题 4 2" xfId="1561" xr:uid="{00000000-0005-0000-0000-000048060000}"/>
    <cellStyle name="标题 4 3" xfId="1562" xr:uid="{00000000-0005-0000-0000-000049060000}"/>
    <cellStyle name="标题 4 4" xfId="1563" xr:uid="{00000000-0005-0000-0000-00004A060000}"/>
    <cellStyle name="标题 4 5" xfId="1564" xr:uid="{00000000-0005-0000-0000-00004B060000}"/>
    <cellStyle name="标题 4 6" xfId="1565" xr:uid="{00000000-0005-0000-0000-00004C060000}"/>
    <cellStyle name="标题 4 7" xfId="1566" xr:uid="{00000000-0005-0000-0000-00004D060000}"/>
    <cellStyle name="标题 4 8" xfId="1567" xr:uid="{00000000-0005-0000-0000-00004E060000}"/>
    <cellStyle name="标题 5" xfId="1568" xr:uid="{00000000-0005-0000-0000-00004F060000}"/>
    <cellStyle name="标题 6" xfId="1569" xr:uid="{00000000-0005-0000-0000-000050060000}"/>
    <cellStyle name="标题 7" xfId="1570" xr:uid="{00000000-0005-0000-0000-000051060000}"/>
    <cellStyle name="标题 8" xfId="1571" xr:uid="{00000000-0005-0000-0000-000052060000}"/>
    <cellStyle name="标题 9" xfId="1572" xr:uid="{00000000-0005-0000-0000-000053060000}"/>
    <cellStyle name="差 2" xfId="1573" xr:uid="{00000000-0005-0000-0000-000054060000}"/>
    <cellStyle name="差 3" xfId="1574" xr:uid="{00000000-0005-0000-0000-000055060000}"/>
    <cellStyle name="差 4" xfId="1575" xr:uid="{00000000-0005-0000-0000-000056060000}"/>
    <cellStyle name="差 5" xfId="1576" xr:uid="{00000000-0005-0000-0000-000057060000}"/>
    <cellStyle name="差 6" xfId="1577" xr:uid="{00000000-0005-0000-0000-000058060000}"/>
    <cellStyle name="差 7" xfId="1578" xr:uid="{00000000-0005-0000-0000-000059060000}"/>
    <cellStyle name="差 8" xfId="1579" xr:uid="{00000000-0005-0000-0000-00005A060000}"/>
    <cellStyle name="差_12月工资11月奖金 人员信息 -2" xfId="1580" xr:uid="{00000000-0005-0000-0000-00005B060000}"/>
    <cellStyle name="差_201008假期(Sales)" xfId="1581" xr:uid="{00000000-0005-0000-0000-00005C060000}"/>
    <cellStyle name="差_3月OT数据更正-20100505" xfId="1582" xr:uid="{00000000-0005-0000-0000-00005D060000}"/>
    <cellStyle name="差_5月工资4月奖金 人员信息-1" xfId="1583" xr:uid="{00000000-0005-0000-0000-00005E060000}"/>
    <cellStyle name="差_Address Book 090825" xfId="1584" xr:uid="{00000000-0005-0000-0000-00005F060000}"/>
    <cellStyle name="差_Book4" xfId="1585" xr:uid="{00000000-0005-0000-0000-000060060000}"/>
    <cellStyle name="差_by outlet by month with target" xfId="1586" xr:uid="{00000000-0005-0000-0000-000061060000}"/>
    <cellStyle name="差_by outlet by month with target-10年4月" xfId="1587" xr:uid="{00000000-0005-0000-0000-000062060000}"/>
    <cellStyle name="差_DSR、TT、BAS在岗清单10月13日" xfId="1588" xr:uid="{00000000-0005-0000-0000-000063060000}"/>
    <cellStyle name="差_NIVEA BA 11月工资10月奖金 数据提交表" xfId="1589" xr:uid="{00000000-0005-0000-0000-000064060000}"/>
    <cellStyle name="差_NIVEA BA 5月工资4月奖金 原始数据 更新 (version 4) 发放反馈" xfId="1590" xr:uid="{00000000-0005-0000-0000-000065060000}"/>
    <cellStyle name="差_Nivea Soplan 02.04" xfId="1591" xr:uid="{00000000-0005-0000-0000-000066060000}"/>
    <cellStyle name="差_Sheet1" xfId="1592" xr:uid="{00000000-0005-0000-0000-000067060000}"/>
    <cellStyle name="差_经销商缩写 (4)" xfId="1593" xr:uid="{00000000-0005-0000-0000-000068060000}"/>
    <cellStyle name="差_经销商直营商通讯录" xfId="1594" xr:uid="{00000000-0005-0000-0000-000069060000}"/>
    <cellStyle name="差_人员申请一事一报" xfId="1595" xr:uid="{00000000-0005-0000-0000-00006A060000}"/>
    <cellStyle name="差_直营商合同回收情况--合并" xfId="1596" xr:uid="{00000000-0005-0000-0000-00006B060000}"/>
    <cellStyle name="常规" xfId="0" builtinId="0"/>
    <cellStyle name="常规 10" xfId="1597" xr:uid="{00000000-0005-0000-0000-00006C060000}"/>
    <cellStyle name="常规 10 2" xfId="1598" xr:uid="{00000000-0005-0000-0000-00006D060000}"/>
    <cellStyle name="常规 10 3" xfId="1599" xr:uid="{00000000-0005-0000-0000-00006E060000}"/>
    <cellStyle name="常规 10 4" xfId="1600" xr:uid="{00000000-0005-0000-0000-00006F060000}"/>
    <cellStyle name="常规 10 5" xfId="1601" xr:uid="{00000000-0005-0000-0000-000070060000}"/>
    <cellStyle name="常规 10 6" xfId="1602" xr:uid="{00000000-0005-0000-0000-000071060000}"/>
    <cellStyle name="常规 10 7" xfId="1603" xr:uid="{00000000-0005-0000-0000-000072060000}"/>
    <cellStyle name="常规 10 8" xfId="1604" xr:uid="{00000000-0005-0000-0000-000073060000}"/>
    <cellStyle name="常规 11" xfId="1605" xr:uid="{00000000-0005-0000-0000-000074060000}"/>
    <cellStyle name="常规 11 2" xfId="1606" xr:uid="{00000000-0005-0000-0000-000075060000}"/>
    <cellStyle name="常规 11 3" xfId="1607" xr:uid="{00000000-0005-0000-0000-000076060000}"/>
    <cellStyle name="常规 11 4" xfId="1608" xr:uid="{00000000-0005-0000-0000-000077060000}"/>
    <cellStyle name="常规 11 5" xfId="1609" xr:uid="{00000000-0005-0000-0000-000078060000}"/>
    <cellStyle name="常规 11 6" xfId="1610" xr:uid="{00000000-0005-0000-0000-000079060000}"/>
    <cellStyle name="常规 11 7" xfId="1611" xr:uid="{00000000-0005-0000-0000-00007A060000}"/>
    <cellStyle name="常规 11 8" xfId="1612" xr:uid="{00000000-0005-0000-0000-00007B060000}"/>
    <cellStyle name="常规 12" xfId="1613" xr:uid="{00000000-0005-0000-0000-00007C060000}"/>
    <cellStyle name="常规 12 2" xfId="1614" xr:uid="{00000000-0005-0000-0000-00007D060000}"/>
    <cellStyle name="常规 12 3" xfId="1615" xr:uid="{00000000-0005-0000-0000-00007E060000}"/>
    <cellStyle name="常规 12 4" xfId="1616" xr:uid="{00000000-0005-0000-0000-00007F060000}"/>
    <cellStyle name="常规 12 5" xfId="1617" xr:uid="{00000000-0005-0000-0000-000080060000}"/>
    <cellStyle name="常规 12 6" xfId="1618" xr:uid="{00000000-0005-0000-0000-000081060000}"/>
    <cellStyle name="常规 12 7" xfId="1619" xr:uid="{00000000-0005-0000-0000-000082060000}"/>
    <cellStyle name="常规 12 8" xfId="1620" xr:uid="{00000000-0005-0000-0000-000083060000}"/>
    <cellStyle name="常规 13" xfId="1621" xr:uid="{00000000-0005-0000-0000-000084060000}"/>
    <cellStyle name="常规 13 2" xfId="1622" xr:uid="{00000000-0005-0000-0000-000085060000}"/>
    <cellStyle name="常规 13 3" xfId="1623" xr:uid="{00000000-0005-0000-0000-000086060000}"/>
    <cellStyle name="常规 13 4" xfId="1624" xr:uid="{00000000-0005-0000-0000-000087060000}"/>
    <cellStyle name="常规 13 5" xfId="1625" xr:uid="{00000000-0005-0000-0000-000088060000}"/>
    <cellStyle name="常规 13 6" xfId="1626" xr:uid="{00000000-0005-0000-0000-000089060000}"/>
    <cellStyle name="常规 13 7" xfId="1627" xr:uid="{00000000-0005-0000-0000-00008A060000}"/>
    <cellStyle name="常规 13 8" xfId="1628" xr:uid="{00000000-0005-0000-0000-00008B060000}"/>
    <cellStyle name="常规 14" xfId="1629" xr:uid="{00000000-0005-0000-0000-00008C060000}"/>
    <cellStyle name="常规 14 2" xfId="1630" xr:uid="{00000000-0005-0000-0000-00008D060000}"/>
    <cellStyle name="常规 14 3" xfId="1631" xr:uid="{00000000-0005-0000-0000-00008E060000}"/>
    <cellStyle name="常规 14 4" xfId="1632" xr:uid="{00000000-0005-0000-0000-00008F060000}"/>
    <cellStyle name="常规 14 5" xfId="1633" xr:uid="{00000000-0005-0000-0000-000090060000}"/>
    <cellStyle name="常规 14 6" xfId="1634" xr:uid="{00000000-0005-0000-0000-000091060000}"/>
    <cellStyle name="常规 14 7" xfId="1635" xr:uid="{00000000-0005-0000-0000-000092060000}"/>
    <cellStyle name="常规 14 8" xfId="1636" xr:uid="{00000000-0005-0000-0000-000093060000}"/>
    <cellStyle name="常规 15" xfId="1637" xr:uid="{00000000-0005-0000-0000-000094060000}"/>
    <cellStyle name="常规 15 2" xfId="1638" xr:uid="{00000000-0005-0000-0000-000095060000}"/>
    <cellStyle name="常规 15 3" xfId="1639" xr:uid="{00000000-0005-0000-0000-000096060000}"/>
    <cellStyle name="常规 15 4" xfId="1640" xr:uid="{00000000-0005-0000-0000-000097060000}"/>
    <cellStyle name="常规 15 5" xfId="1641" xr:uid="{00000000-0005-0000-0000-000098060000}"/>
    <cellStyle name="常规 15 6" xfId="1642" xr:uid="{00000000-0005-0000-0000-000099060000}"/>
    <cellStyle name="常规 15 7" xfId="1643" xr:uid="{00000000-0005-0000-0000-00009A060000}"/>
    <cellStyle name="常规 15 8" xfId="1644" xr:uid="{00000000-0005-0000-0000-00009B060000}"/>
    <cellStyle name="常规 155" xfId="1645" xr:uid="{00000000-0005-0000-0000-00009C060000}"/>
    <cellStyle name="常规 156" xfId="1646" xr:uid="{00000000-0005-0000-0000-00009D060000}"/>
    <cellStyle name="常规 157" xfId="1647" xr:uid="{00000000-0005-0000-0000-00009E060000}"/>
    <cellStyle name="常规 16" xfId="1648" xr:uid="{00000000-0005-0000-0000-00009F060000}"/>
    <cellStyle name="常规 16 2" xfId="1649" xr:uid="{00000000-0005-0000-0000-0000A0060000}"/>
    <cellStyle name="常规 16 3" xfId="1650" xr:uid="{00000000-0005-0000-0000-0000A1060000}"/>
    <cellStyle name="常规 16 4" xfId="1651" xr:uid="{00000000-0005-0000-0000-0000A2060000}"/>
    <cellStyle name="常规 16 5" xfId="1652" xr:uid="{00000000-0005-0000-0000-0000A3060000}"/>
    <cellStyle name="常规 16 6" xfId="1653" xr:uid="{00000000-0005-0000-0000-0000A4060000}"/>
    <cellStyle name="常规 16 7" xfId="1654" xr:uid="{00000000-0005-0000-0000-0000A5060000}"/>
    <cellStyle name="常规 16 8" xfId="1655" xr:uid="{00000000-0005-0000-0000-0000A6060000}"/>
    <cellStyle name="常规 17" xfId="1656" xr:uid="{00000000-0005-0000-0000-0000A7060000}"/>
    <cellStyle name="常规 17 2" xfId="1657" xr:uid="{00000000-0005-0000-0000-0000A8060000}"/>
    <cellStyle name="常规 17 3" xfId="1658" xr:uid="{00000000-0005-0000-0000-0000A9060000}"/>
    <cellStyle name="常规 17 4" xfId="1659" xr:uid="{00000000-0005-0000-0000-0000AA060000}"/>
    <cellStyle name="常规 17 5" xfId="1660" xr:uid="{00000000-0005-0000-0000-0000AB060000}"/>
    <cellStyle name="常规 17 6" xfId="1661" xr:uid="{00000000-0005-0000-0000-0000AC060000}"/>
    <cellStyle name="常规 17 7" xfId="1662" xr:uid="{00000000-0005-0000-0000-0000AD060000}"/>
    <cellStyle name="常规 17 8" xfId="1663" xr:uid="{00000000-0005-0000-0000-0000AE060000}"/>
    <cellStyle name="常规 18" xfId="1664" xr:uid="{00000000-0005-0000-0000-0000AF060000}"/>
    <cellStyle name="常规 18 2" xfId="1665" xr:uid="{00000000-0005-0000-0000-0000B0060000}"/>
    <cellStyle name="常规 18 3" xfId="1666" xr:uid="{00000000-0005-0000-0000-0000B1060000}"/>
    <cellStyle name="常规 18 4" xfId="1667" xr:uid="{00000000-0005-0000-0000-0000B2060000}"/>
    <cellStyle name="常规 18 5" xfId="1668" xr:uid="{00000000-0005-0000-0000-0000B3060000}"/>
    <cellStyle name="常规 18 6" xfId="1669" xr:uid="{00000000-0005-0000-0000-0000B4060000}"/>
    <cellStyle name="常规 18 7" xfId="1670" xr:uid="{00000000-0005-0000-0000-0000B5060000}"/>
    <cellStyle name="常规 18 8" xfId="1671" xr:uid="{00000000-0005-0000-0000-0000B6060000}"/>
    <cellStyle name="常规 19" xfId="1672" xr:uid="{00000000-0005-0000-0000-0000B7060000}"/>
    <cellStyle name="常规 19 2" xfId="1673" xr:uid="{00000000-0005-0000-0000-0000B8060000}"/>
    <cellStyle name="常规 19 3" xfId="1674" xr:uid="{00000000-0005-0000-0000-0000B9060000}"/>
    <cellStyle name="常规 19 4" xfId="1675" xr:uid="{00000000-0005-0000-0000-0000BA060000}"/>
    <cellStyle name="常规 19 5" xfId="1676" xr:uid="{00000000-0005-0000-0000-0000BB060000}"/>
    <cellStyle name="常规 19 6" xfId="1677" xr:uid="{00000000-0005-0000-0000-0000BC060000}"/>
    <cellStyle name="常规 19 7" xfId="1678" xr:uid="{00000000-0005-0000-0000-0000BD060000}"/>
    <cellStyle name="常规 19 8" xfId="1679" xr:uid="{00000000-0005-0000-0000-0000BE060000}"/>
    <cellStyle name="常规 194" xfId="1680" xr:uid="{00000000-0005-0000-0000-0000BF060000}"/>
    <cellStyle name="常规 195" xfId="1681" xr:uid="{00000000-0005-0000-0000-0000C0060000}"/>
    <cellStyle name="常规 197" xfId="1682" xr:uid="{00000000-0005-0000-0000-0000C1060000}"/>
    <cellStyle name="常规 2" xfId="1683" xr:uid="{00000000-0005-0000-0000-0000C2060000}"/>
    <cellStyle name="常规 2 10" xfId="1684" xr:uid="{00000000-0005-0000-0000-0000C3060000}"/>
    <cellStyle name="常规 2 10 2" xfId="1685" xr:uid="{00000000-0005-0000-0000-0000C4060000}"/>
    <cellStyle name="常规 2 10 3" xfId="1686" xr:uid="{00000000-0005-0000-0000-0000C5060000}"/>
    <cellStyle name="常规 2 10 4" xfId="1687" xr:uid="{00000000-0005-0000-0000-0000C6060000}"/>
    <cellStyle name="常规 2 10 5" xfId="1688" xr:uid="{00000000-0005-0000-0000-0000C7060000}"/>
    <cellStyle name="常规 2 10 6" xfId="1689" xr:uid="{00000000-0005-0000-0000-0000C8060000}"/>
    <cellStyle name="常规 2 10 7" xfId="1690" xr:uid="{00000000-0005-0000-0000-0000C9060000}"/>
    <cellStyle name="常规 2 11" xfId="1691" xr:uid="{00000000-0005-0000-0000-0000CA060000}"/>
    <cellStyle name="常规 2 12" xfId="1692" xr:uid="{00000000-0005-0000-0000-0000CB060000}"/>
    <cellStyle name="常规 2 13" xfId="1693" xr:uid="{00000000-0005-0000-0000-0000CC060000}"/>
    <cellStyle name="常规 2 2" xfId="1694" xr:uid="{00000000-0005-0000-0000-0000CD060000}"/>
    <cellStyle name="常规 2 2 2" xfId="1695" xr:uid="{00000000-0005-0000-0000-0000CE060000}"/>
    <cellStyle name="常规 2 2 3" xfId="1696" xr:uid="{00000000-0005-0000-0000-0000CF060000}"/>
    <cellStyle name="常规 2 2 4" xfId="1697" xr:uid="{00000000-0005-0000-0000-0000D0060000}"/>
    <cellStyle name="常规 2 2 5" xfId="1698" xr:uid="{00000000-0005-0000-0000-0000D1060000}"/>
    <cellStyle name="常规 2 2 6" xfId="1699" xr:uid="{00000000-0005-0000-0000-0000D2060000}"/>
    <cellStyle name="常规 2 2 7" xfId="1700" xr:uid="{00000000-0005-0000-0000-0000D3060000}"/>
    <cellStyle name="常规 2 2 8" xfId="1701" xr:uid="{00000000-0005-0000-0000-0000D4060000}"/>
    <cellStyle name="常规 2 3" xfId="1702" xr:uid="{00000000-0005-0000-0000-0000D5060000}"/>
    <cellStyle name="常规 2 3 2" xfId="1703" xr:uid="{00000000-0005-0000-0000-0000D6060000}"/>
    <cellStyle name="常规 2 3 3" xfId="1704" xr:uid="{00000000-0005-0000-0000-0000D7060000}"/>
    <cellStyle name="常规 2 3 4" xfId="1705" xr:uid="{00000000-0005-0000-0000-0000D8060000}"/>
    <cellStyle name="常规 2 3 5" xfId="1706" xr:uid="{00000000-0005-0000-0000-0000D9060000}"/>
    <cellStyle name="常规 2 3 6" xfId="1707" xr:uid="{00000000-0005-0000-0000-0000DA060000}"/>
    <cellStyle name="常规 2 3 7" xfId="1708" xr:uid="{00000000-0005-0000-0000-0000DB060000}"/>
    <cellStyle name="常规 2 4" xfId="1709" xr:uid="{00000000-0005-0000-0000-0000DC060000}"/>
    <cellStyle name="常规 2 4 2" xfId="1710" xr:uid="{00000000-0005-0000-0000-0000DD060000}"/>
    <cellStyle name="常规 2 4 3" xfId="1711" xr:uid="{00000000-0005-0000-0000-0000DE060000}"/>
    <cellStyle name="常规 2 4 4" xfId="1712" xr:uid="{00000000-0005-0000-0000-0000DF060000}"/>
    <cellStyle name="常规 2 4 5" xfId="1713" xr:uid="{00000000-0005-0000-0000-0000E0060000}"/>
    <cellStyle name="常规 2 4 6" xfId="1714" xr:uid="{00000000-0005-0000-0000-0000E1060000}"/>
    <cellStyle name="常规 2 4 7" xfId="1715" xr:uid="{00000000-0005-0000-0000-0000E2060000}"/>
    <cellStyle name="常规 2 5" xfId="1716" xr:uid="{00000000-0005-0000-0000-0000E3060000}"/>
    <cellStyle name="常规 2 5 2" xfId="1717" xr:uid="{00000000-0005-0000-0000-0000E4060000}"/>
    <cellStyle name="常规 2 5 3" xfId="1718" xr:uid="{00000000-0005-0000-0000-0000E5060000}"/>
    <cellStyle name="常规 2 5 4" xfId="1719" xr:uid="{00000000-0005-0000-0000-0000E6060000}"/>
    <cellStyle name="常规 2 5 5" xfId="1720" xr:uid="{00000000-0005-0000-0000-0000E7060000}"/>
    <cellStyle name="常规 2 5 6" xfId="1721" xr:uid="{00000000-0005-0000-0000-0000E8060000}"/>
    <cellStyle name="常规 2 5 7" xfId="1722" xr:uid="{00000000-0005-0000-0000-0000E9060000}"/>
    <cellStyle name="常规 2 6" xfId="1723" xr:uid="{00000000-0005-0000-0000-0000EA060000}"/>
    <cellStyle name="常规 2 7" xfId="1724" xr:uid="{00000000-0005-0000-0000-0000EB060000}"/>
    <cellStyle name="常规 2 8" xfId="1725" xr:uid="{00000000-0005-0000-0000-0000EC060000}"/>
    <cellStyle name="常规 2 9" xfId="1726" xr:uid="{00000000-0005-0000-0000-0000ED060000}"/>
    <cellStyle name="常规 2_12月工资11月奖金 人员信息 -2" xfId="1727" xr:uid="{00000000-0005-0000-0000-0000EE060000}"/>
    <cellStyle name="常规 20" xfId="1728" xr:uid="{00000000-0005-0000-0000-0000EF060000}"/>
    <cellStyle name="常规 20 2" xfId="1729" xr:uid="{00000000-0005-0000-0000-0000F0060000}"/>
    <cellStyle name="常规 20 3" xfId="1730" xr:uid="{00000000-0005-0000-0000-0000F1060000}"/>
    <cellStyle name="常规 20 4" xfId="1731" xr:uid="{00000000-0005-0000-0000-0000F2060000}"/>
    <cellStyle name="常规 20 5" xfId="1732" xr:uid="{00000000-0005-0000-0000-0000F3060000}"/>
    <cellStyle name="常规 20 6" xfId="1733" xr:uid="{00000000-0005-0000-0000-0000F4060000}"/>
    <cellStyle name="常规 20 7" xfId="1734" xr:uid="{00000000-0005-0000-0000-0000F5060000}"/>
    <cellStyle name="常规 20 8" xfId="1735" xr:uid="{00000000-0005-0000-0000-0000F6060000}"/>
    <cellStyle name="常规 21" xfId="1736" xr:uid="{00000000-0005-0000-0000-0000F7060000}"/>
    <cellStyle name="常规 21 2" xfId="1737" xr:uid="{00000000-0005-0000-0000-0000F8060000}"/>
    <cellStyle name="常规 21 3" xfId="1738" xr:uid="{00000000-0005-0000-0000-0000F9060000}"/>
    <cellStyle name="常规 21 4" xfId="1739" xr:uid="{00000000-0005-0000-0000-0000FA060000}"/>
    <cellStyle name="常规 21 5" xfId="1740" xr:uid="{00000000-0005-0000-0000-0000FB060000}"/>
    <cellStyle name="常规 21 6" xfId="1741" xr:uid="{00000000-0005-0000-0000-0000FC060000}"/>
    <cellStyle name="常规 21 7" xfId="1742" xr:uid="{00000000-0005-0000-0000-0000FD060000}"/>
    <cellStyle name="常规 21 8" xfId="1743" xr:uid="{00000000-0005-0000-0000-0000FE060000}"/>
    <cellStyle name="常规 22" xfId="1744" xr:uid="{00000000-0005-0000-0000-0000FF060000}"/>
    <cellStyle name="常规 22 2" xfId="1745" xr:uid="{00000000-0005-0000-0000-000000070000}"/>
    <cellStyle name="常规 22 3" xfId="1746" xr:uid="{00000000-0005-0000-0000-000001070000}"/>
    <cellStyle name="常规 22 4" xfId="1747" xr:uid="{00000000-0005-0000-0000-000002070000}"/>
    <cellStyle name="常规 22 5" xfId="1748" xr:uid="{00000000-0005-0000-0000-000003070000}"/>
    <cellStyle name="常规 22 6" xfId="1749" xr:uid="{00000000-0005-0000-0000-000004070000}"/>
    <cellStyle name="常规 22 7" xfId="1750" xr:uid="{00000000-0005-0000-0000-000005070000}"/>
    <cellStyle name="常规 22 8" xfId="1751" xr:uid="{00000000-0005-0000-0000-000006070000}"/>
    <cellStyle name="常规 23" xfId="1752" xr:uid="{00000000-0005-0000-0000-000007070000}"/>
    <cellStyle name="常规 23 2" xfId="1753" xr:uid="{00000000-0005-0000-0000-000008070000}"/>
    <cellStyle name="常规 23 3" xfId="1754" xr:uid="{00000000-0005-0000-0000-000009070000}"/>
    <cellStyle name="常规 23 4" xfId="1755" xr:uid="{00000000-0005-0000-0000-00000A070000}"/>
    <cellStyle name="常规 23 5" xfId="1756" xr:uid="{00000000-0005-0000-0000-00000B070000}"/>
    <cellStyle name="常规 23 6" xfId="1757" xr:uid="{00000000-0005-0000-0000-00000C070000}"/>
    <cellStyle name="常规 23 7" xfId="1758" xr:uid="{00000000-0005-0000-0000-00000D070000}"/>
    <cellStyle name="常规 23 8" xfId="1759" xr:uid="{00000000-0005-0000-0000-00000E070000}"/>
    <cellStyle name="常规 239" xfId="1760" xr:uid="{00000000-0005-0000-0000-00000F070000}"/>
    <cellStyle name="常规 24" xfId="1761" xr:uid="{00000000-0005-0000-0000-000010070000}"/>
    <cellStyle name="常规 24 2" xfId="1762" xr:uid="{00000000-0005-0000-0000-000011070000}"/>
    <cellStyle name="常规 24 3" xfId="1763" xr:uid="{00000000-0005-0000-0000-000012070000}"/>
    <cellStyle name="常规 24 4" xfId="1764" xr:uid="{00000000-0005-0000-0000-000013070000}"/>
    <cellStyle name="常规 24 5" xfId="1765" xr:uid="{00000000-0005-0000-0000-000014070000}"/>
    <cellStyle name="常规 24 6" xfId="1766" xr:uid="{00000000-0005-0000-0000-000015070000}"/>
    <cellStyle name="常规 24 7" xfId="1767" xr:uid="{00000000-0005-0000-0000-000016070000}"/>
    <cellStyle name="常规 24 8" xfId="1768" xr:uid="{00000000-0005-0000-0000-000017070000}"/>
    <cellStyle name="常规 240" xfId="1769" xr:uid="{00000000-0005-0000-0000-000018070000}"/>
    <cellStyle name="常规 241" xfId="1770" xr:uid="{00000000-0005-0000-0000-000019070000}"/>
    <cellStyle name="常规 242" xfId="1771" xr:uid="{00000000-0005-0000-0000-00001A070000}"/>
    <cellStyle name="常规 243" xfId="1772" xr:uid="{00000000-0005-0000-0000-00001B070000}"/>
    <cellStyle name="常规 244" xfId="1773" xr:uid="{00000000-0005-0000-0000-00001C070000}"/>
    <cellStyle name="常规 245" xfId="1774" xr:uid="{00000000-0005-0000-0000-00001D070000}"/>
    <cellStyle name="常规 246" xfId="1775" xr:uid="{00000000-0005-0000-0000-00001E070000}"/>
    <cellStyle name="常规 247" xfId="1776" xr:uid="{00000000-0005-0000-0000-00001F070000}"/>
    <cellStyle name="常规 248" xfId="1777" xr:uid="{00000000-0005-0000-0000-000020070000}"/>
    <cellStyle name="常规 249" xfId="1778" xr:uid="{00000000-0005-0000-0000-000021070000}"/>
    <cellStyle name="常规 25" xfId="1779" xr:uid="{00000000-0005-0000-0000-000022070000}"/>
    <cellStyle name="常规 25 2" xfId="1780" xr:uid="{00000000-0005-0000-0000-000023070000}"/>
    <cellStyle name="常规 25 3" xfId="1781" xr:uid="{00000000-0005-0000-0000-000024070000}"/>
    <cellStyle name="常规 25 4" xfId="1782" xr:uid="{00000000-0005-0000-0000-000025070000}"/>
    <cellStyle name="常规 25 5" xfId="1783" xr:uid="{00000000-0005-0000-0000-000026070000}"/>
    <cellStyle name="常规 25 6" xfId="1784" xr:uid="{00000000-0005-0000-0000-000027070000}"/>
    <cellStyle name="常规 25 7" xfId="1785" xr:uid="{00000000-0005-0000-0000-000028070000}"/>
    <cellStyle name="常规 25 8" xfId="1786" xr:uid="{00000000-0005-0000-0000-000029070000}"/>
    <cellStyle name="常规 250" xfId="1787" xr:uid="{00000000-0005-0000-0000-00002A070000}"/>
    <cellStyle name="常规 251" xfId="1788" xr:uid="{00000000-0005-0000-0000-00002B070000}"/>
    <cellStyle name="常规 26" xfId="1789" xr:uid="{00000000-0005-0000-0000-00002C070000}"/>
    <cellStyle name="常规 26 2" xfId="1790" xr:uid="{00000000-0005-0000-0000-00002D070000}"/>
    <cellStyle name="常规 26 3" xfId="1791" xr:uid="{00000000-0005-0000-0000-00002E070000}"/>
    <cellStyle name="常规 26 4" xfId="1792" xr:uid="{00000000-0005-0000-0000-00002F070000}"/>
    <cellStyle name="常规 26 5" xfId="1793" xr:uid="{00000000-0005-0000-0000-000030070000}"/>
    <cellStyle name="常规 26 6" xfId="1794" xr:uid="{00000000-0005-0000-0000-000031070000}"/>
    <cellStyle name="常规 26 7" xfId="1795" xr:uid="{00000000-0005-0000-0000-000032070000}"/>
    <cellStyle name="常规 26 8" xfId="1796" xr:uid="{00000000-0005-0000-0000-000033070000}"/>
    <cellStyle name="常规 27" xfId="1797" xr:uid="{00000000-0005-0000-0000-000034070000}"/>
    <cellStyle name="常规 27 2" xfId="1798" xr:uid="{00000000-0005-0000-0000-000035070000}"/>
    <cellStyle name="常规 27 3" xfId="1799" xr:uid="{00000000-0005-0000-0000-000036070000}"/>
    <cellStyle name="常规 27 4" xfId="1800" xr:uid="{00000000-0005-0000-0000-000037070000}"/>
    <cellStyle name="常规 27 5" xfId="1801" xr:uid="{00000000-0005-0000-0000-000038070000}"/>
    <cellStyle name="常规 27 6" xfId="1802" xr:uid="{00000000-0005-0000-0000-000039070000}"/>
    <cellStyle name="常规 27 7" xfId="1803" xr:uid="{00000000-0005-0000-0000-00003A070000}"/>
    <cellStyle name="常规 27 8" xfId="1804" xr:uid="{00000000-0005-0000-0000-00003B070000}"/>
    <cellStyle name="常规 28" xfId="1805" xr:uid="{00000000-0005-0000-0000-00003C070000}"/>
    <cellStyle name="常规 28 2" xfId="1806" xr:uid="{00000000-0005-0000-0000-00003D070000}"/>
    <cellStyle name="常规 28 3" xfId="1807" xr:uid="{00000000-0005-0000-0000-00003E070000}"/>
    <cellStyle name="常规 28 4" xfId="1808" xr:uid="{00000000-0005-0000-0000-00003F070000}"/>
    <cellStyle name="常规 28 5" xfId="1809" xr:uid="{00000000-0005-0000-0000-000040070000}"/>
    <cellStyle name="常规 28 6" xfId="1810" xr:uid="{00000000-0005-0000-0000-000041070000}"/>
    <cellStyle name="常规 28 7" xfId="1811" xr:uid="{00000000-0005-0000-0000-000042070000}"/>
    <cellStyle name="常规 28 8" xfId="1812" xr:uid="{00000000-0005-0000-0000-000043070000}"/>
    <cellStyle name="常规 29" xfId="1813" xr:uid="{00000000-0005-0000-0000-000044070000}"/>
    <cellStyle name="常规 29 2" xfId="1814" xr:uid="{00000000-0005-0000-0000-000045070000}"/>
    <cellStyle name="常规 29 3" xfId="1815" xr:uid="{00000000-0005-0000-0000-000046070000}"/>
    <cellStyle name="常规 29 4" xfId="1816" xr:uid="{00000000-0005-0000-0000-000047070000}"/>
    <cellStyle name="常规 29 5" xfId="1817" xr:uid="{00000000-0005-0000-0000-000048070000}"/>
    <cellStyle name="常规 29 6" xfId="1818" xr:uid="{00000000-0005-0000-0000-000049070000}"/>
    <cellStyle name="常规 29 7" xfId="1819" xr:uid="{00000000-0005-0000-0000-00004A070000}"/>
    <cellStyle name="常规 3" xfId="1820" xr:uid="{00000000-0005-0000-0000-00004B070000}"/>
    <cellStyle name="常规 3 2" xfId="1821" xr:uid="{00000000-0005-0000-0000-00004C070000}"/>
    <cellStyle name="常规 3 2 2" xfId="1822" xr:uid="{00000000-0005-0000-0000-00004D070000}"/>
    <cellStyle name="常规 3 2 3" xfId="1823" xr:uid="{00000000-0005-0000-0000-00004E070000}"/>
    <cellStyle name="常规 3 2 4" xfId="1824" xr:uid="{00000000-0005-0000-0000-00004F070000}"/>
    <cellStyle name="常规 3 2 5" xfId="1825" xr:uid="{00000000-0005-0000-0000-000050070000}"/>
    <cellStyle name="常规 3 2 6" xfId="1826" xr:uid="{00000000-0005-0000-0000-000051070000}"/>
    <cellStyle name="常规 3 2 7" xfId="1827" xr:uid="{00000000-0005-0000-0000-000052070000}"/>
    <cellStyle name="常规 3 2 8" xfId="1828" xr:uid="{00000000-0005-0000-0000-000053070000}"/>
    <cellStyle name="常规 3 3" xfId="1829" xr:uid="{00000000-0005-0000-0000-000054070000}"/>
    <cellStyle name="常规 3 3 2" xfId="1830" xr:uid="{00000000-0005-0000-0000-000055070000}"/>
    <cellStyle name="常规 3 3 3" xfId="1831" xr:uid="{00000000-0005-0000-0000-000056070000}"/>
    <cellStyle name="常规 3 3 4" xfId="1832" xr:uid="{00000000-0005-0000-0000-000057070000}"/>
    <cellStyle name="常规 3 3 5" xfId="1833" xr:uid="{00000000-0005-0000-0000-000058070000}"/>
    <cellStyle name="常规 3 3 6" xfId="1834" xr:uid="{00000000-0005-0000-0000-000059070000}"/>
    <cellStyle name="常规 3 3 7" xfId="1835" xr:uid="{00000000-0005-0000-0000-00005A070000}"/>
    <cellStyle name="常规 3 3 8" xfId="1836" xr:uid="{00000000-0005-0000-0000-00005B070000}"/>
    <cellStyle name="常规 3 4" xfId="1837" xr:uid="{00000000-0005-0000-0000-00005C070000}"/>
    <cellStyle name="常规 3 5" xfId="1838" xr:uid="{00000000-0005-0000-0000-00005D070000}"/>
    <cellStyle name="常规 3 6" xfId="1839" xr:uid="{00000000-0005-0000-0000-00005E070000}"/>
    <cellStyle name="常规 3 7" xfId="1840" xr:uid="{00000000-0005-0000-0000-00005F070000}"/>
    <cellStyle name="常规 3 8" xfId="1841" xr:uid="{00000000-0005-0000-0000-000060070000}"/>
    <cellStyle name="常规 3 9" xfId="1842" xr:uid="{00000000-0005-0000-0000-000061070000}"/>
    <cellStyle name="常规 30" xfId="1843" xr:uid="{00000000-0005-0000-0000-000062070000}"/>
    <cellStyle name="常规 30 2" xfId="1844" xr:uid="{00000000-0005-0000-0000-000063070000}"/>
    <cellStyle name="常规 30 3" xfId="1845" xr:uid="{00000000-0005-0000-0000-000064070000}"/>
    <cellStyle name="常规 30 4" xfId="1846" xr:uid="{00000000-0005-0000-0000-000065070000}"/>
    <cellStyle name="常规 30 5" xfId="1847" xr:uid="{00000000-0005-0000-0000-000066070000}"/>
    <cellStyle name="常规 30 6" xfId="1848" xr:uid="{00000000-0005-0000-0000-000067070000}"/>
    <cellStyle name="常规 30 7" xfId="1849" xr:uid="{00000000-0005-0000-0000-000068070000}"/>
    <cellStyle name="常规 31" xfId="1850" xr:uid="{00000000-0005-0000-0000-000069070000}"/>
    <cellStyle name="常规 31 2" xfId="1851" xr:uid="{00000000-0005-0000-0000-00006A070000}"/>
    <cellStyle name="常规 31 3" xfId="1852" xr:uid="{00000000-0005-0000-0000-00006B070000}"/>
    <cellStyle name="常规 31 4" xfId="1853" xr:uid="{00000000-0005-0000-0000-00006C070000}"/>
    <cellStyle name="常规 31 5" xfId="1854" xr:uid="{00000000-0005-0000-0000-00006D070000}"/>
    <cellStyle name="常规 31 6" xfId="1855" xr:uid="{00000000-0005-0000-0000-00006E070000}"/>
    <cellStyle name="常规 31 7" xfId="1856" xr:uid="{00000000-0005-0000-0000-00006F070000}"/>
    <cellStyle name="常规 32" xfId="1857" xr:uid="{00000000-0005-0000-0000-000070070000}"/>
    <cellStyle name="常规 32 2" xfId="1858" xr:uid="{00000000-0005-0000-0000-000071070000}"/>
    <cellStyle name="常规 32 3" xfId="1859" xr:uid="{00000000-0005-0000-0000-000072070000}"/>
    <cellStyle name="常规 32 4" xfId="1860" xr:uid="{00000000-0005-0000-0000-000073070000}"/>
    <cellStyle name="常规 32 5" xfId="1861" xr:uid="{00000000-0005-0000-0000-000074070000}"/>
    <cellStyle name="常规 32 6" xfId="1862" xr:uid="{00000000-0005-0000-0000-000075070000}"/>
    <cellStyle name="常规 32 7" xfId="1863" xr:uid="{00000000-0005-0000-0000-000076070000}"/>
    <cellStyle name="常规 33" xfId="1864" xr:uid="{00000000-0005-0000-0000-000077070000}"/>
    <cellStyle name="常规 33 2" xfId="1865" xr:uid="{00000000-0005-0000-0000-000078070000}"/>
    <cellStyle name="常规 33 3" xfId="1866" xr:uid="{00000000-0005-0000-0000-000079070000}"/>
    <cellStyle name="常规 33 4" xfId="1867" xr:uid="{00000000-0005-0000-0000-00007A070000}"/>
    <cellStyle name="常规 33 5" xfId="1868" xr:uid="{00000000-0005-0000-0000-00007B070000}"/>
    <cellStyle name="常规 33 6" xfId="1869" xr:uid="{00000000-0005-0000-0000-00007C070000}"/>
    <cellStyle name="常规 33 7" xfId="1870" xr:uid="{00000000-0005-0000-0000-00007D070000}"/>
    <cellStyle name="常规 34" xfId="1871" xr:uid="{00000000-0005-0000-0000-00007E070000}"/>
    <cellStyle name="常规 34 2" xfId="1872" xr:uid="{00000000-0005-0000-0000-00007F070000}"/>
    <cellStyle name="常规 34 3" xfId="1873" xr:uid="{00000000-0005-0000-0000-000080070000}"/>
    <cellStyle name="常规 34 4" xfId="1874" xr:uid="{00000000-0005-0000-0000-000081070000}"/>
    <cellStyle name="常规 34 5" xfId="1875" xr:uid="{00000000-0005-0000-0000-000082070000}"/>
    <cellStyle name="常规 34 6" xfId="1876" xr:uid="{00000000-0005-0000-0000-000083070000}"/>
    <cellStyle name="常规 34 7" xfId="1877" xr:uid="{00000000-0005-0000-0000-000084070000}"/>
    <cellStyle name="常规 35" xfId="1878" xr:uid="{00000000-0005-0000-0000-000085070000}"/>
    <cellStyle name="常规 36" xfId="1879" xr:uid="{00000000-0005-0000-0000-000086070000}"/>
    <cellStyle name="常规 37" xfId="1880" xr:uid="{00000000-0005-0000-0000-000087070000}"/>
    <cellStyle name="常规 38" xfId="1881" xr:uid="{00000000-0005-0000-0000-000088070000}"/>
    <cellStyle name="常规 39" xfId="1882" xr:uid="{00000000-0005-0000-0000-000089070000}"/>
    <cellStyle name="常规 4" xfId="1883" xr:uid="{00000000-0005-0000-0000-00008A070000}"/>
    <cellStyle name="常规 4 10" xfId="1884" xr:uid="{00000000-0005-0000-0000-00008B070000}"/>
    <cellStyle name="常规 4 11" xfId="1885" xr:uid="{00000000-0005-0000-0000-00008C070000}"/>
    <cellStyle name="常规 4 12" xfId="1886" xr:uid="{00000000-0005-0000-0000-00008D070000}"/>
    <cellStyle name="常规 4 13" xfId="1887" xr:uid="{00000000-0005-0000-0000-00008E070000}"/>
    <cellStyle name="常规 4 2" xfId="1888" xr:uid="{00000000-0005-0000-0000-00008F070000}"/>
    <cellStyle name="常规 4 2 2" xfId="1889" xr:uid="{00000000-0005-0000-0000-000090070000}"/>
    <cellStyle name="常规 4 2 3" xfId="1890" xr:uid="{00000000-0005-0000-0000-000091070000}"/>
    <cellStyle name="常规 4 2 4" xfId="1891" xr:uid="{00000000-0005-0000-0000-000092070000}"/>
    <cellStyle name="常规 4 2 5" xfId="1892" xr:uid="{00000000-0005-0000-0000-000093070000}"/>
    <cellStyle name="常规 4 2 6" xfId="1893" xr:uid="{00000000-0005-0000-0000-000094070000}"/>
    <cellStyle name="常规 4 2 7" xfId="1894" xr:uid="{00000000-0005-0000-0000-000095070000}"/>
    <cellStyle name="常规 4 2 8" xfId="1895" xr:uid="{00000000-0005-0000-0000-000096070000}"/>
    <cellStyle name="常规 4 3" xfId="1896" xr:uid="{00000000-0005-0000-0000-000097070000}"/>
    <cellStyle name="常规 4 4" xfId="1897" xr:uid="{00000000-0005-0000-0000-000098070000}"/>
    <cellStyle name="常规 4 5" xfId="1898" xr:uid="{00000000-0005-0000-0000-000099070000}"/>
    <cellStyle name="常规 4 6" xfId="1899" xr:uid="{00000000-0005-0000-0000-00009A070000}"/>
    <cellStyle name="常规 4 7" xfId="1900" xr:uid="{00000000-0005-0000-0000-00009B070000}"/>
    <cellStyle name="常规 4 8" xfId="1901" xr:uid="{00000000-0005-0000-0000-00009C070000}"/>
    <cellStyle name="常规 4 9" xfId="1902" xr:uid="{00000000-0005-0000-0000-00009D070000}"/>
    <cellStyle name="常规 40" xfId="1903" xr:uid="{00000000-0005-0000-0000-00009E070000}"/>
    <cellStyle name="常规 41" xfId="1904" xr:uid="{00000000-0005-0000-0000-00009F070000}"/>
    <cellStyle name="常规 42" xfId="1905" xr:uid="{00000000-0005-0000-0000-0000A0070000}"/>
    <cellStyle name="常规 43" xfId="1906" xr:uid="{00000000-0005-0000-0000-0000A1070000}"/>
    <cellStyle name="常规 44" xfId="1907" xr:uid="{00000000-0005-0000-0000-0000A2070000}"/>
    <cellStyle name="常规 45" xfId="1908" xr:uid="{00000000-0005-0000-0000-0000A3070000}"/>
    <cellStyle name="常规 46" xfId="1909" xr:uid="{00000000-0005-0000-0000-0000A4070000}"/>
    <cellStyle name="常规 47" xfId="1910" xr:uid="{00000000-0005-0000-0000-0000A5070000}"/>
    <cellStyle name="常规 48" xfId="1911" xr:uid="{00000000-0005-0000-0000-0000A6070000}"/>
    <cellStyle name="常规 49" xfId="1912" xr:uid="{00000000-0005-0000-0000-0000A7070000}"/>
    <cellStyle name="常规 5" xfId="1913" xr:uid="{00000000-0005-0000-0000-0000A8070000}"/>
    <cellStyle name="常规 5 2" xfId="1914" xr:uid="{00000000-0005-0000-0000-0000A9070000}"/>
    <cellStyle name="常规 5 3" xfId="1915" xr:uid="{00000000-0005-0000-0000-0000AA070000}"/>
    <cellStyle name="常规 5 4" xfId="1916" xr:uid="{00000000-0005-0000-0000-0000AB070000}"/>
    <cellStyle name="常规 5 5" xfId="1917" xr:uid="{00000000-0005-0000-0000-0000AC070000}"/>
    <cellStyle name="常规 5 6" xfId="1918" xr:uid="{00000000-0005-0000-0000-0000AD070000}"/>
    <cellStyle name="常规 5 7" xfId="1919" xr:uid="{00000000-0005-0000-0000-0000AE070000}"/>
    <cellStyle name="常规 5 8" xfId="1920" xr:uid="{00000000-0005-0000-0000-0000AF070000}"/>
    <cellStyle name="常规 5 9" xfId="1921" xr:uid="{00000000-0005-0000-0000-0000B0070000}"/>
    <cellStyle name="常规 50" xfId="1922" xr:uid="{00000000-0005-0000-0000-0000B1070000}"/>
    <cellStyle name="常规 51" xfId="1923" xr:uid="{00000000-0005-0000-0000-0000B2070000}"/>
    <cellStyle name="常规 52" xfId="1924" xr:uid="{00000000-0005-0000-0000-0000B3070000}"/>
    <cellStyle name="常规 53" xfId="1925" xr:uid="{00000000-0005-0000-0000-0000B4070000}"/>
    <cellStyle name="常规 54" xfId="1926" xr:uid="{00000000-0005-0000-0000-0000B5070000}"/>
    <cellStyle name="常规 55" xfId="1927" xr:uid="{00000000-0005-0000-0000-0000B6070000}"/>
    <cellStyle name="常规 56" xfId="1928" xr:uid="{00000000-0005-0000-0000-0000B7070000}"/>
    <cellStyle name="常规 57" xfId="1929" xr:uid="{00000000-0005-0000-0000-0000B8070000}"/>
    <cellStyle name="常规 58" xfId="1930" xr:uid="{00000000-0005-0000-0000-0000B9070000}"/>
    <cellStyle name="常规 6" xfId="1931" xr:uid="{00000000-0005-0000-0000-0000BA070000}"/>
    <cellStyle name="常规 6 2" xfId="1932" xr:uid="{00000000-0005-0000-0000-0000BB070000}"/>
    <cellStyle name="常规 6 3" xfId="1933" xr:uid="{00000000-0005-0000-0000-0000BC070000}"/>
    <cellStyle name="常规 6 4" xfId="1934" xr:uid="{00000000-0005-0000-0000-0000BD070000}"/>
    <cellStyle name="常规 6 5" xfId="1935" xr:uid="{00000000-0005-0000-0000-0000BE070000}"/>
    <cellStyle name="常规 6 6" xfId="1936" xr:uid="{00000000-0005-0000-0000-0000BF070000}"/>
    <cellStyle name="常规 6 7" xfId="1937" xr:uid="{00000000-0005-0000-0000-0000C0070000}"/>
    <cellStyle name="常规 6 8" xfId="1938" xr:uid="{00000000-0005-0000-0000-0000C1070000}"/>
    <cellStyle name="常规 6 9" xfId="1939" xr:uid="{00000000-0005-0000-0000-0000C2070000}"/>
    <cellStyle name="常规 60" xfId="1940" xr:uid="{00000000-0005-0000-0000-0000C3070000}"/>
    <cellStyle name="常规 63" xfId="1941" xr:uid="{00000000-0005-0000-0000-0000C4070000}"/>
    <cellStyle name="常规 7" xfId="1942" xr:uid="{00000000-0005-0000-0000-0000C5070000}"/>
    <cellStyle name="常规 7 2" xfId="1943" xr:uid="{00000000-0005-0000-0000-0000C6070000}"/>
    <cellStyle name="常规 7 3" xfId="1944" xr:uid="{00000000-0005-0000-0000-0000C7070000}"/>
    <cellStyle name="常规 7 4" xfId="1945" xr:uid="{00000000-0005-0000-0000-0000C8070000}"/>
    <cellStyle name="常规 7 5" xfId="1946" xr:uid="{00000000-0005-0000-0000-0000C9070000}"/>
    <cellStyle name="常规 7 6" xfId="1947" xr:uid="{00000000-0005-0000-0000-0000CA070000}"/>
    <cellStyle name="常规 7 7" xfId="1948" xr:uid="{00000000-0005-0000-0000-0000CB070000}"/>
    <cellStyle name="常规 7 8" xfId="1949" xr:uid="{00000000-0005-0000-0000-0000CC070000}"/>
    <cellStyle name="常规 7 9" xfId="1950" xr:uid="{00000000-0005-0000-0000-0000CD070000}"/>
    <cellStyle name="常规 78" xfId="1951" xr:uid="{00000000-0005-0000-0000-0000CE070000}"/>
    <cellStyle name="常规 79" xfId="1952" xr:uid="{00000000-0005-0000-0000-0000CF070000}"/>
    <cellStyle name="常规 8" xfId="1953" xr:uid="{00000000-0005-0000-0000-0000D0070000}"/>
    <cellStyle name="常规 8 2" xfId="1954" xr:uid="{00000000-0005-0000-0000-0000D1070000}"/>
    <cellStyle name="常规 8 3" xfId="1955" xr:uid="{00000000-0005-0000-0000-0000D2070000}"/>
    <cellStyle name="常规 8 4" xfId="1956" xr:uid="{00000000-0005-0000-0000-0000D3070000}"/>
    <cellStyle name="常规 8 5" xfId="1957" xr:uid="{00000000-0005-0000-0000-0000D4070000}"/>
    <cellStyle name="常规 8 6" xfId="1958" xr:uid="{00000000-0005-0000-0000-0000D5070000}"/>
    <cellStyle name="常规 8 7" xfId="1959" xr:uid="{00000000-0005-0000-0000-0000D6070000}"/>
    <cellStyle name="常规 8 8" xfId="1960" xr:uid="{00000000-0005-0000-0000-0000D7070000}"/>
    <cellStyle name="常规 80" xfId="1961" xr:uid="{00000000-0005-0000-0000-0000D8070000}"/>
    <cellStyle name="常规 88" xfId="1962" xr:uid="{00000000-0005-0000-0000-0000D9070000}"/>
    <cellStyle name="常规 9" xfId="1963" xr:uid="{00000000-0005-0000-0000-0000DA070000}"/>
    <cellStyle name="常规 9 2" xfId="1964" xr:uid="{00000000-0005-0000-0000-0000DB070000}"/>
    <cellStyle name="常规 9 3" xfId="1965" xr:uid="{00000000-0005-0000-0000-0000DC070000}"/>
    <cellStyle name="常规 9 4" xfId="1966" xr:uid="{00000000-0005-0000-0000-0000DD070000}"/>
    <cellStyle name="常规 9 5" xfId="1967" xr:uid="{00000000-0005-0000-0000-0000DE070000}"/>
    <cellStyle name="常规 9 6" xfId="1968" xr:uid="{00000000-0005-0000-0000-0000DF070000}"/>
    <cellStyle name="常规 9 7" xfId="1969" xr:uid="{00000000-0005-0000-0000-0000E0070000}"/>
    <cellStyle name="常规 9 8" xfId="1970" xr:uid="{00000000-0005-0000-0000-0000E1070000}"/>
    <cellStyle name="好 2" xfId="1971" xr:uid="{00000000-0005-0000-0000-0000E2070000}"/>
    <cellStyle name="好 3" xfId="1972" xr:uid="{00000000-0005-0000-0000-0000E3070000}"/>
    <cellStyle name="好 4" xfId="1973" xr:uid="{00000000-0005-0000-0000-0000E4070000}"/>
    <cellStyle name="好 5" xfId="1974" xr:uid="{00000000-0005-0000-0000-0000E5070000}"/>
    <cellStyle name="好 6" xfId="1975" xr:uid="{00000000-0005-0000-0000-0000E6070000}"/>
    <cellStyle name="好 7" xfId="1976" xr:uid="{00000000-0005-0000-0000-0000E7070000}"/>
    <cellStyle name="好 8" xfId="1977" xr:uid="{00000000-0005-0000-0000-0000E8070000}"/>
    <cellStyle name="好_12月工资11月奖金 人员信息 -2" xfId="1978" xr:uid="{00000000-0005-0000-0000-0000E9070000}"/>
    <cellStyle name="好_201008假期(Sales)" xfId="1979" xr:uid="{00000000-0005-0000-0000-0000EA070000}"/>
    <cellStyle name="好_3月OT数据更正-20100505" xfId="1980" xr:uid="{00000000-0005-0000-0000-0000EB070000}"/>
    <cellStyle name="好_5月工资4月奖金 人员信息-1" xfId="1981" xr:uid="{00000000-0005-0000-0000-0000EC070000}"/>
    <cellStyle name="好_Address Book 090825" xfId="1982" xr:uid="{00000000-0005-0000-0000-0000ED070000}"/>
    <cellStyle name="好_Book4" xfId="1983" xr:uid="{00000000-0005-0000-0000-0000EE070000}"/>
    <cellStyle name="好_by outlet by month with target" xfId="1984" xr:uid="{00000000-0005-0000-0000-0000EF070000}"/>
    <cellStyle name="好_by outlet by month with target-10年4月" xfId="1985" xr:uid="{00000000-0005-0000-0000-0000F0070000}"/>
    <cellStyle name="好_DSR、TT、BAS在岗清单10月13日" xfId="1986" xr:uid="{00000000-0005-0000-0000-0000F1070000}"/>
    <cellStyle name="好_NIVEA BA 11月工资10月奖金 数据提交表" xfId="1987" xr:uid="{00000000-0005-0000-0000-0000F2070000}"/>
    <cellStyle name="好_NIVEA BA 5月工资4月奖金 原始数据 更新 (version 4) 发放反馈" xfId="1988" xr:uid="{00000000-0005-0000-0000-0000F3070000}"/>
    <cellStyle name="好_Nivea Soplan 02.04" xfId="1989" xr:uid="{00000000-0005-0000-0000-0000F4070000}"/>
    <cellStyle name="好_Sheet1" xfId="1990" xr:uid="{00000000-0005-0000-0000-0000F5070000}"/>
    <cellStyle name="好_经销商缩写 (4)" xfId="1991" xr:uid="{00000000-0005-0000-0000-0000F6070000}"/>
    <cellStyle name="好_经销商直营商通讯录" xfId="1992" xr:uid="{00000000-0005-0000-0000-0000F7070000}"/>
    <cellStyle name="好_人员申请一事一报" xfId="1993" xr:uid="{00000000-0005-0000-0000-0000F8070000}"/>
    <cellStyle name="好_直营商合同回收情况--合并" xfId="1994" xr:uid="{00000000-0005-0000-0000-0000F9070000}"/>
    <cellStyle name="汇总 2" xfId="1995" xr:uid="{00000000-0005-0000-0000-0000FA070000}"/>
    <cellStyle name="汇总 3" xfId="1996" xr:uid="{00000000-0005-0000-0000-0000FB070000}"/>
    <cellStyle name="汇总 4" xfId="1997" xr:uid="{00000000-0005-0000-0000-0000FC070000}"/>
    <cellStyle name="汇总 5" xfId="1998" xr:uid="{00000000-0005-0000-0000-0000FD070000}"/>
    <cellStyle name="汇总 6" xfId="1999" xr:uid="{00000000-0005-0000-0000-0000FE070000}"/>
    <cellStyle name="汇总 7" xfId="2000" xr:uid="{00000000-0005-0000-0000-0000FF070000}"/>
    <cellStyle name="汇总 8" xfId="2001" xr:uid="{00000000-0005-0000-0000-000000080000}"/>
    <cellStyle name="貨幣 [0]_0698" xfId="2002" xr:uid="{00000000-0005-0000-0000-000001080000}"/>
    <cellStyle name="貨幣[0]_BJV" xfId="2003" xr:uid="{00000000-0005-0000-0000-000002080000}"/>
    <cellStyle name="貨幣_0698" xfId="2004" xr:uid="{00000000-0005-0000-0000-000003080000}"/>
    <cellStyle name="计算 2" xfId="2005" xr:uid="{00000000-0005-0000-0000-000004080000}"/>
    <cellStyle name="计算 3" xfId="2006" xr:uid="{00000000-0005-0000-0000-000005080000}"/>
    <cellStyle name="计算 4" xfId="2007" xr:uid="{00000000-0005-0000-0000-000006080000}"/>
    <cellStyle name="计算 5" xfId="2008" xr:uid="{00000000-0005-0000-0000-000007080000}"/>
    <cellStyle name="计算 6" xfId="2009" xr:uid="{00000000-0005-0000-0000-000008080000}"/>
    <cellStyle name="计算 7" xfId="2010" xr:uid="{00000000-0005-0000-0000-000009080000}"/>
    <cellStyle name="计算 8" xfId="2011" xr:uid="{00000000-0005-0000-0000-00000A080000}"/>
    <cellStyle name="检查单元格 2" xfId="2012" xr:uid="{00000000-0005-0000-0000-00000B080000}"/>
    <cellStyle name="检查单元格 3" xfId="2013" xr:uid="{00000000-0005-0000-0000-00000C080000}"/>
    <cellStyle name="检查单元格 4" xfId="2014" xr:uid="{00000000-0005-0000-0000-00000D080000}"/>
    <cellStyle name="检查单元格 5" xfId="2015" xr:uid="{00000000-0005-0000-0000-00000E080000}"/>
    <cellStyle name="检查单元格 6" xfId="2016" xr:uid="{00000000-0005-0000-0000-00000F080000}"/>
    <cellStyle name="检查单元格 7" xfId="2017" xr:uid="{00000000-0005-0000-0000-000010080000}"/>
    <cellStyle name="检查单元格 8" xfId="2018" xr:uid="{00000000-0005-0000-0000-000011080000}"/>
    <cellStyle name="解释性文本 2" xfId="2019" xr:uid="{00000000-0005-0000-0000-000012080000}"/>
    <cellStyle name="解释性文本 3" xfId="2020" xr:uid="{00000000-0005-0000-0000-000013080000}"/>
    <cellStyle name="解释性文本 4" xfId="2021" xr:uid="{00000000-0005-0000-0000-000014080000}"/>
    <cellStyle name="解释性文本 5" xfId="2022" xr:uid="{00000000-0005-0000-0000-000015080000}"/>
    <cellStyle name="解释性文本 6" xfId="2023" xr:uid="{00000000-0005-0000-0000-000016080000}"/>
    <cellStyle name="解释性文本 7" xfId="2024" xr:uid="{00000000-0005-0000-0000-000017080000}"/>
    <cellStyle name="解释性文本 8" xfId="2025" xr:uid="{00000000-0005-0000-0000-000018080000}"/>
    <cellStyle name="警告文本 2" xfId="2026" xr:uid="{00000000-0005-0000-0000-000019080000}"/>
    <cellStyle name="警告文本 3" xfId="2027" xr:uid="{00000000-0005-0000-0000-00001A080000}"/>
    <cellStyle name="警告文本 4" xfId="2028" xr:uid="{00000000-0005-0000-0000-00001B080000}"/>
    <cellStyle name="警告文本 5" xfId="2029" xr:uid="{00000000-0005-0000-0000-00001C080000}"/>
    <cellStyle name="警告文本 6" xfId="2030" xr:uid="{00000000-0005-0000-0000-00001D080000}"/>
    <cellStyle name="警告文本 7" xfId="2031" xr:uid="{00000000-0005-0000-0000-00001E080000}"/>
    <cellStyle name="警告文本 8" xfId="2032" xr:uid="{00000000-0005-0000-0000-00001F080000}"/>
    <cellStyle name="链接单元格 2" xfId="2033" xr:uid="{00000000-0005-0000-0000-000020080000}"/>
    <cellStyle name="链接单元格 3" xfId="2034" xr:uid="{00000000-0005-0000-0000-000021080000}"/>
    <cellStyle name="链接单元格 4" xfId="2035" xr:uid="{00000000-0005-0000-0000-000022080000}"/>
    <cellStyle name="链接单元格 5" xfId="2036" xr:uid="{00000000-0005-0000-0000-000023080000}"/>
    <cellStyle name="链接单元格 6" xfId="2037" xr:uid="{00000000-0005-0000-0000-000024080000}"/>
    <cellStyle name="链接单元格 7" xfId="2038" xr:uid="{00000000-0005-0000-0000-000025080000}"/>
    <cellStyle name="链接单元格 8" xfId="2039" xr:uid="{00000000-0005-0000-0000-000026080000}"/>
    <cellStyle name="霓付 [0]_97MBO" xfId="2040" xr:uid="{00000000-0005-0000-0000-000027080000}"/>
    <cellStyle name="霓付_97MBO" xfId="2041" xr:uid="{00000000-0005-0000-0000-000028080000}"/>
    <cellStyle name="烹拳 [0]_97MBO" xfId="2042" xr:uid="{00000000-0005-0000-0000-000029080000}"/>
    <cellStyle name="烹拳_97MBO" xfId="2043" xr:uid="{00000000-0005-0000-0000-00002A080000}"/>
    <cellStyle name="普通_ 白土" xfId="2044" xr:uid="{00000000-0005-0000-0000-00002B080000}"/>
    <cellStyle name="千分位[0]_ 白土" xfId="2045" xr:uid="{00000000-0005-0000-0000-00002C080000}"/>
    <cellStyle name="千分位_ 白土" xfId="2046" xr:uid="{00000000-0005-0000-0000-00002D080000}"/>
    <cellStyle name="千位[0]_gdzccc" xfId="2047" xr:uid="{00000000-0005-0000-0000-00002E080000}"/>
    <cellStyle name="千位_gdzccc" xfId="2048" xr:uid="{00000000-0005-0000-0000-00002F080000}"/>
    <cellStyle name="千位分隔 10" xfId="2049" xr:uid="{00000000-0005-0000-0000-000030080000}"/>
    <cellStyle name="千位分隔 11" xfId="2050" xr:uid="{00000000-0005-0000-0000-000031080000}"/>
    <cellStyle name="千位分隔 12" xfId="2051" xr:uid="{00000000-0005-0000-0000-000032080000}"/>
    <cellStyle name="千位分隔 13" xfId="2052" xr:uid="{00000000-0005-0000-0000-000033080000}"/>
    <cellStyle name="千位分隔 14" xfId="2053" xr:uid="{00000000-0005-0000-0000-000034080000}"/>
    <cellStyle name="千位分隔 15" xfId="2054" xr:uid="{00000000-0005-0000-0000-000035080000}"/>
    <cellStyle name="千位分隔 16" xfId="2055" xr:uid="{00000000-0005-0000-0000-000036080000}"/>
    <cellStyle name="千位分隔 17" xfId="2056" xr:uid="{00000000-0005-0000-0000-000037080000}"/>
    <cellStyle name="千位分隔 2" xfId="2057" xr:uid="{00000000-0005-0000-0000-000038080000}"/>
    <cellStyle name="千位分隔 2 2" xfId="2058" xr:uid="{00000000-0005-0000-0000-000039080000}"/>
    <cellStyle name="千位分隔 2 2 2" xfId="2059" xr:uid="{00000000-0005-0000-0000-00003A080000}"/>
    <cellStyle name="千位分隔 2 2 3" xfId="2060" xr:uid="{00000000-0005-0000-0000-00003B080000}"/>
    <cellStyle name="千位分隔 2 2 4" xfId="2061" xr:uid="{00000000-0005-0000-0000-00003C080000}"/>
    <cellStyle name="千位分隔 2 2 5" xfId="2062" xr:uid="{00000000-0005-0000-0000-00003D080000}"/>
    <cellStyle name="千位分隔 2 2 6" xfId="2063" xr:uid="{00000000-0005-0000-0000-00003E080000}"/>
    <cellStyle name="千位分隔 2 2 7" xfId="2064" xr:uid="{00000000-0005-0000-0000-00003F080000}"/>
    <cellStyle name="千位分隔 2 3" xfId="2065" xr:uid="{00000000-0005-0000-0000-000040080000}"/>
    <cellStyle name="千位分隔 2 3 2" xfId="2066" xr:uid="{00000000-0005-0000-0000-000041080000}"/>
    <cellStyle name="千位分隔 2 3 3" xfId="2067" xr:uid="{00000000-0005-0000-0000-000042080000}"/>
    <cellStyle name="千位分隔 2 3 4" xfId="2068" xr:uid="{00000000-0005-0000-0000-000043080000}"/>
    <cellStyle name="千位分隔 2 3 5" xfId="2069" xr:uid="{00000000-0005-0000-0000-000044080000}"/>
    <cellStyle name="千位分隔 2 3 6" xfId="2070" xr:uid="{00000000-0005-0000-0000-000045080000}"/>
    <cellStyle name="千位分隔 2 3 7" xfId="2071" xr:uid="{00000000-0005-0000-0000-000046080000}"/>
    <cellStyle name="千位分隔 2 4" xfId="2072" xr:uid="{00000000-0005-0000-0000-000047080000}"/>
    <cellStyle name="千位分隔 2 4 2" xfId="2073" xr:uid="{00000000-0005-0000-0000-000048080000}"/>
    <cellStyle name="千位分隔 2 4 3" xfId="2074" xr:uid="{00000000-0005-0000-0000-000049080000}"/>
    <cellStyle name="千位分隔 2 4 4" xfId="2075" xr:uid="{00000000-0005-0000-0000-00004A080000}"/>
    <cellStyle name="千位分隔 2 4 5" xfId="2076" xr:uid="{00000000-0005-0000-0000-00004B080000}"/>
    <cellStyle name="千位分隔 2 4 6" xfId="2077" xr:uid="{00000000-0005-0000-0000-00004C080000}"/>
    <cellStyle name="千位分隔 2 4 7" xfId="2078" xr:uid="{00000000-0005-0000-0000-00004D080000}"/>
    <cellStyle name="千位分隔 21" xfId="2079" xr:uid="{00000000-0005-0000-0000-00004E080000}"/>
    <cellStyle name="千位分隔 21 13" xfId="2080" xr:uid="{00000000-0005-0000-0000-00004F080000}"/>
    <cellStyle name="千位分隔 21 13 2" xfId="2081" xr:uid="{00000000-0005-0000-0000-000050080000}"/>
    <cellStyle name="千位分隔 21 13 3" xfId="2082" xr:uid="{00000000-0005-0000-0000-000051080000}"/>
    <cellStyle name="千位分隔 21 13 4" xfId="2083" xr:uid="{00000000-0005-0000-0000-000052080000}"/>
    <cellStyle name="千位分隔 21 13 5" xfId="2084" xr:uid="{00000000-0005-0000-0000-000053080000}"/>
    <cellStyle name="千位分隔 21 13 6" xfId="2085" xr:uid="{00000000-0005-0000-0000-000054080000}"/>
    <cellStyle name="千位分隔 21 13 7" xfId="2086" xr:uid="{00000000-0005-0000-0000-000055080000}"/>
    <cellStyle name="千位分隔 21 2" xfId="2087" xr:uid="{00000000-0005-0000-0000-000056080000}"/>
    <cellStyle name="千位分隔 21 3" xfId="2088" xr:uid="{00000000-0005-0000-0000-000057080000}"/>
    <cellStyle name="千位分隔 21 4" xfId="2089" xr:uid="{00000000-0005-0000-0000-000058080000}"/>
    <cellStyle name="千位分隔 21 5" xfId="2090" xr:uid="{00000000-0005-0000-0000-000059080000}"/>
    <cellStyle name="千位分隔 21 6" xfId="2091" xr:uid="{00000000-0005-0000-0000-00005A080000}"/>
    <cellStyle name="千位分隔 21 7" xfId="2092" xr:uid="{00000000-0005-0000-0000-00005B080000}"/>
    <cellStyle name="千位分隔 3" xfId="2093" xr:uid="{00000000-0005-0000-0000-00005C080000}"/>
    <cellStyle name="千位分隔 3 2" xfId="2094" xr:uid="{00000000-0005-0000-0000-00005D080000}"/>
    <cellStyle name="千位分隔 4" xfId="2095" xr:uid="{00000000-0005-0000-0000-00005E080000}"/>
    <cellStyle name="千位分隔 5" xfId="2096" xr:uid="{00000000-0005-0000-0000-00005F080000}"/>
    <cellStyle name="千位分隔 6" xfId="2097" xr:uid="{00000000-0005-0000-0000-000060080000}"/>
    <cellStyle name="千位分隔 7" xfId="2098" xr:uid="{00000000-0005-0000-0000-000061080000}"/>
    <cellStyle name="千位分隔 8" xfId="2099" xr:uid="{00000000-0005-0000-0000-000062080000}"/>
    <cellStyle name="千位分隔 9" xfId="2100" xr:uid="{00000000-0005-0000-0000-000063080000}"/>
    <cellStyle name="千位分隔[0]" xfId="1" builtinId="6"/>
    <cellStyle name="千位分隔[0] 2" xfId="2101" xr:uid="{00000000-0005-0000-0000-000064080000}"/>
    <cellStyle name="钎霖_laroux" xfId="2102" xr:uid="{00000000-0005-0000-0000-000065080000}"/>
    <cellStyle name="强调文字颜色 1 2" xfId="2103" xr:uid="{00000000-0005-0000-0000-000066080000}"/>
    <cellStyle name="强调文字颜色 1 3" xfId="2104" xr:uid="{00000000-0005-0000-0000-000067080000}"/>
    <cellStyle name="强调文字颜色 1 4" xfId="2105" xr:uid="{00000000-0005-0000-0000-000068080000}"/>
    <cellStyle name="强调文字颜色 1 5" xfId="2106" xr:uid="{00000000-0005-0000-0000-000069080000}"/>
    <cellStyle name="强调文字颜色 1 6" xfId="2107" xr:uid="{00000000-0005-0000-0000-00006A080000}"/>
    <cellStyle name="强调文字颜色 1 7" xfId="2108" xr:uid="{00000000-0005-0000-0000-00006B080000}"/>
    <cellStyle name="强调文字颜色 1 8" xfId="2109" xr:uid="{00000000-0005-0000-0000-00006C080000}"/>
    <cellStyle name="强调文字颜色 2 2" xfId="2110" xr:uid="{00000000-0005-0000-0000-00006D080000}"/>
    <cellStyle name="强调文字颜色 2 3" xfId="2111" xr:uid="{00000000-0005-0000-0000-00006E080000}"/>
    <cellStyle name="强调文字颜色 2 4" xfId="2112" xr:uid="{00000000-0005-0000-0000-00006F080000}"/>
    <cellStyle name="强调文字颜色 2 5" xfId="2113" xr:uid="{00000000-0005-0000-0000-000070080000}"/>
    <cellStyle name="强调文字颜色 2 6" xfId="2114" xr:uid="{00000000-0005-0000-0000-000071080000}"/>
    <cellStyle name="强调文字颜色 2 7" xfId="2115" xr:uid="{00000000-0005-0000-0000-000072080000}"/>
    <cellStyle name="强调文字颜色 2 8" xfId="2116" xr:uid="{00000000-0005-0000-0000-000073080000}"/>
    <cellStyle name="强调文字颜色 3 2" xfId="2117" xr:uid="{00000000-0005-0000-0000-000074080000}"/>
    <cellStyle name="强调文字颜色 3 3" xfId="2118" xr:uid="{00000000-0005-0000-0000-000075080000}"/>
    <cellStyle name="强调文字颜色 3 4" xfId="2119" xr:uid="{00000000-0005-0000-0000-000076080000}"/>
    <cellStyle name="强调文字颜色 3 5" xfId="2120" xr:uid="{00000000-0005-0000-0000-000077080000}"/>
    <cellStyle name="强调文字颜色 3 6" xfId="2121" xr:uid="{00000000-0005-0000-0000-000078080000}"/>
    <cellStyle name="强调文字颜色 3 7" xfId="2122" xr:uid="{00000000-0005-0000-0000-000079080000}"/>
    <cellStyle name="强调文字颜色 3 8" xfId="2123" xr:uid="{00000000-0005-0000-0000-00007A080000}"/>
    <cellStyle name="强调文字颜色 4 2" xfId="2124" xr:uid="{00000000-0005-0000-0000-00007B080000}"/>
    <cellStyle name="强调文字颜色 4 3" xfId="2125" xr:uid="{00000000-0005-0000-0000-00007C080000}"/>
    <cellStyle name="强调文字颜色 4 4" xfId="2126" xr:uid="{00000000-0005-0000-0000-00007D080000}"/>
    <cellStyle name="强调文字颜色 4 5" xfId="2127" xr:uid="{00000000-0005-0000-0000-00007E080000}"/>
    <cellStyle name="强调文字颜色 4 6" xfId="2128" xr:uid="{00000000-0005-0000-0000-00007F080000}"/>
    <cellStyle name="强调文字颜色 4 7" xfId="2129" xr:uid="{00000000-0005-0000-0000-000080080000}"/>
    <cellStyle name="强调文字颜色 4 8" xfId="2130" xr:uid="{00000000-0005-0000-0000-000081080000}"/>
    <cellStyle name="强调文字颜色 5 2" xfId="2131" xr:uid="{00000000-0005-0000-0000-000082080000}"/>
    <cellStyle name="强调文字颜色 5 3" xfId="2132" xr:uid="{00000000-0005-0000-0000-000083080000}"/>
    <cellStyle name="强调文字颜色 5 4" xfId="2133" xr:uid="{00000000-0005-0000-0000-000084080000}"/>
    <cellStyle name="强调文字颜色 5 5" xfId="2134" xr:uid="{00000000-0005-0000-0000-000085080000}"/>
    <cellStyle name="强调文字颜色 5 6" xfId="2135" xr:uid="{00000000-0005-0000-0000-000086080000}"/>
    <cellStyle name="强调文字颜色 5 7" xfId="2136" xr:uid="{00000000-0005-0000-0000-000087080000}"/>
    <cellStyle name="强调文字颜色 5 8" xfId="2137" xr:uid="{00000000-0005-0000-0000-000088080000}"/>
    <cellStyle name="强调文字颜色 6 2" xfId="2138" xr:uid="{00000000-0005-0000-0000-000089080000}"/>
    <cellStyle name="强调文字颜色 6 3" xfId="2139" xr:uid="{00000000-0005-0000-0000-00008A080000}"/>
    <cellStyle name="强调文字颜色 6 4" xfId="2140" xr:uid="{00000000-0005-0000-0000-00008B080000}"/>
    <cellStyle name="强调文字颜色 6 5" xfId="2141" xr:uid="{00000000-0005-0000-0000-00008C080000}"/>
    <cellStyle name="强调文字颜色 6 6" xfId="2142" xr:uid="{00000000-0005-0000-0000-00008D080000}"/>
    <cellStyle name="强调文字颜色 6 7" xfId="2143" xr:uid="{00000000-0005-0000-0000-00008E080000}"/>
    <cellStyle name="强调文字颜色 6 8" xfId="2144" xr:uid="{00000000-0005-0000-0000-00008F080000}"/>
    <cellStyle name="适中 2" xfId="2145" xr:uid="{00000000-0005-0000-0000-000090080000}"/>
    <cellStyle name="适中 3" xfId="2146" xr:uid="{00000000-0005-0000-0000-000091080000}"/>
    <cellStyle name="适中 4" xfId="2147" xr:uid="{00000000-0005-0000-0000-000092080000}"/>
    <cellStyle name="适中 5" xfId="2148" xr:uid="{00000000-0005-0000-0000-000093080000}"/>
    <cellStyle name="适中 6" xfId="2149" xr:uid="{00000000-0005-0000-0000-000094080000}"/>
    <cellStyle name="适中 7" xfId="2150" xr:uid="{00000000-0005-0000-0000-000095080000}"/>
    <cellStyle name="适中 8" xfId="2151" xr:uid="{00000000-0005-0000-0000-000096080000}"/>
    <cellStyle name="输出 2" xfId="2152" xr:uid="{00000000-0005-0000-0000-000097080000}"/>
    <cellStyle name="输出 3" xfId="2153" xr:uid="{00000000-0005-0000-0000-000098080000}"/>
    <cellStyle name="输出 4" xfId="2154" xr:uid="{00000000-0005-0000-0000-000099080000}"/>
    <cellStyle name="输出 5" xfId="2155" xr:uid="{00000000-0005-0000-0000-00009A080000}"/>
    <cellStyle name="输出 6" xfId="2156" xr:uid="{00000000-0005-0000-0000-00009B080000}"/>
    <cellStyle name="输出 7" xfId="2157" xr:uid="{00000000-0005-0000-0000-00009C080000}"/>
    <cellStyle name="输出 8" xfId="2158" xr:uid="{00000000-0005-0000-0000-00009D080000}"/>
    <cellStyle name="输入 2" xfId="2159" xr:uid="{00000000-0005-0000-0000-00009E080000}"/>
    <cellStyle name="输入 3" xfId="2160" xr:uid="{00000000-0005-0000-0000-00009F080000}"/>
    <cellStyle name="输入 4" xfId="2161" xr:uid="{00000000-0005-0000-0000-0000A0080000}"/>
    <cellStyle name="输入 5" xfId="2162" xr:uid="{00000000-0005-0000-0000-0000A1080000}"/>
    <cellStyle name="输入 6" xfId="2163" xr:uid="{00000000-0005-0000-0000-0000A2080000}"/>
    <cellStyle name="输入 7" xfId="2164" xr:uid="{00000000-0005-0000-0000-0000A3080000}"/>
    <cellStyle name="输入 8" xfId="2165" xr:uid="{00000000-0005-0000-0000-0000A4080000}"/>
    <cellStyle name="样式 1" xfId="2166" xr:uid="{00000000-0005-0000-0000-0000A5080000}"/>
    <cellStyle name="样式 1 2" xfId="2167" xr:uid="{00000000-0005-0000-0000-0000A6080000}"/>
    <cellStyle name="样式 1 3" xfId="2168" xr:uid="{00000000-0005-0000-0000-0000A7080000}"/>
    <cellStyle name="样式 1 3 2" xfId="2169" xr:uid="{00000000-0005-0000-0000-0000A8080000}"/>
    <cellStyle name="样式 1 3 3" xfId="2170" xr:uid="{00000000-0005-0000-0000-0000A9080000}"/>
    <cellStyle name="样式 1 3 4" xfId="2171" xr:uid="{00000000-0005-0000-0000-0000AA080000}"/>
    <cellStyle name="样式 1 3 5" xfId="2172" xr:uid="{00000000-0005-0000-0000-0000AB080000}"/>
    <cellStyle name="样式 1 3 6" xfId="2173" xr:uid="{00000000-0005-0000-0000-0000AC080000}"/>
    <cellStyle name="样式 1 3 7" xfId="2174" xr:uid="{00000000-0005-0000-0000-0000AD080000}"/>
    <cellStyle name="样式 1_DSR、TT、BAS在岗清单6月底" xfId="2175" xr:uid="{00000000-0005-0000-0000-0000AE080000}"/>
    <cellStyle name="样式 2" xfId="2176" xr:uid="{00000000-0005-0000-0000-0000AF080000}"/>
    <cellStyle name="样式 3" xfId="2177" xr:uid="{00000000-0005-0000-0000-0000B0080000}"/>
    <cellStyle name="一般_0698" xfId="2178" xr:uid="{00000000-0005-0000-0000-0000B1080000}"/>
    <cellStyle name="注释 2" xfId="2179" xr:uid="{00000000-0005-0000-0000-0000B2080000}"/>
    <cellStyle name="注释 2 2" xfId="2180" xr:uid="{00000000-0005-0000-0000-0000B3080000}"/>
    <cellStyle name="注释 2 3" xfId="2181" xr:uid="{00000000-0005-0000-0000-0000B4080000}"/>
    <cellStyle name="注释 2 4" xfId="2182" xr:uid="{00000000-0005-0000-0000-0000B5080000}"/>
    <cellStyle name="注释 2 5" xfId="2183" xr:uid="{00000000-0005-0000-0000-0000B6080000}"/>
    <cellStyle name="注释 2 6" xfId="2184" xr:uid="{00000000-0005-0000-0000-0000B7080000}"/>
    <cellStyle name="注释 2 7" xfId="2185" xr:uid="{00000000-0005-0000-0000-0000B8080000}"/>
    <cellStyle name="注释 3" xfId="2186" xr:uid="{00000000-0005-0000-0000-0000B9080000}"/>
    <cellStyle name="注释 3 2" xfId="2187" xr:uid="{00000000-0005-0000-0000-0000BA080000}"/>
    <cellStyle name="注释 3 3" xfId="2188" xr:uid="{00000000-0005-0000-0000-0000BB080000}"/>
    <cellStyle name="注释 3 4" xfId="2189" xr:uid="{00000000-0005-0000-0000-0000BC080000}"/>
    <cellStyle name="注释 3 5" xfId="2190" xr:uid="{00000000-0005-0000-0000-0000BD080000}"/>
    <cellStyle name="注释 3 6" xfId="2191" xr:uid="{00000000-0005-0000-0000-0000BE080000}"/>
    <cellStyle name="注释 3 7" xfId="2192" xr:uid="{00000000-0005-0000-0000-0000BF080000}"/>
    <cellStyle name="注释 4" xfId="2193" xr:uid="{00000000-0005-0000-0000-0000C0080000}"/>
    <cellStyle name="注释 5" xfId="2194" xr:uid="{00000000-0005-0000-0000-0000C1080000}"/>
    <cellStyle name="注释 6" xfId="2195" xr:uid="{00000000-0005-0000-0000-0000C2080000}"/>
    <cellStyle name="注释 7" xfId="2196" xr:uid="{00000000-0005-0000-0000-0000C3080000}"/>
    <cellStyle name="注释 8" xfId="2197" xr:uid="{00000000-0005-0000-0000-0000C4080000}"/>
    <cellStyle name="注释 9" xfId="2198" xr:uid="{00000000-0005-0000-0000-0000C5080000}"/>
    <cellStyle name="표준_Sheet1" xfId="2199" xr:uid="{00000000-0005-0000-0000-0000C6080000}"/>
  </cellStyles>
  <dxfs count="0"/>
  <tableStyles count="0" defaultTableStyle="TableStyleMedium9" defaultPivotStyle="PivotStyleLight16"/>
  <colors>
    <mruColors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1"/>
  <sheetViews>
    <sheetView workbookViewId="0">
      <selection activeCell="H16" sqref="H16"/>
    </sheetView>
  </sheetViews>
  <sheetFormatPr defaultColWidth="9" defaultRowHeight="14.25"/>
  <cols>
    <col min="1" max="1" width="16" customWidth="1"/>
    <col min="3" max="3" width="13.375" customWidth="1"/>
    <col min="4" max="4" width="14.75" customWidth="1"/>
    <col min="5" max="5" width="10.875" hidden="1" customWidth="1"/>
    <col min="6" max="6" width="12.625" hidden="1" customWidth="1"/>
    <col min="7" max="7" width="1" hidden="1" customWidth="1"/>
    <col min="8" max="8" width="12.625" customWidth="1"/>
    <col min="10" max="10" width="11.625" customWidth="1"/>
    <col min="11" max="12" width="10.125" hidden="1" customWidth="1"/>
    <col min="15" max="15" width="9" hidden="1" customWidth="1"/>
    <col min="16" max="16" width="12.25" customWidth="1"/>
    <col min="17" max="17" width="10.875" customWidth="1"/>
    <col min="18" max="18" width="12.625" customWidth="1"/>
  </cols>
  <sheetData>
    <row r="1" spans="1:18" ht="16.5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5"/>
      <c r="Q1" s="105"/>
      <c r="R1" s="105"/>
    </row>
    <row r="2" spans="1:18" ht="16.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5"/>
      <c r="Q2" s="105"/>
      <c r="R2" s="105"/>
    </row>
    <row r="3" spans="1:18" ht="16.5">
      <c r="A3" s="106">
        <v>46054</v>
      </c>
      <c r="B3" s="107"/>
      <c r="C3" s="107"/>
      <c r="D3" s="107"/>
      <c r="E3" s="107"/>
      <c r="F3" s="107"/>
      <c r="G3" s="107"/>
      <c r="H3" s="107"/>
      <c r="I3" s="107"/>
      <c r="J3" s="107"/>
      <c r="K3" s="108"/>
      <c r="L3" s="108"/>
      <c r="M3" s="107"/>
      <c r="N3" s="107"/>
      <c r="O3" s="107"/>
      <c r="P3" s="105"/>
      <c r="Q3" s="105"/>
      <c r="R3" s="105"/>
    </row>
    <row r="4" spans="1:18" ht="16.5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0"/>
      <c r="M4" s="109"/>
      <c r="N4" s="109"/>
      <c r="O4" s="109"/>
      <c r="P4" s="105"/>
      <c r="Q4" s="105"/>
      <c r="R4" s="105"/>
    </row>
    <row r="5" spans="1:18" ht="16.5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105"/>
      <c r="R5" s="105"/>
    </row>
    <row r="6" spans="1:18" ht="16.5">
      <c r="A6" s="104"/>
      <c r="B6" s="104"/>
      <c r="C6" s="104"/>
      <c r="D6" s="104"/>
      <c r="E6" s="104"/>
      <c r="F6" s="104"/>
      <c r="G6" s="111"/>
      <c r="H6" s="104"/>
      <c r="I6" s="104"/>
      <c r="J6" s="104"/>
      <c r="K6" s="104"/>
      <c r="L6" s="104"/>
      <c r="M6" s="104"/>
      <c r="N6" s="104"/>
      <c r="O6" s="104"/>
      <c r="P6" s="105"/>
      <c r="Q6" s="105"/>
      <c r="R6" s="105"/>
    </row>
    <row r="7" spans="1:18" ht="16.5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5"/>
      <c r="Q7" s="105"/>
      <c r="R7" s="105"/>
    </row>
    <row r="8" spans="1:18" ht="16.5">
      <c r="A8" s="129" t="s">
        <v>2</v>
      </c>
      <c r="B8" s="128" t="s">
        <v>3</v>
      </c>
      <c r="C8" s="128"/>
      <c r="D8" s="128"/>
      <c r="E8" s="128"/>
      <c r="F8" s="128"/>
      <c r="G8" s="128"/>
      <c r="H8" s="128"/>
      <c r="I8" s="128" t="s">
        <v>4</v>
      </c>
      <c r="J8" s="128"/>
      <c r="K8" s="128"/>
      <c r="L8" s="112" t="s">
        <v>5</v>
      </c>
      <c r="M8" s="128" t="s">
        <v>6</v>
      </c>
      <c r="N8" s="128"/>
      <c r="O8" s="131" t="s">
        <v>7</v>
      </c>
      <c r="P8" s="133" t="s">
        <v>8</v>
      </c>
      <c r="Q8" s="133" t="s">
        <v>9</v>
      </c>
      <c r="R8" s="133" t="s">
        <v>10</v>
      </c>
    </row>
    <row r="9" spans="1:18" ht="16.5">
      <c r="A9" s="130"/>
      <c r="B9" s="113" t="s">
        <v>11</v>
      </c>
      <c r="C9" s="113" t="s">
        <v>12</v>
      </c>
      <c r="D9" s="113" t="s">
        <v>13</v>
      </c>
      <c r="E9" s="113" t="s">
        <v>14</v>
      </c>
      <c r="F9" s="113" t="s">
        <v>15</v>
      </c>
      <c r="G9" s="113" t="s">
        <v>16</v>
      </c>
      <c r="H9" s="113" t="s">
        <v>17</v>
      </c>
      <c r="I9" s="113" t="s">
        <v>11</v>
      </c>
      <c r="J9" s="113" t="s">
        <v>18</v>
      </c>
      <c r="K9" s="113" t="s">
        <v>19</v>
      </c>
      <c r="L9" s="113" t="s">
        <v>20</v>
      </c>
      <c r="M9" s="113" t="s">
        <v>11</v>
      </c>
      <c r="N9" s="113" t="s">
        <v>21</v>
      </c>
      <c r="O9" s="132"/>
      <c r="P9" s="134"/>
      <c r="Q9" s="134"/>
      <c r="R9" s="134"/>
    </row>
    <row r="10" spans="1:18" ht="16.5">
      <c r="A10" s="114" t="s">
        <v>22</v>
      </c>
      <c r="B10" s="115">
        <v>1</v>
      </c>
      <c r="C10" s="115">
        <f>工资明细!AX9+工资明细!AY9+工资明细!AZ9+工资明细!BA9+工资明细!BB9+工资明细!AW9</f>
        <v>0</v>
      </c>
      <c r="D10" s="115">
        <f>工资明细!AB9+工资明细!AC9+工资明细!AD9+工资明细!AE9</f>
        <v>0</v>
      </c>
      <c r="E10" s="115">
        <v>0</v>
      </c>
      <c r="F10" s="115">
        <v>0</v>
      </c>
      <c r="G10" s="115">
        <v>0</v>
      </c>
      <c r="H10" s="116">
        <f>C10+D10</f>
        <v>0</v>
      </c>
      <c r="I10" s="115">
        <f>B10</f>
        <v>1</v>
      </c>
      <c r="J10" s="117">
        <f>工资明细!AG9+工资明细!AP9</f>
        <v>0</v>
      </c>
      <c r="K10" s="117">
        <f>工资明细!AQ9</f>
        <v>0</v>
      </c>
      <c r="L10" s="117">
        <f>工资明细!AU7+工资明细!AV7</f>
        <v>0</v>
      </c>
      <c r="M10" s="117">
        <f>B10</f>
        <v>1</v>
      </c>
      <c r="N10" s="117">
        <f>工资明细!BC9</f>
        <v>300</v>
      </c>
      <c r="O10" s="117">
        <f>工资明细!AV6</f>
        <v>0</v>
      </c>
      <c r="P10" s="117">
        <f>H10+J10+N10+K10+O10+L10</f>
        <v>300</v>
      </c>
      <c r="Q10" s="117">
        <f>ROUND(P10*6.77%,2)</f>
        <v>20.309999999999999</v>
      </c>
      <c r="R10" s="117">
        <f>ROUND(P10*(1+6.77%),2)</f>
        <v>320.31</v>
      </c>
    </row>
    <row r="11" spans="1:18" ht="16.5">
      <c r="A11" s="118" t="s">
        <v>23</v>
      </c>
      <c r="B11" s="115">
        <f t="shared" ref="B11:R11" si="0">SUM(B10:B10)</f>
        <v>1</v>
      </c>
      <c r="C11" s="115">
        <f t="shared" si="0"/>
        <v>0</v>
      </c>
      <c r="D11" s="115">
        <f t="shared" si="0"/>
        <v>0</v>
      </c>
      <c r="E11" s="115">
        <f t="shared" si="0"/>
        <v>0</v>
      </c>
      <c r="F11" s="115">
        <f t="shared" si="0"/>
        <v>0</v>
      </c>
      <c r="G11" s="115">
        <f t="shared" si="0"/>
        <v>0</v>
      </c>
      <c r="H11" s="115">
        <f t="shared" si="0"/>
        <v>0</v>
      </c>
      <c r="I11" s="115">
        <f t="shared" si="0"/>
        <v>1</v>
      </c>
      <c r="J11" s="115">
        <f t="shared" si="0"/>
        <v>0</v>
      </c>
      <c r="K11" s="115">
        <f t="shared" si="0"/>
        <v>0</v>
      </c>
      <c r="L11" s="115">
        <f t="shared" si="0"/>
        <v>0</v>
      </c>
      <c r="M11" s="115">
        <f t="shared" si="0"/>
        <v>1</v>
      </c>
      <c r="N11" s="115">
        <f t="shared" si="0"/>
        <v>300</v>
      </c>
      <c r="O11" s="115">
        <f t="shared" si="0"/>
        <v>0</v>
      </c>
      <c r="P11" s="115">
        <f t="shared" si="0"/>
        <v>300</v>
      </c>
      <c r="Q11" s="115">
        <f t="shared" si="0"/>
        <v>20.309999999999999</v>
      </c>
      <c r="R11" s="115">
        <f t="shared" si="0"/>
        <v>320.31</v>
      </c>
    </row>
    <row r="12" spans="1:18" ht="16.5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5"/>
      <c r="Q12" s="105"/>
      <c r="R12" s="105"/>
    </row>
    <row r="13" spans="1:18" ht="16.5">
      <c r="A13" s="119" t="s">
        <v>24</v>
      </c>
      <c r="B13" s="119" t="str">
        <f>IF(R11&lt;=0,,"人民币"&amp;IF(INT(R11)=0,,TEXT(INT(R11),"[dbnum2]")&amp;"圆")&amp;IF(INT(R11*10)-INT(R11)*10=0,IF(INT(R11)*(INT(R11*100)-INT(R11*10)*10)=0,"","零"),TEXT(INT(R11*10)-INT(R11)*10,"[dbnum2]")&amp;"角")&amp;IF((INT(R11*100)-INT(R11*10)*10)=0,"整",TEXT((INT(R11*100)-INT(R11*10)*10),"[dbnum2]")&amp;"分"))</f>
        <v>人民币叁佰贰拾圆叁角壹分</v>
      </c>
      <c r="C13" s="104"/>
      <c r="D13" s="104"/>
      <c r="E13" s="104"/>
      <c r="F13" s="104"/>
      <c r="G13" s="104"/>
      <c r="H13" s="120"/>
      <c r="I13" s="104"/>
      <c r="J13" s="104"/>
      <c r="K13" s="121"/>
      <c r="L13" s="121"/>
      <c r="M13" s="104"/>
      <c r="N13" s="104"/>
      <c r="O13" s="104"/>
      <c r="P13" s="105"/>
      <c r="Q13" s="105"/>
      <c r="R13" s="122"/>
    </row>
    <row r="14" spans="1:18" ht="16.5">
      <c r="A14" s="109"/>
      <c r="B14" s="109"/>
      <c r="C14" s="109"/>
      <c r="D14" s="109"/>
      <c r="E14" s="109"/>
      <c r="F14" s="109"/>
      <c r="G14" s="109"/>
      <c r="H14" s="109"/>
      <c r="I14" s="104"/>
      <c r="J14" s="104"/>
      <c r="K14" s="121"/>
      <c r="L14" s="121"/>
      <c r="M14" s="104"/>
      <c r="N14" s="109"/>
      <c r="O14" s="109"/>
      <c r="P14" s="105"/>
      <c r="Q14" s="105"/>
      <c r="R14" s="105"/>
    </row>
    <row r="15" spans="1:18" ht="16.5">
      <c r="A15" s="104" t="s">
        <v>25</v>
      </c>
      <c r="B15" s="104" t="s">
        <v>26</v>
      </c>
      <c r="C15" s="104"/>
      <c r="D15" s="104" t="s">
        <v>27</v>
      </c>
      <c r="E15" s="104"/>
      <c r="F15" s="123"/>
      <c r="G15" s="109"/>
      <c r="H15" s="109"/>
      <c r="I15" s="104"/>
      <c r="J15" s="104"/>
      <c r="K15" s="121"/>
      <c r="L15" s="121"/>
      <c r="M15" s="109"/>
      <c r="N15" s="109"/>
      <c r="O15" s="109"/>
      <c r="P15" s="105"/>
      <c r="Q15" s="105"/>
      <c r="R15" s="105"/>
    </row>
    <row r="16" spans="1:18" ht="16.5">
      <c r="A16" s="104"/>
      <c r="B16" s="104"/>
      <c r="C16" s="104"/>
      <c r="D16" s="104"/>
      <c r="E16" s="104"/>
      <c r="F16" s="109"/>
      <c r="G16" s="109"/>
      <c r="H16" s="123"/>
      <c r="I16" s="109"/>
      <c r="J16" s="104"/>
      <c r="K16" s="124"/>
      <c r="L16" s="124"/>
      <c r="M16" s="109"/>
      <c r="N16" s="109"/>
      <c r="O16" s="109"/>
      <c r="P16" s="105"/>
      <c r="Q16" s="105"/>
      <c r="R16" s="105"/>
    </row>
    <row r="17" spans="1:18" ht="16.5">
      <c r="A17" s="104"/>
      <c r="B17" s="104"/>
      <c r="C17" s="104"/>
      <c r="D17" s="104"/>
      <c r="E17" s="104"/>
      <c r="F17" s="109"/>
      <c r="G17" s="109"/>
      <c r="H17" s="109"/>
      <c r="I17" s="123"/>
      <c r="J17" s="104"/>
      <c r="K17" s="125"/>
      <c r="L17" s="125"/>
      <c r="M17" s="109"/>
      <c r="N17" s="109"/>
      <c r="O17" s="109"/>
      <c r="P17" s="105"/>
      <c r="Q17" s="105"/>
      <c r="R17" s="105"/>
    </row>
    <row r="18" spans="1:18" ht="17.25">
      <c r="A18" s="126" t="s">
        <v>28</v>
      </c>
      <c r="B18" s="126"/>
      <c r="C18" s="126"/>
      <c r="D18" s="126"/>
      <c r="E18" s="104"/>
      <c r="F18" s="109"/>
      <c r="G18" s="109"/>
      <c r="H18" s="109"/>
      <c r="I18" s="109"/>
      <c r="J18" s="104"/>
      <c r="K18" s="125"/>
      <c r="L18" s="125"/>
      <c r="M18" s="109"/>
      <c r="N18" s="109"/>
      <c r="O18" s="109"/>
      <c r="P18" s="105"/>
      <c r="Q18" s="105"/>
      <c r="R18" s="105"/>
    </row>
    <row r="19" spans="1:18" ht="17.25">
      <c r="A19" s="126" t="s">
        <v>29</v>
      </c>
      <c r="B19" s="126"/>
      <c r="C19" s="126"/>
      <c r="D19" s="126"/>
      <c r="E19" s="104"/>
      <c r="F19" s="109"/>
      <c r="G19" s="109"/>
      <c r="H19" s="109"/>
      <c r="I19" s="123"/>
      <c r="J19" s="125"/>
      <c r="K19" s="125"/>
      <c r="L19" s="125"/>
      <c r="M19" s="109"/>
      <c r="N19" s="109"/>
      <c r="O19" s="109"/>
      <c r="P19" s="105"/>
      <c r="Q19" s="105"/>
      <c r="R19" s="105"/>
    </row>
    <row r="20" spans="1:18" ht="17.25">
      <c r="A20" s="126" t="s">
        <v>30</v>
      </c>
      <c r="B20" s="126"/>
      <c r="C20" s="126"/>
      <c r="D20" s="126"/>
      <c r="E20" s="127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</row>
    <row r="21" spans="1:18" ht="16.5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</row>
  </sheetData>
  <mergeCells count="8">
    <mergeCell ref="P8:P9"/>
    <mergeCell ref="Q8:Q9"/>
    <mergeCell ref="R8:R9"/>
    <mergeCell ref="B8:H8"/>
    <mergeCell ref="I8:K8"/>
    <mergeCell ref="M8:N8"/>
    <mergeCell ref="A8:A9"/>
    <mergeCell ref="O8:O9"/>
  </mergeCells>
  <phoneticPr fontId="93" type="noConversion"/>
  <printOptions horizontalCentered="1"/>
  <pageMargins left="0.23622047244094499" right="0.15748031496063" top="0.74803149606299202" bottom="0.74803149606299202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  <pageSetUpPr fitToPage="1"/>
  </sheetPr>
  <dimension ref="A1:BH249"/>
  <sheetViews>
    <sheetView tabSelected="1" workbookViewId="0">
      <pane xSplit="4" ySplit="5" topLeftCell="E6" activePane="bottomRight" state="frozen"/>
      <selection pane="topRight"/>
      <selection pane="bottomLeft"/>
      <selection pane="bottomRight" activeCell="B7" sqref="B7"/>
    </sheetView>
  </sheetViews>
  <sheetFormatPr defaultColWidth="9" defaultRowHeight="14.25" outlineLevelCol="1"/>
  <cols>
    <col min="1" max="1" width="5.875" style="62" customWidth="1"/>
    <col min="2" max="2" width="8.25" style="62" customWidth="1"/>
    <col min="3" max="3" width="8" style="62" customWidth="1"/>
    <col min="4" max="4" width="6" style="62" customWidth="1"/>
    <col min="5" max="5" width="18" style="62" customWidth="1"/>
    <col min="6" max="6" width="9.75" style="62" customWidth="1"/>
    <col min="7" max="7" width="10" style="62" customWidth="1"/>
    <col min="8" max="8" width="6.75" style="62" hidden="1" customWidth="1"/>
    <col min="9" max="9" width="9" style="62" hidden="1" customWidth="1"/>
    <col min="10" max="15" width="4.75" style="63" hidden="1" customWidth="1"/>
    <col min="16" max="16" width="9" style="63" hidden="1" customWidth="1"/>
    <col min="17" max="18" width="8" style="63" hidden="1" customWidth="1"/>
    <col min="19" max="19" width="9" style="63" hidden="1" customWidth="1"/>
    <col min="20" max="20" width="9.375" style="63" hidden="1" customWidth="1"/>
    <col min="21" max="21" width="9.375" style="62" hidden="1" customWidth="1"/>
    <col min="22" max="22" width="8" style="62" customWidth="1"/>
    <col min="23" max="23" width="9.375" style="62" customWidth="1"/>
    <col min="24" max="24" width="8" style="62" customWidth="1"/>
    <col min="25" max="26" width="9.25" style="62" customWidth="1"/>
    <col min="27" max="27" width="9.625" style="62" customWidth="1"/>
    <col min="28" max="29" width="8.75" style="62" hidden="1" customWidth="1"/>
    <col min="30" max="30" width="7.5" style="62" hidden="1" customWidth="1"/>
    <col min="31" max="31" width="8.75" style="62" hidden="1" customWidth="1"/>
    <col min="32" max="32" width="8" style="62" hidden="1" customWidth="1"/>
    <col min="33" max="33" width="9.625" style="62" hidden="1" customWidth="1"/>
    <col min="34" max="35" width="9.625" style="62" hidden="1" customWidth="1" outlineLevel="1"/>
    <col min="36" max="36" width="8" style="62" hidden="1" customWidth="1" outlineLevel="1"/>
    <col min="37" max="37" width="10.125" style="62" hidden="1" customWidth="1" outlineLevel="1"/>
    <col min="38" max="38" width="8.5" style="62" hidden="1" customWidth="1" outlineLevel="1"/>
    <col min="39" max="39" width="10.375" style="62" hidden="1" customWidth="1" outlineLevel="1"/>
    <col min="40" max="40" width="9.125" style="62" hidden="1" customWidth="1" collapsed="1"/>
    <col min="41" max="41" width="10.25" style="62" hidden="1" customWidth="1"/>
    <col min="42" max="42" width="9.25" style="62" hidden="1" customWidth="1"/>
    <col min="43" max="45" width="9.625" style="62" hidden="1" customWidth="1"/>
    <col min="46" max="46" width="9.5" style="62" hidden="1" customWidth="1"/>
    <col min="47" max="47" width="8.375" style="62" hidden="1" customWidth="1"/>
    <col min="48" max="48" width="8" style="64" hidden="1" customWidth="1"/>
    <col min="49" max="49" width="7.375" style="64" hidden="1" customWidth="1"/>
    <col min="50" max="51" width="8.625" style="64" hidden="1" customWidth="1"/>
    <col min="52" max="52" width="7.375" style="64" hidden="1" customWidth="1"/>
    <col min="53" max="53" width="7.375" style="64" customWidth="1"/>
    <col min="54" max="54" width="8.625" style="64" hidden="1" customWidth="1"/>
    <col min="55" max="55" width="8.625" style="64" customWidth="1"/>
    <col min="56" max="56" width="10.125" style="64" customWidth="1"/>
    <col min="57" max="57" width="8.5" style="64" customWidth="1"/>
    <col min="58" max="58" width="9.375" style="64" customWidth="1"/>
    <col min="59" max="16384" width="9" style="62"/>
  </cols>
  <sheetData>
    <row r="1" spans="1:60"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AV1" s="62"/>
    </row>
    <row r="2" spans="1:60">
      <c r="C2" s="65"/>
      <c r="D2" s="65"/>
    </row>
    <row r="3" spans="1:60">
      <c r="A3" s="66">
        <v>1</v>
      </c>
      <c r="B3" s="66">
        <v>2</v>
      </c>
      <c r="C3" s="66">
        <v>3</v>
      </c>
      <c r="D3" s="66">
        <v>4</v>
      </c>
      <c r="E3" s="66">
        <v>5</v>
      </c>
      <c r="F3" s="66">
        <v>6</v>
      </c>
      <c r="G3" s="66">
        <v>7</v>
      </c>
      <c r="H3" s="66">
        <v>8</v>
      </c>
      <c r="I3" s="66">
        <v>9</v>
      </c>
      <c r="J3" s="66">
        <v>10</v>
      </c>
      <c r="K3" s="66">
        <v>11</v>
      </c>
      <c r="L3" s="66">
        <v>12</v>
      </c>
      <c r="M3" s="66">
        <v>13</v>
      </c>
      <c r="N3" s="66">
        <v>14</v>
      </c>
      <c r="O3" s="66">
        <v>15</v>
      </c>
      <c r="P3" s="66">
        <v>16</v>
      </c>
      <c r="Q3" s="66">
        <v>17</v>
      </c>
      <c r="R3" s="66">
        <v>18</v>
      </c>
      <c r="S3" s="66">
        <v>19</v>
      </c>
      <c r="T3" s="66">
        <v>20</v>
      </c>
      <c r="U3" s="66">
        <v>21</v>
      </c>
      <c r="V3" s="66">
        <v>22</v>
      </c>
      <c r="W3" s="66">
        <v>23</v>
      </c>
      <c r="X3" s="66">
        <v>24</v>
      </c>
      <c r="Y3" s="66">
        <v>25</v>
      </c>
      <c r="Z3" s="66">
        <v>26</v>
      </c>
      <c r="AA3" s="66">
        <v>27</v>
      </c>
      <c r="AB3" s="66">
        <v>28</v>
      </c>
      <c r="AC3" s="66">
        <v>29</v>
      </c>
      <c r="AD3" s="66">
        <v>30</v>
      </c>
      <c r="AE3" s="66">
        <v>31</v>
      </c>
      <c r="AF3" s="66">
        <v>32</v>
      </c>
      <c r="AG3" s="66">
        <v>33</v>
      </c>
      <c r="AH3" s="66">
        <v>34</v>
      </c>
      <c r="AI3" s="66">
        <v>35</v>
      </c>
      <c r="AJ3" s="66">
        <v>36</v>
      </c>
      <c r="AK3" s="66">
        <v>37</v>
      </c>
      <c r="AL3" s="66">
        <v>38</v>
      </c>
      <c r="AM3" s="66">
        <v>39</v>
      </c>
      <c r="AN3" s="66">
        <v>40</v>
      </c>
      <c r="AO3" s="66">
        <v>41</v>
      </c>
      <c r="AP3" s="66">
        <v>42</v>
      </c>
      <c r="AQ3" s="66">
        <v>43</v>
      </c>
      <c r="AR3" s="66">
        <v>44</v>
      </c>
      <c r="AS3" s="66">
        <v>45</v>
      </c>
      <c r="AT3" s="66">
        <v>46</v>
      </c>
      <c r="AU3" s="66">
        <v>47</v>
      </c>
      <c r="AV3" s="66">
        <v>48</v>
      </c>
      <c r="AW3" s="66">
        <v>49</v>
      </c>
      <c r="AX3" s="66">
        <v>50</v>
      </c>
      <c r="AY3" s="66">
        <v>51</v>
      </c>
      <c r="AZ3" s="66">
        <v>52</v>
      </c>
      <c r="BA3" s="66">
        <v>53</v>
      </c>
      <c r="BB3" s="66">
        <v>54</v>
      </c>
      <c r="BC3" s="66">
        <v>55</v>
      </c>
      <c r="BD3" s="66"/>
      <c r="BE3" s="66">
        <v>56</v>
      </c>
      <c r="BF3" s="66">
        <v>57</v>
      </c>
    </row>
    <row r="4" spans="1:60">
      <c r="C4" s="65"/>
      <c r="D4" s="65"/>
    </row>
    <row r="5" spans="1:60" s="59" customFormat="1" ht="48" customHeight="1">
      <c r="A5" s="67" t="s">
        <v>31</v>
      </c>
      <c r="B5" s="68" t="s">
        <v>32</v>
      </c>
      <c r="C5" s="69" t="s">
        <v>2</v>
      </c>
      <c r="D5" s="69" t="s">
        <v>33</v>
      </c>
      <c r="E5" s="70" t="s">
        <v>34</v>
      </c>
      <c r="F5" s="69" t="s">
        <v>35</v>
      </c>
      <c r="G5" s="71" t="s">
        <v>36</v>
      </c>
      <c r="H5" s="69" t="s">
        <v>37</v>
      </c>
      <c r="I5" s="72" t="s">
        <v>38</v>
      </c>
      <c r="J5" s="73" t="s">
        <v>39</v>
      </c>
      <c r="K5" s="73" t="s">
        <v>40</v>
      </c>
      <c r="L5" s="73" t="s">
        <v>41</v>
      </c>
      <c r="M5" s="73" t="s">
        <v>42</v>
      </c>
      <c r="N5" s="73" t="s">
        <v>43</v>
      </c>
      <c r="O5" s="73" t="s">
        <v>44</v>
      </c>
      <c r="P5" s="73" t="s">
        <v>45</v>
      </c>
      <c r="Q5" s="73" t="s">
        <v>46</v>
      </c>
      <c r="R5" s="73" t="s">
        <v>47</v>
      </c>
      <c r="S5" s="73" t="s">
        <v>48</v>
      </c>
      <c r="T5" s="74" t="s">
        <v>49</v>
      </c>
      <c r="U5" s="75" t="s">
        <v>50</v>
      </c>
      <c r="V5" s="75" t="s">
        <v>51</v>
      </c>
      <c r="W5" s="75" t="s">
        <v>52</v>
      </c>
      <c r="X5" s="69" t="s">
        <v>53</v>
      </c>
      <c r="Y5" s="75" t="s">
        <v>54</v>
      </c>
      <c r="Z5" s="75" t="s">
        <v>55</v>
      </c>
      <c r="AA5" s="76" t="s">
        <v>56</v>
      </c>
      <c r="AB5" s="75" t="s">
        <v>57</v>
      </c>
      <c r="AC5" s="75" t="s">
        <v>58</v>
      </c>
      <c r="AD5" s="75" t="s">
        <v>59</v>
      </c>
      <c r="AE5" s="75" t="s">
        <v>60</v>
      </c>
      <c r="AF5" s="69" t="s">
        <v>61</v>
      </c>
      <c r="AG5" s="77" t="s">
        <v>62</v>
      </c>
      <c r="AH5" s="78" t="s">
        <v>63</v>
      </c>
      <c r="AI5" s="79" t="s">
        <v>64</v>
      </c>
      <c r="AJ5" s="80" t="s">
        <v>65</v>
      </c>
      <c r="AK5" s="81" t="s">
        <v>66</v>
      </c>
      <c r="AL5" s="81" t="s">
        <v>67</v>
      </c>
      <c r="AM5" s="78" t="s">
        <v>68</v>
      </c>
      <c r="AN5" s="79" t="s">
        <v>69</v>
      </c>
      <c r="AO5" s="80" t="s">
        <v>70</v>
      </c>
      <c r="AP5" s="75" t="s">
        <v>71</v>
      </c>
      <c r="AQ5" s="75" t="s">
        <v>72</v>
      </c>
      <c r="AR5" s="75" t="s">
        <v>73</v>
      </c>
      <c r="AS5" s="75" t="s">
        <v>74</v>
      </c>
      <c r="AT5" s="82" t="s">
        <v>75</v>
      </c>
      <c r="AU5" s="74" t="s">
        <v>5</v>
      </c>
      <c r="AV5" s="74" t="s">
        <v>76</v>
      </c>
      <c r="AW5" s="74" t="s">
        <v>77</v>
      </c>
      <c r="AX5" s="74" t="s">
        <v>78</v>
      </c>
      <c r="AY5" s="74" t="s">
        <v>79</v>
      </c>
      <c r="AZ5" s="74" t="s">
        <v>80</v>
      </c>
      <c r="BA5" s="74" t="s">
        <v>81</v>
      </c>
      <c r="BB5" s="74" t="s">
        <v>82</v>
      </c>
      <c r="BC5" s="74" t="s">
        <v>6</v>
      </c>
      <c r="BD5" s="74" t="s">
        <v>8</v>
      </c>
      <c r="BE5" s="74" t="s">
        <v>9</v>
      </c>
      <c r="BF5" s="74" t="s">
        <v>83</v>
      </c>
      <c r="BH5" s="83" t="s">
        <v>84</v>
      </c>
    </row>
    <row r="6" spans="1:60" s="60" customFormat="1" ht="24.95" customHeight="1">
      <c r="A6" s="84">
        <v>1</v>
      </c>
      <c r="B6" s="85" t="s">
        <v>133</v>
      </c>
      <c r="C6" s="86" t="s">
        <v>22</v>
      </c>
      <c r="D6" s="87" t="s">
        <v>85</v>
      </c>
      <c r="E6" s="88" t="s">
        <v>86</v>
      </c>
      <c r="F6" s="89">
        <v>45839</v>
      </c>
      <c r="G6" s="89"/>
      <c r="H6" s="90">
        <f>IF(G6&gt;0,ROUND(DATEDIF(F6,G6,"d")/365,2),ROUND(DATEDIF(F6,DATE(2026,2,28),"d")/365,2))</f>
        <v>0.66</v>
      </c>
      <c r="I6" s="86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2">
        <v>23</v>
      </c>
      <c r="W6" s="92"/>
      <c r="X6" s="92"/>
      <c r="Y6" s="93"/>
      <c r="Z6" s="92"/>
      <c r="AA6" s="92">
        <f t="shared" ref="AA6" si="0">ROUND(W6+X6+Y6+Z6,2)</f>
        <v>0</v>
      </c>
      <c r="AB6" s="92">
        <f>$T$6*8%</f>
        <v>0</v>
      </c>
      <c r="AC6" s="92">
        <f>T6*2%</f>
        <v>0</v>
      </c>
      <c r="AD6" s="92">
        <f>$T$6*0.5%</f>
        <v>0</v>
      </c>
      <c r="AE6" s="92">
        <f>$T$6*7%</f>
        <v>0</v>
      </c>
      <c r="AF6" s="92"/>
      <c r="AG6" s="92">
        <f>ROUND(AA6-AB6-AC6-AD6-AE6-AF6,2)</f>
        <v>0</v>
      </c>
      <c r="AH6" s="92"/>
      <c r="AI6" s="92"/>
      <c r="AJ6" s="92"/>
      <c r="AK6" s="92"/>
      <c r="AL6" s="92"/>
      <c r="AM6" s="92">
        <f>ROUND(AG6+AH6-5000-(AK6-AL6),2)</f>
        <v>-5000</v>
      </c>
      <c r="AN6" s="92" cm="1">
        <f t="array" ref="AN6">ROUND(MAX(AM6*{0.03,0.1,0.2,0.25,0.3,0.35,0.45}-{0,2520,16920,31920,52920,85920,181920}-(AI6+AJ6),0),2)</f>
        <v>0</v>
      </c>
      <c r="AO6" s="92">
        <f>ROUND(AI6+AJ6,2)</f>
        <v>0</v>
      </c>
      <c r="AP6" s="92"/>
      <c r="AQ6" s="92"/>
      <c r="AR6" s="92">
        <f>ROUND(LOOKUP(MAX(0.0001,AQ6/12),{0;6;24;50;70;110;160}*500+0.0001,5*MAX(0,AQ6)*{0.6;2;4;5;6;7;9}%-10*{0;21;141;266;441;716;1516}),2)</f>
        <v>0</v>
      </c>
      <c r="AS6" s="92">
        <f t="shared" ref="AS6" si="1">ROUND(AQ6-AR6,2)</f>
        <v>0</v>
      </c>
      <c r="AT6" s="92">
        <f t="shared" ref="AT6" si="2">ROUND(AG6-AN6+AP6+AS6,2)</f>
        <v>0</v>
      </c>
      <c r="AU6" s="94"/>
      <c r="AV6" s="92"/>
      <c r="AW6" s="92">
        <f>$T$6*1.5%</f>
        <v>0</v>
      </c>
      <c r="AX6" s="92">
        <f>$T$6*16%</f>
        <v>0</v>
      </c>
      <c r="AY6" s="92">
        <f>$T$6*9%</f>
        <v>0</v>
      </c>
      <c r="AZ6" s="92">
        <f>$T$6*0.5%</f>
        <v>0</v>
      </c>
      <c r="BA6" s="95"/>
      <c r="BB6" s="94">
        <f>U6*7%</f>
        <v>0</v>
      </c>
      <c r="BC6" s="94">
        <v>300</v>
      </c>
      <c r="BD6" s="94">
        <f>AA6+AW6+AX6+AY6+AZ6+BA6+BB6+BC6+AV6+AQ6</f>
        <v>300</v>
      </c>
      <c r="BE6" s="94">
        <f>ROUND((AA6+AQ6+AX6+AY6+AZ6+BA6+BB6+AW6+BC6+AV6+AP6)*6.77%,2)</f>
        <v>20.309999999999999</v>
      </c>
      <c r="BF6" s="94">
        <f>ROUND(AA6+AQ6+AV6+AX6+AY6+AZ6+BA6+BB6+AW6+BC6+BE6+AP6,2)</f>
        <v>320.31</v>
      </c>
    </row>
    <row r="7" spans="1:60" s="60" customFormat="1" ht="24.95" customHeight="1">
      <c r="A7" s="84"/>
      <c r="B7" s="96"/>
      <c r="C7" s="86"/>
      <c r="D7" s="87"/>
      <c r="E7" s="88"/>
      <c r="F7" s="89"/>
      <c r="G7" s="89"/>
      <c r="H7" s="90"/>
      <c r="I7" s="86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2"/>
      <c r="W7" s="91"/>
      <c r="X7" s="92"/>
      <c r="Y7" s="93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4"/>
      <c r="AV7" s="94"/>
      <c r="AW7" s="92"/>
      <c r="AX7" s="92"/>
      <c r="AY7" s="92"/>
      <c r="AZ7" s="92"/>
      <c r="BA7" s="92"/>
      <c r="BB7" s="94"/>
      <c r="BC7" s="94"/>
      <c r="BD7" s="94"/>
      <c r="BE7" s="94"/>
      <c r="BF7" s="94"/>
    </row>
    <row r="8" spans="1:60" s="60" customFormat="1" ht="24.95" customHeight="1">
      <c r="A8" s="84"/>
      <c r="B8" s="96"/>
      <c r="C8" s="86"/>
      <c r="D8" s="87"/>
      <c r="E8" s="88"/>
      <c r="F8" s="89"/>
      <c r="G8" s="89"/>
      <c r="H8" s="90"/>
      <c r="I8" s="86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4"/>
      <c r="AV8" s="94"/>
      <c r="AW8" s="94"/>
      <c r="AX8" s="94"/>
      <c r="AY8" s="94"/>
      <c r="AZ8" s="94"/>
      <c r="BA8" s="94"/>
      <c r="BB8" s="94"/>
      <c r="BC8" s="94">
        <f>(AU8+AV8)*6%</f>
        <v>0</v>
      </c>
      <c r="BD8" s="94">
        <f>AU8+AV8</f>
        <v>0</v>
      </c>
      <c r="BE8" s="94">
        <f>ROUND((BD8+BC8)*6.78%,2)</f>
        <v>0</v>
      </c>
      <c r="BF8" s="94">
        <f>ROUND(BD8+BE8+BC8,2)</f>
        <v>0</v>
      </c>
    </row>
    <row r="9" spans="1:60" s="61" customFormat="1" ht="24.95" customHeight="1">
      <c r="A9" s="97" t="s">
        <v>87</v>
      </c>
      <c r="B9" s="97"/>
      <c r="C9" s="98"/>
      <c r="D9" s="98"/>
      <c r="E9" s="99"/>
      <c r="F9" s="100"/>
      <c r="G9" s="100"/>
      <c r="H9" s="101"/>
      <c r="I9" s="98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3"/>
      <c r="V9" s="103"/>
      <c r="W9" s="103">
        <f t="shared" ref="W9:BF9" si="3">SUM(W6:W8)</f>
        <v>0</v>
      </c>
      <c r="X9" s="103">
        <f t="shared" si="3"/>
        <v>0</v>
      </c>
      <c r="Y9" s="103">
        <f t="shared" si="3"/>
        <v>0</v>
      </c>
      <c r="Z9" s="103">
        <f t="shared" si="3"/>
        <v>0</v>
      </c>
      <c r="AA9" s="103">
        <f t="shared" si="3"/>
        <v>0</v>
      </c>
      <c r="AB9" s="103">
        <f t="shared" si="3"/>
        <v>0</v>
      </c>
      <c r="AC9" s="103">
        <f t="shared" si="3"/>
        <v>0</v>
      </c>
      <c r="AD9" s="103">
        <f t="shared" si="3"/>
        <v>0</v>
      </c>
      <c r="AE9" s="103">
        <f t="shared" si="3"/>
        <v>0</v>
      </c>
      <c r="AF9" s="103">
        <f t="shared" si="3"/>
        <v>0</v>
      </c>
      <c r="AG9" s="103">
        <f t="shared" si="3"/>
        <v>0</v>
      </c>
      <c r="AH9" s="103">
        <f t="shared" si="3"/>
        <v>0</v>
      </c>
      <c r="AI9" s="103">
        <f t="shared" si="3"/>
        <v>0</v>
      </c>
      <c r="AJ9" s="103">
        <f t="shared" si="3"/>
        <v>0</v>
      </c>
      <c r="AK9" s="103">
        <f t="shared" si="3"/>
        <v>0</v>
      </c>
      <c r="AL9" s="103">
        <f t="shared" si="3"/>
        <v>0</v>
      </c>
      <c r="AM9" s="103">
        <f t="shared" si="3"/>
        <v>-5000</v>
      </c>
      <c r="AN9" s="103">
        <f t="shared" si="3"/>
        <v>0</v>
      </c>
      <c r="AO9" s="103">
        <f t="shared" si="3"/>
        <v>0</v>
      </c>
      <c r="AP9" s="103">
        <f t="shared" si="3"/>
        <v>0</v>
      </c>
      <c r="AQ9" s="103">
        <f t="shared" si="3"/>
        <v>0</v>
      </c>
      <c r="AR9" s="103">
        <f t="shared" si="3"/>
        <v>0</v>
      </c>
      <c r="AS9" s="103">
        <f t="shared" si="3"/>
        <v>0</v>
      </c>
      <c r="AT9" s="103">
        <f t="shared" si="3"/>
        <v>0</v>
      </c>
      <c r="AU9" s="103">
        <f t="shared" si="3"/>
        <v>0</v>
      </c>
      <c r="AV9" s="103">
        <f t="shared" si="3"/>
        <v>0</v>
      </c>
      <c r="AW9" s="103">
        <f t="shared" si="3"/>
        <v>0</v>
      </c>
      <c r="AX9" s="103">
        <f t="shared" si="3"/>
        <v>0</v>
      </c>
      <c r="AY9" s="103">
        <f t="shared" si="3"/>
        <v>0</v>
      </c>
      <c r="AZ9" s="103">
        <f t="shared" si="3"/>
        <v>0</v>
      </c>
      <c r="BA9" s="103">
        <f t="shared" si="3"/>
        <v>0</v>
      </c>
      <c r="BB9" s="103">
        <f t="shared" si="3"/>
        <v>0</v>
      </c>
      <c r="BC9" s="103">
        <f t="shared" si="3"/>
        <v>300</v>
      </c>
      <c r="BD9" s="103">
        <f t="shared" si="3"/>
        <v>300</v>
      </c>
      <c r="BE9" s="103">
        <f t="shared" si="3"/>
        <v>20.309999999999999</v>
      </c>
      <c r="BF9" s="103">
        <f t="shared" si="3"/>
        <v>320.31</v>
      </c>
    </row>
    <row r="10" spans="1:60">
      <c r="C10" s="65"/>
      <c r="D10" s="65"/>
    </row>
    <row r="11" spans="1:60">
      <c r="C11" s="65"/>
      <c r="D11" s="65"/>
    </row>
    <row r="12" spans="1:60">
      <c r="C12" s="65"/>
      <c r="D12" s="65"/>
    </row>
    <row r="13" spans="1:60">
      <c r="C13" s="65"/>
      <c r="D13" s="65"/>
    </row>
    <row r="14" spans="1:60">
      <c r="C14" s="65"/>
      <c r="D14" s="65"/>
    </row>
    <row r="15" spans="1:60">
      <c r="C15" s="65"/>
      <c r="D15" s="65"/>
    </row>
    <row r="16" spans="1:60">
      <c r="C16" s="65"/>
      <c r="D16" s="65"/>
    </row>
    <row r="17" spans="3:4">
      <c r="C17" s="65"/>
      <c r="D17" s="65"/>
    </row>
    <row r="18" spans="3:4">
      <c r="C18" s="65"/>
      <c r="D18" s="65"/>
    </row>
    <row r="19" spans="3:4">
      <c r="C19" s="65"/>
      <c r="D19" s="65"/>
    </row>
    <row r="20" spans="3:4">
      <c r="C20" s="65"/>
      <c r="D20" s="65"/>
    </row>
    <row r="21" spans="3:4">
      <c r="C21" s="65"/>
      <c r="D21" s="65"/>
    </row>
    <row r="22" spans="3:4">
      <c r="C22" s="65"/>
      <c r="D22" s="65"/>
    </row>
    <row r="23" spans="3:4">
      <c r="C23" s="65"/>
      <c r="D23" s="65"/>
    </row>
    <row r="24" spans="3:4">
      <c r="C24" s="65"/>
      <c r="D24" s="65"/>
    </row>
    <row r="25" spans="3:4">
      <c r="C25" s="65"/>
      <c r="D25" s="65"/>
    </row>
    <row r="26" spans="3:4">
      <c r="C26" s="65"/>
      <c r="D26" s="65"/>
    </row>
    <row r="27" spans="3:4">
      <c r="C27" s="65"/>
      <c r="D27" s="65"/>
    </row>
    <row r="28" spans="3:4">
      <c r="C28" s="65"/>
      <c r="D28" s="65"/>
    </row>
    <row r="29" spans="3:4">
      <c r="C29" s="65"/>
      <c r="D29" s="65"/>
    </row>
    <row r="30" spans="3:4">
      <c r="C30" s="65"/>
      <c r="D30" s="65"/>
    </row>
    <row r="31" spans="3:4">
      <c r="C31" s="65"/>
      <c r="D31" s="65"/>
    </row>
    <row r="32" spans="3:4">
      <c r="C32" s="65"/>
      <c r="D32" s="65"/>
    </row>
    <row r="33" spans="3:4">
      <c r="C33" s="65"/>
      <c r="D33" s="65"/>
    </row>
    <row r="34" spans="3:4">
      <c r="C34" s="65"/>
      <c r="D34" s="65"/>
    </row>
    <row r="35" spans="3:4">
      <c r="C35" s="65"/>
      <c r="D35" s="65"/>
    </row>
    <row r="36" spans="3:4">
      <c r="C36" s="65"/>
      <c r="D36" s="65"/>
    </row>
    <row r="37" spans="3:4">
      <c r="C37" s="65"/>
      <c r="D37" s="65"/>
    </row>
    <row r="38" spans="3:4">
      <c r="C38" s="65"/>
      <c r="D38" s="65"/>
    </row>
    <row r="39" spans="3:4">
      <c r="C39" s="65"/>
      <c r="D39" s="65"/>
    </row>
    <row r="40" spans="3:4">
      <c r="C40" s="65"/>
      <c r="D40" s="65"/>
    </row>
    <row r="41" spans="3:4">
      <c r="C41" s="65"/>
      <c r="D41" s="65"/>
    </row>
    <row r="42" spans="3:4">
      <c r="C42" s="65"/>
      <c r="D42" s="65"/>
    </row>
    <row r="43" spans="3:4">
      <c r="C43" s="65"/>
      <c r="D43" s="65"/>
    </row>
    <row r="44" spans="3:4">
      <c r="C44" s="65"/>
      <c r="D44" s="65"/>
    </row>
    <row r="45" spans="3:4">
      <c r="C45" s="65"/>
      <c r="D45" s="65"/>
    </row>
    <row r="46" spans="3:4">
      <c r="C46" s="65"/>
      <c r="D46" s="65"/>
    </row>
    <row r="47" spans="3:4">
      <c r="C47" s="65"/>
      <c r="D47" s="65"/>
    </row>
    <row r="48" spans="3:4">
      <c r="C48" s="65"/>
      <c r="D48" s="65"/>
    </row>
    <row r="49" spans="3:4">
      <c r="C49" s="65"/>
      <c r="D49" s="65"/>
    </row>
    <row r="50" spans="3:4">
      <c r="C50" s="65"/>
      <c r="D50" s="65"/>
    </row>
    <row r="51" spans="3:4">
      <c r="C51" s="65"/>
      <c r="D51" s="65"/>
    </row>
    <row r="52" spans="3:4">
      <c r="C52" s="65"/>
      <c r="D52" s="65"/>
    </row>
    <row r="53" spans="3:4">
      <c r="C53" s="65"/>
      <c r="D53" s="65"/>
    </row>
    <row r="54" spans="3:4">
      <c r="C54" s="65"/>
      <c r="D54" s="65"/>
    </row>
    <row r="55" spans="3:4">
      <c r="C55" s="65"/>
      <c r="D55" s="65"/>
    </row>
    <row r="56" spans="3:4">
      <c r="C56" s="65"/>
      <c r="D56" s="65"/>
    </row>
    <row r="57" spans="3:4">
      <c r="C57" s="65"/>
      <c r="D57" s="65"/>
    </row>
    <row r="58" spans="3:4">
      <c r="C58" s="65"/>
      <c r="D58" s="65"/>
    </row>
    <row r="59" spans="3:4">
      <c r="C59" s="65"/>
      <c r="D59" s="65"/>
    </row>
    <row r="60" spans="3:4">
      <c r="C60" s="65"/>
      <c r="D60" s="65"/>
    </row>
    <row r="61" spans="3:4">
      <c r="C61" s="65"/>
      <c r="D61" s="65"/>
    </row>
    <row r="62" spans="3:4">
      <c r="C62" s="65"/>
      <c r="D62" s="65"/>
    </row>
    <row r="63" spans="3:4">
      <c r="C63" s="65"/>
      <c r="D63" s="65"/>
    </row>
    <row r="64" spans="3:4">
      <c r="C64" s="65"/>
      <c r="D64" s="65"/>
    </row>
    <row r="65" spans="3:4">
      <c r="C65" s="65"/>
      <c r="D65" s="65"/>
    </row>
    <row r="66" spans="3:4">
      <c r="C66" s="65"/>
      <c r="D66" s="65"/>
    </row>
    <row r="67" spans="3:4">
      <c r="C67" s="65"/>
      <c r="D67" s="65"/>
    </row>
    <row r="68" spans="3:4">
      <c r="C68" s="65"/>
      <c r="D68" s="65"/>
    </row>
    <row r="69" spans="3:4">
      <c r="C69" s="65"/>
      <c r="D69" s="65"/>
    </row>
    <row r="70" spans="3:4">
      <c r="C70" s="65"/>
      <c r="D70" s="65"/>
    </row>
    <row r="71" spans="3:4">
      <c r="C71" s="65"/>
      <c r="D71" s="65"/>
    </row>
    <row r="72" spans="3:4">
      <c r="C72" s="65"/>
      <c r="D72" s="65"/>
    </row>
    <row r="73" spans="3:4">
      <c r="C73" s="65"/>
      <c r="D73" s="65"/>
    </row>
    <row r="74" spans="3:4">
      <c r="C74" s="65"/>
      <c r="D74" s="65"/>
    </row>
    <row r="75" spans="3:4">
      <c r="C75" s="65"/>
      <c r="D75" s="65"/>
    </row>
    <row r="76" spans="3:4">
      <c r="C76" s="65"/>
      <c r="D76" s="65"/>
    </row>
    <row r="77" spans="3:4">
      <c r="C77" s="65"/>
      <c r="D77" s="65"/>
    </row>
    <row r="78" spans="3:4">
      <c r="C78" s="65"/>
      <c r="D78" s="65"/>
    </row>
    <row r="79" spans="3:4">
      <c r="C79" s="65"/>
      <c r="D79" s="65"/>
    </row>
    <row r="80" spans="3:4">
      <c r="C80" s="65"/>
      <c r="D80" s="65"/>
    </row>
    <row r="81" spans="3:4">
      <c r="C81" s="65"/>
      <c r="D81" s="65"/>
    </row>
    <row r="82" spans="3:4">
      <c r="C82" s="65"/>
      <c r="D82" s="65"/>
    </row>
    <row r="83" spans="3:4">
      <c r="C83" s="65"/>
      <c r="D83" s="65"/>
    </row>
    <row r="84" spans="3:4">
      <c r="C84" s="65"/>
      <c r="D84" s="65"/>
    </row>
    <row r="85" spans="3:4">
      <c r="C85" s="65"/>
      <c r="D85" s="65"/>
    </row>
    <row r="86" spans="3:4">
      <c r="C86" s="65"/>
      <c r="D86" s="65"/>
    </row>
    <row r="87" spans="3:4">
      <c r="C87" s="65"/>
      <c r="D87" s="65"/>
    </row>
    <row r="88" spans="3:4">
      <c r="C88" s="65"/>
      <c r="D88" s="65"/>
    </row>
    <row r="89" spans="3:4">
      <c r="C89" s="65"/>
      <c r="D89" s="65"/>
    </row>
    <row r="90" spans="3:4">
      <c r="C90" s="65"/>
      <c r="D90" s="65"/>
    </row>
    <row r="91" spans="3:4">
      <c r="C91" s="65"/>
      <c r="D91" s="65"/>
    </row>
    <row r="92" spans="3:4">
      <c r="C92" s="65"/>
      <c r="D92" s="65"/>
    </row>
    <row r="93" spans="3:4">
      <c r="C93" s="65"/>
      <c r="D93" s="65"/>
    </row>
    <row r="94" spans="3:4">
      <c r="C94" s="65"/>
      <c r="D94" s="65"/>
    </row>
    <row r="95" spans="3:4">
      <c r="C95" s="65"/>
      <c r="D95" s="65"/>
    </row>
    <row r="96" spans="3:4">
      <c r="C96" s="65"/>
      <c r="D96" s="65"/>
    </row>
    <row r="97" spans="3:4">
      <c r="C97" s="65"/>
      <c r="D97" s="65"/>
    </row>
    <row r="98" spans="3:4">
      <c r="C98" s="65"/>
      <c r="D98" s="65"/>
    </row>
    <row r="99" spans="3:4">
      <c r="C99" s="65"/>
      <c r="D99" s="65"/>
    </row>
    <row r="100" spans="3:4">
      <c r="C100" s="65"/>
      <c r="D100" s="65"/>
    </row>
    <row r="101" spans="3:4">
      <c r="C101" s="65"/>
      <c r="D101" s="65"/>
    </row>
    <row r="102" spans="3:4">
      <c r="C102" s="65"/>
      <c r="D102" s="65"/>
    </row>
    <row r="103" spans="3:4">
      <c r="C103" s="65"/>
      <c r="D103" s="65"/>
    </row>
    <row r="104" spans="3:4">
      <c r="C104" s="65"/>
      <c r="D104" s="65"/>
    </row>
    <row r="105" spans="3:4">
      <c r="C105" s="65"/>
      <c r="D105" s="65"/>
    </row>
    <row r="106" spans="3:4">
      <c r="C106" s="65"/>
      <c r="D106" s="65"/>
    </row>
    <row r="107" spans="3:4">
      <c r="C107" s="65"/>
      <c r="D107" s="65"/>
    </row>
    <row r="108" spans="3:4">
      <c r="C108" s="65"/>
      <c r="D108" s="65"/>
    </row>
    <row r="109" spans="3:4">
      <c r="C109" s="65"/>
      <c r="D109" s="65"/>
    </row>
    <row r="110" spans="3:4">
      <c r="C110" s="65"/>
      <c r="D110" s="65"/>
    </row>
    <row r="111" spans="3:4">
      <c r="C111" s="65"/>
      <c r="D111" s="65"/>
    </row>
    <row r="112" spans="3:4">
      <c r="C112" s="65"/>
      <c r="D112" s="65"/>
    </row>
    <row r="113" spans="3:4">
      <c r="C113" s="65"/>
      <c r="D113" s="65"/>
    </row>
    <row r="114" spans="3:4">
      <c r="C114" s="65"/>
      <c r="D114" s="65"/>
    </row>
    <row r="115" spans="3:4">
      <c r="C115" s="65"/>
      <c r="D115" s="65"/>
    </row>
    <row r="116" spans="3:4">
      <c r="C116" s="65"/>
      <c r="D116" s="65"/>
    </row>
    <row r="117" spans="3:4">
      <c r="C117" s="65"/>
      <c r="D117" s="65"/>
    </row>
    <row r="118" spans="3:4">
      <c r="C118" s="65"/>
      <c r="D118" s="65"/>
    </row>
    <row r="119" spans="3:4">
      <c r="C119" s="65"/>
      <c r="D119" s="65"/>
    </row>
    <row r="120" spans="3:4">
      <c r="C120" s="65"/>
      <c r="D120" s="65"/>
    </row>
    <row r="121" spans="3:4">
      <c r="C121" s="65"/>
      <c r="D121" s="65"/>
    </row>
    <row r="122" spans="3:4">
      <c r="C122" s="65"/>
      <c r="D122" s="65"/>
    </row>
    <row r="123" spans="3:4">
      <c r="C123" s="65"/>
      <c r="D123" s="65"/>
    </row>
    <row r="124" spans="3:4">
      <c r="C124" s="65"/>
      <c r="D124" s="65"/>
    </row>
    <row r="125" spans="3:4">
      <c r="C125" s="65"/>
      <c r="D125" s="65"/>
    </row>
    <row r="126" spans="3:4">
      <c r="C126" s="65"/>
      <c r="D126" s="65"/>
    </row>
    <row r="127" spans="3:4">
      <c r="C127" s="65"/>
      <c r="D127" s="65"/>
    </row>
    <row r="128" spans="3:4">
      <c r="C128" s="65"/>
      <c r="D128" s="65"/>
    </row>
    <row r="129" spans="3:4">
      <c r="C129" s="65"/>
      <c r="D129" s="65"/>
    </row>
    <row r="130" spans="3:4">
      <c r="C130" s="65"/>
      <c r="D130" s="65"/>
    </row>
    <row r="131" spans="3:4">
      <c r="C131" s="65"/>
      <c r="D131" s="65"/>
    </row>
    <row r="132" spans="3:4">
      <c r="C132" s="65"/>
      <c r="D132" s="65"/>
    </row>
    <row r="133" spans="3:4">
      <c r="C133" s="65"/>
      <c r="D133" s="65"/>
    </row>
    <row r="134" spans="3:4">
      <c r="C134" s="65"/>
      <c r="D134" s="65"/>
    </row>
    <row r="135" spans="3:4">
      <c r="C135" s="65"/>
      <c r="D135" s="65"/>
    </row>
    <row r="136" spans="3:4">
      <c r="C136" s="65"/>
      <c r="D136" s="65"/>
    </row>
    <row r="137" spans="3:4">
      <c r="C137" s="65"/>
      <c r="D137" s="65"/>
    </row>
    <row r="138" spans="3:4">
      <c r="C138" s="65"/>
      <c r="D138" s="65"/>
    </row>
    <row r="139" spans="3:4">
      <c r="C139" s="65"/>
      <c r="D139" s="65"/>
    </row>
    <row r="140" spans="3:4">
      <c r="C140" s="65"/>
      <c r="D140" s="65"/>
    </row>
    <row r="141" spans="3:4">
      <c r="C141" s="65"/>
      <c r="D141" s="65"/>
    </row>
    <row r="142" spans="3:4">
      <c r="C142" s="65"/>
      <c r="D142" s="65"/>
    </row>
    <row r="143" spans="3:4">
      <c r="C143" s="65"/>
      <c r="D143" s="65"/>
    </row>
    <row r="144" spans="3:4">
      <c r="C144" s="65"/>
      <c r="D144" s="65"/>
    </row>
    <row r="145" spans="3:4">
      <c r="C145" s="65"/>
      <c r="D145" s="65"/>
    </row>
    <row r="146" spans="3:4">
      <c r="C146" s="65"/>
      <c r="D146" s="65"/>
    </row>
    <row r="147" spans="3:4">
      <c r="C147" s="65"/>
      <c r="D147" s="65"/>
    </row>
    <row r="148" spans="3:4">
      <c r="C148" s="65"/>
      <c r="D148" s="65"/>
    </row>
    <row r="149" spans="3:4">
      <c r="C149" s="65"/>
      <c r="D149" s="65"/>
    </row>
    <row r="150" spans="3:4">
      <c r="C150" s="65"/>
      <c r="D150" s="65"/>
    </row>
    <row r="151" spans="3:4">
      <c r="C151" s="65"/>
      <c r="D151" s="65"/>
    </row>
    <row r="152" spans="3:4">
      <c r="C152" s="65"/>
      <c r="D152" s="65"/>
    </row>
    <row r="153" spans="3:4">
      <c r="C153" s="65"/>
      <c r="D153" s="65"/>
    </row>
    <row r="154" spans="3:4">
      <c r="C154" s="65"/>
      <c r="D154" s="65"/>
    </row>
    <row r="155" spans="3:4">
      <c r="C155" s="65"/>
      <c r="D155" s="65"/>
    </row>
    <row r="156" spans="3:4">
      <c r="C156" s="65"/>
      <c r="D156" s="65"/>
    </row>
    <row r="157" spans="3:4">
      <c r="C157" s="65"/>
      <c r="D157" s="65"/>
    </row>
    <row r="158" spans="3:4">
      <c r="C158" s="65"/>
      <c r="D158" s="65"/>
    </row>
    <row r="159" spans="3:4">
      <c r="C159" s="65"/>
      <c r="D159" s="65"/>
    </row>
    <row r="160" spans="3:4">
      <c r="C160" s="65"/>
      <c r="D160" s="65"/>
    </row>
    <row r="161" spans="3:4">
      <c r="C161" s="65"/>
      <c r="D161" s="65"/>
    </row>
    <row r="162" spans="3:4">
      <c r="C162" s="65"/>
      <c r="D162" s="65"/>
    </row>
    <row r="163" spans="3:4">
      <c r="C163" s="65"/>
      <c r="D163" s="65"/>
    </row>
    <row r="164" spans="3:4">
      <c r="C164" s="65"/>
      <c r="D164" s="65"/>
    </row>
    <row r="165" spans="3:4">
      <c r="C165" s="65"/>
      <c r="D165" s="65"/>
    </row>
    <row r="166" spans="3:4">
      <c r="C166" s="65"/>
      <c r="D166" s="65"/>
    </row>
    <row r="167" spans="3:4">
      <c r="C167" s="65"/>
      <c r="D167" s="65"/>
    </row>
    <row r="168" spans="3:4">
      <c r="C168" s="65"/>
      <c r="D168" s="65"/>
    </row>
    <row r="169" spans="3:4">
      <c r="C169" s="65"/>
      <c r="D169" s="65"/>
    </row>
    <row r="170" spans="3:4">
      <c r="C170" s="65"/>
      <c r="D170" s="65"/>
    </row>
    <row r="171" spans="3:4">
      <c r="C171" s="65"/>
      <c r="D171" s="65"/>
    </row>
    <row r="172" spans="3:4">
      <c r="C172" s="65"/>
      <c r="D172" s="65"/>
    </row>
    <row r="173" spans="3:4">
      <c r="C173" s="65"/>
      <c r="D173" s="65"/>
    </row>
    <row r="174" spans="3:4">
      <c r="C174" s="65"/>
      <c r="D174" s="65"/>
    </row>
    <row r="175" spans="3:4">
      <c r="C175" s="65"/>
      <c r="D175" s="65"/>
    </row>
    <row r="176" spans="3:4">
      <c r="C176" s="65"/>
      <c r="D176" s="65"/>
    </row>
    <row r="177" spans="3:4">
      <c r="C177" s="65"/>
      <c r="D177" s="65"/>
    </row>
    <row r="178" spans="3:4">
      <c r="C178" s="65"/>
      <c r="D178" s="65"/>
    </row>
    <row r="179" spans="3:4">
      <c r="C179" s="65"/>
      <c r="D179" s="65"/>
    </row>
    <row r="180" spans="3:4">
      <c r="C180" s="65"/>
      <c r="D180" s="65"/>
    </row>
    <row r="181" spans="3:4">
      <c r="C181" s="65"/>
      <c r="D181" s="65"/>
    </row>
    <row r="182" spans="3:4">
      <c r="C182" s="65"/>
      <c r="D182" s="65"/>
    </row>
    <row r="183" spans="3:4">
      <c r="C183" s="65"/>
      <c r="D183" s="65"/>
    </row>
    <row r="184" spans="3:4">
      <c r="C184" s="65"/>
      <c r="D184" s="65"/>
    </row>
    <row r="185" spans="3:4">
      <c r="C185" s="65"/>
      <c r="D185" s="65"/>
    </row>
    <row r="186" spans="3:4">
      <c r="C186" s="65"/>
      <c r="D186" s="65"/>
    </row>
    <row r="187" spans="3:4">
      <c r="C187" s="65"/>
      <c r="D187" s="65"/>
    </row>
    <row r="188" spans="3:4">
      <c r="C188" s="65"/>
      <c r="D188" s="65"/>
    </row>
    <row r="189" spans="3:4">
      <c r="C189" s="65"/>
      <c r="D189" s="65"/>
    </row>
    <row r="190" spans="3:4">
      <c r="C190" s="65"/>
      <c r="D190" s="65"/>
    </row>
    <row r="191" spans="3:4">
      <c r="C191" s="65"/>
      <c r="D191" s="65"/>
    </row>
    <row r="192" spans="3:4">
      <c r="C192" s="65"/>
      <c r="D192" s="65"/>
    </row>
    <row r="193" spans="3:4">
      <c r="C193" s="65"/>
      <c r="D193" s="65"/>
    </row>
    <row r="194" spans="3:4">
      <c r="C194" s="65"/>
      <c r="D194" s="65"/>
    </row>
    <row r="195" spans="3:4">
      <c r="C195" s="65"/>
      <c r="D195" s="65"/>
    </row>
    <row r="196" spans="3:4">
      <c r="C196" s="65"/>
      <c r="D196" s="65"/>
    </row>
    <row r="197" spans="3:4">
      <c r="C197" s="65"/>
      <c r="D197" s="65"/>
    </row>
    <row r="198" spans="3:4">
      <c r="C198" s="65"/>
      <c r="D198" s="65"/>
    </row>
    <row r="199" spans="3:4">
      <c r="C199" s="65"/>
      <c r="D199" s="65"/>
    </row>
    <row r="200" spans="3:4">
      <c r="C200" s="65"/>
      <c r="D200" s="65"/>
    </row>
    <row r="201" spans="3:4">
      <c r="C201" s="65"/>
      <c r="D201" s="65"/>
    </row>
    <row r="202" spans="3:4">
      <c r="C202" s="65"/>
      <c r="D202" s="65"/>
    </row>
    <row r="203" spans="3:4">
      <c r="C203" s="65"/>
      <c r="D203" s="65"/>
    </row>
    <row r="204" spans="3:4">
      <c r="C204" s="65"/>
      <c r="D204" s="65"/>
    </row>
    <row r="205" spans="3:4">
      <c r="C205" s="65"/>
      <c r="D205" s="65"/>
    </row>
    <row r="206" spans="3:4">
      <c r="C206" s="65"/>
      <c r="D206" s="65"/>
    </row>
    <row r="207" spans="3:4">
      <c r="C207" s="65"/>
      <c r="D207" s="65"/>
    </row>
    <row r="208" spans="3:4">
      <c r="C208" s="65"/>
      <c r="D208" s="65"/>
    </row>
    <row r="209" spans="3:4">
      <c r="C209" s="65"/>
      <c r="D209" s="65"/>
    </row>
    <row r="210" spans="3:4">
      <c r="C210" s="65"/>
      <c r="D210" s="65"/>
    </row>
    <row r="211" spans="3:4">
      <c r="C211" s="65"/>
      <c r="D211" s="65"/>
    </row>
    <row r="212" spans="3:4">
      <c r="C212" s="65"/>
      <c r="D212" s="65"/>
    </row>
    <row r="213" spans="3:4">
      <c r="C213" s="65"/>
      <c r="D213" s="65"/>
    </row>
    <row r="214" spans="3:4">
      <c r="C214" s="65"/>
      <c r="D214" s="65"/>
    </row>
    <row r="215" spans="3:4">
      <c r="C215" s="65"/>
      <c r="D215" s="65"/>
    </row>
    <row r="216" spans="3:4">
      <c r="C216" s="65"/>
      <c r="D216" s="65"/>
    </row>
    <row r="217" spans="3:4">
      <c r="C217" s="65"/>
      <c r="D217" s="65"/>
    </row>
    <row r="218" spans="3:4">
      <c r="C218" s="65"/>
      <c r="D218" s="65"/>
    </row>
    <row r="219" spans="3:4">
      <c r="C219" s="65"/>
      <c r="D219" s="65"/>
    </row>
    <row r="220" spans="3:4">
      <c r="C220" s="65"/>
      <c r="D220" s="65"/>
    </row>
    <row r="221" spans="3:4">
      <c r="C221" s="65"/>
      <c r="D221" s="65"/>
    </row>
    <row r="222" spans="3:4">
      <c r="C222" s="65"/>
      <c r="D222" s="65"/>
    </row>
    <row r="223" spans="3:4">
      <c r="C223" s="65"/>
      <c r="D223" s="65"/>
    </row>
    <row r="224" spans="3:4">
      <c r="C224" s="65"/>
      <c r="D224" s="65"/>
    </row>
    <row r="225" spans="3:4">
      <c r="C225" s="65"/>
      <c r="D225" s="65"/>
    </row>
    <row r="226" spans="3:4">
      <c r="C226" s="65"/>
      <c r="D226" s="65"/>
    </row>
    <row r="227" spans="3:4">
      <c r="C227" s="65"/>
      <c r="D227" s="65"/>
    </row>
    <row r="228" spans="3:4">
      <c r="C228" s="65"/>
      <c r="D228" s="65"/>
    </row>
    <row r="229" spans="3:4">
      <c r="C229" s="65"/>
      <c r="D229" s="65"/>
    </row>
    <row r="230" spans="3:4">
      <c r="C230" s="65"/>
      <c r="D230" s="65"/>
    </row>
    <row r="231" spans="3:4">
      <c r="C231" s="65"/>
      <c r="D231" s="65"/>
    </row>
    <row r="232" spans="3:4">
      <c r="C232" s="65"/>
      <c r="D232" s="65"/>
    </row>
    <row r="233" spans="3:4">
      <c r="C233" s="65"/>
      <c r="D233" s="65"/>
    </row>
    <row r="234" spans="3:4">
      <c r="C234" s="65"/>
      <c r="D234" s="65"/>
    </row>
    <row r="235" spans="3:4">
      <c r="C235" s="65"/>
      <c r="D235" s="65"/>
    </row>
    <row r="236" spans="3:4">
      <c r="C236" s="65"/>
      <c r="D236" s="65"/>
    </row>
    <row r="237" spans="3:4">
      <c r="C237" s="65"/>
      <c r="D237" s="65"/>
    </row>
    <row r="238" spans="3:4">
      <c r="C238" s="65"/>
      <c r="D238" s="65"/>
    </row>
    <row r="239" spans="3:4">
      <c r="C239" s="65"/>
      <c r="D239" s="65"/>
    </row>
    <row r="240" spans="3:4">
      <c r="C240" s="65"/>
      <c r="D240" s="65"/>
    </row>
    <row r="241" spans="3:4">
      <c r="C241" s="65"/>
      <c r="D241" s="65"/>
    </row>
    <row r="242" spans="3:4">
      <c r="C242" s="65"/>
      <c r="D242" s="65"/>
    </row>
    <row r="243" spans="3:4">
      <c r="C243" s="65"/>
      <c r="D243" s="65"/>
    </row>
    <row r="244" spans="3:4">
      <c r="C244" s="65"/>
      <c r="D244" s="65"/>
    </row>
    <row r="245" spans="3:4">
      <c r="C245" s="65"/>
      <c r="D245" s="65"/>
    </row>
    <row r="246" spans="3:4">
      <c r="C246" s="65"/>
      <c r="D246" s="65"/>
    </row>
    <row r="247" spans="3:4">
      <c r="C247" s="65"/>
      <c r="D247" s="65"/>
    </row>
    <row r="248" spans="3:4">
      <c r="C248" s="65"/>
      <c r="D248" s="65"/>
    </row>
    <row r="249" spans="3:4">
      <c r="C249" s="65"/>
      <c r="D249" s="65"/>
    </row>
  </sheetData>
  <phoneticPr fontId="93" type="noConversion"/>
  <pageMargins left="0.70866141732283505" right="0.70866141732283505" top="0.74803149606299202" bottom="0.74803149606299202" header="0.31496062992126" footer="0.31496062992126"/>
  <pageSetup paperSize="9" scale="64" orientation="landscape"/>
  <colBreaks count="1" manualBreakCount="1">
    <brk id="46" max="1048575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zoomScale="85" zoomScaleNormal="85" workbookViewId="0">
      <selection activeCell="O14" sqref="O14"/>
    </sheetView>
  </sheetViews>
  <sheetFormatPr defaultColWidth="9" defaultRowHeight="14.25"/>
  <cols>
    <col min="1" max="1" width="2.625" customWidth="1"/>
    <col min="2" max="2" width="12.625" customWidth="1"/>
    <col min="3" max="7" width="10.5" customWidth="1"/>
    <col min="8" max="8" width="9.625" customWidth="1"/>
    <col min="9" max="9" width="7.875" customWidth="1"/>
    <col min="10" max="10" width="12.125" customWidth="1"/>
    <col min="11" max="16" width="10.5" customWidth="1"/>
    <col min="17" max="19" width="11" customWidth="1"/>
  </cols>
  <sheetData>
    <row r="1" spans="1:22" ht="1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1"/>
      <c r="T1" s="21"/>
    </row>
    <row r="2" spans="1:22" ht="22.5">
      <c r="A2" s="135" t="s">
        <v>88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6"/>
      <c r="S2" s="136"/>
      <c r="T2" s="136"/>
    </row>
    <row r="3" spans="1:22" ht="24">
      <c r="A3" s="20"/>
      <c r="B3" s="20"/>
      <c r="C3" s="20"/>
      <c r="D3" s="20"/>
      <c r="E3" s="20"/>
      <c r="F3" s="20"/>
      <c r="G3" s="22"/>
      <c r="H3" s="22"/>
      <c r="I3" s="22"/>
      <c r="J3" s="22"/>
      <c r="K3" s="22"/>
      <c r="L3" s="22"/>
      <c r="M3" s="22"/>
      <c r="N3" s="22"/>
      <c r="O3" s="22"/>
      <c r="P3" s="22" t="s">
        <v>89</v>
      </c>
      <c r="Q3" s="20"/>
      <c r="R3" s="20"/>
      <c r="S3" s="20"/>
      <c r="T3" s="20"/>
    </row>
    <row r="4" spans="1:22" s="19" customFormat="1" ht="18" customHeight="1">
      <c r="A4" s="137" t="s">
        <v>90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23"/>
      <c r="T4" s="24"/>
      <c r="U4" s="24"/>
      <c r="V4" s="24"/>
    </row>
    <row r="5" spans="1:22" s="19" customFormat="1" ht="18" customHeight="1">
      <c r="A5" s="137" t="s">
        <v>91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23"/>
      <c r="T5" s="24"/>
      <c r="U5" s="24"/>
      <c r="V5" s="24"/>
    </row>
    <row r="6" spans="1:22" s="19" customFormat="1" ht="18" customHeight="1">
      <c r="A6" s="137" t="s">
        <v>92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</row>
    <row r="7" spans="1:22" s="19" customFormat="1" ht="18" customHeight="1">
      <c r="A7" s="137" t="s">
        <v>93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</row>
    <row r="8" spans="1:22" s="19" customFormat="1" ht="18" customHeight="1">
      <c r="A8" s="137" t="s">
        <v>94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</row>
    <row r="9" spans="1:22" s="19" customFormat="1" ht="18" customHeight="1">
      <c r="A9" s="137" t="s">
        <v>95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</row>
    <row r="10" spans="1:22" s="19" customFormat="1" ht="18" customHeight="1">
      <c r="A10" s="137" t="s">
        <v>96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</row>
    <row r="11" spans="1:22">
      <c r="A11" s="138"/>
      <c r="B11" s="138"/>
      <c r="C11" s="138"/>
      <c r="D11" s="138"/>
      <c r="E11" s="25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  <c r="S11" s="27"/>
      <c r="T11" s="28"/>
    </row>
    <row r="12" spans="1:22">
      <c r="A12" s="26"/>
      <c r="B12" s="26"/>
      <c r="C12" s="26"/>
      <c r="D12" s="29"/>
      <c r="E12" s="29"/>
      <c r="F12" s="29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  <c r="S12" s="27"/>
      <c r="T12" s="28"/>
    </row>
    <row r="13" spans="1:22" ht="43.5" customHeight="1">
      <c r="A13" s="26"/>
      <c r="B13" s="30" t="s">
        <v>97</v>
      </c>
      <c r="C13" s="31" t="s">
        <v>98</v>
      </c>
      <c r="D13" s="31" t="s">
        <v>99</v>
      </c>
      <c r="E13" s="32" t="s">
        <v>100</v>
      </c>
      <c r="F13" s="32" t="s">
        <v>101</v>
      </c>
      <c r="G13" s="32" t="s">
        <v>102</v>
      </c>
      <c r="H13" s="32" t="s">
        <v>103</v>
      </c>
      <c r="I13" s="32" t="s">
        <v>104</v>
      </c>
      <c r="J13" s="32" t="s">
        <v>105</v>
      </c>
      <c r="K13" s="32" t="s">
        <v>106</v>
      </c>
      <c r="L13" s="32" t="s">
        <v>6</v>
      </c>
      <c r="M13" s="32" t="s">
        <v>107</v>
      </c>
      <c r="N13" s="32" t="s">
        <v>54</v>
      </c>
      <c r="O13" s="32" t="s">
        <v>8</v>
      </c>
      <c r="P13" s="33" t="s">
        <v>108</v>
      </c>
      <c r="Q13" s="33" t="s">
        <v>109</v>
      </c>
      <c r="R13" s="33" t="s">
        <v>9</v>
      </c>
      <c r="S13" s="33" t="s">
        <v>10</v>
      </c>
      <c r="T13" s="34"/>
      <c r="U13" s="34"/>
      <c r="V13" s="28"/>
    </row>
    <row r="14" spans="1:22" ht="23.25" customHeight="1">
      <c r="A14" s="35"/>
      <c r="B14" s="36" t="s">
        <v>110</v>
      </c>
      <c r="C14" s="37" t="s">
        <v>111</v>
      </c>
      <c r="D14" s="37" t="s">
        <v>112</v>
      </c>
      <c r="E14" s="38">
        <f>工资明细!AG9+工资明细!AP9</f>
        <v>0</v>
      </c>
      <c r="F14" s="38">
        <f>工资明细!AB9+工资明细!AC9+工资明细!AD9+工资明细!AX9+工资明细!AY9+工资明细!AZ9+工资明细!BA9</f>
        <v>0</v>
      </c>
      <c r="G14" s="38">
        <f>工资明细!AE9+工资明细!BB9</f>
        <v>0</v>
      </c>
      <c r="H14" s="38">
        <f>工资明细!AQ9</f>
        <v>0</v>
      </c>
      <c r="I14" s="38"/>
      <c r="J14" s="38">
        <f>工资明细!AU7</f>
        <v>0</v>
      </c>
      <c r="K14" s="38">
        <f>工资明细!AV7</f>
        <v>0</v>
      </c>
      <c r="L14" s="38">
        <f>(工资明细!BC6+工资明细!BC7)-M14</f>
        <v>300</v>
      </c>
      <c r="M14" s="38">
        <v>0</v>
      </c>
      <c r="N14" s="38">
        <f>C20</f>
        <v>0</v>
      </c>
      <c r="O14" s="39">
        <f>ROUND(SUM(E14:N14),2)</f>
        <v>300</v>
      </c>
      <c r="P14" s="40">
        <f>ROUND(Q14-O14,2)</f>
        <v>2.1800000000000002</v>
      </c>
      <c r="Q14" s="41">
        <f>ROUND(S14/(1+6%),2)</f>
        <v>302.18</v>
      </c>
      <c r="R14" s="42">
        <f>ROUND(Q14*6%,2)</f>
        <v>18.13</v>
      </c>
      <c r="S14" s="39">
        <f>ROUND(O14*(1+6.77%),2)</f>
        <v>320.31</v>
      </c>
      <c r="T14" s="43"/>
      <c r="U14" s="27"/>
    </row>
    <row r="15" spans="1:22" ht="23.25" customHeight="1">
      <c r="A15" s="35"/>
      <c r="B15" s="44"/>
      <c r="C15" s="45"/>
      <c r="D15" s="45"/>
      <c r="E15" s="46"/>
      <c r="F15" s="46"/>
      <c r="G15" s="46"/>
      <c r="H15" s="46"/>
      <c r="I15" s="38"/>
      <c r="J15" s="38"/>
      <c r="K15" s="38"/>
      <c r="L15" s="38"/>
      <c r="M15" s="38"/>
      <c r="N15" s="38"/>
      <c r="O15" s="47"/>
      <c r="P15" s="48"/>
      <c r="Q15" s="38"/>
      <c r="R15" s="49"/>
      <c r="S15" s="47"/>
      <c r="T15" s="27"/>
      <c r="U15" s="27"/>
    </row>
    <row r="16" spans="1:22" ht="23.25" customHeight="1">
      <c r="A16" s="35"/>
      <c r="B16" s="50" t="s">
        <v>113</v>
      </c>
      <c r="C16" s="45"/>
      <c r="D16" s="45"/>
      <c r="E16" s="38">
        <f>SUM(E14:E15)</f>
        <v>0</v>
      </c>
      <c r="F16" s="38">
        <f t="shared" ref="F16:S16" si="0">SUM(F14:F15)</f>
        <v>0</v>
      </c>
      <c r="G16" s="38">
        <f t="shared" si="0"/>
        <v>0</v>
      </c>
      <c r="H16" s="38">
        <f t="shared" si="0"/>
        <v>0</v>
      </c>
      <c r="I16" s="38">
        <f t="shared" si="0"/>
        <v>0</v>
      </c>
      <c r="J16" s="38">
        <f t="shared" si="0"/>
        <v>0</v>
      </c>
      <c r="K16" s="38">
        <f t="shared" si="0"/>
        <v>0</v>
      </c>
      <c r="L16" s="38">
        <f t="shared" si="0"/>
        <v>300</v>
      </c>
      <c r="M16" s="38">
        <f t="shared" si="0"/>
        <v>0</v>
      </c>
      <c r="N16" s="38">
        <f t="shared" si="0"/>
        <v>0</v>
      </c>
      <c r="O16" s="38">
        <f t="shared" si="0"/>
        <v>300</v>
      </c>
      <c r="P16" s="38">
        <f t="shared" si="0"/>
        <v>2.1800000000000002</v>
      </c>
      <c r="Q16" s="38">
        <f t="shared" si="0"/>
        <v>302.18</v>
      </c>
      <c r="R16" s="38">
        <f t="shared" si="0"/>
        <v>18.13</v>
      </c>
      <c r="S16" s="38">
        <f t="shared" si="0"/>
        <v>320.31</v>
      </c>
      <c r="T16" s="27"/>
      <c r="U16" s="51"/>
    </row>
    <row r="17" spans="1:22">
      <c r="A17" s="35"/>
      <c r="B17" s="35"/>
      <c r="C17" s="35"/>
      <c r="D17" s="52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27"/>
      <c r="V17" s="27"/>
    </row>
    <row r="18" spans="1:22">
      <c r="A18" s="35"/>
      <c r="B18" s="53" t="s">
        <v>114</v>
      </c>
      <c r="C18" s="35"/>
      <c r="D18" s="35"/>
      <c r="E18" s="52"/>
      <c r="F18" s="52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28"/>
      <c r="S18" s="28"/>
    </row>
    <row r="19" spans="1:2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54"/>
      <c r="Q19" s="35"/>
      <c r="R19" s="28"/>
      <c r="S19" s="28"/>
    </row>
    <row r="20" spans="1:22" ht="29.25" customHeight="1">
      <c r="A20" s="35"/>
      <c r="B20" s="55" t="s">
        <v>115</v>
      </c>
      <c r="C20" s="56">
        <f>工资明细!AW9</f>
        <v>0</v>
      </c>
      <c r="D20" s="5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28"/>
    </row>
    <row r="21" spans="1:22" ht="33" customHeight="1">
      <c r="A21" s="35"/>
      <c r="B21" s="55" t="s">
        <v>116</v>
      </c>
      <c r="C21" s="55"/>
      <c r="D21" s="57"/>
      <c r="E21" s="57"/>
      <c r="F21" s="57"/>
      <c r="G21" s="57"/>
      <c r="H21" s="57"/>
      <c r="I21" s="57"/>
      <c r="J21" s="57" t="s">
        <v>117</v>
      </c>
      <c r="K21" s="57"/>
      <c r="L21" s="139" t="s">
        <v>118</v>
      </c>
      <c r="M21" s="139"/>
      <c r="N21" s="139"/>
      <c r="O21" s="139"/>
      <c r="P21" s="139"/>
      <c r="Q21" s="35"/>
      <c r="R21" s="28"/>
    </row>
    <row r="22" spans="1:22" ht="33" customHeight="1">
      <c r="A22" s="35"/>
      <c r="B22" s="55" t="s">
        <v>119</v>
      </c>
      <c r="C22" s="55"/>
      <c r="D22" s="57"/>
      <c r="E22" s="57"/>
      <c r="F22" s="57"/>
      <c r="G22" s="57"/>
      <c r="H22" s="57"/>
      <c r="I22" s="57"/>
      <c r="J22" s="57" t="s">
        <v>120</v>
      </c>
      <c r="K22" s="57"/>
      <c r="L22" s="140"/>
      <c r="M22" s="140"/>
      <c r="N22" s="140"/>
      <c r="O22" s="140"/>
      <c r="P22" s="140"/>
      <c r="Q22" s="57"/>
      <c r="R22" s="57"/>
    </row>
    <row r="23" spans="1:22" ht="33" customHeight="1">
      <c r="A23" s="58"/>
      <c r="B23" s="28"/>
      <c r="C23" s="28"/>
      <c r="D23" s="57"/>
      <c r="E23" s="57"/>
      <c r="F23" s="57"/>
      <c r="G23" s="57"/>
      <c r="H23" s="57"/>
      <c r="I23" s="57"/>
      <c r="J23" s="57" t="s">
        <v>121</v>
      </c>
      <c r="K23" s="57"/>
      <c r="L23" s="141">
        <v>45427</v>
      </c>
      <c r="M23" s="141"/>
      <c r="N23" s="141"/>
      <c r="O23" s="141"/>
      <c r="P23" s="141"/>
      <c r="Q23" s="57"/>
      <c r="R23" s="57"/>
    </row>
    <row r="24" spans="1:22" ht="33" customHeight="1">
      <c r="A24" s="58"/>
      <c r="B24" s="58"/>
      <c r="C24" s="58"/>
      <c r="D24" s="58"/>
      <c r="E24" s="57"/>
      <c r="F24" s="57"/>
      <c r="G24" s="57"/>
      <c r="H24" s="57"/>
      <c r="I24" s="57"/>
      <c r="J24" s="57" t="s">
        <v>122</v>
      </c>
      <c r="K24" s="57"/>
      <c r="L24" s="140"/>
      <c r="M24" s="140"/>
      <c r="N24" s="140"/>
      <c r="O24" s="140"/>
      <c r="P24" s="140"/>
      <c r="Q24" s="57"/>
      <c r="R24" s="57"/>
    </row>
  </sheetData>
  <mergeCells count="14">
    <mergeCell ref="L21:P21"/>
    <mergeCell ref="L22:P22"/>
    <mergeCell ref="L23:P23"/>
    <mergeCell ref="L24:P24"/>
    <mergeCell ref="A7:S7"/>
    <mergeCell ref="A8:S8"/>
    <mergeCell ref="A9:S9"/>
    <mergeCell ref="A10:S10"/>
    <mergeCell ref="A11:D11"/>
    <mergeCell ref="A2:Q2"/>
    <mergeCell ref="R2:T2"/>
    <mergeCell ref="A4:R4"/>
    <mergeCell ref="A5:R5"/>
    <mergeCell ref="A6:S6"/>
  </mergeCells>
  <phoneticPr fontId="93" type="noConversion"/>
  <pageMargins left="0.70866141732283505" right="0.70866141732283505" top="0.74803149606299202" bottom="0.74803149606299202" header="0.31496062992126" footer="0.31496062992126"/>
  <pageSetup paperSize="9" scale="5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1"/>
  <sheetViews>
    <sheetView workbookViewId="0">
      <selection activeCell="A16" sqref="A16"/>
    </sheetView>
  </sheetViews>
  <sheetFormatPr defaultColWidth="9" defaultRowHeight="14.25"/>
  <cols>
    <col min="1" max="1" width="35" style="1" customWidth="1"/>
    <col min="2" max="2" width="18.75" style="1" customWidth="1"/>
    <col min="3" max="3" width="16.125" style="1" customWidth="1"/>
    <col min="4" max="6" width="14.5" style="1" customWidth="1"/>
    <col min="7" max="7" width="12.625" style="1" customWidth="1"/>
    <col min="8" max="8" width="11.625" style="1" customWidth="1"/>
    <col min="9" max="9" width="13.875" style="1" customWidth="1"/>
    <col min="10" max="10" width="19.375" style="1" customWidth="1"/>
    <col min="11" max="16384" width="9" style="1"/>
  </cols>
  <sheetData>
    <row r="2" spans="1:10">
      <c r="A2" s="1" t="s">
        <v>123</v>
      </c>
    </row>
    <row r="4" spans="1:10">
      <c r="A4" s="2" t="s">
        <v>124</v>
      </c>
    </row>
    <row r="6" spans="1:10">
      <c r="A6" s="3" t="s">
        <v>125</v>
      </c>
      <c r="B6" s="4" t="s">
        <v>126</v>
      </c>
      <c r="C6" s="4" t="s">
        <v>101</v>
      </c>
      <c r="D6" s="5" t="s">
        <v>102</v>
      </c>
      <c r="E6" s="5" t="s">
        <v>127</v>
      </c>
      <c r="F6" s="4" t="s">
        <v>103</v>
      </c>
      <c r="G6" s="4" t="s">
        <v>107</v>
      </c>
      <c r="H6" s="4" t="s">
        <v>104</v>
      </c>
      <c r="I6" s="4" t="s">
        <v>105</v>
      </c>
      <c r="J6" s="6" t="s">
        <v>116</v>
      </c>
    </row>
    <row r="7" spans="1:10">
      <c r="A7" s="7" t="s">
        <v>128</v>
      </c>
      <c r="B7" s="8">
        <f>'开票通知书（新）'!E14</f>
        <v>0</v>
      </c>
      <c r="C7" s="8"/>
      <c r="D7" s="8"/>
      <c r="E7" s="8"/>
      <c r="F7" s="8">
        <f>'开票通知书（新）'!H14</f>
        <v>0</v>
      </c>
      <c r="G7" s="8"/>
      <c r="H7" s="8"/>
      <c r="I7" s="8">
        <f>工资明细!AU7</f>
        <v>0</v>
      </c>
      <c r="J7" s="9"/>
    </row>
    <row r="8" spans="1:10">
      <c r="A8" s="7" t="s">
        <v>129</v>
      </c>
      <c r="B8" s="8"/>
      <c r="C8" s="8">
        <f>工资明细!AB6+工资明细!AC6+工资明细!AD6+工资明细!AX6+工资明细!AY6+工资明细!AZ6+工资明细!BA6</f>
        <v>0</v>
      </c>
      <c r="D8" s="8"/>
      <c r="E8" s="8"/>
      <c r="F8" s="8"/>
      <c r="G8" s="8"/>
      <c r="H8" s="8"/>
      <c r="I8" s="8"/>
      <c r="J8" s="9"/>
    </row>
    <row r="9" spans="1:10">
      <c r="A9" s="7" t="s">
        <v>130</v>
      </c>
      <c r="B9" s="8"/>
      <c r="C9" s="8"/>
      <c r="D9" s="8">
        <f>工资明细!AE6+工资明细!BB6</f>
        <v>0</v>
      </c>
      <c r="E9" s="8">
        <f>C8+D9</f>
        <v>0</v>
      </c>
      <c r="F9" s="8"/>
      <c r="G9" s="8"/>
      <c r="H9" s="8"/>
      <c r="I9" s="8"/>
      <c r="J9" s="9"/>
    </row>
    <row r="10" spans="1:10">
      <c r="A10" s="7"/>
      <c r="B10" s="8"/>
      <c r="C10" s="8">
        <f>工资明细!AB7+工资明细!AC7+工资明细!AD7+工资明细!AX7+工资明细!AY7+工资明细!AZ7+工资明细!BA7</f>
        <v>0</v>
      </c>
      <c r="D10" s="8">
        <f>工资明细!AE7+工资明细!BB7</f>
        <v>0</v>
      </c>
      <c r="E10" s="8">
        <f>C10+D10</f>
        <v>0</v>
      </c>
      <c r="F10" s="8"/>
      <c r="G10" s="8"/>
      <c r="H10" s="8"/>
      <c r="I10" s="8"/>
      <c r="J10" s="9"/>
    </row>
    <row r="11" spans="1:10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>
      <c r="A16" s="10" t="s">
        <v>113</v>
      </c>
      <c r="B16" s="11">
        <f t="shared" ref="B16:J16" si="0">SUM(B7:B15)</f>
        <v>0</v>
      </c>
      <c r="C16" s="11">
        <f t="shared" si="0"/>
        <v>0</v>
      </c>
      <c r="D16" s="11">
        <f t="shared" si="0"/>
        <v>0</v>
      </c>
      <c r="E16" s="11">
        <f t="shared" si="0"/>
        <v>0</v>
      </c>
      <c r="F16" s="11">
        <f t="shared" si="0"/>
        <v>0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2">
        <f t="shared" si="0"/>
        <v>0</v>
      </c>
    </row>
    <row r="17" spans="1:10"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4" t="s">
        <v>131</v>
      </c>
      <c r="B20" s="15">
        <f>'开票通知书（新）'!E14</f>
        <v>0</v>
      </c>
      <c r="C20" s="15">
        <f>'开票通知书（新）'!F14</f>
        <v>0</v>
      </c>
      <c r="D20" s="15">
        <f>'开票通知书（新）'!G14</f>
        <v>0</v>
      </c>
      <c r="E20" s="15">
        <f>C20+D20</f>
        <v>0</v>
      </c>
      <c r="F20" s="15">
        <f>'开票通知书（新）'!H14</f>
        <v>0</v>
      </c>
      <c r="G20" s="16">
        <f>'开票通知书（新）'!M14</f>
        <v>0</v>
      </c>
      <c r="H20" s="16">
        <f>'开票通知书（新）'!I14</f>
        <v>0</v>
      </c>
      <c r="I20" s="16">
        <f>'开票通知书（新）'!J14</f>
        <v>0</v>
      </c>
      <c r="J20" s="16">
        <f>'开票通知书（新）'!C21</f>
        <v>0</v>
      </c>
    </row>
    <row r="21" spans="1:10">
      <c r="A21" s="17" t="s">
        <v>132</v>
      </c>
      <c r="B21" s="18">
        <f t="shared" ref="B21:J21" si="1">+B16-B20</f>
        <v>0</v>
      </c>
      <c r="C21" s="18">
        <f t="shared" si="1"/>
        <v>0</v>
      </c>
      <c r="D21" s="18">
        <f t="shared" si="1"/>
        <v>0</v>
      </c>
      <c r="E21" s="18">
        <f t="shared" si="1"/>
        <v>0</v>
      </c>
      <c r="F21" s="18">
        <f t="shared" si="1"/>
        <v>0</v>
      </c>
      <c r="G21" s="18">
        <f t="shared" si="1"/>
        <v>0</v>
      </c>
      <c r="H21" s="18">
        <f t="shared" si="1"/>
        <v>0</v>
      </c>
      <c r="I21" s="18">
        <f t="shared" si="1"/>
        <v>0</v>
      </c>
      <c r="J21" s="18">
        <f t="shared" si="1"/>
        <v>0</v>
      </c>
    </row>
  </sheetData>
  <phoneticPr fontId="93" type="noConversion"/>
  <pageMargins left="0.70866141732283505" right="0.70866141732283505" top="0.74803149606299202" bottom="0.74803149606299202" header="0.31496062992126" footer="0.31496062992126"/>
  <pageSetup paperSize="9" scale="68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付款通知书</vt:lpstr>
      <vt:lpstr>工资明细</vt:lpstr>
      <vt:lpstr>开票通知书（新）</vt:lpstr>
      <vt:lpstr>供应商明细表</vt:lpstr>
      <vt:lpstr>付款通知书!Print_Area</vt:lpstr>
      <vt:lpstr>工资明细!Print_Area</vt:lpstr>
      <vt:lpstr>'开票通知书（新）'!Print_Area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fsg</dc:creator>
  <cp:lastModifiedBy>cenice5794</cp:lastModifiedBy>
  <cp:lastPrinted>2023-05-18T02:20:00Z</cp:lastPrinted>
  <dcterms:created xsi:type="dcterms:W3CDTF">1996-12-17T01:32:00Z</dcterms:created>
  <dcterms:modified xsi:type="dcterms:W3CDTF">2026-07-27T04:59:00Z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E9B559BFFC43463FAB47A8DD5240DC9C_12</vt:lpwstr>
  </property>
  <property fmtid="{D5CDD505-2E9C-101B-9397-08002B2CF9AE}" pid="4" name="CalculationRule">
    <vt:i4>0</vt:i4>
  </property>
</Properties>
</file>