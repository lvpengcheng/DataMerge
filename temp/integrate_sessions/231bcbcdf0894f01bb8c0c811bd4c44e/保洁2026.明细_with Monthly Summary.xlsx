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245E9CD-0787-4FAE-9B4B-F2DB5B8CC406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Cleaner Summary" sheetId="3" r:id="rId1"/>
    <sheet name="2026.5月保洁工资表（实际发放）" sheetId="44" r:id="rId2"/>
    <sheet name="2026.4月保洁工资表（实际发放）" sheetId="43" r:id="rId3"/>
    <sheet name="2026.1月保洁加班表" sheetId="42" r:id="rId4"/>
    <sheet name="2025.7月保洁加班表" sheetId="30" r:id="rId5"/>
    <sheet name="2025.4月保洁加班表" sheetId="24" r:id="rId6"/>
    <sheet name="2025.3月保洁加班表" sheetId="2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I9" i="22"/>
  <c r="G7" i="22"/>
  <c r="I9" i="24"/>
  <c r="G7" i="24"/>
  <c r="I9" i="30"/>
  <c r="I8" i="42"/>
  <c r="N8" i="43"/>
  <c r="M5" i="43"/>
  <c r="L5" i="43"/>
  <c r="M4" i="43"/>
  <c r="L4" i="43"/>
  <c r="O7" i="44"/>
  <c r="N5" i="44"/>
  <c r="M5" i="44"/>
  <c r="J5" i="44"/>
  <c r="G5" i="44"/>
  <c r="F5" i="44"/>
  <c r="E5" i="44"/>
  <c r="D5" i="44"/>
  <c r="M30" i="3"/>
  <c r="L30" i="3"/>
  <c r="B30" i="3"/>
  <c r="M29" i="3"/>
  <c r="L29" i="3"/>
  <c r="I29" i="3"/>
  <c r="H29" i="3"/>
  <c r="G29" i="3"/>
  <c r="D29" i="3"/>
  <c r="C29" i="3"/>
  <c r="B29" i="3"/>
  <c r="M28" i="3"/>
  <c r="B28" i="3"/>
  <c r="M27" i="3"/>
  <c r="L27" i="3"/>
  <c r="B27" i="3"/>
  <c r="L26" i="3"/>
  <c r="M26" i="3" s="1"/>
  <c r="B26" i="3"/>
  <c r="M25" i="3"/>
  <c r="L25" i="3"/>
  <c r="B25" i="3"/>
  <c r="L19" i="3"/>
  <c r="M19" i="3" s="1"/>
  <c r="B19" i="3"/>
  <c r="L18" i="3"/>
  <c r="M18" i="3" s="1"/>
  <c r="B18" i="3"/>
  <c r="L17" i="3"/>
  <c r="M17" i="3" s="1"/>
  <c r="B17" i="3"/>
  <c r="M16" i="3"/>
  <c r="L16" i="3"/>
  <c r="B16" i="3"/>
  <c r="M15" i="3"/>
  <c r="L15" i="3"/>
  <c r="B15" i="3"/>
  <c r="L14" i="3"/>
  <c r="M14" i="3" s="1"/>
  <c r="B14" i="3"/>
  <c r="L11" i="3"/>
  <c r="M11" i="3" s="1"/>
  <c r="B11" i="3"/>
  <c r="L10" i="3"/>
  <c r="M10" i="3" s="1"/>
  <c r="B10" i="3"/>
  <c r="M9" i="3"/>
  <c r="L9" i="3"/>
  <c r="B9" i="3"/>
  <c r="L8" i="3"/>
  <c r="M8" i="3" s="1"/>
  <c r="B8" i="3"/>
  <c r="L7" i="3"/>
  <c r="M7" i="3" s="1"/>
  <c r="B7" i="3"/>
  <c r="L6" i="3"/>
  <c r="M6" i="3" s="1"/>
  <c r="B6" i="3"/>
</calcChain>
</file>

<file path=xl/sharedStrings.xml><?xml version="1.0" encoding="utf-8"?>
<sst xmlns="http://schemas.openxmlformats.org/spreadsheetml/2006/main" count="157" uniqueCount="68">
  <si>
    <r>
      <rPr>
        <b/>
        <sz val="12"/>
        <color theme="1"/>
        <rFont val="宋体"/>
        <charset val="134"/>
      </rPr>
      <t>年度</t>
    </r>
  </si>
  <si>
    <r>
      <rPr>
        <b/>
        <sz val="12"/>
        <color theme="1"/>
        <rFont val="宋体"/>
        <charset val="134"/>
      </rPr>
      <t>姓名</t>
    </r>
    <r>
      <rPr>
        <b/>
        <sz val="12"/>
        <color theme="1"/>
        <rFont val="Arial"/>
        <family val="2"/>
      </rPr>
      <t xml:space="preserve"> </t>
    </r>
  </si>
  <si>
    <r>
      <rPr>
        <b/>
        <sz val="12"/>
        <color theme="1"/>
        <rFont val="宋体"/>
        <charset val="134"/>
      </rPr>
      <t>王怀桃</t>
    </r>
  </si>
  <si>
    <r>
      <rPr>
        <b/>
        <sz val="12"/>
        <color theme="1"/>
        <rFont val="宋体"/>
        <charset val="134"/>
      </rPr>
      <t>职位</t>
    </r>
    <r>
      <rPr>
        <b/>
        <sz val="12"/>
        <color theme="1"/>
        <rFont val="Arial"/>
        <family val="2"/>
      </rPr>
      <t xml:space="preserve"> </t>
    </r>
  </si>
  <si>
    <r>
      <rPr>
        <b/>
        <sz val="12"/>
        <color theme="1"/>
        <rFont val="宋体"/>
        <charset val="134"/>
      </rPr>
      <t>保洁</t>
    </r>
  </si>
  <si>
    <t xml:space="preserve">月份 </t>
  </si>
  <si>
    <t>基本工资（最低工资2690+津贴1500+管理费341.6+保险80）</t>
  </si>
  <si>
    <t>最低工资</t>
  </si>
  <si>
    <t>津贴</t>
  </si>
  <si>
    <t>管理费8%</t>
  </si>
  <si>
    <t>保险</t>
  </si>
  <si>
    <t>交通补贴</t>
  </si>
  <si>
    <t>餐费补贴</t>
  </si>
  <si>
    <t xml:space="preserve">考勤补贴 </t>
  </si>
  <si>
    <t>加班费</t>
  </si>
  <si>
    <t>加班误餐费</t>
  </si>
  <si>
    <t>当月开票费 （发票税率 6.72%）</t>
  </si>
  <si>
    <t>合计</t>
  </si>
  <si>
    <t>保洁公司</t>
  </si>
  <si>
    <t>南京安龙</t>
  </si>
  <si>
    <t>基本工资（最低工资2740+津贴1500+管理费300+保险20）</t>
  </si>
  <si>
    <t>管理费300元/月/人</t>
  </si>
  <si>
    <t>当月开票费 （发票税率 6.77%）</t>
  </si>
  <si>
    <t>上海外服合杰</t>
  </si>
  <si>
    <t>王怀桃、项昌士（4月顶岗）</t>
  </si>
  <si>
    <t>安迪苏保洁人员2026.5工资表</t>
  </si>
  <si>
    <t>姓名</t>
  </si>
  <si>
    <t>考勤补贴</t>
  </si>
  <si>
    <t>发票税费</t>
  </si>
  <si>
    <t>总计</t>
  </si>
  <si>
    <t>备注</t>
  </si>
  <si>
    <t>王怀桃</t>
  </si>
  <si>
    <t>王怀桃于2026年3月25日至4月30日因私请假，其3月缺勤5个工作日，当月最低工资、津贴及其他补贴将按实际缺勤天数比例在本月相应扣除。</t>
  </si>
  <si>
    <t xml:space="preserve">total: </t>
  </si>
  <si>
    <t>安迪苏保洁人员2026.4工资表</t>
  </si>
  <si>
    <t>王怀桃因私请假一个月，根据合同要求需照常收取4月管理费及保险费</t>
  </si>
  <si>
    <t>项昌士</t>
  </si>
  <si>
    <t>项昌士于2026年3月25日至4月30日临时顶岗。其中，3月25日至31日顶岗5个工作日，其最低工资、津贴及其他补贴按实际出勤天数比例核算；4月整月顶岗，费用按全月标准结算。因项昌士于3月即到岗，依据外包合同约定，需补缴3月份管理费及保险费（按全月标准收取）。以上费用统一并入4月结算。</t>
  </si>
  <si>
    <t>1.王怀桃因私请假，由项昌士临时顶岗，因此额外产生3月及4月两个月的管理费及保险费，共计640元。
2.王怀桃返岗后，其3月缺勤天数对应的费用，将在返岗当月预估表中予以扣除。</t>
  </si>
  <si>
    <t>安迪苏保洁人员2026.1加班表</t>
  </si>
  <si>
    <t>加班日期</t>
  </si>
  <si>
    <t>加班时间</t>
  </si>
  <si>
    <t>加班小时数</t>
  </si>
  <si>
    <t>加班金额</t>
  </si>
  <si>
    <t>加班餐费（如有）</t>
  </si>
  <si>
    <t>加班事由</t>
  </si>
  <si>
    <t>18:00-19:00</t>
  </si>
  <si>
    <t xml:space="preserve">1h </t>
  </si>
  <si>
    <t>协助物业测烟雾器</t>
  </si>
  <si>
    <t>12月的加班费用算入1月加班费用中</t>
  </si>
  <si>
    <t>9:56-14:12</t>
  </si>
  <si>
    <t>4.25h</t>
  </si>
  <si>
    <t>IT 测网线，打扫天花板掉下来的碎屑</t>
  </si>
  <si>
    <t>1.周末与工作日加班费统一为每小时30元。
2.若加班时长超过4小时（包含4小时）则算加班餐费30元。</t>
  </si>
  <si>
    <t>安迪苏保洁人员2025.7加班表</t>
  </si>
  <si>
    <t>7:00-9:00</t>
  </si>
  <si>
    <t>Burgos会议室 HDMI线 更换</t>
  </si>
  <si>
    <t>安迪苏保洁人员2025.4加班表</t>
  </si>
  <si>
    <t>4月12日</t>
  </si>
  <si>
    <t>9:00-11:00</t>
  </si>
  <si>
    <t>SK大厦物业对43楼的电力系统进行维修及更换</t>
  </si>
  <si>
    <t>总计：</t>
  </si>
  <si>
    <t>安迪苏保洁人员2025.3加班表</t>
  </si>
  <si>
    <t>3月23日</t>
  </si>
  <si>
    <t>7:30-10:30</t>
  </si>
  <si>
    <t>办公室电源线改造，变更为共享空间</t>
  </si>
  <si>
    <t xml:space="preserve">月份 </t>
    <phoneticPr fontId="11" type="noConversion"/>
  </si>
  <si>
    <t>2026-02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</si>
</sst>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4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theme="1"/>
      <name val="Arial"/>
      <family val="2"/>
    </font>
    <font>
      <sz val="11"/>
      <color rgb="FF000000"/>
      <name val="宋体"/>
      <charset val="134"/>
      <scheme val="minor"/>
    </font>
    <font>
      <b/>
      <sz val="12"/>
      <color theme="1"/>
      <name val="宋体"/>
      <charset val="134"/>
    </font>
    <font>
      <sz val="10"/>
      <name val="Arial"/>
      <family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1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14" fontId="3" fillId="0" borderId="8" xfId="0" applyNumberFormat="1" applyFont="1" applyBorder="1">
      <alignment vertical="center"/>
    </xf>
    <xf numFmtId="20" fontId="3" fillId="0" borderId="8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4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0" fillId="0" borderId="12" xfId="0" applyBorder="1">
      <alignment vertical="center"/>
    </xf>
    <xf numFmtId="14" fontId="0" fillId="0" borderId="13" xfId="0" applyNumberFormat="1" applyBorder="1" applyAlignment="1">
      <alignment horizontal="left" vertical="center"/>
    </xf>
    <xf numFmtId="0" fontId="0" fillId="0" borderId="13" xfId="0" applyBorder="1">
      <alignment vertical="center"/>
    </xf>
    <xf numFmtId="0" fontId="5" fillId="0" borderId="13" xfId="0" applyFont="1" applyBorder="1" applyAlignment="1">
      <alignment horizontal="right" vertical="center"/>
    </xf>
    <xf numFmtId="0" fontId="2" fillId="0" borderId="14" xfId="0" applyFont="1" applyBorder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4" fillId="0" borderId="8" xfId="0" applyFont="1" applyBorder="1" applyAlignment="1">
      <alignment vertical="center" wrapText="1"/>
    </xf>
    <xf numFmtId="0" fontId="2" fillId="0" borderId="15" xfId="0" applyFont="1" applyBorder="1">
      <alignment vertical="center"/>
    </xf>
    <xf numFmtId="0" fontId="7" fillId="0" borderId="7" xfId="0" applyFon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3" fillId="0" borderId="20" xfId="0" applyFont="1" applyBorder="1">
      <alignment vertical="center"/>
    </xf>
    <xf numFmtId="0" fontId="0" fillId="0" borderId="21" xfId="0" applyBorder="1">
      <alignment vertical="center"/>
    </xf>
    <xf numFmtId="14" fontId="3" fillId="0" borderId="22" xfId="0" applyNumberFormat="1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0" fillId="0" borderId="22" xfId="0" applyBorder="1">
      <alignment vertical="center"/>
    </xf>
    <xf numFmtId="0" fontId="3" fillId="0" borderId="23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>
      <alignment vertical="center"/>
    </xf>
    <xf numFmtId="0" fontId="8" fillId="0" borderId="8" xfId="0" applyFont="1" applyBorder="1">
      <alignment vertical="center"/>
    </xf>
    <xf numFmtId="176" fontId="8" fillId="0" borderId="8" xfId="0" applyNumberFormat="1" applyFont="1" applyBorder="1">
      <alignment vertical="center"/>
    </xf>
    <xf numFmtId="176" fontId="8" fillId="0" borderId="8" xfId="0" applyNumberFormat="1" applyFont="1" applyBorder="1" applyAlignment="1">
      <alignment vertical="center" wrapText="1"/>
    </xf>
    <xf numFmtId="177" fontId="0" fillId="0" borderId="8" xfId="0" applyNumberForma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0" fillId="0" borderId="19" xfId="0" applyBorder="1">
      <alignment vertical="center"/>
    </xf>
    <xf numFmtId="0" fontId="3" fillId="0" borderId="19" xfId="0" applyFont="1" applyBorder="1">
      <alignment vertical="center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29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16" xfId="0" applyFont="1" applyBorder="1" applyAlignment="1">
      <alignment horizontal="left" vertical="center" wrapText="1"/>
    </xf>
    <xf numFmtId="177" fontId="0" fillId="2" borderId="8" xfId="0" applyNumberFormat="1" applyFill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7" fontId="2" fillId="0" borderId="8" xfId="0" applyNumberFormat="1" applyFont="1" applyBorder="1" applyAlignment="1">
      <alignment horizontal="left" vertical="center"/>
    </xf>
    <xf numFmtId="177" fontId="0" fillId="3" borderId="8" xfId="0" applyNumberFormat="1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28" xfId="0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0"/>
  <sheetViews>
    <sheetView tabSelected="1" zoomScale="86" zoomScaleNormal="86" workbookViewId="0">
      <pane ySplit="5" topLeftCell="A6" activePane="bottomLeft" state="frozen"/>
      <selection pane="bottomLeft" activeCell="O14" sqref="O14"/>
    </sheetView>
  </sheetViews>
  <sheetFormatPr defaultColWidth="9" defaultRowHeight="13.5" x14ac:dyDescent="0.15"/>
  <cols>
    <col min="2" max="2" width="30.25" customWidth="1"/>
    <col min="3" max="3" width="12" customWidth="1"/>
    <col min="4" max="4" width="10.625" customWidth="1"/>
    <col min="5" max="5" width="11.125" customWidth="1"/>
    <col min="6" max="6" width="10.625" customWidth="1"/>
    <col min="7" max="8" width="10.375" customWidth="1"/>
    <col min="9" max="9" width="9.375" customWidth="1"/>
    <col min="10" max="10" width="13.25" customWidth="1"/>
    <col min="11" max="11" width="18.375" customWidth="1"/>
    <col min="12" max="12" width="20.625" customWidth="1"/>
    <col min="13" max="13" width="13.125" customWidth="1"/>
    <col min="14" max="14" width="13.875" customWidth="1"/>
  </cols>
  <sheetData>
    <row r="2" spans="1:14" ht="15.75" customHeight="1" x14ac:dyDescent="0.15">
      <c r="A2" s="59" t="s">
        <v>0</v>
      </c>
      <c r="B2" s="60">
        <v>2025</v>
      </c>
      <c r="C2" s="60"/>
    </row>
    <row r="3" spans="1:14" ht="15.75" x14ac:dyDescent="0.15">
      <c r="A3" s="59" t="s">
        <v>1</v>
      </c>
      <c r="B3" s="59" t="s">
        <v>2</v>
      </c>
      <c r="C3" s="59"/>
    </row>
    <row r="4" spans="1:14" ht="15.75" x14ac:dyDescent="0.15">
      <c r="A4" s="59" t="s">
        <v>3</v>
      </c>
      <c r="B4" s="59" t="s">
        <v>4</v>
      </c>
      <c r="C4" s="59"/>
    </row>
    <row r="5" spans="1:14" ht="52.5" customHeight="1" x14ac:dyDescent="0.15">
      <c r="A5" s="69" t="s">
        <v>66</v>
      </c>
      <c r="B5" s="62" t="s">
        <v>6</v>
      </c>
      <c r="C5" s="63" t="s">
        <v>7</v>
      </c>
      <c r="D5" s="63" t="s">
        <v>8</v>
      </c>
      <c r="E5" s="63" t="s">
        <v>9</v>
      </c>
      <c r="F5" s="63" t="s">
        <v>10</v>
      </c>
      <c r="G5" s="63" t="s">
        <v>11</v>
      </c>
      <c r="H5" s="63" t="s">
        <v>12</v>
      </c>
      <c r="I5" s="63" t="s">
        <v>13</v>
      </c>
      <c r="J5" s="63" t="s">
        <v>14</v>
      </c>
      <c r="K5" s="63" t="s">
        <v>15</v>
      </c>
      <c r="L5" s="64" t="s">
        <v>16</v>
      </c>
      <c r="M5" s="63" t="s">
        <v>17</v>
      </c>
      <c r="N5" s="63" t="s">
        <v>18</v>
      </c>
    </row>
    <row r="6" spans="1:14" ht="15.75" customHeight="1" x14ac:dyDescent="0.15">
      <c r="A6" s="65">
        <v>45658</v>
      </c>
      <c r="B6" s="48">
        <f t="shared" ref="B6:B11" si="0">SUM(C6:F6)</f>
        <v>4611.6000000000004</v>
      </c>
      <c r="C6" s="66">
        <v>2690</v>
      </c>
      <c r="D6" s="66">
        <v>1500</v>
      </c>
      <c r="E6" s="66">
        <v>341.6</v>
      </c>
      <c r="F6" s="66">
        <v>80</v>
      </c>
      <c r="G6" s="48">
        <v>300</v>
      </c>
      <c r="H6" s="48">
        <v>800</v>
      </c>
      <c r="I6" s="48">
        <v>400</v>
      </c>
      <c r="J6" s="48">
        <v>0</v>
      </c>
      <c r="K6" s="48">
        <v>0</v>
      </c>
      <c r="L6" s="48">
        <f t="shared" ref="L6" si="1">SUM(C6:K6)*0.0672</f>
        <v>410.69952000000001</v>
      </c>
      <c r="M6" s="48">
        <f t="shared" ref="M6" si="2">ROUND(SUM(C6:L6),2)</f>
        <v>6522.3</v>
      </c>
      <c r="N6" s="71" t="s">
        <v>19</v>
      </c>
    </row>
    <row r="7" spans="1:14" ht="16.350000000000001" customHeight="1" x14ac:dyDescent="0.15">
      <c r="A7" s="65">
        <v>45689</v>
      </c>
      <c r="B7" s="48">
        <f t="shared" si="0"/>
        <v>4611.6000000000004</v>
      </c>
      <c r="C7" s="66">
        <v>2690</v>
      </c>
      <c r="D7" s="66">
        <v>1500</v>
      </c>
      <c r="E7" s="66">
        <v>341.6</v>
      </c>
      <c r="F7" s="66">
        <v>80</v>
      </c>
      <c r="G7" s="48">
        <v>300</v>
      </c>
      <c r="H7" s="48">
        <v>800</v>
      </c>
      <c r="I7" s="48">
        <v>400</v>
      </c>
      <c r="J7" s="48">
        <v>0</v>
      </c>
      <c r="K7" s="48">
        <v>0</v>
      </c>
      <c r="L7" s="48">
        <f t="shared" ref="L7" si="3">SUM(C7:K7)*0.0672</f>
        <v>410.69952000000001</v>
      </c>
      <c r="M7" s="48">
        <f t="shared" ref="M7" si="4">ROUND(SUM(C7:L7),2)</f>
        <v>6522.3</v>
      </c>
      <c r="N7" s="72"/>
    </row>
    <row r="8" spans="1:14" ht="16.350000000000001" customHeight="1" x14ac:dyDescent="0.15">
      <c r="A8" s="65">
        <v>45717</v>
      </c>
      <c r="B8" s="48">
        <f t="shared" si="0"/>
        <v>4611.6000000000004</v>
      </c>
      <c r="C8" s="66">
        <v>2690</v>
      </c>
      <c r="D8" s="66">
        <v>1500</v>
      </c>
      <c r="E8" s="66">
        <v>341.6</v>
      </c>
      <c r="F8" s="66">
        <v>80</v>
      </c>
      <c r="G8" s="48">
        <v>300</v>
      </c>
      <c r="H8" s="48">
        <v>800</v>
      </c>
      <c r="I8" s="48">
        <v>400</v>
      </c>
      <c r="J8" s="48">
        <v>90</v>
      </c>
      <c r="K8" s="48">
        <v>0</v>
      </c>
      <c r="L8" s="48">
        <f t="shared" ref="L8" si="5">SUM(C8:K8)*0.0672</f>
        <v>416.74752000000001</v>
      </c>
      <c r="M8" s="48">
        <f t="shared" ref="M8" si="6">ROUND(SUM(C8:L8),2)</f>
        <v>6618.35</v>
      </c>
      <c r="N8" s="72"/>
    </row>
    <row r="9" spans="1:14" ht="16.350000000000001" customHeight="1" x14ac:dyDescent="0.15">
      <c r="A9" s="65">
        <v>45748</v>
      </c>
      <c r="B9" s="48">
        <f t="shared" si="0"/>
        <v>4611.6000000000004</v>
      </c>
      <c r="C9" s="66">
        <v>2690</v>
      </c>
      <c r="D9" s="66">
        <v>1500</v>
      </c>
      <c r="E9" s="66">
        <v>341.6</v>
      </c>
      <c r="F9" s="66">
        <v>80</v>
      </c>
      <c r="G9" s="48">
        <v>300</v>
      </c>
      <c r="H9" s="48">
        <v>800</v>
      </c>
      <c r="I9" s="48">
        <v>400</v>
      </c>
      <c r="J9" s="48">
        <v>60</v>
      </c>
      <c r="K9" s="48">
        <v>0</v>
      </c>
      <c r="L9" s="48">
        <f t="shared" ref="L9:L10" si="7">SUM(C9:K9)*0.0672</f>
        <v>414.73151999999999</v>
      </c>
      <c r="M9" s="48">
        <f t="shared" ref="M9:M10" si="8">ROUND(SUM(C9:L9),2)</f>
        <v>6586.33</v>
      </c>
      <c r="N9" s="72"/>
    </row>
    <row r="10" spans="1:14" ht="16.350000000000001" customHeight="1" x14ac:dyDescent="0.15">
      <c r="A10" s="65">
        <v>45778</v>
      </c>
      <c r="B10" s="48">
        <f t="shared" si="0"/>
        <v>4611.6000000000004</v>
      </c>
      <c r="C10" s="66">
        <v>2690</v>
      </c>
      <c r="D10" s="66">
        <v>1500</v>
      </c>
      <c r="E10" s="66">
        <v>341.6</v>
      </c>
      <c r="F10" s="66">
        <v>80</v>
      </c>
      <c r="G10" s="48">
        <v>300</v>
      </c>
      <c r="H10" s="48">
        <v>800</v>
      </c>
      <c r="I10" s="48">
        <v>400</v>
      </c>
      <c r="J10" s="48">
        <v>0</v>
      </c>
      <c r="K10" s="48">
        <v>0</v>
      </c>
      <c r="L10" s="48">
        <f t="shared" si="7"/>
        <v>410.69952000000001</v>
      </c>
      <c r="M10" s="48">
        <f t="shared" si="8"/>
        <v>6522.3</v>
      </c>
      <c r="N10" s="72"/>
    </row>
    <row r="11" spans="1:14" ht="16.350000000000001" customHeight="1" x14ac:dyDescent="0.15">
      <c r="A11" s="65">
        <v>45809</v>
      </c>
      <c r="B11" s="48">
        <f t="shared" si="0"/>
        <v>4611.6000000000004</v>
      </c>
      <c r="C11" s="66">
        <v>2690</v>
      </c>
      <c r="D11" s="66">
        <v>1500</v>
      </c>
      <c r="E11" s="66">
        <v>341.6</v>
      </c>
      <c r="F11" s="66">
        <v>80</v>
      </c>
      <c r="G11" s="48">
        <v>300</v>
      </c>
      <c r="H11" s="48">
        <v>800</v>
      </c>
      <c r="I11" s="48">
        <v>400</v>
      </c>
      <c r="J11" s="48">
        <v>0</v>
      </c>
      <c r="K11" s="48">
        <v>0</v>
      </c>
      <c r="L11" s="48">
        <f t="shared" ref="L11:L12" si="9">SUM(C11:K11)*0.0672</f>
        <v>410.69952000000001</v>
      </c>
      <c r="M11" s="48">
        <f t="shared" ref="M11:M19" si="10">ROUND(SUM(C11:L11),2)</f>
        <v>6522.3</v>
      </c>
      <c r="N11" s="73"/>
    </row>
    <row r="12" spans="1:14" ht="16.350000000000001" customHeight="1" x14ac:dyDescent="0.15">
      <c r="A12" s="65">
        <v>46054</v>
      </c>
      <c r="B12" s="48">
        <v>12</v>
      </c>
      <c r="C12" s="66">
        <v>12</v>
      </c>
      <c r="D12" s="66">
        <v>12</v>
      </c>
      <c r="E12" s="66">
        <v>12</v>
      </c>
      <c r="F12" s="66">
        <v>12</v>
      </c>
      <c r="G12" s="48">
        <v>12</v>
      </c>
      <c r="H12" s="48">
        <v>12</v>
      </c>
      <c r="I12" s="48">
        <v>12</v>
      </c>
      <c r="J12" s="48">
        <v>12</v>
      </c>
      <c r="K12" s="48">
        <v>12</v>
      </c>
      <c r="L12" s="48">
        <v>12</v>
      </c>
      <c r="M12" s="48">
        <f t="shared" si="10"/>
        <v>120</v>
      </c>
      <c r="N12" s="68"/>
    </row>
    <row r="13" spans="1:14" ht="50.25" customHeight="1" x14ac:dyDescent="0.15">
      <c r="A13" s="61" t="s">
        <v>5</v>
      </c>
      <c r="B13" s="62" t="s">
        <v>20</v>
      </c>
      <c r="C13" s="63" t="s">
        <v>7</v>
      </c>
      <c r="D13" s="63" t="s">
        <v>8</v>
      </c>
      <c r="E13" s="64" t="s">
        <v>21</v>
      </c>
      <c r="F13" s="63" t="s">
        <v>10</v>
      </c>
      <c r="G13" s="63" t="s">
        <v>11</v>
      </c>
      <c r="H13" s="63" t="s">
        <v>12</v>
      </c>
      <c r="I13" s="63" t="s">
        <v>13</v>
      </c>
      <c r="J13" s="63" t="s">
        <v>14</v>
      </c>
      <c r="K13" s="63" t="s">
        <v>15</v>
      </c>
      <c r="L13" s="64" t="s">
        <v>22</v>
      </c>
      <c r="M13" s="63" t="s">
        <v>17</v>
      </c>
      <c r="N13" s="63" t="s">
        <v>18</v>
      </c>
    </row>
    <row r="14" spans="1:14" ht="13.5" customHeight="1" x14ac:dyDescent="0.15">
      <c r="A14" s="65">
        <v>45839</v>
      </c>
      <c r="B14" s="48">
        <f t="shared" ref="B14:B19" si="11">SUM(C14:F14)</f>
        <v>4560</v>
      </c>
      <c r="C14" s="66">
        <v>2740</v>
      </c>
      <c r="D14" s="66">
        <v>1500</v>
      </c>
      <c r="E14" s="66">
        <v>300</v>
      </c>
      <c r="F14" s="66">
        <v>20</v>
      </c>
      <c r="G14" s="48">
        <v>300</v>
      </c>
      <c r="H14" s="48">
        <v>800</v>
      </c>
      <c r="I14" s="48">
        <v>400</v>
      </c>
      <c r="J14" s="48">
        <v>60</v>
      </c>
      <c r="K14" s="48">
        <v>0</v>
      </c>
      <c r="L14" s="48">
        <f>SUM(C14:K14)*0.0677</f>
        <v>414.32399999999996</v>
      </c>
      <c r="M14" s="48">
        <f t="shared" si="10"/>
        <v>6534.32</v>
      </c>
      <c r="N14" s="74" t="s">
        <v>23</v>
      </c>
    </row>
    <row r="15" spans="1:14" x14ac:dyDescent="0.15">
      <c r="A15" s="65">
        <v>45870</v>
      </c>
      <c r="B15" s="48">
        <f t="shared" si="11"/>
        <v>4560</v>
      </c>
      <c r="C15" s="66">
        <v>2740</v>
      </c>
      <c r="D15" s="66">
        <v>1500</v>
      </c>
      <c r="E15" s="66">
        <v>300</v>
      </c>
      <c r="F15" s="66">
        <v>20</v>
      </c>
      <c r="G15" s="48">
        <v>300</v>
      </c>
      <c r="H15" s="48">
        <v>800</v>
      </c>
      <c r="I15" s="48">
        <v>400</v>
      </c>
      <c r="J15" s="48">
        <v>0</v>
      </c>
      <c r="K15" s="48">
        <v>0</v>
      </c>
      <c r="L15" s="48">
        <f t="shared" ref="L15:L19" si="12">SUM(C15:K15)*0.0677</f>
        <v>410.262</v>
      </c>
      <c r="M15" s="48">
        <f t="shared" si="10"/>
        <v>6470.26</v>
      </c>
      <c r="N15" s="74"/>
    </row>
    <row r="16" spans="1:14" x14ac:dyDescent="0.15">
      <c r="A16" s="65">
        <v>45901</v>
      </c>
      <c r="B16" s="48">
        <f t="shared" si="11"/>
        <v>4560</v>
      </c>
      <c r="C16" s="66">
        <v>2740</v>
      </c>
      <c r="D16" s="66">
        <v>1500</v>
      </c>
      <c r="E16" s="66">
        <v>300</v>
      </c>
      <c r="F16" s="66">
        <v>20</v>
      </c>
      <c r="G16" s="48">
        <v>300</v>
      </c>
      <c r="H16" s="48">
        <v>800</v>
      </c>
      <c r="I16" s="48">
        <v>400</v>
      </c>
      <c r="J16" s="48">
        <v>0</v>
      </c>
      <c r="K16" s="48">
        <v>0</v>
      </c>
      <c r="L16" s="48">
        <f t="shared" si="12"/>
        <v>410.262</v>
      </c>
      <c r="M16" s="48">
        <f t="shared" si="10"/>
        <v>6470.26</v>
      </c>
      <c r="N16" s="74"/>
    </row>
    <row r="17" spans="1:14" x14ac:dyDescent="0.15">
      <c r="A17" s="65">
        <v>45931</v>
      </c>
      <c r="B17" s="48">
        <f t="shared" si="11"/>
        <v>4560</v>
      </c>
      <c r="C17" s="66">
        <v>2740</v>
      </c>
      <c r="D17" s="66">
        <v>1500</v>
      </c>
      <c r="E17" s="66">
        <v>300</v>
      </c>
      <c r="F17" s="66">
        <v>20</v>
      </c>
      <c r="G17" s="48">
        <v>300</v>
      </c>
      <c r="H17" s="48">
        <v>800</v>
      </c>
      <c r="I17" s="48">
        <v>400</v>
      </c>
      <c r="J17" s="48">
        <v>0</v>
      </c>
      <c r="K17" s="48">
        <v>0</v>
      </c>
      <c r="L17" s="48">
        <f t="shared" si="12"/>
        <v>410.262</v>
      </c>
      <c r="M17" s="48">
        <f t="shared" si="10"/>
        <v>6470.26</v>
      </c>
      <c r="N17" s="74"/>
    </row>
    <row r="18" spans="1:14" x14ac:dyDescent="0.15">
      <c r="A18" s="65">
        <v>45962</v>
      </c>
      <c r="B18" s="48">
        <f t="shared" si="11"/>
        <v>4560</v>
      </c>
      <c r="C18" s="66">
        <v>2740</v>
      </c>
      <c r="D18" s="66">
        <v>1500</v>
      </c>
      <c r="E18" s="66">
        <v>300</v>
      </c>
      <c r="F18" s="66">
        <v>20</v>
      </c>
      <c r="G18" s="48">
        <v>300</v>
      </c>
      <c r="H18" s="48">
        <v>800</v>
      </c>
      <c r="I18" s="48">
        <v>400</v>
      </c>
      <c r="J18" s="48">
        <v>0</v>
      </c>
      <c r="K18" s="48">
        <v>0</v>
      </c>
      <c r="L18" s="48">
        <f t="shared" si="12"/>
        <v>410.262</v>
      </c>
      <c r="M18" s="48">
        <f t="shared" si="10"/>
        <v>6470.26</v>
      </c>
      <c r="N18" s="74"/>
    </row>
    <row r="19" spans="1:14" x14ac:dyDescent="0.15">
      <c r="A19" s="65">
        <v>45992</v>
      </c>
      <c r="B19" s="48">
        <f t="shared" si="11"/>
        <v>4560</v>
      </c>
      <c r="C19" s="66">
        <v>2740</v>
      </c>
      <c r="D19" s="66">
        <v>1500</v>
      </c>
      <c r="E19" s="66">
        <v>300</v>
      </c>
      <c r="F19" s="66">
        <v>20</v>
      </c>
      <c r="G19" s="48">
        <v>300</v>
      </c>
      <c r="H19" s="48">
        <v>800</v>
      </c>
      <c r="I19" s="48">
        <v>400</v>
      </c>
      <c r="J19" s="48">
        <v>0</v>
      </c>
      <c r="K19" s="48">
        <v>0</v>
      </c>
      <c r="L19" s="48">
        <f t="shared" si="12"/>
        <v>410.262</v>
      </c>
      <c r="M19" s="48">
        <f t="shared" si="10"/>
        <v>6470.26</v>
      </c>
      <c r="N19" s="75"/>
    </row>
    <row r="21" spans="1:14" ht="15.75" x14ac:dyDescent="0.15">
      <c r="A21" s="59" t="s">
        <v>0</v>
      </c>
      <c r="B21" s="60">
        <v>2026</v>
      </c>
    </row>
    <row r="22" spans="1:14" ht="15.75" x14ac:dyDescent="0.15">
      <c r="A22" s="59" t="s">
        <v>1</v>
      </c>
      <c r="B22" s="67" t="s">
        <v>24</v>
      </c>
    </row>
    <row r="23" spans="1:14" ht="15.75" x14ac:dyDescent="0.15">
      <c r="A23" s="59" t="s">
        <v>3</v>
      </c>
      <c r="B23" s="59" t="s">
        <v>4</v>
      </c>
    </row>
    <row r="24" spans="1:14" ht="27" x14ac:dyDescent="0.15">
      <c r="A24" s="61" t="s">
        <v>5</v>
      </c>
      <c r="B24" s="62" t="s">
        <v>20</v>
      </c>
      <c r="C24" s="63" t="s">
        <v>7</v>
      </c>
      <c r="D24" s="63" t="s">
        <v>8</v>
      </c>
      <c r="E24" s="64" t="s">
        <v>21</v>
      </c>
      <c r="F24" s="63" t="s">
        <v>10</v>
      </c>
      <c r="G24" s="63" t="s">
        <v>11</v>
      </c>
      <c r="H24" s="63" t="s">
        <v>12</v>
      </c>
      <c r="I24" s="63" t="s">
        <v>13</v>
      </c>
      <c r="J24" s="63" t="s">
        <v>14</v>
      </c>
      <c r="K24" s="63" t="s">
        <v>15</v>
      </c>
      <c r="L24" s="64" t="s">
        <v>22</v>
      </c>
      <c r="M24" s="63" t="s">
        <v>17</v>
      </c>
      <c r="N24" s="63" t="s">
        <v>18</v>
      </c>
    </row>
    <row r="25" spans="1:14" ht="14.1" customHeight="1" x14ac:dyDescent="0.15">
      <c r="A25" s="65">
        <v>46023</v>
      </c>
      <c r="B25" s="48">
        <f t="shared" ref="B25:B29" si="13">SUM(C25:F25)</f>
        <v>4560</v>
      </c>
      <c r="C25" s="66">
        <v>2740</v>
      </c>
      <c r="D25" s="66">
        <v>1500</v>
      </c>
      <c r="E25" s="66">
        <v>300</v>
      </c>
      <c r="F25" s="66">
        <v>20</v>
      </c>
      <c r="G25" s="48">
        <v>300</v>
      </c>
      <c r="H25" s="48">
        <v>800</v>
      </c>
      <c r="I25" s="48">
        <v>400</v>
      </c>
      <c r="J25" s="48">
        <v>157.5</v>
      </c>
      <c r="K25" s="48">
        <v>30</v>
      </c>
      <c r="L25" s="48">
        <f>SUM(C25:K25)*0.0677</f>
        <v>422.95574999999997</v>
      </c>
      <c r="M25" s="48">
        <f t="shared" ref="M25:M30" si="14">ROUND(SUM(C25:L25),2)</f>
        <v>6670.46</v>
      </c>
      <c r="N25" s="76" t="s">
        <v>23</v>
      </c>
    </row>
    <row r="26" spans="1:14" x14ac:dyDescent="0.15">
      <c r="A26" s="70" t="s">
        <v>67</v>
      </c>
      <c r="B26" s="48">
        <f t="shared" si="13"/>
        <v>4560</v>
      </c>
      <c r="C26" s="66">
        <v>2740</v>
      </c>
      <c r="D26" s="66">
        <v>1500</v>
      </c>
      <c r="E26" s="66">
        <v>300</v>
      </c>
      <c r="F26" s="66">
        <v>20</v>
      </c>
      <c r="G26" s="48">
        <v>300</v>
      </c>
      <c r="H26" s="48">
        <v>800</v>
      </c>
      <c r="I26" s="48">
        <v>400</v>
      </c>
      <c r="J26" s="48">
        <v>0</v>
      </c>
      <c r="K26" s="48">
        <v>0</v>
      </c>
      <c r="L26" s="48">
        <f>SUM(C26:K26)*0.0677</f>
        <v>410.262</v>
      </c>
      <c r="M26" s="48">
        <f t="shared" si="14"/>
        <v>6470.26</v>
      </c>
      <c r="N26" s="76"/>
    </row>
    <row r="27" spans="1:14" x14ac:dyDescent="0.15">
      <c r="A27" s="65">
        <v>46082</v>
      </c>
      <c r="B27" s="48">
        <f t="shared" si="13"/>
        <v>4560</v>
      </c>
      <c r="C27" s="66">
        <v>2740</v>
      </c>
      <c r="D27" s="66">
        <v>1500</v>
      </c>
      <c r="E27" s="66">
        <v>300</v>
      </c>
      <c r="F27" s="66">
        <v>20</v>
      </c>
      <c r="G27" s="48">
        <v>300</v>
      </c>
      <c r="H27" s="48">
        <v>800</v>
      </c>
      <c r="I27" s="48">
        <v>400</v>
      </c>
      <c r="J27" s="48">
        <v>0</v>
      </c>
      <c r="K27" s="48">
        <v>0</v>
      </c>
      <c r="L27" s="48">
        <f>SUM(C27:K27)*0.0677</f>
        <v>410.262</v>
      </c>
      <c r="M27" s="48">
        <f t="shared" si="14"/>
        <v>6470.26</v>
      </c>
      <c r="N27" s="76"/>
    </row>
    <row r="28" spans="1:14" x14ac:dyDescent="0.15">
      <c r="A28" s="65">
        <v>46113</v>
      </c>
      <c r="B28" s="48">
        <f t="shared" si="13"/>
        <v>6163.64</v>
      </c>
      <c r="C28" s="66">
        <v>3362.73</v>
      </c>
      <c r="D28" s="66">
        <v>1840.91</v>
      </c>
      <c r="E28" s="66">
        <v>900</v>
      </c>
      <c r="F28" s="66">
        <v>60</v>
      </c>
      <c r="G28" s="48">
        <v>368.18</v>
      </c>
      <c r="H28" s="48">
        <v>981.82</v>
      </c>
      <c r="I28" s="48">
        <v>490.91</v>
      </c>
      <c r="J28" s="48">
        <v>0</v>
      </c>
      <c r="K28" s="48">
        <v>0</v>
      </c>
      <c r="L28" s="48">
        <v>541.9</v>
      </c>
      <c r="M28" s="48">
        <f t="shared" si="14"/>
        <v>8546.4500000000007</v>
      </c>
      <c r="N28" s="76"/>
    </row>
    <row r="29" spans="1:14" x14ac:dyDescent="0.15">
      <c r="A29" s="65">
        <v>46143</v>
      </c>
      <c r="B29" s="48">
        <f t="shared" si="13"/>
        <v>3596.363636363636</v>
      </c>
      <c r="C29" s="66">
        <f>2740-2740/22*5</f>
        <v>2117.272727272727</v>
      </c>
      <c r="D29" s="66">
        <f>1500-1500/22*5</f>
        <v>1159.090909090909</v>
      </c>
      <c r="E29" s="66">
        <v>300</v>
      </c>
      <c r="F29" s="66">
        <v>20</v>
      </c>
      <c r="G29" s="57">
        <f>300-300/22*5</f>
        <v>231.81818181818181</v>
      </c>
      <c r="H29" s="57">
        <f>800-800/22*5</f>
        <v>618.18181818181813</v>
      </c>
      <c r="I29" s="57">
        <f>400-400/22*5</f>
        <v>309.09090909090907</v>
      </c>
      <c r="J29" s="48">
        <v>0</v>
      </c>
      <c r="K29" s="48">
        <v>0</v>
      </c>
      <c r="L29" s="48">
        <f>SUM(C29:K29)*0.0677</f>
        <v>321.94427272727268</v>
      </c>
      <c r="M29" s="48">
        <f t="shared" si="14"/>
        <v>5077.3999999999996</v>
      </c>
      <c r="N29" s="76"/>
    </row>
    <row r="30" spans="1:14" x14ac:dyDescent="0.15">
      <c r="A30" s="65">
        <v>46174</v>
      </c>
      <c r="B30" s="48">
        <f t="shared" ref="B30" si="15">SUM(C30:F30)</f>
        <v>4560</v>
      </c>
      <c r="C30" s="66">
        <v>2740</v>
      </c>
      <c r="D30" s="66">
        <v>1500</v>
      </c>
      <c r="E30" s="66">
        <v>300</v>
      </c>
      <c r="F30" s="66">
        <v>20</v>
      </c>
      <c r="G30" s="48">
        <v>300</v>
      </c>
      <c r="H30" s="48">
        <v>800</v>
      </c>
      <c r="I30" s="48">
        <v>400</v>
      </c>
      <c r="J30" s="48">
        <v>0</v>
      </c>
      <c r="K30" s="48">
        <v>0</v>
      </c>
      <c r="L30" s="48">
        <f>SUM(C30:K30)*0.0677</f>
        <v>410.262</v>
      </c>
      <c r="M30" s="48">
        <f t="shared" si="14"/>
        <v>6470.26</v>
      </c>
      <c r="N30" s="76"/>
    </row>
    <row r="31" spans="1:14" x14ac:dyDescent="0.15">
      <c r="A31" s="65">
        <v>46204</v>
      </c>
      <c r="B31" s="48"/>
      <c r="C31" s="66"/>
      <c r="D31" s="66"/>
      <c r="E31" s="66"/>
      <c r="F31" s="66"/>
      <c r="G31" s="48"/>
      <c r="H31" s="48"/>
      <c r="I31" s="48"/>
      <c r="J31" s="48"/>
      <c r="K31" s="48"/>
      <c r="L31" s="48"/>
      <c r="M31" s="48"/>
      <c r="N31" s="76"/>
    </row>
    <row r="32" spans="1:14" x14ac:dyDescent="0.15">
      <c r="A32" s="65">
        <v>46235</v>
      </c>
      <c r="B32" s="48"/>
      <c r="C32" s="66"/>
      <c r="D32" s="66"/>
      <c r="E32" s="66"/>
      <c r="F32" s="66"/>
      <c r="G32" s="48"/>
      <c r="H32" s="48"/>
      <c r="I32" s="48"/>
      <c r="J32" s="48"/>
      <c r="K32" s="48"/>
      <c r="L32" s="48"/>
      <c r="M32" s="48"/>
      <c r="N32" s="76"/>
    </row>
    <row r="33" spans="1:14" x14ac:dyDescent="0.15">
      <c r="A33" s="65">
        <v>46266</v>
      </c>
      <c r="B33" s="48"/>
      <c r="C33" s="66"/>
      <c r="D33" s="66"/>
      <c r="E33" s="66"/>
      <c r="F33" s="66"/>
      <c r="G33" s="48"/>
      <c r="H33" s="48"/>
      <c r="I33" s="48"/>
      <c r="J33" s="48"/>
      <c r="K33" s="48"/>
      <c r="L33" s="48"/>
      <c r="M33" s="48"/>
      <c r="N33" s="76"/>
    </row>
    <row r="39" spans="1:14" ht="30.95" customHeight="1" x14ac:dyDescent="0.15"/>
    <row r="40" spans="1:14" ht="31.5" customHeight="1" x14ac:dyDescent="0.15"/>
  </sheetData>
  <mergeCells count="3">
    <mergeCell ref="N6:N11"/>
    <mergeCell ref="N14:N19"/>
    <mergeCell ref="N25:N33"/>
  </mergeCells>
  <phoneticPr fontId="11" type="noConversion"/>
  <pageMargins left="0.7" right="0.7" top="0.75" bottom="0.75" header="0.3" footer="0.3"/>
  <pageSetup paperSize="9" orientation="landscape"/>
  <ignoredErrors>
    <ignoredError sqref="B30 B11 B6:B9 B14:B19 B25:B28 L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P7"/>
  <sheetViews>
    <sheetView workbookViewId="0">
      <selection activeCell="O16" sqref="O16"/>
    </sheetView>
  </sheetViews>
  <sheetFormatPr defaultColWidth="9" defaultRowHeight="13.5" x14ac:dyDescent="0.15"/>
  <cols>
    <col min="4" max="4" width="10.75" customWidth="1"/>
    <col min="5" max="5" width="10.375" customWidth="1"/>
    <col min="6" max="7" width="11.125" customWidth="1"/>
    <col min="12" max="12" width="11.875" customWidth="1"/>
    <col min="13" max="13" width="10.875" customWidth="1"/>
    <col min="15" max="15" width="57.25" customWidth="1"/>
  </cols>
  <sheetData>
    <row r="3" spans="3:16" ht="20.25" x14ac:dyDescent="0.15">
      <c r="C3" s="77" t="s">
        <v>25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9"/>
    </row>
    <row r="4" spans="3:16" ht="40.5" x14ac:dyDescent="0.15">
      <c r="C4" s="41" t="s">
        <v>26</v>
      </c>
      <c r="D4" s="42" t="s">
        <v>7</v>
      </c>
      <c r="E4" s="42" t="s">
        <v>11</v>
      </c>
      <c r="F4" s="42" t="s">
        <v>12</v>
      </c>
      <c r="G4" s="42" t="s">
        <v>27</v>
      </c>
      <c r="H4" s="43" t="s">
        <v>21</v>
      </c>
      <c r="I4" s="42" t="s">
        <v>10</v>
      </c>
      <c r="J4" s="42" t="s">
        <v>8</v>
      </c>
      <c r="K4" s="42" t="s">
        <v>14</v>
      </c>
      <c r="L4" s="42" t="s">
        <v>15</v>
      </c>
      <c r="M4" s="42" t="s">
        <v>28</v>
      </c>
      <c r="N4" s="42" t="s">
        <v>29</v>
      </c>
      <c r="O4" s="44" t="s">
        <v>30</v>
      </c>
    </row>
    <row r="5" spans="3:16" ht="59.1" customHeight="1" x14ac:dyDescent="0.15">
      <c r="C5" s="45" t="s">
        <v>31</v>
      </c>
      <c r="D5" s="57">
        <f>2740-2740/22*5</f>
        <v>2117.2727272727302</v>
      </c>
      <c r="E5" s="57">
        <f>300-300/22*5</f>
        <v>231.81818181818201</v>
      </c>
      <c r="F5" s="57">
        <f>800-800/22*5</f>
        <v>618.18181818181802</v>
      </c>
      <c r="G5" s="57">
        <f>400-400/22*5</f>
        <v>309.09090909090901</v>
      </c>
      <c r="H5" s="27">
        <v>300</v>
      </c>
      <c r="I5" s="11">
        <v>20</v>
      </c>
      <c r="J5" s="57">
        <f>1500-1500/22*5</f>
        <v>1159.0909090909099</v>
      </c>
      <c r="K5" s="11">
        <v>0</v>
      </c>
      <c r="L5" s="11">
        <v>0</v>
      </c>
      <c r="M5" s="48">
        <f>SUM(D5:L5)*0.0677</f>
        <v>321.94427272727302</v>
      </c>
      <c r="N5" s="48">
        <f t="shared" ref="N5" si="0">ROUND(SUM(D5:M5),2)</f>
        <v>5077.3999999999996</v>
      </c>
      <c r="O5" s="58" t="s">
        <v>32</v>
      </c>
    </row>
    <row r="6" spans="3:16" x14ac:dyDescent="0.15">
      <c r="C6" s="54"/>
      <c r="D6" s="37"/>
      <c r="E6" s="55"/>
      <c r="F6" s="55"/>
      <c r="G6" s="55"/>
      <c r="H6" s="39"/>
      <c r="I6" s="38"/>
      <c r="J6" s="38"/>
      <c r="K6" s="38"/>
      <c r="L6" s="38"/>
      <c r="M6" s="38"/>
      <c r="N6" s="38"/>
      <c r="O6" s="56"/>
      <c r="P6" s="53"/>
    </row>
    <row r="7" spans="3:16" x14ac:dyDescent="0.15">
      <c r="J7" s="21"/>
      <c r="K7" s="21"/>
      <c r="M7" s="21"/>
      <c r="N7" s="21" t="s">
        <v>33</v>
      </c>
      <c r="O7" s="22">
        <f>SUM(N5:N5)</f>
        <v>5077.3999999999996</v>
      </c>
    </row>
  </sheetData>
  <mergeCells count="1">
    <mergeCell ref="C3:O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6"/>
  <sheetViews>
    <sheetView topLeftCell="B1" workbookViewId="0">
      <selection activeCell="M5" sqref="M5"/>
    </sheetView>
  </sheetViews>
  <sheetFormatPr defaultColWidth="9" defaultRowHeight="13.5" x14ac:dyDescent="0.15"/>
  <cols>
    <col min="2" max="2" width="13.5" customWidth="1"/>
    <col min="3" max="3" width="11.125" customWidth="1"/>
    <col min="4" max="4" width="20.875" customWidth="1"/>
    <col min="5" max="5" width="10.125" customWidth="1"/>
    <col min="6" max="6" width="14.125" customWidth="1"/>
    <col min="7" max="7" width="22.375" customWidth="1"/>
    <col min="8" max="13" width="11.875" customWidth="1"/>
    <col min="14" max="14" width="64.375" customWidth="1"/>
  </cols>
  <sheetData>
    <row r="2" spans="1:15" ht="20.25" x14ac:dyDescent="0.15">
      <c r="B2" s="77" t="s">
        <v>34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</row>
    <row r="3" spans="1:15" x14ac:dyDescent="0.15">
      <c r="B3" s="41" t="s">
        <v>26</v>
      </c>
      <c r="C3" s="42" t="s">
        <v>7</v>
      </c>
      <c r="D3" s="42" t="s">
        <v>11</v>
      </c>
      <c r="E3" s="42" t="s">
        <v>12</v>
      </c>
      <c r="F3" s="42" t="s">
        <v>27</v>
      </c>
      <c r="G3" s="43" t="s">
        <v>21</v>
      </c>
      <c r="H3" s="42" t="s">
        <v>10</v>
      </c>
      <c r="I3" s="42" t="s">
        <v>8</v>
      </c>
      <c r="J3" s="42" t="s">
        <v>14</v>
      </c>
      <c r="K3" s="42" t="s">
        <v>15</v>
      </c>
      <c r="L3" s="42" t="s">
        <v>28</v>
      </c>
      <c r="M3" s="42" t="s">
        <v>29</v>
      </c>
      <c r="N3" s="44" t="s">
        <v>30</v>
      </c>
    </row>
    <row r="4" spans="1:15" ht="27.6" customHeight="1" x14ac:dyDescent="0.15">
      <c r="B4" s="45" t="s">
        <v>31</v>
      </c>
      <c r="C4" s="26">
        <v>0</v>
      </c>
      <c r="D4" s="46">
        <v>0</v>
      </c>
      <c r="E4" s="47">
        <v>0</v>
      </c>
      <c r="F4" s="46">
        <v>0</v>
      </c>
      <c r="G4" s="28">
        <v>300</v>
      </c>
      <c r="H4" s="7">
        <v>20</v>
      </c>
      <c r="I4" s="7">
        <v>0</v>
      </c>
      <c r="J4" s="7">
        <v>0</v>
      </c>
      <c r="K4" s="7">
        <v>0</v>
      </c>
      <c r="L4" s="48">
        <f>SUM(C4:K4)*0.0677</f>
        <v>21.664000000000001</v>
      </c>
      <c r="M4" s="48">
        <f t="shared" ref="M4:M5" si="0">ROUND(SUM(C4:L4),2)</f>
        <v>341.66</v>
      </c>
      <c r="N4" s="7" t="s">
        <v>35</v>
      </c>
    </row>
    <row r="5" spans="1:15" ht="54" x14ac:dyDescent="0.15">
      <c r="B5" s="49" t="s">
        <v>36</v>
      </c>
      <c r="C5" s="30">
        <v>3362.73</v>
      </c>
      <c r="D5" s="49">
        <v>368.18</v>
      </c>
      <c r="E5" s="49">
        <v>981.82</v>
      </c>
      <c r="F5" s="49">
        <v>490.91</v>
      </c>
      <c r="G5" s="50">
        <v>600</v>
      </c>
      <c r="H5" s="51">
        <v>40</v>
      </c>
      <c r="I5" s="51">
        <v>1840.91</v>
      </c>
      <c r="J5" s="51">
        <v>0</v>
      </c>
      <c r="K5" s="51">
        <v>0</v>
      </c>
      <c r="L5" s="48">
        <f>SUM(C5:K5)*0.0677</f>
        <v>520.24403500000005</v>
      </c>
      <c r="M5" s="48">
        <f t="shared" si="0"/>
        <v>8204.7900000000009</v>
      </c>
      <c r="N5" s="52" t="s">
        <v>37</v>
      </c>
      <c r="O5" s="53"/>
    </row>
    <row r="6" spans="1:15" x14ac:dyDescent="0.15">
      <c r="B6" s="54"/>
      <c r="C6" s="37"/>
      <c r="D6" s="55"/>
      <c r="E6" s="55"/>
      <c r="F6" s="55"/>
      <c r="G6" s="39"/>
      <c r="H6" s="38"/>
      <c r="I6" s="38"/>
      <c r="J6" s="38"/>
      <c r="K6" s="38"/>
      <c r="L6" s="38"/>
      <c r="M6" s="38"/>
      <c r="N6" s="56"/>
      <c r="O6" s="53"/>
    </row>
    <row r="7" spans="1:15" ht="35.1" customHeight="1" x14ac:dyDescent="0.15">
      <c r="B7" s="80" t="s">
        <v>38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</row>
    <row r="8" spans="1:15" x14ac:dyDescent="0.15">
      <c r="I8" s="21"/>
      <c r="J8" s="21"/>
      <c r="L8" s="21"/>
      <c r="M8" s="21" t="s">
        <v>33</v>
      </c>
      <c r="N8" s="22">
        <f>SUM(M4:M5)</f>
        <v>8546.4500000000007</v>
      </c>
    </row>
    <row r="10" spans="1:15" x14ac:dyDescent="0.15">
      <c r="A10" s="53"/>
    </row>
    <row r="11" spans="1:15" x14ac:dyDescent="0.15">
      <c r="A11" s="53"/>
      <c r="B11" s="13"/>
      <c r="C11" s="13"/>
      <c r="D11" s="13"/>
    </row>
    <row r="12" spans="1:15" ht="48" customHeight="1" x14ac:dyDescent="0.15">
      <c r="A12" s="53"/>
      <c r="B12" s="82"/>
      <c r="C12" s="13"/>
      <c r="D12" s="13"/>
    </row>
    <row r="13" spans="1:15" ht="34.5" customHeight="1" x14ac:dyDescent="0.15">
      <c r="A13" s="53"/>
      <c r="B13" s="82"/>
      <c r="D13" s="13"/>
    </row>
    <row r="14" spans="1:15" x14ac:dyDescent="0.15">
      <c r="A14" s="53"/>
      <c r="B14" s="82"/>
      <c r="C14" s="13"/>
    </row>
    <row r="15" spans="1:15" x14ac:dyDescent="0.15">
      <c r="A15" s="53"/>
      <c r="B15" s="82"/>
    </row>
    <row r="16" spans="1:15" x14ac:dyDescent="0.15">
      <c r="A16" s="53"/>
    </row>
  </sheetData>
  <mergeCells count="4">
    <mergeCell ref="B2:N2"/>
    <mergeCell ref="B7:N7"/>
    <mergeCell ref="B12:B13"/>
    <mergeCell ref="B14:B15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8"/>
  <sheetViews>
    <sheetView workbookViewId="0">
      <selection activeCell="F22" sqref="F22"/>
    </sheetView>
  </sheetViews>
  <sheetFormatPr defaultColWidth="9" defaultRowHeight="13.5" x14ac:dyDescent="0.15"/>
  <cols>
    <col min="3" max="3" width="10.25" customWidth="1"/>
    <col min="4" max="4" width="23.125" customWidth="1"/>
    <col min="8" max="8" width="27.5" customWidth="1"/>
    <col min="9" max="9" width="33.375" customWidth="1"/>
  </cols>
  <sheetData>
    <row r="2" spans="2:9" ht="20.25" x14ac:dyDescent="0.15">
      <c r="B2" s="77" t="s">
        <v>39</v>
      </c>
      <c r="C2" s="78"/>
      <c r="D2" s="78"/>
      <c r="E2" s="78"/>
      <c r="F2" s="78"/>
      <c r="G2" s="78"/>
      <c r="H2" s="78"/>
      <c r="I2" s="79"/>
    </row>
    <row r="3" spans="2:9" x14ac:dyDescent="0.15">
      <c r="B3" s="24" t="s">
        <v>26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3" t="s">
        <v>30</v>
      </c>
    </row>
    <row r="4" spans="2:9" ht="35.450000000000003" customHeight="1" x14ac:dyDescent="0.15">
      <c r="B4" s="25" t="s">
        <v>2</v>
      </c>
      <c r="C4" s="26">
        <v>12.5</v>
      </c>
      <c r="D4" s="11" t="s">
        <v>46</v>
      </c>
      <c r="E4" s="11" t="s">
        <v>47</v>
      </c>
      <c r="F4" s="27">
        <v>30</v>
      </c>
      <c r="G4" s="28"/>
      <c r="H4" s="13" t="s">
        <v>48</v>
      </c>
      <c r="I4" s="9" t="s">
        <v>49</v>
      </c>
    </row>
    <row r="5" spans="2:9" ht="33.950000000000003" customHeight="1" x14ac:dyDescent="0.15">
      <c r="B5" s="29" t="s">
        <v>2</v>
      </c>
      <c r="C5" s="30">
        <v>12.14</v>
      </c>
      <c r="D5" s="31" t="s">
        <v>50</v>
      </c>
      <c r="E5" s="32" t="s">
        <v>51</v>
      </c>
      <c r="F5" s="32">
        <v>127.5</v>
      </c>
      <c r="G5" s="32">
        <v>30</v>
      </c>
      <c r="H5" s="33" t="s">
        <v>52</v>
      </c>
      <c r="I5" s="34" t="s">
        <v>49</v>
      </c>
    </row>
    <row r="6" spans="2:9" x14ac:dyDescent="0.15">
      <c r="B6" s="35"/>
      <c r="C6" s="36"/>
      <c r="D6" s="37"/>
      <c r="E6" s="38"/>
      <c r="F6" s="38"/>
      <c r="G6" s="38"/>
      <c r="H6" s="39"/>
      <c r="I6" s="40"/>
    </row>
    <row r="7" spans="2:9" ht="33.950000000000003" customHeight="1" x14ac:dyDescent="0.15">
      <c r="B7" s="83" t="s">
        <v>53</v>
      </c>
      <c r="C7" s="84"/>
      <c r="D7" s="84"/>
      <c r="E7" s="84"/>
      <c r="F7" s="84"/>
      <c r="G7" s="84"/>
      <c r="H7" s="84"/>
      <c r="I7" s="85"/>
    </row>
    <row r="8" spans="2:9" x14ac:dyDescent="0.15">
      <c r="H8" s="21" t="s">
        <v>33</v>
      </c>
      <c r="I8" s="22">
        <f>SUM(F4:G6)</f>
        <v>187.5</v>
      </c>
    </row>
  </sheetData>
  <mergeCells count="2">
    <mergeCell ref="B2:I2"/>
    <mergeCell ref="B7:I7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3"/>
  <sheetViews>
    <sheetView workbookViewId="0">
      <selection activeCell="I9" sqref="I9"/>
    </sheetView>
  </sheetViews>
  <sheetFormatPr defaultColWidth="9" defaultRowHeight="13.5" x14ac:dyDescent="0.15"/>
  <cols>
    <col min="1" max="1" width="2.875" customWidth="1"/>
    <col min="2" max="2" width="12.875" customWidth="1"/>
    <col min="3" max="3" width="13.375" customWidth="1"/>
    <col min="4" max="4" width="14.375" customWidth="1"/>
    <col min="5" max="5" width="11.625" customWidth="1"/>
    <col min="6" max="6" width="15.125" customWidth="1"/>
    <col min="7" max="7" width="18.125" customWidth="1"/>
    <col min="8" max="8" width="30.875" customWidth="1"/>
    <col min="9" max="9" width="20.125" customWidth="1"/>
  </cols>
  <sheetData>
    <row r="2" spans="2:11" ht="31.35" customHeight="1" x14ac:dyDescent="0.15">
      <c r="B2" s="77" t="s">
        <v>54</v>
      </c>
      <c r="C2" s="78"/>
      <c r="D2" s="78"/>
      <c r="E2" s="78"/>
      <c r="F2" s="78"/>
      <c r="G2" s="78"/>
      <c r="H2" s="78"/>
      <c r="I2" s="79"/>
    </row>
    <row r="3" spans="2:11" ht="24" customHeight="1" x14ac:dyDescent="0.15">
      <c r="B3" s="1" t="s">
        <v>26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3" t="s">
        <v>30</v>
      </c>
    </row>
    <row r="4" spans="2:11" ht="24" customHeight="1" x14ac:dyDescent="0.15">
      <c r="B4" s="10" t="s">
        <v>31</v>
      </c>
      <c r="C4" s="5">
        <v>45858</v>
      </c>
      <c r="D4" s="6" t="s">
        <v>55</v>
      </c>
      <c r="E4" s="7">
        <v>2</v>
      </c>
      <c r="F4" s="7">
        <v>60</v>
      </c>
      <c r="G4" s="7"/>
      <c r="H4" s="23" t="s">
        <v>56</v>
      </c>
      <c r="I4" s="9"/>
    </row>
    <row r="5" spans="2:11" ht="24" customHeight="1" x14ac:dyDescent="0.15">
      <c r="B5" s="10"/>
      <c r="C5" s="5"/>
      <c r="D5" s="11"/>
      <c r="E5" s="7"/>
      <c r="F5" s="7"/>
      <c r="G5" s="7"/>
      <c r="H5" s="7"/>
      <c r="I5" s="9"/>
    </row>
    <row r="6" spans="2:11" ht="24" customHeight="1" x14ac:dyDescent="0.15">
      <c r="B6" s="4"/>
      <c r="C6" s="5"/>
      <c r="D6" s="12"/>
      <c r="E6" s="13"/>
      <c r="F6" s="7"/>
      <c r="G6" s="14"/>
      <c r="I6" s="15"/>
    </row>
    <row r="7" spans="2:11" ht="24" customHeight="1" x14ac:dyDescent="0.15">
      <c r="B7" s="16"/>
      <c r="C7" s="17"/>
      <c r="D7" s="17"/>
      <c r="E7" s="18"/>
      <c r="F7" s="19"/>
      <c r="G7" s="18"/>
      <c r="H7" s="18"/>
      <c r="I7" s="20"/>
    </row>
    <row r="8" spans="2:11" ht="24" customHeight="1" x14ac:dyDescent="0.15">
      <c r="K8" s="13"/>
    </row>
    <row r="9" spans="2:11" ht="24" customHeight="1" x14ac:dyDescent="0.15">
      <c r="H9" s="21" t="s">
        <v>33</v>
      </c>
      <c r="I9" s="22">
        <f>SUM(F4:G7)</f>
        <v>60</v>
      </c>
      <c r="K9" s="13"/>
    </row>
    <row r="10" spans="2:11" ht="24" customHeight="1" x14ac:dyDescent="0.15">
      <c r="K10" s="13"/>
    </row>
    <row r="11" spans="2:11" ht="24" customHeight="1" x14ac:dyDescent="0.15">
      <c r="K11" s="13"/>
    </row>
    <row r="12" spans="2:11" ht="24" customHeight="1" x14ac:dyDescent="0.15"/>
    <row r="13" spans="2:11" ht="20.100000000000001" customHeight="1" x14ac:dyDescent="0.15"/>
  </sheetData>
  <mergeCells count="1">
    <mergeCell ref="B2:I2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3"/>
  <sheetViews>
    <sheetView workbookViewId="0">
      <selection activeCell="H27" sqref="H27"/>
    </sheetView>
  </sheetViews>
  <sheetFormatPr defaultColWidth="9" defaultRowHeight="13.5" x14ac:dyDescent="0.15"/>
  <cols>
    <col min="1" max="1" width="2.875" customWidth="1"/>
    <col min="2" max="2" width="12.875" customWidth="1"/>
    <col min="3" max="3" width="13.375" customWidth="1"/>
    <col min="4" max="4" width="14.375" customWidth="1"/>
    <col min="5" max="5" width="11.625" customWidth="1"/>
    <col min="6" max="6" width="15.125" customWidth="1"/>
    <col min="7" max="7" width="18.125" customWidth="1"/>
    <col min="8" max="8" width="30.875" customWidth="1"/>
    <col min="9" max="9" width="20.125" customWidth="1"/>
  </cols>
  <sheetData>
    <row r="2" spans="2:11" ht="31.35" customHeight="1" x14ac:dyDescent="0.15">
      <c r="B2" s="77" t="s">
        <v>57</v>
      </c>
      <c r="C2" s="78"/>
      <c r="D2" s="78"/>
      <c r="E2" s="78"/>
      <c r="F2" s="78"/>
      <c r="G2" s="78"/>
      <c r="H2" s="78"/>
      <c r="I2" s="79"/>
    </row>
    <row r="3" spans="2:11" ht="24" customHeight="1" x14ac:dyDescent="0.15">
      <c r="B3" s="1" t="s">
        <v>26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3" t="s">
        <v>30</v>
      </c>
    </row>
    <row r="4" spans="2:11" ht="24" customHeight="1" x14ac:dyDescent="0.15">
      <c r="B4" s="4" t="s">
        <v>31</v>
      </c>
      <c r="C4" s="5" t="s">
        <v>58</v>
      </c>
      <c r="D4" s="6" t="s">
        <v>59</v>
      </c>
      <c r="E4" s="7">
        <v>2</v>
      </c>
      <c r="F4" s="7">
        <v>60</v>
      </c>
      <c r="G4" s="7"/>
      <c r="H4" s="23" t="s">
        <v>60</v>
      </c>
      <c r="I4" s="9"/>
    </row>
    <row r="5" spans="2:11" ht="24" customHeight="1" x14ac:dyDescent="0.15">
      <c r="B5" s="10"/>
      <c r="C5" s="5"/>
      <c r="D5" s="11"/>
      <c r="E5" s="7"/>
      <c r="F5" s="7"/>
      <c r="G5" s="7"/>
      <c r="H5" s="7"/>
      <c r="I5" s="9"/>
    </row>
    <row r="6" spans="2:11" ht="24" customHeight="1" x14ac:dyDescent="0.15">
      <c r="B6" s="4"/>
      <c r="C6" s="5"/>
      <c r="D6" s="12"/>
      <c r="E6" s="13"/>
      <c r="F6" s="7"/>
      <c r="G6" s="14"/>
      <c r="I6" s="15"/>
    </row>
    <row r="7" spans="2:11" ht="24" customHeight="1" x14ac:dyDescent="0.15">
      <c r="B7" s="16"/>
      <c r="C7" s="17"/>
      <c r="D7" s="17"/>
      <c r="E7" s="18"/>
      <c r="F7" s="19" t="s">
        <v>61</v>
      </c>
      <c r="G7" s="18">
        <f>SUM(F4:G6)</f>
        <v>60</v>
      </c>
      <c r="H7" s="18"/>
      <c r="I7" s="20"/>
    </row>
    <row r="8" spans="2:11" ht="24" customHeight="1" x14ac:dyDescent="0.15">
      <c r="K8" s="13"/>
    </row>
    <row r="9" spans="2:11" ht="24" customHeight="1" x14ac:dyDescent="0.15">
      <c r="H9" s="21" t="s">
        <v>33</v>
      </c>
      <c r="I9" s="22">
        <f>G7</f>
        <v>60</v>
      </c>
      <c r="K9" s="13"/>
    </row>
    <row r="10" spans="2:11" ht="24" customHeight="1" x14ac:dyDescent="0.15">
      <c r="K10" s="13"/>
    </row>
    <row r="11" spans="2:11" ht="24" customHeight="1" x14ac:dyDescent="0.15">
      <c r="K11" s="13"/>
    </row>
    <row r="12" spans="2:11" ht="24" customHeight="1" x14ac:dyDescent="0.15"/>
    <row r="13" spans="2:11" ht="20.100000000000001" customHeight="1" x14ac:dyDescent="0.15"/>
  </sheetData>
  <mergeCells count="1">
    <mergeCell ref="B2:I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3"/>
  <sheetViews>
    <sheetView workbookViewId="0">
      <selection activeCell="H13" sqref="H13"/>
    </sheetView>
  </sheetViews>
  <sheetFormatPr defaultColWidth="9" defaultRowHeight="13.5" x14ac:dyDescent="0.15"/>
  <cols>
    <col min="1" max="1" width="2.875" customWidth="1"/>
    <col min="2" max="2" width="12.875" customWidth="1"/>
    <col min="3" max="3" width="13.375" customWidth="1"/>
    <col min="4" max="4" width="14.375" customWidth="1"/>
    <col min="5" max="5" width="11.625" customWidth="1"/>
    <col min="6" max="6" width="15.125" customWidth="1"/>
    <col min="7" max="7" width="18.125" customWidth="1"/>
    <col min="8" max="8" width="30.875" customWidth="1"/>
    <col min="9" max="9" width="20.125" customWidth="1"/>
  </cols>
  <sheetData>
    <row r="2" spans="2:11" ht="31.35" customHeight="1" x14ac:dyDescent="0.15">
      <c r="B2" s="77" t="s">
        <v>62</v>
      </c>
      <c r="C2" s="78"/>
      <c r="D2" s="78"/>
      <c r="E2" s="78"/>
      <c r="F2" s="78"/>
      <c r="G2" s="78"/>
      <c r="H2" s="78"/>
      <c r="I2" s="79"/>
    </row>
    <row r="3" spans="2:11" ht="24" customHeight="1" x14ac:dyDescent="0.15">
      <c r="B3" s="1" t="s">
        <v>26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3" t="s">
        <v>30</v>
      </c>
    </row>
    <row r="4" spans="2:11" ht="24" customHeight="1" x14ac:dyDescent="0.15">
      <c r="B4" s="4" t="s">
        <v>31</v>
      </c>
      <c r="C4" s="5" t="s">
        <v>63</v>
      </c>
      <c r="D4" s="6" t="s">
        <v>64</v>
      </c>
      <c r="E4" s="7">
        <v>3</v>
      </c>
      <c r="F4" s="7">
        <v>90</v>
      </c>
      <c r="G4" s="7"/>
      <c r="H4" s="8" t="s">
        <v>65</v>
      </c>
      <c r="I4" s="9"/>
    </row>
    <row r="5" spans="2:11" ht="24" customHeight="1" x14ac:dyDescent="0.15">
      <c r="B5" s="10"/>
      <c r="C5" s="5"/>
      <c r="D5" s="11"/>
      <c r="E5" s="7"/>
      <c r="F5" s="7"/>
      <c r="G5" s="7"/>
      <c r="H5" s="7"/>
      <c r="I5" s="9"/>
    </row>
    <row r="6" spans="2:11" ht="24" customHeight="1" x14ac:dyDescent="0.15">
      <c r="B6" s="4"/>
      <c r="C6" s="5"/>
      <c r="D6" s="12"/>
      <c r="E6" s="13"/>
      <c r="F6" s="7"/>
      <c r="G6" s="14"/>
      <c r="I6" s="15"/>
    </row>
    <row r="7" spans="2:11" ht="24" customHeight="1" x14ac:dyDescent="0.15">
      <c r="B7" s="16"/>
      <c r="C7" s="17"/>
      <c r="D7" s="17"/>
      <c r="E7" s="18"/>
      <c r="F7" s="19" t="s">
        <v>61</v>
      </c>
      <c r="G7" s="18">
        <f>SUM(F4:G6)</f>
        <v>90</v>
      </c>
      <c r="H7" s="18"/>
      <c r="I7" s="20"/>
    </row>
    <row r="8" spans="2:11" ht="24" customHeight="1" x14ac:dyDescent="0.15">
      <c r="K8" s="13"/>
    </row>
    <row r="9" spans="2:11" ht="24" customHeight="1" x14ac:dyDescent="0.15">
      <c r="H9" s="21" t="s">
        <v>33</v>
      </c>
      <c r="I9" s="22">
        <f>G7</f>
        <v>90</v>
      </c>
      <c r="K9" s="13"/>
    </row>
    <row r="10" spans="2:11" ht="24" customHeight="1" x14ac:dyDescent="0.15">
      <c r="K10" s="13"/>
    </row>
    <row r="11" spans="2:11" ht="24" customHeight="1" x14ac:dyDescent="0.15">
      <c r="K11" s="13"/>
    </row>
    <row r="12" spans="2:11" ht="24" customHeight="1" x14ac:dyDescent="0.15"/>
    <row r="13" spans="2:11" ht="20.100000000000001" customHeight="1" x14ac:dyDescent="0.15"/>
  </sheetData>
  <mergeCells count="1">
    <mergeCell ref="B2:I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Cleaner Summary</vt:lpstr>
      <vt:lpstr>2026.5月保洁工资表（实际发放）</vt:lpstr>
      <vt:lpstr>2026.4月保洁工资表（实际发放）</vt:lpstr>
      <vt:lpstr>2026.1月保洁加班表</vt:lpstr>
      <vt:lpstr>2025.7月保洁加班表</vt:lpstr>
      <vt:lpstr>2025.4月保洁加班表</vt:lpstr>
      <vt:lpstr>2025.3月保洁加班表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cenice5794</cp:lastModifiedBy>
  <cp:lastPrinted>2020-12-16T06:53:00Z</cp:lastPrinted>
  <dcterms:created xsi:type="dcterms:W3CDTF">2018-06-04T07:24:00Z</dcterms:created>
  <dcterms:modified xsi:type="dcterms:W3CDTF">2026-07-27T05:05:03Z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ACC82CAAC519403DB2E0B7FBC9CACC51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