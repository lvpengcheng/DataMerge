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bi\"/>
    </mc:Choice>
  </mc:AlternateContent>
  <xr:revisionPtr revIDLastSave="0" documentId="13_ncr:1_{061F0D2E-A67C-43C8-87BB-355A9D25A90D}" xr6:coauthVersionLast="47" xr6:coauthVersionMax="47" xr10:uidLastSave="{00000000-0000-0000-0000-000000000000}"/>
  <workbookProtection workbookAlgorithmName="SHA-512" workbookHashValue="5O1a0R8omYefBP2zJ2GmQ9waRqe/8hPIjFUry2Id7v4gtSJI1KoiSjFRNyJFY1y6wO8t/mkXNBDhT4+/Ao64tg==" workbookSaltValue="T8dWbV7oyTFT7mdjPf2NdA==" workbookSpinCount="100000" lockStructure="1"/>
  <bookViews>
    <workbookView xWindow="-120" yWindow="-120" windowWidth="29040" windowHeight="15720" activeTab="1" xr2:uid="{00000000-000D-0000-FFFF-FFFF00000000}"/>
  </bookViews>
  <sheets>
    <sheet name="Tax rate table" sheetId="3" r:id="rId1"/>
    <sheet name="Salary details" sheetId="2" r:id="rId2"/>
  </sheets>
  <definedNames>
    <definedName name="_Fill" hidden="1">#REF!</definedName>
    <definedName name="_Key2" hidden="1">#REF!</definedName>
    <definedName name="_Order1" hidden="1">255</definedName>
    <definedName name="_Order2" hidden="1">255</definedName>
    <definedName name="p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_xlnm.Print_Area" localSheetId="1">'Salary details'!$B$1:$N$70</definedName>
    <definedName name="Trial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C69" i="2" s="1"/>
  <c r="C47" i="2"/>
  <c r="C49" i="2"/>
  <c r="K49" i="2"/>
  <c r="J49" i="2"/>
  <c r="I49" i="2"/>
  <c r="G49" i="2"/>
  <c r="F49" i="2"/>
  <c r="E49" i="2"/>
  <c r="N47" i="2"/>
  <c r="M47" i="2"/>
  <c r="L47" i="2"/>
  <c r="K47" i="2"/>
  <c r="J47" i="2"/>
  <c r="I47" i="2"/>
  <c r="H47" i="2"/>
  <c r="G47" i="2"/>
  <c r="F47" i="2"/>
  <c r="E47" i="2"/>
  <c r="N36" i="2"/>
  <c r="N69" i="2" s="1"/>
  <c r="M36" i="2"/>
  <c r="M69" i="2" s="1"/>
  <c r="L36" i="2"/>
  <c r="L69" i="2" s="1"/>
  <c r="K36" i="2"/>
  <c r="K69" i="2" s="1"/>
  <c r="J36" i="2"/>
  <c r="J69" i="2" s="1"/>
  <c r="I36" i="2"/>
  <c r="I69" i="2" s="1"/>
  <c r="H36" i="2"/>
  <c r="H69" i="2" s="1"/>
  <c r="G36" i="2"/>
  <c r="G69" i="2" s="1"/>
  <c r="F36" i="2"/>
  <c r="F69" i="2" s="1"/>
  <c r="E36" i="2"/>
  <c r="E69" i="2" s="1"/>
  <c r="C39" i="2" l="1"/>
  <c r="C41" i="2" s="1"/>
  <c r="J39" i="2"/>
  <c r="J40" i="2" s="1"/>
  <c r="M39" i="2"/>
  <c r="K39" i="2"/>
  <c r="D69" i="2"/>
  <c r="N39" i="2"/>
  <c r="E39" i="2"/>
  <c r="I39" i="2"/>
  <c r="L39" i="2"/>
  <c r="F39" i="2"/>
  <c r="G39" i="2"/>
  <c r="H39" i="2"/>
  <c r="J41" i="2" l="1"/>
  <c r="C40" i="2"/>
  <c r="C42" i="2" s="1"/>
  <c r="C52" i="2" s="1"/>
  <c r="C57" i="2" a="1"/>
  <c r="C57" i="2" s="1"/>
  <c r="F41" i="2"/>
  <c r="F40" i="2"/>
  <c r="I40" i="2"/>
  <c r="I41" i="2"/>
  <c r="N40" i="2"/>
  <c r="N41" i="2"/>
  <c r="E41" i="2"/>
  <c r="E40" i="2"/>
  <c r="H41" i="2"/>
  <c r="H40" i="2"/>
  <c r="L41" i="2"/>
  <c r="L40" i="2"/>
  <c r="M40" i="2"/>
  <c r="M41" i="2"/>
  <c r="G40" i="2"/>
  <c r="G41" i="2"/>
  <c r="K40" i="2"/>
  <c r="K41" i="2"/>
  <c r="C58" i="2" l="1" a="1"/>
  <c r="C58" i="2" s="1"/>
  <c r="C64" i="2" l="1" a="1"/>
  <c r="C64" i="2" s="1"/>
  <c r="C65" i="2" l="1" a="1"/>
  <c r="C65" i="2" s="1"/>
  <c r="C66" i="2" l="1" a="1"/>
  <c r="C66" i="2" s="1"/>
  <c r="C70" i="2" s="1"/>
  <c r="D57" i="2" l="1" a="1"/>
  <c r="D57" i="2" s="1"/>
  <c r="D58" i="2" l="1" a="1"/>
  <c r="D58" i="2" s="1"/>
  <c r="D64" i="2" s="1" a="1"/>
  <c r="D64" i="2" s="1"/>
  <c r="D65" i="2" l="1" a="1"/>
  <c r="D65" i="2" s="1"/>
  <c r="D66" i="2" s="1" a="1"/>
  <c r="D66" i="2" s="1"/>
  <c r="E42" i="2" s="1"/>
  <c r="E52" i="2" s="1"/>
  <c r="D70" i="2" l="1"/>
  <c r="E57" i="2" a="1"/>
  <c r="E57" i="2" s="1"/>
  <c r="E58" i="2" s="1" a="1"/>
  <c r="E58" i="2" s="1"/>
  <c r="E64" i="2" s="1" a="1"/>
  <c r="E64" i="2" s="1"/>
  <c r="E65" i="2" s="1" a="1"/>
  <c r="E65" i="2" s="1"/>
  <c r="E66" i="2" l="1" a="1"/>
  <c r="E66" i="2" s="1"/>
  <c r="F42" i="2" l="1"/>
  <c r="F52" i="2" s="1"/>
  <c r="E70" i="2"/>
  <c r="F57" i="2" a="1"/>
  <c r="F57" i="2" s="1"/>
  <c r="F58" i="2" l="1" a="1"/>
  <c r="F58" i="2" s="1"/>
  <c r="F64" i="2" l="1" a="1"/>
  <c r="F64" i="2" s="1"/>
  <c r="F65" i="2" l="1" a="1"/>
  <c r="F65" i="2" s="1"/>
  <c r="F66" i="2" s="1" a="1"/>
  <c r="F66" i="2" s="1"/>
  <c r="G42" i="2" s="1"/>
  <c r="G52" i="2" l="1"/>
  <c r="G57" i="2" a="1"/>
  <c r="G57" i="2" s="1"/>
  <c r="G58" i="2" s="1" a="1"/>
  <c r="G58" i="2" s="1"/>
  <c r="G64" i="2" s="1" a="1"/>
  <c r="G64" i="2" s="1"/>
  <c r="F70" i="2"/>
  <c r="G65" i="2" l="1" a="1"/>
  <c r="G66" i="2" a="1"/>
  <c r="G65" i="2"/>
  <c r="G66" i="2" l="1"/>
  <c r="H42" i="2" s="1"/>
  <c r="H44" i="2"/>
  <c r="G70" i="2"/>
  <c r="H57" i="2" l="1" a="1"/>
  <c r="H57" i="2" s="1"/>
  <c r="H58" i="2" a="1"/>
  <c r="H52" i="2"/>
  <c r="H58" i="2" l="1"/>
  <c r="H64" i="2" s="1" a="1"/>
  <c r="H64" i="2" s="1"/>
  <c r="H65" i="2" l="1" a="1"/>
  <c r="H65" i="2" s="1"/>
  <c r="H66" i="2" s="1" a="1"/>
  <c r="H66" i="2" s="1"/>
  <c r="H70" i="2" s="1"/>
  <c r="I42" i="2" l="1"/>
  <c r="I57" i="2" a="1"/>
  <c r="I57" i="2" s="1"/>
  <c r="I58" i="2" l="1" a="1"/>
  <c r="I58" i="2" s="1"/>
  <c r="I64" i="2" s="1" a="1"/>
  <c r="I64" i="2" s="1"/>
  <c r="I44" i="2"/>
  <c r="I52" i="2" s="1"/>
  <c r="I65" i="2" l="1" a="1"/>
  <c r="I65" i="2" s="1"/>
  <c r="I66" i="2" s="1" a="1"/>
  <c r="I66" i="2" l="1"/>
  <c r="I70" i="2" l="1"/>
  <c r="J42" i="2"/>
  <c r="J57" i="2" s="1" a="1"/>
  <c r="J57" i="2" l="1"/>
  <c r="J44" i="2"/>
  <c r="J58" i="2" l="1" a="1"/>
  <c r="J58" i="2" s="1"/>
  <c r="J52" i="2"/>
  <c r="J64" i="2" l="1" a="1"/>
  <c r="J64" i="2" s="1"/>
  <c r="J65" i="2" s="1" a="1"/>
  <c r="J65" i="2" s="1"/>
  <c r="J66" i="2" l="1" a="1"/>
  <c r="J66" i="2" s="1"/>
  <c r="K42" i="2" s="1"/>
  <c r="K57" i="2" l="1" a="1"/>
  <c r="K57" i="2" s="1"/>
  <c r="K44" i="2"/>
  <c r="J70" i="2"/>
  <c r="K58" i="2" l="1" a="1"/>
  <c r="K58" i="2" s="1"/>
  <c r="K52" i="2"/>
  <c r="K64" i="2" l="1" a="1"/>
  <c r="K64" i="2" s="1"/>
  <c r="K65" i="2" a="1"/>
  <c r="K65" i="2" s="1"/>
  <c r="K66" i="2" s="1" a="1"/>
  <c r="K66" i="2" l="1"/>
  <c r="K70" i="2" l="1"/>
  <c r="L42" i="2"/>
  <c r="L57" i="2" l="1" a="1"/>
  <c r="L57" i="2" s="1"/>
  <c r="L44" i="2"/>
  <c r="L58" i="2" l="1" a="1"/>
  <c r="L58" i="2" s="1"/>
  <c r="L52" i="2"/>
  <c r="L64" i="2" l="1" a="1"/>
  <c r="L64" i="2" s="1"/>
  <c r="L65" i="2" l="1" a="1"/>
  <c r="L65" i="2" s="1"/>
  <c r="L66" i="2" l="1" a="1"/>
  <c r="L66" i="2" s="1"/>
  <c r="M42" i="2" s="1"/>
  <c r="L70" i="2" l="1"/>
  <c r="M57" i="2" a="1"/>
  <c r="M57" i="2" s="1"/>
  <c r="M44" i="2"/>
  <c r="M52" i="2" s="1"/>
  <c r="M58" i="2" a="1"/>
  <c r="M58" i="2" s="1"/>
  <c r="M64" i="2" l="1" a="1"/>
  <c r="M64" i="2" s="1"/>
  <c r="M65" i="2" s="1" a="1"/>
  <c r="M66" i="2" l="1" a="1"/>
  <c r="M65" i="2"/>
  <c r="M66" i="2" l="1"/>
  <c r="M70" i="2" l="1"/>
  <c r="N42" i="2"/>
  <c r="N57" i="2" l="1" a="1"/>
  <c r="N57" i="2" s="1"/>
  <c r="N44" i="2"/>
  <c r="N58" i="2" l="1" a="1"/>
  <c r="N58" i="2" s="1"/>
  <c r="N52" i="2"/>
  <c r="N64" i="2" l="1" a="1"/>
  <c r="N64" i="2" s="1"/>
  <c r="N65" i="2" s="1" a="1"/>
  <c r="N65" i="2" l="1"/>
  <c r="N66" i="2" s="1" a="1"/>
  <c r="N66" i="2" l="1"/>
  <c r="N7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<sst xmlns="http://schemas.openxmlformats.org/spreadsheetml/2006/main" count="90" uniqueCount="84">
  <si>
    <t>Yearly tax rate table</t>
  </si>
  <si>
    <t>Taxable income range</t>
  </si>
  <si>
    <t>Tax Rate</t>
  </si>
  <si>
    <t>Quick Calculation Deduction</t>
  </si>
  <si>
    <t>Apply to China tax resident</t>
  </si>
  <si>
    <t>- A foreign individual being regarded as China non-domiciled individual will become a China resident if he/she has resided in mainland China for 183 days or more in a calendar year</t>
  </si>
  <si>
    <t>- In counting the days residing in China, the day of stay in China lasting for less than 24 hours will not be counted</t>
  </si>
  <si>
    <t>Monthly tax rate table</t>
  </si>
  <si>
    <t>Apply to China tax non-resident</t>
  </si>
  <si>
    <t>- A foreign individual being regarded as China non-domiciled individual will become a China non-resident if he/she has resided in mainland China for less than 183 days in a calendar year</t>
  </si>
  <si>
    <t>*If you have any questions about tax policy or payroll calculation details, please contact HR Local Service team:</t>
  </si>
  <si>
    <t xml:space="preserve">Sherry Chen </t>
  </si>
  <si>
    <t>021-52880407</t>
  </si>
  <si>
    <t>sherry_3.chen@boehringer-ingelheim.com</t>
  </si>
  <si>
    <r>
      <rPr>
        <b/>
        <sz val="11"/>
        <color theme="1"/>
        <rFont val="宋体"/>
        <family val="3"/>
        <charset val="134"/>
      </rPr>
      <t>马云</t>
    </r>
    <r>
      <rPr>
        <b/>
        <sz val="11"/>
        <color theme="1"/>
        <rFont val="Calibri"/>
        <family val="2"/>
      </rPr>
      <t xml:space="preserve"> Yun Ma Y2026 Payslip</t>
    </r>
  </si>
  <si>
    <t>Employee ID</t>
  </si>
  <si>
    <t>Employee Name</t>
  </si>
  <si>
    <t>Legal entity</t>
  </si>
  <si>
    <t>BICHC</t>
  </si>
  <si>
    <t>Department</t>
  </si>
  <si>
    <t>HP-Medicine</t>
  </si>
  <si>
    <t>Passport No.</t>
  </si>
  <si>
    <t>Items</t>
  </si>
  <si>
    <t>Monthly salary</t>
  </si>
  <si>
    <t>Monthly Base Salary</t>
  </si>
  <si>
    <t>Salary Balance</t>
  </si>
  <si>
    <t>Unpaid Leave Deduction</t>
  </si>
  <si>
    <t>Sick Leave Deduction</t>
  </si>
  <si>
    <t>Over-use Annual Leave Deductio</t>
  </si>
  <si>
    <t>Supplementary Housing Allowance</t>
  </si>
  <si>
    <t>Meal Allowance</t>
  </si>
  <si>
    <t>Transportation Allowance</t>
  </si>
  <si>
    <t>Cash Allowance</t>
  </si>
  <si>
    <t>Relocation Allowance</t>
  </si>
  <si>
    <t>AH Position Allowance</t>
  </si>
  <si>
    <t>Position Premium</t>
  </si>
  <si>
    <t>High temperature allowance</t>
  </si>
  <si>
    <t>Car Allowance</t>
  </si>
  <si>
    <t>Overtime</t>
  </si>
  <si>
    <t>Shift Allowance</t>
  </si>
  <si>
    <t>Sign-on Bonus</t>
  </si>
  <si>
    <t>Spot award</t>
  </si>
  <si>
    <t>Chairman award</t>
  </si>
  <si>
    <t>Internal Referral Bonus</t>
  </si>
  <si>
    <t>Lump-sum</t>
  </si>
  <si>
    <t>Other Allowance</t>
  </si>
  <si>
    <t>Sales Incentive(AH)</t>
  </si>
  <si>
    <t>Sales Incentive(HP)</t>
  </si>
  <si>
    <t>Adjustment before tax</t>
  </si>
  <si>
    <t>Year-end Bonus(Gross)</t>
  </si>
  <si>
    <t>Total Gross Income</t>
  </si>
  <si>
    <t>Total individual social insurance</t>
  </si>
  <si>
    <t>YTD Special additional deductions</t>
  </si>
  <si>
    <t>YTD taxable income</t>
  </si>
  <si>
    <t>Individual Income Tax (Monthly)</t>
  </si>
  <si>
    <t>Annual meeting Prize</t>
  </si>
  <si>
    <t>Annual meeting Prize (Tax)</t>
  </si>
  <si>
    <t>VPR</t>
  </si>
  <si>
    <t>Donation</t>
  </si>
  <si>
    <t>VPR(Tax)</t>
  </si>
  <si>
    <t>Year-end Bonus</t>
  </si>
  <si>
    <t>Year-end Bonus(Tax)</t>
  </si>
  <si>
    <t>Adjustment after tax</t>
  </si>
  <si>
    <t>Flex adjustment after tax</t>
  </si>
  <si>
    <t>Net Income</t>
  </si>
  <si>
    <t>Yearly benefit (EE bears tax)</t>
  </si>
  <si>
    <t>Flexible Benefit</t>
  </si>
  <si>
    <t>Wealth Plan</t>
  </si>
  <si>
    <t>Tax for Flexible Benefit</t>
  </si>
  <si>
    <t>Tax for Wealth Plan</t>
  </si>
  <si>
    <t>Yearly benefit (ER bears tax)</t>
  </si>
  <si>
    <t>Medical examinations fee</t>
  </si>
  <si>
    <t>Commercial insurance fee</t>
  </si>
  <si>
    <t>Long term service award</t>
  </si>
  <si>
    <t>Tax for medical examinations fee</t>
  </si>
  <si>
    <t>Tax for commercial insurance fee</t>
  </si>
  <si>
    <t>Tax for long term service award</t>
  </si>
  <si>
    <t>Monthly gross income and tax for annual tax filing and reconciliation</t>
  </si>
  <si>
    <t>Gross</t>
  </si>
  <si>
    <t>Tax</t>
  </si>
  <si>
    <r>
      <t>&amp;=DT.</t>
    </r>
    <r>
      <rPr>
        <sz val="11"/>
        <color theme="1"/>
        <rFont val="宋体"/>
        <family val="2"/>
        <charset val="134"/>
      </rPr>
      <t>雇员编号</t>
    </r>
    <phoneticPr fontId="14" type="noConversion"/>
  </si>
  <si>
    <r>
      <t>&amp;=DT.</t>
    </r>
    <r>
      <rPr>
        <sz val="11"/>
        <color theme="1"/>
        <rFont val="宋体"/>
        <family val="2"/>
        <charset val="134"/>
      </rPr>
      <t>雇员姓名</t>
    </r>
    <phoneticPr fontId="14" type="noConversion"/>
  </si>
  <si>
    <r>
      <t>&amp;=DT.</t>
    </r>
    <r>
      <rPr>
        <sz val="11"/>
        <color theme="1"/>
        <rFont val="等线"/>
        <family val="2"/>
        <charset val="134"/>
      </rPr>
      <t>基本工资</t>
    </r>
    <r>
      <rPr>
        <sz val="11"/>
        <color theme="1"/>
        <rFont val="Calibri"/>
        <family val="2"/>
      </rPr>
      <t>(horizontal,shift,copystyle)</t>
    </r>
    <phoneticPr fontId="14" type="noConversion"/>
  </si>
  <si>
    <r>
      <t>&amp;=DT.</t>
    </r>
    <r>
      <rPr>
        <b/>
        <sz val="11"/>
        <color theme="1"/>
        <rFont val="等线"/>
        <family val="2"/>
        <charset val="134"/>
      </rPr>
      <t>月份</t>
    </r>
    <r>
      <rPr>
        <b/>
        <sz val="11"/>
        <color theme="1"/>
        <rFont val="Calibri"/>
        <family val="2"/>
      </rPr>
      <t>(horizontal,shift,copystyle)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</si>
</sst>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[$-409]mmm/yy;@"/>
    <numFmt numFmtId="178" formatCode="0.00_);[Red]\(0.00\)"/>
  </numFmts>
  <fonts count="17" x14ac:knownFonts="1">
    <font>
      <sz val="11"/>
      <color theme="1"/>
      <name val="等线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宋体"/>
      <family val="3"/>
      <charset val="134"/>
    </font>
    <font>
      <b/>
      <i/>
      <sz val="11"/>
      <color theme="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2"/>
      <charset val="134"/>
    </font>
    <font>
      <b/>
      <sz val="11"/>
      <color theme="1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E47C"/>
        <bgColor indexed="64"/>
      </patternFill>
    </fill>
    <fill>
      <patternFill patternType="solid">
        <fgColor rgb="FFFFE667"/>
        <bgColor indexed="64"/>
      </patternFill>
    </fill>
    <fill>
      <patternFill patternType="solid">
        <fgColor rgb="FFFFF9AA"/>
        <bgColor indexed="64"/>
      </patternFill>
    </fill>
    <fill>
      <patternFill patternType="solid">
        <fgColor rgb="FFFBF9AA"/>
        <bgColor indexed="64"/>
      </patternFill>
    </fill>
    <fill>
      <patternFill patternType="solid">
        <fgColor theme="4" tint="0.3998840296639912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7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0" fillId="0" borderId="0"/>
    <xf numFmtId="0" fontId="10" fillId="0" borderId="0">
      <alignment vertical="center"/>
    </xf>
    <xf numFmtId="0" fontId="11" fillId="0" borderId="0"/>
    <xf numFmtId="177" fontId="10" fillId="0" borderId="0"/>
    <xf numFmtId="177" fontId="1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4" fillId="2" borderId="2" xfId="4" applyFont="1" applyFill="1" applyBorder="1" applyAlignment="1">
      <alignment horizontal="center" vertical="center"/>
    </xf>
    <xf numFmtId="177" fontId="1" fillId="2" borderId="3" xfId="4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 textRotation="90" readingOrder="1"/>
    </xf>
    <xf numFmtId="0" fontId="1" fillId="0" borderId="4" xfId="0" applyFont="1" applyBorder="1" applyAlignment="1">
      <alignment vertical="center" wrapText="1"/>
    </xf>
    <xf numFmtId="176" fontId="2" fillId="0" borderId="5" xfId="1" applyFont="1" applyBorder="1" applyAlignment="1">
      <alignment vertical="center"/>
    </xf>
    <xf numFmtId="176" fontId="2" fillId="0" borderId="5" xfId="1" applyFont="1" applyBorder="1" applyAlignment="1" applyProtection="1">
      <alignment vertical="center"/>
    </xf>
    <xf numFmtId="176" fontId="2" fillId="0" borderId="6" xfId="1" applyFont="1" applyBorder="1" applyAlignment="1" applyProtection="1">
      <alignment vertical="center"/>
    </xf>
    <xf numFmtId="0" fontId="1" fillId="0" borderId="7" xfId="0" applyFont="1" applyBorder="1" applyAlignment="1">
      <alignment vertical="center" wrapText="1"/>
    </xf>
    <xf numFmtId="176" fontId="2" fillId="0" borderId="1" xfId="1" applyFont="1" applyBorder="1" applyAlignment="1">
      <alignment vertical="center"/>
    </xf>
    <xf numFmtId="176" fontId="2" fillId="0" borderId="1" xfId="1" applyFont="1" applyBorder="1" applyAlignment="1" applyProtection="1">
      <alignment vertical="center"/>
    </xf>
    <xf numFmtId="176" fontId="2" fillId="0" borderId="8" xfId="1" applyFont="1" applyBorder="1" applyAlignment="1" applyProtection="1">
      <alignment vertical="center"/>
    </xf>
    <xf numFmtId="0" fontId="1" fillId="2" borderId="7" xfId="0" applyFont="1" applyFill="1" applyBorder="1" applyAlignment="1">
      <alignment vertical="center" wrapText="1"/>
    </xf>
    <xf numFmtId="40" fontId="1" fillId="2" borderId="1" xfId="4" applyNumberFormat="1" applyFont="1" applyFill="1" applyBorder="1">
      <alignment vertical="center"/>
    </xf>
    <xf numFmtId="40" fontId="5" fillId="2" borderId="1" xfId="4" applyNumberFormat="1" applyFont="1" applyFill="1" applyBorder="1">
      <alignment vertical="center"/>
    </xf>
    <xf numFmtId="9" fontId="2" fillId="0" borderId="1" xfId="2" applyFont="1" applyBorder="1" applyAlignment="1">
      <alignment vertical="center"/>
    </xf>
    <xf numFmtId="9" fontId="2" fillId="0" borderId="1" xfId="2" applyFont="1" applyBorder="1" applyAlignment="1" applyProtection="1">
      <alignment vertical="center"/>
    </xf>
    <xf numFmtId="9" fontId="2" fillId="0" borderId="8" xfId="2" applyFont="1" applyBorder="1" applyAlignment="1" applyProtection="1">
      <alignment vertical="center"/>
    </xf>
    <xf numFmtId="0" fontId="5" fillId="2" borderId="9" xfId="0" applyFont="1" applyFill="1" applyBorder="1" applyAlignment="1">
      <alignment vertical="center" wrapText="1"/>
    </xf>
    <xf numFmtId="176" fontId="5" fillId="2" borderId="10" xfId="1" applyFont="1" applyFill="1" applyBorder="1" applyAlignment="1">
      <alignment vertical="center"/>
    </xf>
    <xf numFmtId="0" fontId="2" fillId="0" borderId="11" xfId="0" applyFont="1" applyBorder="1" applyAlignment="1">
      <alignment vertical="center" textRotation="90" readingOrder="1"/>
    </xf>
    <xf numFmtId="0" fontId="1" fillId="3" borderId="4" xfId="0" applyFont="1" applyFill="1" applyBorder="1" applyAlignment="1">
      <alignment vertical="center" wrapText="1"/>
    </xf>
    <xf numFmtId="176" fontId="2" fillId="3" borderId="5" xfId="1" applyFont="1" applyFill="1" applyBorder="1" applyAlignment="1">
      <alignment vertical="center"/>
    </xf>
    <xf numFmtId="0" fontId="1" fillId="3" borderId="7" xfId="0" applyFont="1" applyFill="1" applyBorder="1" applyAlignment="1">
      <alignment vertical="center" wrapText="1"/>
    </xf>
    <xf numFmtId="176" fontId="2" fillId="3" borderId="1" xfId="1" applyFont="1" applyFill="1" applyBorder="1" applyAlignment="1">
      <alignment vertical="center"/>
    </xf>
    <xf numFmtId="0" fontId="1" fillId="4" borderId="7" xfId="0" applyFont="1" applyFill="1" applyBorder="1" applyAlignment="1">
      <alignment vertical="center" wrapText="1"/>
    </xf>
    <xf numFmtId="176" fontId="2" fillId="4" borderId="1" xfId="1" applyFont="1" applyFill="1" applyBorder="1" applyAlignment="1">
      <alignment vertical="center"/>
    </xf>
    <xf numFmtId="0" fontId="1" fillId="4" borderId="9" xfId="0" applyFont="1" applyFill="1" applyBorder="1" applyAlignment="1">
      <alignment vertical="center" wrapText="1"/>
    </xf>
    <xf numFmtId="176" fontId="2" fillId="4" borderId="12" xfId="1" applyFont="1" applyFill="1" applyBorder="1" applyAlignment="1">
      <alignment vertical="center"/>
    </xf>
    <xf numFmtId="176" fontId="1" fillId="3" borderId="1" xfId="1" applyFont="1" applyFill="1" applyBorder="1" applyAlignment="1">
      <alignment vertical="center"/>
    </xf>
    <xf numFmtId="0" fontId="1" fillId="5" borderId="7" xfId="0" applyFont="1" applyFill="1" applyBorder="1" applyAlignment="1">
      <alignment vertical="center" wrapText="1"/>
    </xf>
    <xf numFmtId="176" fontId="2" fillId="5" borderId="1" xfId="1" applyFont="1" applyFill="1" applyBorder="1" applyAlignment="1">
      <alignment vertical="center"/>
    </xf>
    <xf numFmtId="0" fontId="1" fillId="5" borderId="9" xfId="0" applyFont="1" applyFill="1" applyBorder="1" applyAlignment="1">
      <alignment vertical="center" wrapText="1"/>
    </xf>
    <xf numFmtId="176" fontId="2" fillId="5" borderId="12" xfId="1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176" fontId="1" fillId="2" borderId="5" xfId="1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176" fontId="1" fillId="2" borderId="12" xfId="1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6" fillId="6" borderId="1" xfId="5" applyFont="1" applyFill="1" applyBorder="1" applyAlignment="1">
      <alignment horizontal="center" vertical="center" wrapText="1"/>
    </xf>
    <xf numFmtId="176" fontId="7" fillId="0" borderId="1" xfId="1" applyFont="1" applyBorder="1" applyAlignment="1">
      <alignment horizontal="right" vertical="center"/>
    </xf>
    <xf numFmtId="9" fontId="7" fillId="0" borderId="1" xfId="2" applyFont="1" applyBorder="1" applyAlignment="1">
      <alignment vertical="center"/>
    </xf>
    <xf numFmtId="176" fontId="7" fillId="0" borderId="1" xfId="1" applyFont="1" applyBorder="1" applyAlignment="1">
      <alignment vertical="center"/>
    </xf>
    <xf numFmtId="38" fontId="7" fillId="0" borderId="0" xfId="5" applyNumberFormat="1" applyFont="1" applyAlignment="1">
      <alignment vertical="center"/>
    </xf>
    <xf numFmtId="0" fontId="1" fillId="0" borderId="0" xfId="0" applyFont="1"/>
    <xf numFmtId="9" fontId="7" fillId="0" borderId="1" xfId="5" applyNumberFormat="1" applyFont="1" applyBorder="1" applyAlignment="1">
      <alignment vertical="center"/>
    </xf>
    <xf numFmtId="38" fontId="7" fillId="0" borderId="1" xfId="5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quotePrefix="1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78" fontId="6" fillId="6" borderId="13" xfId="5" applyNumberFormat="1" applyFont="1" applyFill="1" applyBorder="1" applyAlignment="1">
      <alignment horizontal="center" vertical="center" wrapText="1"/>
    </xf>
    <xf numFmtId="178" fontId="6" fillId="6" borderId="14" xfId="5" applyNumberFormat="1" applyFont="1" applyFill="1" applyBorder="1" applyAlignment="1">
      <alignment horizontal="center" vertical="center" wrapText="1"/>
    </xf>
  </cellXfs>
  <cellStyles count="8">
    <cellStyle name="Normal" xfId="3" xr:uid="{00000000-0005-0000-0000-000031000000}"/>
    <cellStyle name="Normal 2" xfId="4" xr:uid="{00000000-0005-0000-0000-000032000000}"/>
    <cellStyle name="Normal 2 3" xfId="5" xr:uid="{00000000-0005-0000-0000-000033000000}"/>
    <cellStyle name="Normal 2 6" xfId="6" xr:uid="{00000000-0005-0000-0000-000034000000}"/>
    <cellStyle name="Normal_SHEET" xfId="7" xr:uid="{00000000-0005-0000-0000-000035000000}"/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22C50C"/>
      <color rgb="FF00A9DB"/>
      <color rgb="FF00E47C"/>
      <color rgb="FFFFE667"/>
      <color rgb="FFFFF7AA"/>
      <color rgb="FFFBF7AA"/>
      <color rgb="FFFFF9AA"/>
      <color rgb="FFFBF9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B2:F33"/>
  <sheetViews>
    <sheetView workbookViewId="0">
      <selection activeCell="C13" sqref="C13"/>
    </sheetView>
  </sheetViews>
  <sheetFormatPr defaultColWidth="8.875" defaultRowHeight="15" x14ac:dyDescent="0.25"/>
  <cols>
    <col min="1" max="1" width="6.625" style="46" customWidth="1"/>
    <col min="2" max="2" width="16.625" style="46" customWidth="1"/>
    <col min="3" max="3" width="17.625" style="46" customWidth="1"/>
    <col min="4" max="4" width="9.125" style="46" customWidth="1"/>
    <col min="5" max="5" width="16.375" style="46" customWidth="1"/>
    <col min="6" max="7" width="8.875" style="46"/>
    <col min="8" max="8" width="27.125" style="46" customWidth="1"/>
    <col min="9" max="9" width="14.125" style="46" customWidth="1"/>
    <col min="10" max="10" width="11.75" style="46" customWidth="1"/>
    <col min="11" max="11" width="25.875" style="46" customWidth="1"/>
    <col min="12" max="16384" width="8.875" style="46"/>
  </cols>
  <sheetData>
    <row r="2" spans="2:6" s="3" customFormat="1" ht="18" customHeight="1" x14ac:dyDescent="0.25">
      <c r="B2" s="59" t="s">
        <v>0</v>
      </c>
      <c r="C2" s="59"/>
      <c r="D2" s="59"/>
      <c r="E2" s="59"/>
    </row>
    <row r="3" spans="2:6" ht="25.5" x14ac:dyDescent="0.25">
      <c r="B3" s="60" t="s">
        <v>1</v>
      </c>
      <c r="C3" s="61"/>
      <c r="D3" s="47" t="s">
        <v>2</v>
      </c>
      <c r="E3" s="47" t="s">
        <v>3</v>
      </c>
    </row>
    <row r="4" spans="2:6" ht="17.45" customHeight="1" x14ac:dyDescent="0.25">
      <c r="B4" s="48">
        <v>0</v>
      </c>
      <c r="C4" s="48">
        <v>36000</v>
      </c>
      <c r="D4" s="49">
        <v>0.03</v>
      </c>
      <c r="E4" s="50">
        <v>0</v>
      </c>
    </row>
    <row r="5" spans="2:6" ht="17.45" customHeight="1" x14ac:dyDescent="0.25">
      <c r="B5" s="48">
        <v>36000.01</v>
      </c>
      <c r="C5" s="48">
        <v>144000</v>
      </c>
      <c r="D5" s="49">
        <v>0.1</v>
      </c>
      <c r="E5" s="50">
        <v>2520</v>
      </c>
    </row>
    <row r="6" spans="2:6" ht="17.45" customHeight="1" x14ac:dyDescent="0.25">
      <c r="B6" s="48">
        <v>144000.01</v>
      </c>
      <c r="C6" s="48">
        <v>300000</v>
      </c>
      <c r="D6" s="49">
        <v>0.2</v>
      </c>
      <c r="E6" s="50">
        <v>16920</v>
      </c>
    </row>
    <row r="7" spans="2:6" ht="17.45" customHeight="1" x14ac:dyDescent="0.25">
      <c r="B7" s="48">
        <v>300000.01</v>
      </c>
      <c r="C7" s="48">
        <v>420000</v>
      </c>
      <c r="D7" s="49">
        <v>0.25</v>
      </c>
      <c r="E7" s="50">
        <v>31920</v>
      </c>
      <c r="F7" s="51"/>
    </row>
    <row r="8" spans="2:6" ht="17.45" customHeight="1" x14ac:dyDescent="0.25">
      <c r="B8" s="48">
        <v>420000.01</v>
      </c>
      <c r="C8" s="48">
        <v>660000</v>
      </c>
      <c r="D8" s="49">
        <v>0.3</v>
      </c>
      <c r="E8" s="50">
        <v>52920</v>
      </c>
      <c r="F8" s="51"/>
    </row>
    <row r="9" spans="2:6" ht="17.45" customHeight="1" x14ac:dyDescent="0.25">
      <c r="B9" s="48">
        <v>660000.01</v>
      </c>
      <c r="C9" s="48">
        <v>960000</v>
      </c>
      <c r="D9" s="49">
        <v>0.35</v>
      </c>
      <c r="E9" s="50">
        <v>85920</v>
      </c>
      <c r="F9" s="51"/>
    </row>
    <row r="10" spans="2:6" ht="17.45" customHeight="1" x14ac:dyDescent="0.25">
      <c r="B10" s="48">
        <v>960000.01</v>
      </c>
      <c r="C10" s="48">
        <v>1200000000</v>
      </c>
      <c r="D10" s="49">
        <v>0.45</v>
      </c>
      <c r="E10" s="50">
        <v>181920</v>
      </c>
      <c r="F10" s="51"/>
    </row>
    <row r="11" spans="2:6" x14ac:dyDescent="0.25">
      <c r="B11" s="52" t="s">
        <v>4</v>
      </c>
    </row>
    <row r="12" spans="2:6" x14ac:dyDescent="0.25">
      <c r="B12" s="56" t="s">
        <v>5</v>
      </c>
    </row>
    <row r="13" spans="2:6" x14ac:dyDescent="0.25">
      <c r="B13" s="56" t="s">
        <v>6</v>
      </c>
    </row>
    <row r="16" spans="2:6" s="3" customFormat="1" ht="18.600000000000001" customHeight="1" x14ac:dyDescent="0.25">
      <c r="B16" s="59" t="s">
        <v>7</v>
      </c>
      <c r="C16" s="59"/>
      <c r="D16" s="59"/>
      <c r="E16" s="59"/>
    </row>
    <row r="17" spans="2:5" s="45" customFormat="1" ht="31.7" customHeight="1" x14ac:dyDescent="0.2">
      <c r="B17" s="60" t="s">
        <v>1</v>
      </c>
      <c r="C17" s="61"/>
      <c r="D17" s="47" t="s">
        <v>2</v>
      </c>
      <c r="E17" s="47" t="s">
        <v>3</v>
      </c>
    </row>
    <row r="18" spans="2:5" ht="18" customHeight="1" x14ac:dyDescent="0.25">
      <c r="B18" s="48">
        <v>0</v>
      </c>
      <c r="C18" s="48">
        <v>3000</v>
      </c>
      <c r="D18" s="53">
        <v>0.03</v>
      </c>
      <c r="E18" s="54">
        <v>0</v>
      </c>
    </row>
    <row r="19" spans="2:5" ht="18" customHeight="1" x14ac:dyDescent="0.25">
      <c r="B19" s="48">
        <v>3000.01</v>
      </c>
      <c r="C19" s="48">
        <v>12000</v>
      </c>
      <c r="D19" s="53">
        <v>0.1</v>
      </c>
      <c r="E19" s="54">
        <v>210</v>
      </c>
    </row>
    <row r="20" spans="2:5" ht="18" customHeight="1" x14ac:dyDescent="0.25">
      <c r="B20" s="48">
        <v>12000.01</v>
      </c>
      <c r="C20" s="48">
        <v>25000</v>
      </c>
      <c r="D20" s="53">
        <v>0.2</v>
      </c>
      <c r="E20" s="54">
        <v>1410</v>
      </c>
    </row>
    <row r="21" spans="2:5" ht="18" customHeight="1" x14ac:dyDescent="0.25">
      <c r="B21" s="48">
        <v>25000.01</v>
      </c>
      <c r="C21" s="48">
        <v>35000</v>
      </c>
      <c r="D21" s="53">
        <v>0.25</v>
      </c>
      <c r="E21" s="54">
        <v>2660</v>
      </c>
    </row>
    <row r="22" spans="2:5" ht="18" customHeight="1" x14ac:dyDescent="0.25">
      <c r="B22" s="48">
        <v>35000.01</v>
      </c>
      <c r="C22" s="48">
        <v>55000</v>
      </c>
      <c r="D22" s="53">
        <v>0.3</v>
      </c>
      <c r="E22" s="54">
        <v>4410</v>
      </c>
    </row>
    <row r="23" spans="2:5" ht="18" customHeight="1" x14ac:dyDescent="0.25">
      <c r="B23" s="48">
        <v>55000.01</v>
      </c>
      <c r="C23" s="48">
        <v>80000</v>
      </c>
      <c r="D23" s="53">
        <v>0.35</v>
      </c>
      <c r="E23" s="54">
        <v>7160</v>
      </c>
    </row>
    <row r="24" spans="2:5" ht="18" customHeight="1" x14ac:dyDescent="0.25">
      <c r="B24" s="48">
        <v>80000.009999999995</v>
      </c>
      <c r="C24" s="48">
        <v>100000000</v>
      </c>
      <c r="D24" s="53">
        <v>0.45</v>
      </c>
      <c r="E24" s="54">
        <v>15160</v>
      </c>
    </row>
    <row r="25" spans="2:5" x14ac:dyDescent="0.25">
      <c r="B25" s="52" t="s">
        <v>8</v>
      </c>
    </row>
    <row r="26" spans="2:5" x14ac:dyDescent="0.25">
      <c r="B26" s="56" t="s">
        <v>9</v>
      </c>
    </row>
    <row r="27" spans="2:5" x14ac:dyDescent="0.25">
      <c r="B27" s="56" t="s">
        <v>6</v>
      </c>
    </row>
    <row r="30" spans="2:5" x14ac:dyDescent="0.25">
      <c r="B30" s="46" t="s">
        <v>10</v>
      </c>
    </row>
    <row r="31" spans="2:5" x14ac:dyDescent="0.25">
      <c r="B31" s="55" t="s">
        <v>11</v>
      </c>
    </row>
    <row r="32" spans="2:5" x14ac:dyDescent="0.25">
      <c r="B32" s="55" t="s">
        <v>12</v>
      </c>
    </row>
    <row r="33" spans="2:2" x14ac:dyDescent="0.25">
      <c r="B33" s="55" t="s">
        <v>13</v>
      </c>
    </row>
  </sheetData>
  <mergeCells count="4">
    <mergeCell ref="B2:E2"/>
    <mergeCell ref="B3:C3"/>
    <mergeCell ref="B16:E16"/>
    <mergeCell ref="B17:C17"/>
  </mergeCells>
  <phoneticPr fontId="1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0.39988402966399123"/>
    <pageSetUpPr fitToPage="1"/>
  </sheetPr>
  <dimension ref="A1:O73"/>
  <sheetViews>
    <sheetView showGridLines="0" tabSelected="1" zoomScale="80" zoomScaleNormal="80" zoomScaleSheetLayoutView="55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defaultColWidth="8.875" defaultRowHeight="15" outlineLevelRow="1" outlineLevelCol="1" x14ac:dyDescent="0.2"/>
  <cols>
    <col min="1" max="1" width="8.375" style="3" customWidth="1"/>
    <col min="2" max="2" width="33.625" style="3" customWidth="1"/>
    <col min="3" max="4" width="18.625" style="3" customWidth="1"/>
    <col min="5" max="14" width="18.625" style="3" hidden="1" customWidth="1" outlineLevel="1"/>
    <col min="15" max="15" width="8.375" style="3" customWidth="1" collapsed="1"/>
    <col min="16" max="16384" width="8.875" style="3"/>
  </cols>
  <sheetData>
    <row r="1" spans="1:15" ht="31.7" customHeight="1" x14ac:dyDescent="0.2">
      <c r="B1" s="57" t="s">
        <v>14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5" ht="18" customHeight="1" x14ac:dyDescent="0.2">
      <c r="A2" s="5"/>
      <c r="B2" s="6" t="s">
        <v>15</v>
      </c>
      <c r="C2" s="7" t="s">
        <v>80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8" customHeight="1" x14ac:dyDescent="0.2">
      <c r="A3" s="5"/>
      <c r="B3" s="6" t="s">
        <v>16</v>
      </c>
      <c r="C3" s="7" t="s">
        <v>81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18" customHeight="1" x14ac:dyDescent="0.2">
      <c r="A4" s="5"/>
      <c r="B4" s="6" t="s">
        <v>17</v>
      </c>
      <c r="C4" s="7" t="s">
        <v>18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5" ht="18" customHeight="1" x14ac:dyDescent="0.2">
      <c r="A5" s="5"/>
      <c r="B5" s="6" t="s">
        <v>19</v>
      </c>
      <c r="C5" s="7" t="s">
        <v>20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5" ht="18" customHeight="1" x14ac:dyDescent="0.2">
      <c r="A6" s="5"/>
      <c r="B6" s="6" t="s">
        <v>21</v>
      </c>
      <c r="C6" s="7">
        <v>683277300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5" ht="18" customHeight="1" thickBot="1" x14ac:dyDescent="0.25"/>
    <row r="8" spans="1:15" ht="20.45" customHeight="1" thickBot="1" x14ac:dyDescent="0.25">
      <c r="B8" s="8" t="s">
        <v>22</v>
      </c>
      <c r="C8" s="9" t="s">
        <v>83</v>
      </c>
      <c r="E8" s="9">
        <v>46082</v>
      </c>
      <c r="F8" s="9">
        <v>46113</v>
      </c>
      <c r="G8" s="9">
        <v>46143</v>
      </c>
      <c r="H8" s="9">
        <v>46174</v>
      </c>
      <c r="I8" s="9">
        <v>46204</v>
      </c>
      <c r="J8" s="9">
        <v>46235</v>
      </c>
      <c r="K8" s="9">
        <v>46266</v>
      </c>
      <c r="L8" s="9">
        <v>46296</v>
      </c>
      <c r="M8" s="9">
        <v>46327</v>
      </c>
      <c r="N8" s="9">
        <v>46357</v>
      </c>
    </row>
    <row r="9" spans="1:15" ht="20.45" hidden="1" customHeight="1" x14ac:dyDescent="0.2">
      <c r="A9" s="10"/>
      <c r="B9" s="1" t="s">
        <v>23</v>
      </c>
      <c r="C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20.45" customHeight="1" x14ac:dyDescent="0.2">
      <c r="B10" s="11" t="s">
        <v>24</v>
      </c>
      <c r="C10" s="12" t="s">
        <v>82</v>
      </c>
      <c r="E10" s="12"/>
      <c r="F10" s="12"/>
      <c r="G10" s="12"/>
      <c r="H10" s="12"/>
      <c r="I10" s="12"/>
      <c r="J10" s="12"/>
      <c r="K10" s="13"/>
      <c r="L10" s="13"/>
      <c r="M10" s="13"/>
      <c r="N10" s="14"/>
    </row>
    <row r="11" spans="1:15" ht="20.45" hidden="1" customHeight="1" outlineLevel="1" x14ac:dyDescent="0.2">
      <c r="B11" s="15" t="s">
        <v>25</v>
      </c>
      <c r="C11" s="16"/>
      <c r="E11" s="16"/>
      <c r="F11" s="16"/>
      <c r="G11" s="16"/>
      <c r="H11" s="16"/>
      <c r="I11" s="16"/>
      <c r="J11" s="16"/>
      <c r="K11" s="17"/>
      <c r="L11" s="17"/>
      <c r="M11" s="17"/>
      <c r="N11" s="18"/>
    </row>
    <row r="12" spans="1:15" ht="20.45" hidden="1" customHeight="1" outlineLevel="1" x14ac:dyDescent="0.2">
      <c r="B12" s="15" t="s">
        <v>26</v>
      </c>
      <c r="C12" s="16"/>
      <c r="E12" s="16"/>
      <c r="F12" s="16"/>
      <c r="G12" s="16"/>
      <c r="H12" s="16"/>
      <c r="I12" s="16"/>
      <c r="J12" s="16"/>
      <c r="K12" s="17"/>
      <c r="L12" s="17"/>
      <c r="M12" s="17"/>
      <c r="N12" s="18"/>
    </row>
    <row r="13" spans="1:15" ht="20.45" hidden="1" customHeight="1" outlineLevel="1" x14ac:dyDescent="0.2">
      <c r="B13" s="15" t="s">
        <v>27</v>
      </c>
      <c r="C13" s="16"/>
      <c r="E13" s="16"/>
      <c r="F13" s="16"/>
      <c r="G13" s="16"/>
      <c r="H13" s="16"/>
      <c r="I13" s="16"/>
      <c r="J13" s="16"/>
      <c r="K13" s="17"/>
      <c r="L13" s="17"/>
      <c r="M13" s="17"/>
      <c r="N13" s="18"/>
    </row>
    <row r="14" spans="1:15" ht="20.45" hidden="1" customHeight="1" outlineLevel="1" x14ac:dyDescent="0.2">
      <c r="B14" s="15" t="s">
        <v>28</v>
      </c>
      <c r="C14" s="16"/>
      <c r="E14" s="16"/>
      <c r="F14" s="16"/>
      <c r="G14" s="16"/>
      <c r="H14" s="16"/>
      <c r="I14" s="16"/>
      <c r="J14" s="16"/>
      <c r="K14" s="17"/>
      <c r="L14" s="17"/>
      <c r="M14" s="17"/>
      <c r="N14" s="18"/>
    </row>
    <row r="15" spans="1:15" ht="20.45" hidden="1" customHeight="1" outlineLevel="1" x14ac:dyDescent="0.2">
      <c r="B15" s="15" t="s">
        <v>29</v>
      </c>
      <c r="C15" s="16">
        <v>0</v>
      </c>
      <c r="E15" s="16"/>
      <c r="F15" s="16"/>
      <c r="G15" s="16"/>
      <c r="H15" s="16"/>
      <c r="I15" s="16"/>
      <c r="J15" s="16"/>
      <c r="K15" s="17"/>
      <c r="L15" s="17"/>
      <c r="M15" s="17"/>
      <c r="N15" s="18"/>
    </row>
    <row r="16" spans="1:15" ht="20.45" customHeight="1" collapsed="1" x14ac:dyDescent="0.2">
      <c r="B16" s="15" t="s">
        <v>30</v>
      </c>
      <c r="C16" s="16">
        <v>506</v>
      </c>
      <c r="E16" s="16"/>
      <c r="F16" s="16"/>
      <c r="G16" s="16"/>
      <c r="H16" s="16"/>
      <c r="I16" s="16"/>
      <c r="J16" s="16"/>
      <c r="K16" s="17"/>
      <c r="L16" s="17"/>
      <c r="M16" s="17"/>
      <c r="N16" s="18"/>
    </row>
    <row r="17" spans="2:14" ht="20.45" customHeight="1" x14ac:dyDescent="0.2">
      <c r="B17" s="15" t="s">
        <v>31</v>
      </c>
      <c r="C17" s="16">
        <v>726</v>
      </c>
      <c r="E17" s="16"/>
      <c r="F17" s="16"/>
      <c r="G17" s="16"/>
      <c r="H17" s="16"/>
      <c r="I17" s="16"/>
      <c r="J17" s="16"/>
      <c r="K17" s="17"/>
      <c r="L17" s="17"/>
      <c r="M17" s="17"/>
      <c r="N17" s="18"/>
    </row>
    <row r="18" spans="2:14" ht="20.45" hidden="1" customHeight="1" outlineLevel="1" x14ac:dyDescent="0.2">
      <c r="B18" s="15" t="s">
        <v>32</v>
      </c>
      <c r="C18" s="16">
        <v>0</v>
      </c>
      <c r="E18" s="16"/>
      <c r="F18" s="16"/>
      <c r="G18" s="16"/>
      <c r="H18" s="16"/>
      <c r="I18" s="16"/>
      <c r="J18" s="16"/>
      <c r="K18" s="17"/>
      <c r="L18" s="17"/>
      <c r="M18" s="17"/>
      <c r="N18" s="18"/>
    </row>
    <row r="19" spans="2:14" ht="20.45" hidden="1" customHeight="1" outlineLevel="1" x14ac:dyDescent="0.2">
      <c r="B19" s="15" t="s">
        <v>33</v>
      </c>
      <c r="C19" s="16">
        <v>0</v>
      </c>
      <c r="E19" s="16"/>
      <c r="F19" s="16"/>
      <c r="G19" s="16"/>
      <c r="H19" s="16"/>
      <c r="I19" s="16"/>
      <c r="J19" s="16"/>
      <c r="K19" s="17"/>
      <c r="L19" s="17"/>
      <c r="M19" s="17"/>
      <c r="N19" s="18"/>
    </row>
    <row r="20" spans="2:14" ht="20.45" hidden="1" customHeight="1" outlineLevel="1" x14ac:dyDescent="0.2">
      <c r="B20" s="15" t="s">
        <v>34</v>
      </c>
      <c r="C20" s="16">
        <v>0</v>
      </c>
      <c r="E20" s="16"/>
      <c r="F20" s="16"/>
      <c r="G20" s="16"/>
      <c r="H20" s="16"/>
      <c r="I20" s="16"/>
      <c r="J20" s="16"/>
      <c r="K20" s="17"/>
      <c r="L20" s="17"/>
      <c r="M20" s="17"/>
      <c r="N20" s="18"/>
    </row>
    <row r="21" spans="2:14" ht="20.45" hidden="1" customHeight="1" outlineLevel="1" x14ac:dyDescent="0.2">
      <c r="B21" s="15" t="s">
        <v>35</v>
      </c>
      <c r="C21" s="16">
        <v>0</v>
      </c>
      <c r="E21" s="16"/>
      <c r="F21" s="16"/>
      <c r="G21" s="16"/>
      <c r="H21" s="16"/>
      <c r="I21" s="16"/>
      <c r="J21" s="16"/>
      <c r="K21" s="17"/>
      <c r="L21" s="17"/>
      <c r="M21" s="17"/>
      <c r="N21" s="18"/>
    </row>
    <row r="22" spans="2:14" ht="20.45" hidden="1" customHeight="1" outlineLevel="1" x14ac:dyDescent="0.2">
      <c r="B22" s="15" t="s">
        <v>36</v>
      </c>
      <c r="C22" s="16">
        <v>0</v>
      </c>
      <c r="E22" s="16"/>
      <c r="F22" s="16"/>
      <c r="G22" s="16"/>
      <c r="H22" s="16"/>
      <c r="I22" s="16"/>
      <c r="J22" s="16"/>
      <c r="K22" s="17"/>
      <c r="L22" s="17"/>
      <c r="M22" s="17"/>
      <c r="N22" s="18"/>
    </row>
    <row r="23" spans="2:14" ht="20.45" hidden="1" customHeight="1" outlineLevel="1" x14ac:dyDescent="0.2">
      <c r="B23" s="15" t="s">
        <v>37</v>
      </c>
      <c r="C23" s="16">
        <v>0</v>
      </c>
      <c r="E23" s="16"/>
      <c r="F23" s="16"/>
      <c r="G23" s="16"/>
      <c r="H23" s="16"/>
      <c r="I23" s="16"/>
      <c r="J23" s="16"/>
      <c r="K23" s="17"/>
      <c r="L23" s="17"/>
      <c r="M23" s="17"/>
      <c r="N23" s="18"/>
    </row>
    <row r="24" spans="2:14" ht="20.45" hidden="1" customHeight="1" outlineLevel="1" x14ac:dyDescent="0.2">
      <c r="B24" s="15" t="s">
        <v>38</v>
      </c>
      <c r="C24" s="16">
        <v>0</v>
      </c>
      <c r="E24" s="16"/>
      <c r="F24" s="16"/>
      <c r="G24" s="16"/>
      <c r="H24" s="16"/>
      <c r="I24" s="16"/>
      <c r="J24" s="16"/>
      <c r="K24" s="17"/>
      <c r="L24" s="17"/>
      <c r="M24" s="17"/>
      <c r="N24" s="18"/>
    </row>
    <row r="25" spans="2:14" ht="20.45" hidden="1" customHeight="1" outlineLevel="1" x14ac:dyDescent="0.2">
      <c r="B25" s="15" t="s">
        <v>39</v>
      </c>
      <c r="C25" s="16">
        <v>0</v>
      </c>
      <c r="E25" s="16"/>
      <c r="F25" s="16"/>
      <c r="G25" s="16"/>
      <c r="H25" s="16"/>
      <c r="I25" s="16"/>
      <c r="J25" s="16"/>
      <c r="K25" s="17"/>
      <c r="L25" s="17"/>
      <c r="M25" s="17"/>
      <c r="N25" s="18"/>
    </row>
    <row r="26" spans="2:14" ht="20.45" hidden="1" customHeight="1" outlineLevel="1" x14ac:dyDescent="0.2">
      <c r="B26" s="15" t="s">
        <v>40</v>
      </c>
      <c r="C26" s="16">
        <v>0</v>
      </c>
      <c r="E26" s="16"/>
      <c r="F26" s="16"/>
      <c r="G26" s="16"/>
      <c r="H26" s="16"/>
      <c r="I26" s="16"/>
      <c r="J26" s="16"/>
      <c r="K26" s="17"/>
      <c r="L26" s="17"/>
      <c r="M26" s="17"/>
      <c r="N26" s="18"/>
    </row>
    <row r="27" spans="2:14" ht="20.45" hidden="1" customHeight="1" outlineLevel="1" x14ac:dyDescent="0.2">
      <c r="B27" s="15" t="s">
        <v>41</v>
      </c>
      <c r="C27" s="16">
        <v>0</v>
      </c>
      <c r="E27" s="16"/>
      <c r="F27" s="16"/>
      <c r="G27" s="16"/>
      <c r="H27" s="16"/>
      <c r="I27" s="16"/>
      <c r="J27" s="16"/>
      <c r="K27" s="17"/>
      <c r="L27" s="17"/>
      <c r="M27" s="17"/>
      <c r="N27" s="18"/>
    </row>
    <row r="28" spans="2:14" ht="20.45" hidden="1" customHeight="1" outlineLevel="1" x14ac:dyDescent="0.2">
      <c r="B28" s="15" t="s">
        <v>42</v>
      </c>
      <c r="C28" s="16">
        <v>0</v>
      </c>
      <c r="E28" s="16"/>
      <c r="F28" s="16"/>
      <c r="G28" s="16"/>
      <c r="H28" s="16"/>
      <c r="I28" s="16"/>
      <c r="J28" s="16"/>
      <c r="K28" s="17"/>
      <c r="L28" s="17"/>
      <c r="M28" s="17"/>
      <c r="N28" s="18"/>
    </row>
    <row r="29" spans="2:14" ht="20.45" hidden="1" customHeight="1" outlineLevel="1" x14ac:dyDescent="0.2">
      <c r="B29" s="15" t="s">
        <v>43</v>
      </c>
      <c r="C29" s="16">
        <v>0</v>
      </c>
      <c r="E29" s="16"/>
      <c r="F29" s="16"/>
      <c r="G29" s="16"/>
      <c r="H29" s="16"/>
      <c r="I29" s="16"/>
      <c r="J29" s="16"/>
      <c r="K29" s="17"/>
      <c r="L29" s="17"/>
      <c r="M29" s="17"/>
      <c r="N29" s="18"/>
    </row>
    <row r="30" spans="2:14" ht="20.45" hidden="1" customHeight="1" outlineLevel="1" x14ac:dyDescent="0.2">
      <c r="B30" s="15" t="s">
        <v>44</v>
      </c>
      <c r="C30" s="16">
        <v>0</v>
      </c>
      <c r="E30" s="16"/>
      <c r="F30" s="16"/>
      <c r="G30" s="16"/>
      <c r="H30" s="16"/>
      <c r="I30" s="16"/>
      <c r="J30" s="16"/>
      <c r="K30" s="17"/>
      <c r="L30" s="17"/>
      <c r="M30" s="17"/>
      <c r="N30" s="18"/>
    </row>
    <row r="31" spans="2:14" ht="20.45" hidden="1" customHeight="1" outlineLevel="1" x14ac:dyDescent="0.2">
      <c r="B31" s="15" t="s">
        <v>45</v>
      </c>
      <c r="C31" s="16">
        <v>0</v>
      </c>
      <c r="E31" s="16"/>
      <c r="F31" s="16"/>
      <c r="G31" s="16"/>
      <c r="H31" s="16"/>
      <c r="I31" s="16"/>
      <c r="J31" s="16"/>
      <c r="K31" s="17"/>
      <c r="L31" s="17"/>
      <c r="M31" s="17"/>
      <c r="N31" s="18"/>
    </row>
    <row r="32" spans="2:14" ht="20.45" hidden="1" customHeight="1" outlineLevel="1" x14ac:dyDescent="0.2">
      <c r="B32" s="15" t="s">
        <v>46</v>
      </c>
      <c r="C32" s="16">
        <v>0</v>
      </c>
      <c r="E32" s="16"/>
      <c r="F32" s="16"/>
      <c r="G32" s="16"/>
      <c r="H32" s="16"/>
      <c r="I32" s="16"/>
      <c r="J32" s="16"/>
      <c r="K32" s="17"/>
      <c r="L32" s="17"/>
      <c r="M32" s="17"/>
      <c r="N32" s="18"/>
    </row>
    <row r="33" spans="1:14" ht="20.45" hidden="1" customHeight="1" outlineLevel="1" x14ac:dyDescent="0.2">
      <c r="B33" s="15" t="s">
        <v>47</v>
      </c>
      <c r="C33" s="16">
        <v>0</v>
      </c>
      <c r="E33" s="16"/>
      <c r="F33" s="16"/>
      <c r="G33" s="16"/>
      <c r="H33" s="16"/>
      <c r="I33" s="16"/>
      <c r="J33" s="16"/>
      <c r="K33" s="17"/>
      <c r="L33" s="17"/>
      <c r="M33" s="17"/>
      <c r="N33" s="18"/>
    </row>
    <row r="34" spans="1:14" ht="20.45" hidden="1" customHeight="1" outlineLevel="1" x14ac:dyDescent="0.2">
      <c r="B34" s="15" t="s">
        <v>48</v>
      </c>
      <c r="C34" s="16">
        <v>0</v>
      </c>
      <c r="E34" s="16"/>
      <c r="F34" s="16"/>
      <c r="G34" s="16"/>
      <c r="H34" s="16"/>
      <c r="I34" s="16"/>
      <c r="J34" s="16"/>
      <c r="K34" s="17"/>
      <c r="L34" s="17"/>
      <c r="M34" s="17"/>
      <c r="N34" s="18"/>
    </row>
    <row r="35" spans="1:14" ht="20.45" hidden="1" customHeight="1" outlineLevel="1" x14ac:dyDescent="0.2">
      <c r="B35" s="15" t="s">
        <v>49</v>
      </c>
      <c r="C35" s="16">
        <v>0</v>
      </c>
      <c r="E35" s="16"/>
      <c r="F35" s="16"/>
      <c r="G35" s="16"/>
      <c r="H35" s="16"/>
      <c r="I35" s="16"/>
      <c r="J35" s="16"/>
      <c r="K35" s="17"/>
      <c r="L35" s="17"/>
      <c r="M35" s="17"/>
      <c r="N35" s="18"/>
    </row>
    <row r="36" spans="1:14" s="1" customFormat="1" ht="20.45" customHeight="1" collapsed="1" x14ac:dyDescent="0.2">
      <c r="B36" s="19" t="s">
        <v>50</v>
      </c>
      <c r="C36" s="20">
        <f t="shared" ref="C36:N36" si="0">SUM(C10:C35)</f>
        <v>1232</v>
      </c>
      <c r="D36" s="3"/>
      <c r="E36" s="20">
        <f t="shared" si="0"/>
        <v>0</v>
      </c>
      <c r="F36" s="20">
        <f t="shared" si="0"/>
        <v>0</v>
      </c>
      <c r="G36" s="20">
        <f t="shared" si="0"/>
        <v>0</v>
      </c>
      <c r="H36" s="21">
        <f t="shared" si="0"/>
        <v>0</v>
      </c>
      <c r="I36" s="21">
        <f t="shared" si="0"/>
        <v>0</v>
      </c>
      <c r="J36" s="21">
        <f t="shared" si="0"/>
        <v>0</v>
      </c>
      <c r="K36" s="21">
        <f t="shared" si="0"/>
        <v>0</v>
      </c>
      <c r="L36" s="21">
        <f t="shared" si="0"/>
        <v>0</v>
      </c>
      <c r="M36" s="21">
        <f t="shared" si="0"/>
        <v>0</v>
      </c>
      <c r="N36" s="21">
        <f t="shared" si="0"/>
        <v>0</v>
      </c>
    </row>
    <row r="37" spans="1:14" ht="20.45" customHeight="1" x14ac:dyDescent="0.2">
      <c r="B37" s="15" t="s">
        <v>51</v>
      </c>
      <c r="C37" s="16">
        <v>0</v>
      </c>
      <c r="E37" s="16">
        <v>0</v>
      </c>
      <c r="F37" s="16">
        <v>0</v>
      </c>
      <c r="G37" s="16">
        <v>0</v>
      </c>
      <c r="H37" s="16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8">
        <v>0</v>
      </c>
    </row>
    <row r="38" spans="1:14" ht="20.45" customHeight="1" x14ac:dyDescent="0.2">
      <c r="B38" s="15" t="s">
        <v>52</v>
      </c>
      <c r="C38" s="16">
        <v>0</v>
      </c>
      <c r="E38" s="16">
        <v>0</v>
      </c>
      <c r="F38" s="16">
        <v>0</v>
      </c>
      <c r="G38" s="16">
        <v>0</v>
      </c>
      <c r="H38" s="16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8">
        <v>0</v>
      </c>
    </row>
    <row r="39" spans="1:14" ht="20.45" customHeight="1" x14ac:dyDescent="0.2">
      <c r="B39" s="15" t="s">
        <v>53</v>
      </c>
      <c r="C39" s="16" t="e">
        <f>C36-C37-C38-5000*MONTH(C8)</f>
        <v>#VALUE!</v>
      </c>
      <c r="E39" s="16">
        <f>SUM($C$36:E36,$C$55:D$56,SUM($C$61:D63))-SUM($C$37:E37)-E38-5000*MONTH(E8)</f>
        <v>-13768</v>
      </c>
      <c r="F39" s="16">
        <f>SUM($C$36:F36,$C$55:E$56,SUM($C$61:E63))-SUM($C$37:F37)-F38-5000*MONTH(F8)</f>
        <v>-18768</v>
      </c>
      <c r="G39" s="16">
        <f>SUM($C$36:G36,$C$55:F$56,SUM($C$61:F63))-SUM($C$37:G37)-G38-5000*MONTH(G8)</f>
        <v>-23768</v>
      </c>
      <c r="H39" s="16">
        <f>SUM($C$36:H36,$C$55:G$56,SUM($C$61:G63))-SUM($C$37:H37)-H38-5000*MONTH(H8)</f>
        <v>-28768</v>
      </c>
      <c r="I39" s="16">
        <f>SUM($C$36:I36,$C$55:H$56,SUM($C$61:H63),C43:H43)-SUM($C$37:I37)-I38-5000*MONTH(I8)</f>
        <v>-33759.120000000003</v>
      </c>
      <c r="J39" s="16">
        <f>SUM($C$36:J36,$C$55:I$56,SUM($C$61:I63),D43:I43)-SUM($C$37:J37)-J38-5000*MONTH(J8)</f>
        <v>-38759.120000000003</v>
      </c>
      <c r="K39" s="16">
        <f>SUM($C$36:K36,$C$55:J$56,SUM($C$61:J63),E43:J43)-SUM($C$37:K37)-K38-5000*MONTH(K8)</f>
        <v>-43759.12</v>
      </c>
      <c r="L39" s="16">
        <f>SUM($C$36:L36,$C$55:K$56,SUM($C$61:K63),F43:K43)-SUM($C$37:L37)-L38-5000*MONTH(L8)</f>
        <v>-48759.12</v>
      </c>
      <c r="M39" s="16">
        <f>SUM($C$36:M36,$C$55:L$56,SUM($C$61:L63),G43:L43)-SUM($C$37:M37)-M38-5000*MONTH(M8)</f>
        <v>-53759.12</v>
      </c>
      <c r="N39" s="16">
        <f>SUM($C$36:N36,$C$55:M$56,SUM($C$61:M63),H43:M43)-SUM($C$37:N37)-N38-5000*MONTH(N8)</f>
        <v>-58759.12</v>
      </c>
    </row>
    <row r="40" spans="1:14" ht="20.45" customHeight="1" x14ac:dyDescent="0.2">
      <c r="B40" s="15" t="s">
        <v>2</v>
      </c>
      <c r="C40" s="22" t="e">
        <f>LOOKUP(C39,'Tax rate table'!$B$4:$C$10,'Tax rate table'!$D$4:$D$10)</f>
        <v>#VALUE!</v>
      </c>
      <c r="E40" s="22" t="e">
        <f>LOOKUP(E39,'Tax rate table'!$B$4:$C$10,'Tax rate table'!$D$4:$D$10)</f>
        <v>#N/A</v>
      </c>
      <c r="F40" s="22" t="e">
        <f>LOOKUP(F39,'Tax rate table'!$B$4:$C$10,'Tax rate table'!$D$4:$D$10)</f>
        <v>#N/A</v>
      </c>
      <c r="G40" s="22" t="e">
        <f>LOOKUP(G39,'Tax rate table'!$B$4:$C$10,'Tax rate table'!$D$4:$D$10)</f>
        <v>#N/A</v>
      </c>
      <c r="H40" s="22" t="e">
        <f>LOOKUP(H39,'Tax rate table'!$B$4:$C$10,'Tax rate table'!$D$4:$D$10)</f>
        <v>#N/A</v>
      </c>
      <c r="I40" s="23" t="e">
        <f>LOOKUP(I39,'Tax rate table'!$B$4:$C$10,'Tax rate table'!$D$4:$D$10)</f>
        <v>#N/A</v>
      </c>
      <c r="J40" s="23" t="e">
        <f>LOOKUP(J39,'Tax rate table'!$B$4:$C$10,'Tax rate table'!$D$4:$D$10)</f>
        <v>#N/A</v>
      </c>
      <c r="K40" s="23" t="e">
        <f>LOOKUP(K39,'Tax rate table'!$B$4:$C$10,'Tax rate table'!$D$4:$D$10)</f>
        <v>#N/A</v>
      </c>
      <c r="L40" s="23" t="e">
        <f>LOOKUP(L39,'Tax rate table'!$B$4:$C$10,'Tax rate table'!$D$4:$D$10)</f>
        <v>#N/A</v>
      </c>
      <c r="M40" s="23" t="e">
        <f>LOOKUP(M39,'Tax rate table'!$B$4:$C$10,'Tax rate table'!$D$4:$D$10)</f>
        <v>#N/A</v>
      </c>
      <c r="N40" s="24" t="e">
        <f>LOOKUP(N39,'Tax rate table'!$B$4:$C$10,'Tax rate table'!$D$4:$D$10)</f>
        <v>#N/A</v>
      </c>
    </row>
    <row r="41" spans="1:14" ht="20.45" customHeight="1" x14ac:dyDescent="0.2">
      <c r="B41" s="15" t="s">
        <v>3</v>
      </c>
      <c r="C41" s="16" t="e">
        <f>LOOKUP(C39,'Tax rate table'!$B$4:$C$10,'Tax rate table'!$E$4:$E$10)</f>
        <v>#VALUE!</v>
      </c>
      <c r="E41" s="16" t="e">
        <f>LOOKUP(E39,'Tax rate table'!$B$4:$C$10,'Tax rate table'!$E$4:$E$10)</f>
        <v>#N/A</v>
      </c>
      <c r="F41" s="16" t="e">
        <f>LOOKUP(F39,'Tax rate table'!$B$4:$C$10,'Tax rate table'!$E$4:$E$10)</f>
        <v>#N/A</v>
      </c>
      <c r="G41" s="16" t="e">
        <f>LOOKUP(G39,'Tax rate table'!$B$4:$C$10,'Tax rate table'!$E$4:$E$10)</f>
        <v>#N/A</v>
      </c>
      <c r="H41" s="16" t="e">
        <f>LOOKUP(H39,'Tax rate table'!$B$4:$C$10,'Tax rate table'!$E$4:$E$10)</f>
        <v>#N/A</v>
      </c>
      <c r="I41" s="16" t="e">
        <f>LOOKUP(I39,'Tax rate table'!$B$4:$C$10,'Tax rate table'!$E$4:$E$10)</f>
        <v>#N/A</v>
      </c>
      <c r="J41" s="16" t="e">
        <f>LOOKUP(J39,'Tax rate table'!$B$4:$C$10,'Tax rate table'!$E$4:$E$10)</f>
        <v>#N/A</v>
      </c>
      <c r="K41" s="17" t="e">
        <f>LOOKUP(K39,'Tax rate table'!$B$4:$C$10,'Tax rate table'!$E$4:$E$10)</f>
        <v>#N/A</v>
      </c>
      <c r="L41" s="17" t="e">
        <f>LOOKUP(L39,'Tax rate table'!$B$4:$C$10,'Tax rate table'!$E$4:$E$10)</f>
        <v>#N/A</v>
      </c>
      <c r="M41" s="17" t="e">
        <f>LOOKUP(M39,'Tax rate table'!$B$4:$C$10,'Tax rate table'!$E$4:$E$10)</f>
        <v>#N/A</v>
      </c>
      <c r="N41" s="18" t="e">
        <f>LOOKUP(N39,'Tax rate table'!$B$4:$C$10,'Tax rate table'!$E$4:$E$10)</f>
        <v>#N/A</v>
      </c>
    </row>
    <row r="42" spans="1:14" ht="20.45" customHeight="1" x14ac:dyDescent="0.2">
      <c r="B42" s="15" t="s">
        <v>54</v>
      </c>
      <c r="C42" s="16" t="e">
        <f>ROUND(C39*C40-C41,2)</f>
        <v>#VALUE!</v>
      </c>
      <c r="E42" s="16" t="e">
        <f>ROUND(E39*E40-E41,2)-SUM($C$42:D42)-SUM(C57:D58)-SUM($C$64:D66)</f>
        <v>#N/A</v>
      </c>
      <c r="F42" s="16" t="e">
        <f>ROUND(F39*F40-F41,2)-SUM($C$42:E42)-SUM($C$64:E66)</f>
        <v>#N/A</v>
      </c>
      <c r="G42" s="16" t="e">
        <f>ROUND(G39*G40-G41,2)-SUM($C$42:F42)-SUM(C57:F58)-SUM($C$64:F66)</f>
        <v>#N/A</v>
      </c>
      <c r="H42" s="16" t="e">
        <f>ROUND(H39*H40-H41,2)-SUM($C$42:G42)-SUM(D57:G58)-SUM($C$64:G66)</f>
        <v>#N/A</v>
      </c>
      <c r="I42" s="16" t="e">
        <f>ROUND(I39*I40-I41,2)-SUM($C$42:H42)-SUM(C57:H58)-SUM($C$64:H66)-SUM(C44:H44)</f>
        <v>#N/A</v>
      </c>
      <c r="J42" s="16" t="e">
        <f>ROUND(J39*J40-J41,2)-SUM($C$42:I42)-SUM(D57:I58)-SUM($C$64:I66)-SUM(D44:I44)</f>
        <v>#N/A</v>
      </c>
      <c r="K42" s="16" t="e">
        <f>ROUND(K39*K40-K41,2)-SUM($C$42:J42)-SUM(E57:J58)-SUM($C$64:J66)-SUM(E44:J44)</f>
        <v>#N/A</v>
      </c>
      <c r="L42" s="16" t="e">
        <f>ROUND(L39*L40-L41,2)-SUM($C$42:K42)-SUM(F57:K58)-SUM($C$64:K66)-SUM(F44:K44)</f>
        <v>#N/A</v>
      </c>
      <c r="M42" s="16" t="e">
        <f>ROUND(M39*M40-M41,2)-SUM($C$42:L42)-SUM(G57:L58)-SUM($C$64:L66)-SUM(G44:L44)</f>
        <v>#N/A</v>
      </c>
      <c r="N42" s="16" t="e">
        <f>ROUND(N39*N40-N41,2)-SUM($C$42:M42)-SUM($C$57:M58)-SUM($C$64:M66)-SUM($C$44:M44)</f>
        <v>#N/A</v>
      </c>
    </row>
    <row r="43" spans="1:14" ht="23.1" hidden="1" customHeight="1" outlineLevel="1" x14ac:dyDescent="0.2">
      <c r="B43" s="15" t="s">
        <v>55</v>
      </c>
      <c r="C43" s="16">
        <v>0</v>
      </c>
      <c r="E43" s="16">
        <v>0</v>
      </c>
      <c r="F43" s="16">
        <v>0</v>
      </c>
      <c r="G43" s="16">
        <v>0</v>
      </c>
      <c r="H43" s="16">
        <v>8.8800000000000008</v>
      </c>
      <c r="I43" s="16">
        <v>0</v>
      </c>
      <c r="J43" s="17">
        <v>0</v>
      </c>
      <c r="K43" s="17">
        <v>0</v>
      </c>
      <c r="L43" s="17"/>
      <c r="M43" s="17"/>
      <c r="N43" s="18">
        <v>38</v>
      </c>
    </row>
    <row r="44" spans="1:14" ht="20.45" hidden="1" customHeight="1" outlineLevel="1" x14ac:dyDescent="0.2">
      <c r="B44" s="15" t="s">
        <v>56</v>
      </c>
      <c r="C44" s="16">
        <v>0</v>
      </c>
      <c r="E44" s="16">
        <v>0</v>
      </c>
      <c r="F44" s="16">
        <v>0</v>
      </c>
      <c r="G44" s="16">
        <v>0</v>
      </c>
      <c r="H44" s="16" t="e">
        <f>IF(H43=0,SUM($C$42:H42)+SUM(D57:G58)+SUM($C$64:G66),IF(H43+H39-36000&lt;=0,(H43+H39)*3%,(IF(H434+H39-144000&lt;=0,(H43+H39)*10%-2520,(IF(H434+H39-300000&lt;=0,(H43+H39)*20%-16920,(IF(H434+H39-420000&lt;=0,(H43+H39)*25%-31920,(IF(H434+H39-660000&lt;=0,(H43+H39)*30%-52920,(IF(H434+H39-960000&lt;=0,(H43+H39)*35%-85920,(IF(H434+H39-960000&lt;=0,(H43+H39)*35%-7160,(H43+H39)*45%-181920))))))))))))))-SUM($C$42:H42)-SUM(D57:G58)-SUM($C$64:G66)</f>
        <v>#VALUE!</v>
      </c>
      <c r="I44" s="16" t="e">
        <f>IF(I43=0,SUM($C$42:I42)+SUM(E57:H58)+SUM($C$64:H66),IF(I43+I39-36000&lt;=0,(I43+I39)*3%,(IF(I434+I39-144000&lt;=0,(I43+I39)*10%-2520,(IF(I434+I39-300000&lt;=0,(I43+I39)*20%-16920,(IF(I434+I39-420000&lt;=0,(I43+I39)*25%-31920,(IF(I434+I39-660000&lt;=0,(I43+I39)*30%-52920,(IF(I434+I39-960000&lt;=0,(I43+I39)*35%-85920,(IF(I434+I39-960000&lt;=0,(I43+I39)*35%-7160,(I43+I39)*45%-181920))))))))))))))-SUM($C$42:I42)-SUM(E57:H58)-SUM($C$64:H66)</f>
        <v>#VALUE!</v>
      </c>
      <c r="J44" s="16" t="e">
        <f>IF(J43=0,SUM($C$42:J42)+SUM(F57:I58)+SUM($C$64:I66),IF(J43+J39-36000&lt;=0,(J43+J39)*3%,(IF(J434+J39-144000&lt;=0,(J43+J39)*10%-2520,(IF(J434+J39-300000&lt;=0,(J43+J39)*20%-16920,(IF(J434+J39-420000&lt;=0,(J43+J39)*25%-31920,(IF(J434+J39-660000&lt;=0,(J43+J39)*30%-52920,(IF(J434+J39-960000&lt;=0,(J43+J39)*35%-85920,(IF(J434+J39-960000&lt;=0,(J43+J39)*35%-7160,(J43+J39)*45%-181920))))))))))))))-SUM($C$42:J42)-SUM(F57:I58)-SUM($C$64:I66)</f>
        <v>#VALUE!</v>
      </c>
      <c r="K44" s="16" t="e">
        <f>IF(K43=0,SUM($C$42:K42)+SUM(G57:J58)+SUM($C$64:J66),IF(K43+K39-36000&lt;=0,(K43+K39)*3%,(IF(K434+K39-144000&lt;=0,(K43+K39)*10%-2520,(IF(K434+K39-300000&lt;=0,(K43+K39)*20%-16920,(IF(K434+K39-420000&lt;=0,(K43+K39)*25%-31920,(IF(K434+K39-660000&lt;=0,(K43+K39)*30%-52920,(IF(K434+K39-960000&lt;=0,(K43+K39)*35%-85920,(IF(K434+K39-960000&lt;=0,(K43+K39)*35%-7160,(K43+K39)*45%-181920))))))))))))))-SUM($C$42:K42)-SUM(G57:J58)-SUM($C$64:J66)</f>
        <v>#VALUE!</v>
      </c>
      <c r="L44" s="16" t="e">
        <f>IF(L43=0,SUM($C$42:L42)+SUM(H57:K58)+SUM($C$64:K66),IF(L43+L39-36000&lt;=0,(L43+L39)*3%,(IF(L434+L39-144000&lt;=0,(L43+L39)*10%-2520,(IF(L434+L39-300000&lt;=0,(L43+L39)*20%-16920,(IF(L434+L39-420000&lt;=0,(L43+L39)*25%-31920,(IF(L434+L39-660000&lt;=0,(L43+L39)*30%-52920,(IF(L434+L39-960000&lt;=0,(L43+L39)*35%-85920,(IF(L434+L39-960000&lt;=0,(L43+L39)*35%-7160,(L43+L39)*45%-181920))))))))))))))-SUM($C$42:L42)-SUM(H57:K58)-SUM($C$64:K66)</f>
        <v>#VALUE!</v>
      </c>
      <c r="M44" s="16" t="e">
        <f>IF(M43=0,SUM($C$42:M42)+SUM(I57:L58)+SUM($C$64:L66),IF(M43+M39-36000&lt;=0,(M43+M39)*3%,(IF(M434+M39-144000&lt;=0,(M43+M39)*10%-2520,(IF(M434+M39-300000&lt;=0,(M43+M39)*20%-16920,(IF(M434+M39-420000&lt;=0,(M43+M39)*25%-31920,(IF(M434+M39-660000&lt;=0,(M43+M39)*30%-52920,(IF(M434+M39-960000&lt;=0,(M43+M39)*35%-85920,(IF(M434+M39-960000&lt;=0,(M43+M39)*35%-7160,(M43+M39)*45%-181920))))))))))))))-SUM($C$42:M42)-SUM(I57:L58)-SUM($C$64:L66)</f>
        <v>#VALUE!</v>
      </c>
      <c r="N44" s="18" t="e">
        <f>IF(N43=0,SUM($C$42:N42)+SUM($C$57:M58)+SUM($C$64:M66),IF(N43+N39-36000&lt;=0,(N43+N39)*3%,(IF(N43+N39-144000&lt;=0,(N43+N39)*10%-2520,(IF(N43+N39-300000&lt;=0,(N43+N39)*20%-16920,(IF(N43+N39-420000&lt;=0,(N43+N39)*25%-31920,(IF(N43+N39-660000&lt;=0,(N43+N39)*30%-52920,(IF(N43+N39-960000&lt;=0,(N43+N39)*35%-85920,(IF(N43+N39-960000&lt;=0,(N43+N39)*35%-7160,(N43+N39)*45%-181920))))))))))))))-SUM($C$42:N42)-SUM($C$57:M58)-SUM($C$64:M66)-SUM($C$44:M44)</f>
        <v>#VALUE!</v>
      </c>
    </row>
    <row r="45" spans="1:14" ht="20.45" hidden="1" customHeight="1" outlineLevel="1" x14ac:dyDescent="0.2">
      <c r="B45" s="15" t="s">
        <v>57</v>
      </c>
      <c r="C45" s="16">
        <v>0</v>
      </c>
      <c r="E45" s="16">
        <v>0</v>
      </c>
      <c r="F45" s="16">
        <v>239709.6</v>
      </c>
      <c r="G45" s="16">
        <v>0</v>
      </c>
      <c r="H45" s="16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8">
        <v>0</v>
      </c>
    </row>
    <row r="46" spans="1:14" s="2" customFormat="1" ht="20.45" hidden="1" customHeight="1" outlineLevel="1" x14ac:dyDescent="0.2">
      <c r="A46" s="3"/>
      <c r="B46" s="15" t="s">
        <v>58</v>
      </c>
      <c r="C46" s="16">
        <v>0</v>
      </c>
      <c r="D46" s="3"/>
      <c r="E46" s="16"/>
      <c r="F46" s="16"/>
      <c r="G46" s="16"/>
      <c r="H46" s="16"/>
      <c r="I46" s="17"/>
      <c r="J46" s="17"/>
      <c r="K46" s="17"/>
      <c r="L46" s="17"/>
      <c r="M46" s="17"/>
      <c r="N46" s="18"/>
    </row>
    <row r="47" spans="1:14" ht="20.45" hidden="1" customHeight="1" outlineLevel="1" x14ac:dyDescent="0.2">
      <c r="B47" s="15" t="s">
        <v>59</v>
      </c>
      <c r="C47" s="16">
        <f t="shared" ref="C47:N47" si="1">IF(C45=0,0,IF(C45/12-3000&lt;=0,C45*3%,(IF(C45/12-12000&lt;=0,C45*10%-210,(IF(C45/12-25000&lt;=0,C45*20%-1410,(IF(C45/12-35000&lt;=0,C45*25%-2660,(IF(C45/12-55000&lt;=0,C45*30%-4410,(IF(C45/12-80000&lt;=0,C45*35%-7160,(IF(C45/12-80000&lt;=0,C45*35%-7160,C45*45%-15160))))))))))))))</f>
        <v>0</v>
      </c>
      <c r="E47" s="16">
        <f t="shared" si="1"/>
        <v>0</v>
      </c>
      <c r="F47" s="16">
        <f t="shared" si="1"/>
        <v>46531.92</v>
      </c>
      <c r="G47" s="16">
        <f t="shared" si="1"/>
        <v>0</v>
      </c>
      <c r="H47" s="16">
        <f t="shared" si="1"/>
        <v>0</v>
      </c>
      <c r="I47" s="17">
        <f t="shared" si="1"/>
        <v>0</v>
      </c>
      <c r="J47" s="17">
        <f t="shared" si="1"/>
        <v>0</v>
      </c>
      <c r="K47" s="17">
        <f t="shared" si="1"/>
        <v>0</v>
      </c>
      <c r="L47" s="17">
        <f t="shared" si="1"/>
        <v>0</v>
      </c>
      <c r="M47" s="17">
        <f t="shared" si="1"/>
        <v>0</v>
      </c>
      <c r="N47" s="18">
        <f t="shared" si="1"/>
        <v>0</v>
      </c>
    </row>
    <row r="48" spans="1:14" ht="20.45" hidden="1" customHeight="1" outlineLevel="1" x14ac:dyDescent="0.2">
      <c r="B48" s="15" t="s">
        <v>60</v>
      </c>
      <c r="C48" s="16">
        <v>0</v>
      </c>
      <c r="E48" s="16">
        <v>0</v>
      </c>
      <c r="F48" s="16">
        <v>0</v>
      </c>
      <c r="G48" s="16">
        <v>0</v>
      </c>
      <c r="H48" s="16"/>
      <c r="I48" s="16">
        <v>0</v>
      </c>
      <c r="J48" s="16">
        <v>0</v>
      </c>
      <c r="K48" s="16">
        <v>0</v>
      </c>
      <c r="L48" s="16">
        <v>0</v>
      </c>
      <c r="M48" s="17">
        <v>0</v>
      </c>
      <c r="N48" s="18">
        <v>0</v>
      </c>
    </row>
    <row r="49" spans="1:15" ht="20.45" hidden="1" customHeight="1" outlineLevel="1" x14ac:dyDescent="0.2">
      <c r="B49" s="15" t="s">
        <v>61</v>
      </c>
      <c r="C49" s="16">
        <f>IF(C48=0,0,IF(C48/12-3000&lt;=0,C48*3%,(IF(C48/12-12000&lt;=0,C48*10%-210,(IF(C48/12-25000&lt;=0,C48*20%-1410,(IF(C48/12-35000&lt;=0,C48*25%-2660,(IF(C48/12-55000&lt;=0,C48*30%-4410,(IF(C48/12-80000&lt;=0,C48*35%-7160,(IF(C48/12-80000&lt;=0,C48*35%-7160,C48*45%-15160))))))))))))))</f>
        <v>0</v>
      </c>
      <c r="E49" s="16">
        <f>IF(E48=0,0,IF(E48/12-3000&lt;=0,E48*3%,(IF(E48/12-12000&lt;=0,E48*10%-210,(IF(E48/12-25000&lt;=0,E48*20%-1410,(IF(E48/12-35000&lt;=0,E48*25%-2660,(IF(E48/12-55000&lt;=0,E48*30%-4410,(IF(E48/12-80000&lt;=0,E48*35%-7160,(IF(E48/12-80000&lt;=0,E48*35%-7160,E48*45%-15160))))))))))))))</f>
        <v>0</v>
      </c>
      <c r="F49" s="16">
        <f>IF(F48=0,0,IF(F48/12-3000&lt;=0,F48*3%,(IF(F48/12-12000&lt;=0,F48*10%-210,(IF(F48/12-25000&lt;=0,F48*20%-1410,(IF(F48/12-35000&lt;=0,F48*25%-2660,(IF(F48/12-55000&lt;=0,F48*30%-4410,(IF(F48/12-80000&lt;=0,F48*35%-7160,(IF(F48/12-80000&lt;=0,F48*35%-7160,F48*45%-15160))))))))))))))</f>
        <v>0</v>
      </c>
      <c r="G49" s="16">
        <f>IF(G48=0,0,IF(G48/12-3000&lt;=0,G48*3%,(IF(G48/12-12000&lt;=0,G48*10%-210,(IF(G48/12-25000&lt;=0,G48*20%-1410,(IF(G48/12-35000&lt;=0,G48*25%-2660,(IF(G48/12-55000&lt;=0,G48*30%-4410,(IF(G48/12-80000&lt;=0,G48*35%-7160,(IF(G48/12-80000&lt;=0,G48*35%-7160,G48*45%-15160))))))))))))))</f>
        <v>0</v>
      </c>
      <c r="H49" s="16"/>
      <c r="I49" s="16">
        <f>IF(I48=0,0,IF(I48/12-3000&lt;=0,I48*3%,(IF(I48/12-12000&lt;=0,I48*10%-210,(IF(I48/12-25000&lt;=0,I48*20%-1410,(IF(I48/12-35000&lt;=0,I48*25%-2660,(IF(I48/12-55000&lt;=0,I48*30%-4410,(IF(I48/12-80000&lt;=0,I48*35%-7160,(IF(I48/12-80000&lt;=0,I48*35%-7160,I48*45%-15160))))))))))))))</f>
        <v>0</v>
      </c>
      <c r="J49" s="16">
        <f>IF(J48=0,0,IF(J48/12-3000&lt;=0,J48*3%,(IF(J48/12-12000&lt;=0,J48*10%-210,(IF(J48/12-25000&lt;=0,J48*20%-1410,(IF(J48/12-35000&lt;=0,J48*25%-2660,(IF(J48/12-55000&lt;=0,J48*30%-4410,(IF(J48/12-80000&lt;=0,J48*35%-7160,(IF(J48/12-80000&lt;=0,J48*35%-7160,J48*45%-15160))))))))))))))</f>
        <v>0</v>
      </c>
      <c r="K49" s="16">
        <f>IF(K48=0,0,IF(K48/12-3000&lt;=0,K48*3%,(IF(K48/12-12000&lt;=0,K48*10%-210,(IF(K48/12-25000&lt;=0,K48*20%-1410,(IF(K48/12-35000&lt;=0,K48*25%-2660,(IF(K48/12-55000&lt;=0,K48*30%-4410,(IF(K48/12-80000&lt;=0,K48*35%-7160,(IF(K48/12-80000&lt;=0,K48*35%-7160,K48*45%-15160))))))))))))))</f>
        <v>0</v>
      </c>
      <c r="L49" s="16">
        <v>0</v>
      </c>
      <c r="M49" s="17">
        <v>0</v>
      </c>
      <c r="N49" s="18">
        <v>0</v>
      </c>
    </row>
    <row r="50" spans="1:15" ht="20.45" hidden="1" customHeight="1" outlineLevel="1" x14ac:dyDescent="0.2">
      <c r="B50" s="15" t="s">
        <v>62</v>
      </c>
      <c r="C50" s="16">
        <v>0</v>
      </c>
      <c r="E50" s="16">
        <v>0</v>
      </c>
      <c r="F50" s="16">
        <v>0</v>
      </c>
      <c r="G50" s="16">
        <v>0</v>
      </c>
      <c r="H50" s="16"/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8">
        <v>-60</v>
      </c>
    </row>
    <row r="51" spans="1:15" ht="20.45" hidden="1" customHeight="1" outlineLevel="1" x14ac:dyDescent="0.2">
      <c r="B51" s="15" t="s">
        <v>63</v>
      </c>
      <c r="C51" s="16">
        <v>0</v>
      </c>
      <c r="E51" s="16">
        <v>0</v>
      </c>
      <c r="F51" s="16">
        <v>0</v>
      </c>
      <c r="G51" s="16">
        <v>0</v>
      </c>
      <c r="H51" s="16"/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8">
        <v>0</v>
      </c>
    </row>
    <row r="52" spans="1:15" s="1" customFormat="1" ht="20.45" customHeight="1" collapsed="1" thickBot="1" x14ac:dyDescent="0.25">
      <c r="B52" s="25" t="s">
        <v>64</v>
      </c>
      <c r="C52" s="26" t="e">
        <f>C36-C37-C42+C45-C47+C50+C51+C48-C49</f>
        <v>#VALUE!</v>
      </c>
      <c r="D52" s="3"/>
      <c r="E52" s="26" t="e">
        <f>E36-E37-E42+E45-E47+E50+E51</f>
        <v>#N/A</v>
      </c>
      <c r="F52" s="26" t="e">
        <f>F36-F37-F42+F45-F47+F50+F51</f>
        <v>#N/A</v>
      </c>
      <c r="G52" s="26" t="e">
        <f>G36-G37-G42+G45-G47+G50+G51</f>
        <v>#N/A</v>
      </c>
      <c r="H52" s="26" t="e">
        <f t="shared" ref="H52:N52" si="2">H36-H37-H42+H45-H47+H50+H51-H44</f>
        <v>#N/A</v>
      </c>
      <c r="I52" s="26" t="e">
        <f t="shared" si="2"/>
        <v>#N/A</v>
      </c>
      <c r="J52" s="26" t="e">
        <f t="shared" si="2"/>
        <v>#N/A</v>
      </c>
      <c r="K52" s="26" t="e">
        <f t="shared" si="2"/>
        <v>#N/A</v>
      </c>
      <c r="L52" s="26" t="e">
        <f t="shared" si="2"/>
        <v>#N/A</v>
      </c>
      <c r="M52" s="26" t="e">
        <f t="shared" si="2"/>
        <v>#N/A</v>
      </c>
      <c r="N52" s="26" t="e">
        <f t="shared" si="2"/>
        <v>#N/A</v>
      </c>
    </row>
    <row r="53" spans="1:15" ht="20.4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20.45" customHeight="1" thickBot="1" x14ac:dyDescent="0.25">
      <c r="A54" s="10"/>
      <c r="B54" s="1" t="s">
        <v>65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4" customHeight="1" x14ac:dyDescent="0.2">
      <c r="A55" s="27"/>
      <c r="B55" s="28" t="s">
        <v>66</v>
      </c>
      <c r="C55" s="29">
        <v>0</v>
      </c>
      <c r="D55" s="29">
        <v>0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</row>
    <row r="56" spans="1:15" ht="20.45" customHeight="1" x14ac:dyDescent="0.2">
      <c r="A56" s="27"/>
      <c r="B56" s="30" t="s">
        <v>67</v>
      </c>
      <c r="C56" s="31">
        <v>0</v>
      </c>
      <c r="D56" s="31"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1:15" ht="20.45" customHeight="1" x14ac:dyDescent="0.2">
      <c r="B57" s="32" t="s">
        <v>68</v>
      </c>
      <c r="C57" s="33" t="e" cm="1">
        <f t="array" ref="C57">ROUND(MAX((C39+C55)*{0.03,0.1,0.2,0.25,0.3,0.35,0.45}-{0,2520,16920,31920,52920,85920,181920},0),2)-(C42)</f>
        <v>#VALUE!</v>
      </c>
      <c r="D57" s="33" t="e" cm="1">
        <f t="array" ref="D57">ROUND(MAX((D39+D55)*{0.03,0.1,0.2,0.25,0.3,0.35,0.45}-{0,2520,16920,31920,52920,85920,181920},0),2)-SUM($C$42,$C$57:$C$58,$C$64:$C$66)-(D42)</f>
        <v>#VALUE!</v>
      </c>
      <c r="E57" s="33" t="e">
        <f t="array" ref="E57">ROUND(MAX((E39+E55)*{0.03,0.1,0.2,0.25,0.3,0.35,0.45}-{0,2520,16920,31920,52920,85920,181920},0),2)-SUM($C$42:D42,$C$57:D57,$C$58:D58,$C$64:D64,$C$65:D65,$C$66:D66)-(E42)</f>
        <v>#VALUE!</v>
      </c>
      <c r="F57" s="33" t="e">
        <f t="array" ref="F57">ROUND(MAX((F39+F55)*{0.03,0.1,0.2,0.25,0.3,0.35,0.45}-{0,2520,16920,31920,52920,85920,181920},0),2)-SUM($C$42:E42,$C$57:E57,$C$58:E58,$C$64:E64,$C$65:E65,$C$66:E66)-(F42)</f>
        <v>#VALUE!</v>
      </c>
      <c r="G57" s="33" t="e" cm="1">
        <f t="array" ref="G57">ROUND(MAX((G39+G55)*{0.03,0.1,0.2,0.25,0.3,0.35,0.45}-{0,2520,16920,31920,52920,85920,181920},0),2)-SUM($C$42:F42,$C$57:F57,$C$58:F58,$C$64:F64,$C$65:F65,$C$66:F66)-(G42)</f>
        <v>#VALUE!</v>
      </c>
      <c r="H57" s="33" t="e" cm="1">
        <f t="array" ref="H57">ROUND(MAX((H39+H55)*{0.03,0.1,0.2,0.25,0.3,0.35,0.45}-{0,2520,16920,31920,52920,85920,181920},0),2)-SUM($C$42:G42,$C$57:G57,$C$58:G58,$C$64:G64,$C$65:G65,$C$66:G66)-(H42)</f>
        <v>#VALUE!</v>
      </c>
      <c r="I57" s="33" t="e" cm="1">
        <f t="array" ref="I57">ROUND(MAX((I39+I55)*{0.03,0.1,0.2,0.25,0.3,0.35,0.45}-{0,2520,16920,31920,52920,85920,181920},0),2)-SUM($C$42:H42,$C$44:H44,$C$57:H57,$C$58:H58,$C$64:H64,$C$65:H65,$C$66:H66)-(I42)</f>
        <v>#VALUE!</v>
      </c>
      <c r="J57" s="33" t="e" cm="1">
        <f t="array" ref="J57">ROUND(MAX((J39+J55)*{0.03,0.1,0.2,0.25,0.3,0.35,0.45}-{0,2520,16920,31920,52920,85920,181920},0),2)-SUM($C$42:I42,$C$44:I44,$C$57:I57,$C$58:I58,$C$64:I64,$C$65:I65,$C$66:I66)-(J42)</f>
        <v>#VALUE!</v>
      </c>
      <c r="K57" s="33" t="e" cm="1">
        <f t="array" ref="K57">ROUND(MAX((K39+K55)*{0.03,0.1,0.2,0.25,0.3,0.35,0.45}-{0,2520,16920,31920,52920,85920,181920},0),2)-SUM($C$42:J42,$C$44:J44,$C$57:J57,$C$58:J58,$C$64:J64,$C$65:J65,$C$66:J66)-(K42)</f>
        <v>#VALUE!</v>
      </c>
      <c r="L57" s="33" t="e" cm="1">
        <f t="array" ref="L57">ROUND(MAX((L39+L55)*{0.03,0.1,0.2,0.25,0.3,0.35,0.45}-{0,2520,16920,31920,52920,85920,181920},0),2)-SUM($C$42:K42,$C$44:K44,$C$57:K57,$C$58:K58,$C$64:K64,$C$65:K65,$C$66:K66)-(L42)</f>
        <v>#VALUE!</v>
      </c>
      <c r="M57" s="33" t="e" cm="1">
        <f t="array" ref="M57">ROUND(MAX((M39+M55)*{0.03,0.1,0.2,0.25,0.3,0.35,0.45}-{0,2520,16920,31920,52920,85920,181920},0),2)-SUM($C$42:L42,$C$44:L44,$C$57:L57,$C$58:L58,$C$64:L64,$C$65:L65,$C$66:L66)-(M42)</f>
        <v>#VALUE!</v>
      </c>
      <c r="N57" s="33" t="e" cm="1">
        <f t="array" ref="N57">ROUND(MAX((N39+N55)*{0.03,0.1,0.2,0.25,0.3,0.35,0.45}-{0,2520,16920,31920,52920,85920,181920},0),2)-SUM($C$42:M42,$C$44:M44,$C$57:M57,$C$58:M58,$C$64:M64,$C$65:M65,$C$66:M66)-(N42)</f>
        <v>#VALUE!</v>
      </c>
    </row>
    <row r="58" spans="1:15" ht="20.45" customHeight="1" thickBot="1" x14ac:dyDescent="0.25">
      <c r="B58" s="34" t="s">
        <v>69</v>
      </c>
      <c r="C58" s="35" t="e" cm="1">
        <f t="array" ref="C58">ROUND(MAX((C39+C55+C56)*{0.03,0.1,0.2,0.25,0.3,0.35,0.45}-{0,2520,16920,31920,52920,85920,181920},0),2)-(C42+C57)</f>
        <v>#VALUE!</v>
      </c>
      <c r="D58" s="35" t="e" cm="1">
        <f t="array" ref="D58">ROUND(MAX((D39+D55+D56)*{0.03,0.1,0.2,0.25,0.3,0.35,0.45}-{0,2520,16920,31920,52920,85920,181920},0),2)-SUM($C$42,$C$57,$C$58,$C$64,$C$65,$C$66)-(D42+D57)</f>
        <v>#VALUE!</v>
      </c>
      <c r="E58" s="35" t="e">
        <f t="array" ref="E58">ROUND(MAX((E39+E55+E56)*{0.03,0.1,0.2,0.25,0.3,0.35,0.45}-{0,2520,16920,31920,52920,85920,181920},0),2)-SUM($C$42:D42,$C$57:D57,$C$58:D58,$C$64:D64,$C$65:D65,$C$66:D66)-(E42+E57)</f>
        <v>#VALUE!</v>
      </c>
      <c r="F58" s="35" t="e">
        <f t="array" ref="F58">ROUND(MAX((F39+F55+F56)*{0.03,0.1,0.2,0.25,0.3,0.35,0.45}-{0,2520,16920,31920,52920,85920,181920},0),2)-SUM($C$42:E42,$C$57:E57,$C$58:E58,$C$64:E64,$C$65:E65,$C$66:E66)-(F42+F57)</f>
        <v>#VALUE!</v>
      </c>
      <c r="G58" s="35" t="e">
        <f t="array" ref="G58">ROUND(MAX((G39+G55+G56)*{0.03,0.1,0.2,0.25,0.3,0.35,0.45}-{0,2520,16920,31920,52920,85920,181920},0),2)-SUM($C$42:F42,$C$57:F57,$C$58:F58,$C$64:F64,$C$65:F65,$C$66:F66)-(G42+G57)</f>
        <v>#VALUE!</v>
      </c>
      <c r="H58" s="35" t="e">
        <f t="array" ref="H58">ROUND(MAX((H39+H55+H56)*{0.03,0.1,0.2,0.25,0.3,0.35,0.45}-{0,2520,16920,31920,52920,85920,181920},0),2)-SUM($C$42:G42,$C$57:G57,$C$58:G58,$C$64:G64,$C$65:G65,$C$66:G66)-(H42+H57)</f>
        <v>#VALUE!</v>
      </c>
      <c r="I58" s="35" t="e" cm="1">
        <f t="array" ref="I58">ROUND(MAX((I39+I55+I56)*{0.03,0.1,0.2,0.25,0.3,0.35,0.45}-{0,2520,16920,31920,52920,85920,181920},0),2)-SUM($C$42:H42,$C$44:H44,$C$57:H57,$C$58:H58,$C$64:H64,$C$65:H65,$C$66:H66)-(I42+I57)</f>
        <v>#VALUE!</v>
      </c>
      <c r="J58" s="35" t="e" cm="1">
        <f t="array" ref="J58">ROUND(MAX((J39+J55+J56)*{0.03,0.1,0.2,0.25,0.3,0.35,0.45}-{0,2520,16920,31920,52920,85920,181920},0),2)-SUM($C$42:I42,$C$44:I44,$C$57:I57,$C$58:I58,$C$64:I64,$C$65:I65,$C$66:I66)-(J42+J57)</f>
        <v>#VALUE!</v>
      </c>
      <c r="K58" s="35" t="e" cm="1">
        <f t="array" ref="K58">ROUND(MAX((K39+K55+K56)*{0.03,0.1,0.2,0.25,0.3,0.35,0.45}-{0,2520,16920,31920,52920,85920,181920},0),2)-SUM($C$42:J42,$C$44:J44,$C$57:J57,$C$58:J58,$C$64:J64,$C$65:J65,$C$66:J66)-(K42+K57)</f>
        <v>#VALUE!</v>
      </c>
      <c r="L58" s="35" t="e" cm="1">
        <f t="array" ref="L58">ROUND(MAX((L39+L55+L56)*{0.03,0.1,0.2,0.25,0.3,0.35,0.45}-{0,2520,16920,31920,52920,85920,181920},0),2)-SUM($C$42:K42,$C$44:K44,$C$57:K57,$C$58:K58,$C$64:K64,$C$65:K65,$C$66:K66)-(L42+L57)</f>
        <v>#VALUE!</v>
      </c>
      <c r="M58" s="35" t="e" cm="1">
        <f t="array" ref="M58">ROUND(MAX((M39+M55+M56)*{0.03,0.1,0.2,0.25,0.3,0.35,0.45}-{0,2520,16920,31920,52920,85920,181920},0),2)-SUM($C$42:L42,$C$44:L44,$C$57:L57,$C$58:L58,$C$64:L64,$C$65:L65,$C$66:L66)-(M42+M57)</f>
        <v>#VALUE!</v>
      </c>
      <c r="N58" s="35" t="e" cm="1">
        <f t="array" ref="N58">ROUND(MAX((N39+N55+N56)*{0.03,0.1,0.2,0.25,0.3,0.35,0.45}-{0,2520,16920,31920,52920,85920,181920},0),2)-SUM($C$42:M42,$C$44:M44,$C$57:M57,$C$58:M58,$C$64:M64,$C$65:M65,$C$66:M66)-(N42+N57)</f>
        <v>#VALUE!</v>
      </c>
    </row>
    <row r="59" spans="1:15" ht="20.4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20.45" customHeight="1" thickBot="1" x14ac:dyDescent="0.25">
      <c r="A60" s="10"/>
      <c r="B60" s="1" t="s">
        <v>70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ht="20.45" customHeight="1" x14ac:dyDescent="0.2">
      <c r="A61" s="27"/>
      <c r="B61" s="28" t="s">
        <v>71</v>
      </c>
      <c r="C61" s="29">
        <v>0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</row>
    <row r="62" spans="1:15" ht="20.45" customHeight="1" x14ac:dyDescent="0.2">
      <c r="A62" s="27"/>
      <c r="B62" s="30" t="s">
        <v>72</v>
      </c>
      <c r="C62" s="31">
        <v>0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</row>
    <row r="63" spans="1:15" ht="20.45" customHeight="1" x14ac:dyDescent="0.2">
      <c r="A63" s="27"/>
      <c r="B63" s="30" t="s">
        <v>73</v>
      </c>
      <c r="C63" s="36">
        <v>0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</row>
    <row r="64" spans="1:15" ht="21" customHeight="1" x14ac:dyDescent="0.2">
      <c r="B64" s="37" t="s">
        <v>74</v>
      </c>
      <c r="C64" s="38" t="e" cm="1">
        <f t="array" ref="C64">ROUND(MAX((C39+C55+C56+C61)*{0.03,0.1,0.2,0.25,0.3,0.35,0.45}-{0,2520,16920,31920,52920,85920,181920},0),2)-(C42+C57+C58)</f>
        <v>#VALUE!</v>
      </c>
      <c r="D64" s="38" t="e" cm="1">
        <f t="array" ref="D64">ROUND(MAX((D39+D55+D56+D61)*{0.03,0.1,0.2,0.25,0.3,0.35,0.45}-{0,2520,16920,31920,52920,85920,181920},0),2)-SUM($C$42,$C$57,$C$58,$C$64,$C$65,$C$66)-(D42+D57+D58)</f>
        <v>#VALUE!</v>
      </c>
      <c r="E64" s="38" t="e">
        <f t="array" ref="E64">ROUND(MAX((E39+E55+E56+E61)*{0.03,0.1,0.2,0.25,0.3,0.35,0.45}-{0,2520,16920,31920,52920,85920,181920},0),2)-SUM($C$42:D42,$C$57:D57,$C$58:D58,$C$64:D64,$C$65:D65,$C$66:D66)-(E42+E57+E58)</f>
        <v>#VALUE!</v>
      </c>
      <c r="F64" s="38" t="e">
        <f t="array" ref="F64">ROUND(MAX((F39+F55+F56+F61)*{0.03,0.1,0.2,0.25,0.3,0.35,0.45}-{0,2520,16920,31920,52920,85920,181920},0),2)-SUM($C$42:E42,$C$57:E57,$C$58:E58,$C$64:E64,$C$65:E65,$C$66:E66)-(F42+F57+F58)</f>
        <v>#VALUE!</v>
      </c>
      <c r="G64" s="38" t="e" cm="1">
        <f t="array" ref="G64">ROUND(MAX((G39+G55+G56+G61)*{0.03,0.1,0.2,0.25,0.3,0.35,0.45}-{0,2520,16920,31920,52920,85920,181920},0),2)-SUM($C$42:F42,$C$57:F57,$C$58:F58,$C$64:F64,$C$65:F65,$C$66:F66)-(G42+G57+G58)</f>
        <v>#VALUE!</v>
      </c>
      <c r="H64" s="38" t="e" cm="1">
        <f t="array" ref="H64">ROUND(MAX((H39+H43+H55+H56+H61)*{0.03,0.1,0.2,0.25,0.3,0.35,0.45}-{0,2520,16920,31920,52920,85920,181920},0),2)-SUM($C$42:G42,$C$57:G57,$C$58:G58,$C$64:G64,$C$65:G65,$C$66:G66)-(H42+H44+H57+H58)</f>
        <v>#VALUE!</v>
      </c>
      <c r="I64" s="38" t="e" cm="1">
        <f t="array" ref="I64">ROUND(MAX((I39+I55+I56+I61)*{0.03,0.1,0.2,0.25,0.3,0.35,0.45}-{0,2520,16920,31920,52920,85920,181920},0),2)-SUM($C$42:H42,$C$44:H44,$C$57:H57,$C$58:H58,$C$64:H64,$C$65:H65,$C$66:H66)-(I42+I57+I58)</f>
        <v>#VALUE!</v>
      </c>
      <c r="J64" s="38" t="e" cm="1">
        <f t="array" ref="J64">ROUND(MAX((J39+J55+J56+J61)*{0.03,0.1,0.2,0.25,0.3,0.35,0.45}-{0,2520,16920,31920,52920,85920,181920},0),2)-SUM($C$42:I42,$C$44:I44,$C$57:I57,$C$58:I58,$C$64:I64,$C$65:I65,$C$66:I66)-(J42+J57+J58)</f>
        <v>#VALUE!</v>
      </c>
      <c r="K64" s="38" t="e" cm="1">
        <f t="array" ref="K64">ROUND(MAX((K39+K55+K56+K61)*{0.03,0.1,0.2,0.25,0.3,0.35,0.45}-{0,2520,16920,31920,52920,85920,181920},0),2)-SUM($C$42:J42,$C$44:J44,$C$57:J57,$C$58:J58,$C$64:J64,$C$65:J65,$C$66:J66)-(K42+K57+K58)</f>
        <v>#VALUE!</v>
      </c>
      <c r="L64" s="38" t="e" cm="1">
        <f t="array" ref="L64">ROUND(MAX((L39+L55+L56+L61)*{0.03,0.1,0.2,0.25,0.3,0.35,0.45}-{0,2520,16920,31920,52920,85920,181920},0),2)-SUM($C$42:K42,$C$44:K44,$C$57:K57,$C$58:K58,$C$64:K64,$C$65:K65,$C$66:K66)-(L42+L57+L58)</f>
        <v>#VALUE!</v>
      </c>
      <c r="M64" s="38" t="e" cm="1">
        <f t="array" ref="M64">ROUND(MAX((M39+M55+M56+M61)*{0.03,0.1,0.2,0.25,0.3,0.35,0.45}-{0,2520,16920,31920,52920,85920,181920},0),2)-SUM($C$42:L42,$C$44:L44,$C$57:L57,$C$58:L58,$C$64:L64,$C$65:L65,$C$66:L66)-(M42+M57+M58)</f>
        <v>#VALUE!</v>
      </c>
      <c r="N64" s="38" t="e" cm="1">
        <f t="array" ref="N64">ROUND(MAX((N39+N55+N56+N61)*{0.03,0.1,0.2,0.25,0.3,0.35,0.45}-{0,2520,16920,31920,52920,85920,181920},0),2)-SUM($C$42:M42,$C$44:M44,$C$57:M57,$C$58:M58,$C$64:M64,$C$65:M65,$C$66:M66)-(N42+N57+N58)</f>
        <v>#VALUE!</v>
      </c>
    </row>
    <row r="65" spans="2:14" ht="21" customHeight="1" x14ac:dyDescent="0.2">
      <c r="B65" s="37" t="s">
        <v>75</v>
      </c>
      <c r="C65" s="38" t="e" cm="1">
        <f t="array" ref="C65">ROUND(MAX((C39+C55+C56+C61+C62)*{0.03,0.1,0.2,0.25,0.3,0.35,0.45}-{0,2520,16920,31920,52920,85920,181920},0),2)-(C42+C57+C58+C64)</f>
        <v>#VALUE!</v>
      </c>
      <c r="D65" s="38" t="e" cm="1">
        <f t="array" ref="D65">ROUND(MAX((D39+D55+D56+D61+D62)*{0.03,0.1,0.2,0.25,0.3,0.35,0.45}-{0,2520,16920,31920,52920,85920,181920},0),2)-SUM($C$42,$C$57,$C$58,$C$64,$C$65,$C$66)-(D42+D57+D58+D64)</f>
        <v>#VALUE!</v>
      </c>
      <c r="E65" s="38" t="e">
        <f t="array" ref="E65">ROUND(MAX((E39+E55+E56+E61+E62)*{0.03,0.1,0.2,0.25,0.3,0.35,0.45}-{0,2520,16920,31920,52920,85920,181920},0),2)-SUM($C$42:D42,$C$57:D57,$C$58:D58,$C$64:D64,$C$65:D65,$C$66:D66)-(E42+E57+E58+E64)</f>
        <v>#VALUE!</v>
      </c>
      <c r="F65" s="38" t="e">
        <f t="array" ref="F65">ROUND(MAX((F39+F55+F56+F61+F62)*{0.03,0.1,0.2,0.25,0.3,0.35,0.45}-{0,2520,16920,31920,52920,85920,181920},0),2)-SUM($C$42:E42,$C$57:E57,$C$58:E58,$C$64:E64,$C$65:E65,$C$66:E66)-(F42+F57+F58+F64)</f>
        <v>#VALUE!</v>
      </c>
      <c r="G65" s="38" t="e">
        <f t="array" ref="G65">ROUND(MAX((G39+G55+G56+G61+G62)*{0.03,0.1,0.2,0.25,0.3,0.35,0.45}-{0,2520,16920,31920,52920,85920,181920},0),2)-SUM($C$42:F42,$C$57:F57,$C$58:F58,$C$64:F64,$C$65:F65,$C$66:F66)-(G42+G57+G58+G64)</f>
        <v>#VALUE!</v>
      </c>
      <c r="H65" s="38" t="e" cm="1">
        <f t="array" ref="H65">ROUND(MAX((H39+H43+H55+H56+H61+H62)*{0.03,0.1,0.2,0.25,0.3,0.35,0.45}-{0,2520,16920,31920,52920,85920,181920},0),2)-SUM($C$42:G42,$C$57:G57,$C$58:G58,$C$64:G64,$C$65:G65,$C$66:G66)-(H42+H57+H44+H58+H64)</f>
        <v>#VALUE!</v>
      </c>
      <c r="I65" s="38" t="e" cm="1">
        <f t="array" ref="I65">ROUND(MAX((I39+I55+I56+I61+I62)*{0.03,0.1,0.2,0.25,0.3,0.35,0.45}-{0,2520,16920,31920,52920,85920,181920},0),2)-SUM($C$42:H42,$C$44:H44,$C$57:H57,$C$58:H58,$C$64:H64,$C$65:H65,$C$66:H66)-(I42+I57+I58+I64)</f>
        <v>#VALUE!</v>
      </c>
      <c r="J65" s="38" t="e" cm="1">
        <f t="array" ref="J65">ROUND(MAX((J39+J55+J56+J61+J62)*{0.03,0.1,0.2,0.25,0.3,0.35,0.45}-{0,2520,16920,31920,52920,85920,181920},0),2)-SUM($C$42:I42,$C$44:I44,$C$57:I57,$C$58:I58,$C$64:I64,$C$65:I65,$C$66:I66)-(J42+J57+J58+J64)</f>
        <v>#VALUE!</v>
      </c>
      <c r="K65" s="38" t="e" cm="1">
        <f t="array" ref="K65">ROUND(MAX((K39+K55+K56+K61+K62)*{0.03,0.1,0.2,0.25,0.3,0.35,0.45}-{0,2520,16920,31920,52920,85920,181920},0),2)-SUM($C$42:J42,$C$44:J44,$C$57:J57,$C$58:J58,$C$64:J64,$C$65:J65,$C$66:J66)-(K42+K57+K58+K64)</f>
        <v>#VALUE!</v>
      </c>
      <c r="L65" s="38" t="e" cm="1">
        <f t="array" ref="L65">ROUND(MAX((L39+L55+L56+L61+L62)*{0.03,0.1,0.2,0.25,0.3,0.35,0.45}-{0,2520,16920,31920,52920,85920,181920},0),2)-SUM($C$42:K42,$C$44:K44,$C$57:K57,$C$58:K58,$C$64:K64,$C$65:K65,$C$66:K66)-(L42+L57+L58+L64)</f>
        <v>#VALUE!</v>
      </c>
      <c r="M65" s="38" t="e" cm="1">
        <f t="array" ref="M65">ROUND(MAX((M39+M55+M56+M61+M62)*{0.03,0.1,0.2,0.25,0.3,0.35,0.45}-{0,2520,16920,31920,52920,85920,181920},0),2)-SUM($C$42:L42,$C$44:L44,$C$57:L57,$C$58:L58,$C$64:L64,$C$65:L65,$C$66:L66)-(M42+M57+M58+M64)</f>
        <v>#VALUE!</v>
      </c>
      <c r="N65" s="38" t="e" cm="1">
        <f t="array" ref="N65">ROUND(MAX((N39+N55+N56+N61+N62)*{0.03,0.1,0.2,0.25,0.3,0.35,0.45}-{0,2520,16920,31920,52920,85920,181920},0),2)-SUM($C$42:M42,$C$44:M44,$C$57:M57,$C$58:M58,$C$64:M64,$C$65:M65,$C$66:M66)-(N42+N57+N58+N64)</f>
        <v>#VALUE!</v>
      </c>
    </row>
    <row r="66" spans="2:14" ht="21" customHeight="1" thickBot="1" x14ac:dyDescent="0.25">
      <c r="B66" s="39" t="s">
        <v>76</v>
      </c>
      <c r="C66" s="40" t="e" cm="1">
        <f t="array" ref="C66">ROUND(MAX((C39+C55+C56+C61+C62+C63)*{0.03,0.1,0.2,0.25,0.3,0.35,0.45}-{0,2520,16920,31920,52920,85920,181920},0),2)-(C42+C57+C58+C64+C65)</f>
        <v>#VALUE!</v>
      </c>
      <c r="D66" s="40" t="e" cm="1">
        <f t="array" ref="D66">ROUND(MAX((D39+D55+D56+D61+D62+D63)*{0.03,0.1,0.2,0.25,0.3,0.35,0.45}-{0,2520,16920,31920,52920,85920,181920},0),2)-SUM($C$42,$C$57,$C$58,$C$64,$C$65,$C$66)-(D42+D57+D58+D64+D65)</f>
        <v>#VALUE!</v>
      </c>
      <c r="E66" s="40" t="e">
        <f t="array" ref="E66">ROUND(MAX((E39+E55+E56+E61+E62+E63)*{0.03,0.1,0.2,0.25,0.3,0.35,0.45}-{0,2520,16920,31920,52920,85920,181920},0),2)-SUM($C$42:D42,$C$57:D57,$C$58:D58,$C$64:D64,$C$65:D65,$C$66:D66)-(E42+E57+E58+E64+E65)</f>
        <v>#VALUE!</v>
      </c>
      <c r="F66" s="40" t="e">
        <f t="array" ref="F66">ROUND(MAX((F39+F55+F56+F61+F62+F63)*{0.03,0.1,0.2,0.25,0.3,0.35,0.45}-{0,2520,16920,31920,52920,85920,181920},0),2)-SUM($C$42:E42,$C$57:E57,$C$58:E58,$C$64:E64,$C$65:E65,$C$66:E66)-(F42+F57+F58+F64+F65)</f>
        <v>#VALUE!</v>
      </c>
      <c r="G66" s="40" t="e">
        <f t="array" ref="G66">ROUND(MAX((G39+G55+G56+G61+G62+G63)*{0.03,0.1,0.2,0.25,0.3,0.35,0.45}-{0,2520,16920,31920,52920,85920,181920},0),2)-SUM($C$42:F42,$C$57:F57,$C$58:F58,$C$64:F64,$C$65:F65,$C$66:F66)-(G42+G57+G58+G64+G65)</f>
        <v>#VALUE!</v>
      </c>
      <c r="H66" s="40" t="e" cm="1">
        <f t="array" ref="H66">ROUND(MAX((H39+H43+H55+H56+H61+H62+H63)*{0.03,0.1,0.2,0.25,0.3,0.35,0.45}-{0,2520,16920,31920,52920,85920,181920},0),2)-SUM($C$42:G42,$C$57:G57,$C$58:G58,$C$64:G64,$C$65:G65,$C$66:G66)-(H42+H44+H57+H58+H64+H65)</f>
        <v>#VALUE!</v>
      </c>
      <c r="I66" s="40" t="e" cm="1">
        <f t="array" ref="I66">ROUND(MAX((I39+I55+I56+I61+I62+I63)*{0.03,0.1,0.2,0.25,0.3,0.35,0.45}-{0,2520,16920,31920,52920,85920,181920},0),2)-SUM($C$42:H42,$C$44:H44,$C$57:H57,$C$58:H58,$C$64:H64,$C$65:H65,$C$66:H66)-(I42+I57+I58+I64+I65)</f>
        <v>#VALUE!</v>
      </c>
      <c r="J66" s="40" t="e" cm="1">
        <f t="array" ref="J66">ROUND(MAX((J39+J55+J56+J61+J62+J63)*{0.03,0.1,0.2,0.25,0.3,0.35,0.45}-{0,2520,16920,31920,52920,85920,181920},0),2)-SUM($C$42:I42,$C$44:I44,$C$57:I57,$C$58:I58,$C$64:I64,$C$65:I65,$C$66:I66)-(J42+J57+J58+J64+J65)</f>
        <v>#VALUE!</v>
      </c>
      <c r="K66" s="40" t="e" cm="1">
        <f t="array" ref="K66">ROUND(MAX((K39+K55+K56+K61+K62+K63)*{0.03,0.1,0.2,0.25,0.3,0.35,0.45}-{0,2520,16920,31920,52920,85920,181920},0),2)-SUM($C$42:J42,$C$44:J44,$C$57:J57,$C$58:J58,$C$64:J64,$C$65:J65,$C$66:J66)-(K42+K57+K58+K64+K65)</f>
        <v>#VALUE!</v>
      </c>
      <c r="L66" s="40" t="e" cm="1">
        <f t="array" ref="L66">ROUND(MAX((L39+L55+L56+L61+L62+L63)*{0.03,0.1,0.2,0.25,0.3,0.35,0.45}-{0,2520,16920,31920,52920,85920,181920},0),2)-SUM($C$42:K42,$C$44:K44,$C$57:K57,$C$58:K58,$C$64:K64,$C$65:K65,$C$66:K66)-(L42+L57+L58+L64+L65)</f>
        <v>#VALUE!</v>
      </c>
      <c r="M66" s="40" t="e" cm="1">
        <f t="array" ref="M66">ROUND(MAX((M39+M55+M56+M61+M62+M63)*{0.03,0.1,0.2,0.25,0.3,0.35,0.45}-{0,2520,16920,31920,52920,85920,181920},0),2)-SUM($C$42:L42,$C$44:L44,$C$57:L57,$C$58:L58,$C$64:L64,$C$65:L65,$C$66:L66)-(M42+M57+M58+M64+M65)</f>
        <v>#VALUE!</v>
      </c>
      <c r="N66" s="40" t="e" cm="1">
        <f t="array" ref="N66">ROUND(MAX((N39+N55+N56+N61+N62+N63)*{0.03,0.1,0.2,0.25,0.3,0.35,0.45}-{0,2520,16920,31920,52920,85920,181920},0),2)-SUM($C$42:M42,$C$44:M44,$C$57:M57,$C$58:M58,$C$64:M64,$C$65:M65,$C$66:M66)-(N42+N57+N58+N64+N65)</f>
        <v>#VALUE!</v>
      </c>
    </row>
    <row r="67" spans="2:14" ht="20.45" customHeight="1" x14ac:dyDescent="0.2"/>
    <row r="68" spans="2:14" ht="20.45" customHeight="1" thickBot="1" x14ac:dyDescent="0.25">
      <c r="B68" s="1" t="s">
        <v>77</v>
      </c>
    </row>
    <row r="69" spans="2:14" ht="20.45" customHeight="1" x14ac:dyDescent="0.2">
      <c r="B69" s="41" t="s">
        <v>78</v>
      </c>
      <c r="C69" s="42">
        <f t="shared" ref="C69:G69" si="3">C36+C55+C56+C61+C62+C63</f>
        <v>1232</v>
      </c>
      <c r="D69" s="42">
        <f t="shared" si="3"/>
        <v>0</v>
      </c>
      <c r="E69" s="42">
        <f t="shared" si="3"/>
        <v>0</v>
      </c>
      <c r="F69" s="42">
        <f t="shared" si="3"/>
        <v>0</v>
      </c>
      <c r="G69" s="42">
        <f t="shared" si="3"/>
        <v>0</v>
      </c>
      <c r="H69" s="42">
        <f>H36+H43+H55+H56+H61+H62+H63</f>
        <v>8.8800000000000008</v>
      </c>
      <c r="I69" s="42">
        <f t="shared" ref="I69:M69" si="4">I36+I55+I56+I61+I62+I63</f>
        <v>0</v>
      </c>
      <c r="J69" s="42">
        <f t="shared" si="4"/>
        <v>0</v>
      </c>
      <c r="K69" s="42">
        <f t="shared" si="4"/>
        <v>0</v>
      </c>
      <c r="L69" s="42">
        <f t="shared" si="4"/>
        <v>0</v>
      </c>
      <c r="M69" s="42">
        <f t="shared" si="4"/>
        <v>0</v>
      </c>
      <c r="N69" s="42">
        <f>N36+N43+N55+N56+N61+N62+N63</f>
        <v>38</v>
      </c>
    </row>
    <row r="70" spans="2:14" ht="20.45" customHeight="1" thickBot="1" x14ac:dyDescent="0.25">
      <c r="B70" s="43" t="s">
        <v>79</v>
      </c>
      <c r="C70" s="44" t="e">
        <f t="shared" ref="C70:G70" si="5">C42+C57+C58+C64+C65+C66</f>
        <v>#VALUE!</v>
      </c>
      <c r="D70" s="44" t="e">
        <f t="shared" si="5"/>
        <v>#VALUE!</v>
      </c>
      <c r="E70" s="44" t="e">
        <f t="shared" si="5"/>
        <v>#N/A</v>
      </c>
      <c r="F70" s="44" t="e">
        <f t="shared" si="5"/>
        <v>#N/A</v>
      </c>
      <c r="G70" s="44" t="e">
        <f t="shared" si="5"/>
        <v>#N/A</v>
      </c>
      <c r="H70" s="44" t="e">
        <f t="shared" ref="H70:N70" si="6">H42+H44+H57+H58+H64+H65+H66</f>
        <v>#N/A</v>
      </c>
      <c r="I70" s="44" t="e">
        <f t="shared" si="6"/>
        <v>#N/A</v>
      </c>
      <c r="J70" s="44" t="e">
        <f t="shared" si="6"/>
        <v>#N/A</v>
      </c>
      <c r="K70" s="44" t="e">
        <f t="shared" si="6"/>
        <v>#N/A</v>
      </c>
      <c r="L70" s="44" t="e">
        <f t="shared" si="6"/>
        <v>#N/A</v>
      </c>
      <c r="M70" s="44" t="e">
        <f t="shared" si="6"/>
        <v>#N/A</v>
      </c>
      <c r="N70" s="44" t="e">
        <f t="shared" si="6"/>
        <v>#N/A</v>
      </c>
    </row>
    <row r="71" spans="2:14" ht="20.45" customHeight="1" x14ac:dyDescent="0.2"/>
    <row r="72" spans="2:14" ht="20.45" customHeight="1" x14ac:dyDescent="0.2"/>
    <row r="73" spans="2:14" ht="20.45" customHeight="1" x14ac:dyDescent="0.2"/>
  </sheetData>
  <mergeCells count="1">
    <mergeCell ref="B1:N1"/>
  </mergeCells>
  <phoneticPr fontId="14" type="noConversion"/>
  <pageMargins left="0.25" right="0.25" top="0.75" bottom="0.75" header="0.3" footer="0.3"/>
  <pageSetup scale="51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Tax rate table</vt:lpstr>
      <vt:lpstr>Salary details</vt:lpstr>
      <vt:lpstr>'Salary details'!Print_Area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Zhou,Bella (HR C+B) BII-CN-S</dc:creator>
  <cp:lastModifiedBy>cenice5794</cp:lastModifiedBy>
  <cp:lastPrinted>2023-02-09T12:35:00Z</cp:lastPrinted>
  <dcterms:created xsi:type="dcterms:W3CDTF">2023-02-09T03:00:00Z</dcterms:created>
  <dcterms:modified xsi:type="dcterms:W3CDTF">2026-03-25T06:05:55Z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3C09EF2A5FB24705AA9EAE37999D922B_13</vt:lpwstr>
  </property>
  <property fmtid="{D5CDD505-2E9C-101B-9397-08002B2CF9AE}" pid="4" name="CalculationRule">
    <vt:i4>0</vt:i4>
  </property>
</Properties>
</file>